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work\AI\innovation\Test data\"/>
    </mc:Choice>
  </mc:AlternateContent>
  <xr:revisionPtr revIDLastSave="0" documentId="13_ncr:1_{F9DBE3EC-1529-494B-A8CB-5B383068F34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....0 Agency Comparatives - New" sheetId="1" r:id="rId1"/>
  </sheets>
  <definedNames>
    <definedName name="AnaplanColHeader_3784dec5_2f7f_4147_97da_3226d3193860" localSheetId="0">'....0 Agency Comparatives - New'!$D$6</definedName>
    <definedName name="AnaplanDescription_3784dec5_2f7f_4147_97da_3226d3193860" localSheetId="0">'....0 Agency Comparatives - New'!$A$1:$A$5</definedName>
    <definedName name="AnaplanRowHeader_3784dec5_2f7f_4147_97da_3226d3193860" localSheetId="0">'....0 Agency Comparatives - New'!$A$7:$C$9620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A9203" i="1"/>
  <c r="A9204" i="1"/>
  <c r="A9205" i="1"/>
  <c r="A9206" i="1"/>
  <c r="A9207" i="1"/>
  <c r="A9208" i="1"/>
  <c r="A9209" i="1"/>
  <c r="A9210" i="1"/>
  <c r="A9211" i="1"/>
  <c r="A9212" i="1"/>
  <c r="A9213" i="1"/>
  <c r="A9214" i="1"/>
  <c r="A9215" i="1"/>
  <c r="A9216" i="1"/>
  <c r="A9217" i="1"/>
  <c r="A9218" i="1"/>
  <c r="A9219" i="1"/>
  <c r="A9220" i="1"/>
  <c r="A9221" i="1"/>
  <c r="A9222" i="1"/>
  <c r="A9223" i="1"/>
  <c r="A9224" i="1"/>
  <c r="A9225" i="1"/>
  <c r="A9226" i="1"/>
  <c r="A9227" i="1"/>
  <c r="A9228" i="1"/>
  <c r="A9229" i="1"/>
  <c r="A9230" i="1"/>
  <c r="A9231" i="1"/>
  <c r="A9232" i="1"/>
  <c r="A9233" i="1"/>
  <c r="A9234" i="1"/>
  <c r="A9235" i="1"/>
  <c r="A9236" i="1"/>
  <c r="A9237" i="1"/>
  <c r="A9238" i="1"/>
  <c r="A9239" i="1"/>
  <c r="A9240" i="1"/>
  <c r="A9241" i="1"/>
  <c r="A9242" i="1"/>
  <c r="A9243" i="1"/>
  <c r="A9244" i="1"/>
  <c r="A9245" i="1"/>
  <c r="A9246" i="1"/>
  <c r="A9247" i="1"/>
  <c r="A9248" i="1"/>
  <c r="A9249" i="1"/>
  <c r="A9250" i="1"/>
  <c r="A9251" i="1"/>
  <c r="A9252" i="1"/>
  <c r="A9253" i="1"/>
  <c r="A9254" i="1"/>
  <c r="A9255" i="1"/>
  <c r="A9256" i="1"/>
  <c r="A9257" i="1"/>
  <c r="A9258" i="1"/>
  <c r="A9259" i="1"/>
  <c r="A9260" i="1"/>
  <c r="A9261" i="1"/>
  <c r="A9262" i="1"/>
  <c r="A9263" i="1"/>
  <c r="A9264" i="1"/>
  <c r="A9265" i="1"/>
  <c r="A9266" i="1"/>
  <c r="A9267" i="1"/>
  <c r="A9268" i="1"/>
  <c r="A9269" i="1"/>
  <c r="A9270" i="1"/>
  <c r="A9271" i="1"/>
  <c r="A9272" i="1"/>
  <c r="A9273" i="1"/>
  <c r="A9274" i="1"/>
  <c r="A9275" i="1"/>
  <c r="A9276" i="1"/>
  <c r="A9277" i="1"/>
  <c r="A9278" i="1"/>
  <c r="A9279" i="1"/>
  <c r="A9280" i="1"/>
  <c r="A9281" i="1"/>
  <c r="A9282" i="1"/>
  <c r="A9283" i="1"/>
  <c r="A9284" i="1"/>
  <c r="A9285" i="1"/>
  <c r="A9286" i="1"/>
  <c r="A9287" i="1"/>
  <c r="A9288" i="1"/>
  <c r="A9289" i="1"/>
  <c r="A9290" i="1"/>
  <c r="A9291" i="1"/>
  <c r="A9292" i="1"/>
  <c r="A9293" i="1"/>
  <c r="A9294" i="1"/>
  <c r="A9295" i="1"/>
  <c r="A9296" i="1"/>
  <c r="A9297" i="1"/>
  <c r="A9298" i="1"/>
  <c r="A9299" i="1"/>
  <c r="A9300" i="1"/>
  <c r="A9301" i="1"/>
  <c r="A9302" i="1"/>
  <c r="A9303" i="1"/>
  <c r="A9304" i="1"/>
  <c r="A9305" i="1"/>
  <c r="A9306" i="1"/>
  <c r="A9307" i="1"/>
  <c r="A9308" i="1"/>
  <c r="A9309" i="1"/>
  <c r="A9310" i="1"/>
  <c r="A9311" i="1"/>
  <c r="A9312" i="1"/>
  <c r="A9313" i="1"/>
  <c r="A9314" i="1"/>
  <c r="A9315" i="1"/>
  <c r="A9316" i="1"/>
  <c r="A9317" i="1"/>
  <c r="A9318" i="1"/>
  <c r="A9319" i="1"/>
  <c r="A9320" i="1"/>
  <c r="A9321" i="1"/>
  <c r="A9322" i="1"/>
  <c r="A9323" i="1"/>
  <c r="A9324" i="1"/>
  <c r="A9325" i="1"/>
  <c r="A9326" i="1"/>
  <c r="A9327" i="1"/>
  <c r="A9328" i="1"/>
  <c r="A9329" i="1"/>
  <c r="A9330" i="1"/>
  <c r="A9331" i="1"/>
  <c r="A9332" i="1"/>
  <c r="A9333" i="1"/>
  <c r="A9334" i="1"/>
  <c r="A9335" i="1"/>
  <c r="A9336" i="1"/>
  <c r="A9337" i="1"/>
  <c r="A9338" i="1"/>
  <c r="A9339" i="1"/>
  <c r="A9340" i="1"/>
  <c r="A9341" i="1"/>
  <c r="A9342" i="1"/>
  <c r="A9343" i="1"/>
  <c r="A9344" i="1"/>
  <c r="A9345" i="1"/>
  <c r="A9346" i="1"/>
  <c r="A9347" i="1"/>
  <c r="A9348" i="1"/>
  <c r="A9349" i="1"/>
  <c r="A9350" i="1"/>
  <c r="A9351" i="1"/>
  <c r="A9352" i="1"/>
  <c r="A9353" i="1"/>
  <c r="A9354" i="1"/>
  <c r="A9355" i="1"/>
  <c r="A9356" i="1"/>
  <c r="A9357" i="1"/>
  <c r="A9358" i="1"/>
  <c r="A9359" i="1"/>
  <c r="A9360" i="1"/>
  <c r="A9361" i="1"/>
  <c r="A9362" i="1"/>
  <c r="A9363" i="1"/>
  <c r="A9364" i="1"/>
  <c r="A9365" i="1"/>
  <c r="A9366" i="1"/>
  <c r="A9367" i="1"/>
  <c r="A9368" i="1"/>
  <c r="A9369" i="1"/>
  <c r="A9370" i="1"/>
  <c r="A9371" i="1"/>
  <c r="A9372" i="1"/>
  <c r="A9373" i="1"/>
  <c r="A9374" i="1"/>
  <c r="A9375" i="1"/>
  <c r="A9376" i="1"/>
  <c r="A9377" i="1"/>
  <c r="A9378" i="1"/>
  <c r="A9379" i="1"/>
  <c r="A9380" i="1"/>
  <c r="A9381" i="1"/>
  <c r="A9382" i="1"/>
  <c r="A9383" i="1"/>
  <c r="A9384" i="1"/>
  <c r="A9385" i="1"/>
  <c r="A9386" i="1"/>
  <c r="A9387" i="1"/>
  <c r="A9388" i="1"/>
  <c r="A9389" i="1"/>
  <c r="A9390" i="1"/>
  <c r="A9391" i="1"/>
  <c r="A9392" i="1"/>
  <c r="A9393" i="1"/>
  <c r="A9394" i="1"/>
  <c r="A9395" i="1"/>
  <c r="A9396" i="1"/>
  <c r="A9397" i="1"/>
  <c r="A9398" i="1"/>
  <c r="A9399" i="1"/>
  <c r="A9400" i="1"/>
  <c r="A9401" i="1"/>
  <c r="A9402" i="1"/>
  <c r="A9403" i="1"/>
  <c r="A9404" i="1"/>
  <c r="A9405" i="1"/>
  <c r="A9406" i="1"/>
  <c r="A9407" i="1"/>
  <c r="A9408" i="1"/>
  <c r="A9409" i="1"/>
  <c r="A9410" i="1"/>
  <c r="A9411" i="1"/>
  <c r="A9412" i="1"/>
  <c r="A9413" i="1"/>
  <c r="A9414" i="1"/>
  <c r="A9415" i="1"/>
  <c r="A9416" i="1"/>
  <c r="A9417" i="1"/>
  <c r="A9418" i="1"/>
  <c r="A9419" i="1"/>
  <c r="A9420" i="1"/>
  <c r="A9421" i="1"/>
  <c r="A9422" i="1"/>
  <c r="A9423" i="1"/>
  <c r="A9424" i="1"/>
  <c r="A9425" i="1"/>
  <c r="A9426" i="1"/>
  <c r="A9427" i="1"/>
  <c r="A9428" i="1"/>
  <c r="A9429" i="1"/>
  <c r="A9430" i="1"/>
  <c r="A9431" i="1"/>
  <c r="A9432" i="1"/>
  <c r="A9433" i="1"/>
  <c r="A9434" i="1"/>
  <c r="A9435" i="1"/>
  <c r="A9436" i="1"/>
  <c r="A9437" i="1"/>
  <c r="A9438" i="1"/>
  <c r="A9439" i="1"/>
  <c r="A9440" i="1"/>
  <c r="A9441" i="1"/>
  <c r="A9442" i="1"/>
  <c r="A9443" i="1"/>
  <c r="A9444" i="1"/>
  <c r="A9445" i="1"/>
  <c r="A9446" i="1"/>
  <c r="A9447" i="1"/>
  <c r="A9448" i="1"/>
  <c r="A9449" i="1"/>
  <c r="A9450" i="1"/>
  <c r="A9451" i="1"/>
  <c r="A9452" i="1"/>
  <c r="A9453" i="1"/>
  <c r="A9454" i="1"/>
  <c r="A9455" i="1"/>
  <c r="A9456" i="1"/>
  <c r="A9457" i="1"/>
  <c r="A9458" i="1"/>
  <c r="A9459" i="1"/>
  <c r="A9460" i="1"/>
  <c r="A9461" i="1"/>
  <c r="A9462" i="1"/>
  <c r="A9463" i="1"/>
  <c r="A9464" i="1"/>
  <c r="A9465" i="1"/>
  <c r="A9466" i="1"/>
  <c r="A9467" i="1"/>
  <c r="A9468" i="1"/>
  <c r="A9469" i="1"/>
  <c r="A9470" i="1"/>
  <c r="A9471" i="1"/>
  <c r="A9472" i="1"/>
  <c r="A9473" i="1"/>
  <c r="A9474" i="1"/>
  <c r="A9475" i="1"/>
  <c r="A9476" i="1"/>
  <c r="A9477" i="1"/>
  <c r="A9478" i="1"/>
  <c r="A9479" i="1"/>
  <c r="A9480" i="1"/>
  <c r="A9481" i="1"/>
  <c r="A9482" i="1"/>
  <c r="A9483" i="1"/>
  <c r="A9484" i="1"/>
  <c r="A9485" i="1"/>
  <c r="A9486" i="1"/>
  <c r="A9487" i="1"/>
  <c r="A9488" i="1"/>
  <c r="A9489" i="1"/>
  <c r="A9490" i="1"/>
  <c r="A9491" i="1"/>
  <c r="A9492" i="1"/>
  <c r="A9493" i="1"/>
  <c r="A9494" i="1"/>
  <c r="A9495" i="1"/>
  <c r="A9496" i="1"/>
  <c r="A9497" i="1"/>
  <c r="A9498" i="1"/>
  <c r="A9499" i="1"/>
  <c r="A9500" i="1"/>
  <c r="A9501" i="1"/>
  <c r="A9502" i="1"/>
  <c r="A9503" i="1"/>
  <c r="A9504" i="1"/>
  <c r="A9505" i="1"/>
  <c r="A9506" i="1"/>
  <c r="A9507" i="1"/>
  <c r="A9508" i="1"/>
  <c r="A9509" i="1"/>
  <c r="A9510" i="1"/>
  <c r="A9511" i="1"/>
  <c r="A9512" i="1"/>
  <c r="A9513" i="1"/>
  <c r="A9514" i="1"/>
  <c r="A9515" i="1"/>
  <c r="A9516" i="1"/>
  <c r="A9517" i="1"/>
  <c r="A9518" i="1"/>
  <c r="A9519" i="1"/>
  <c r="A9520" i="1"/>
  <c r="A9521" i="1"/>
  <c r="A9522" i="1"/>
  <c r="A9523" i="1"/>
  <c r="A9524" i="1"/>
  <c r="A9525" i="1"/>
  <c r="A9526" i="1"/>
  <c r="A9527" i="1"/>
  <c r="A9528" i="1"/>
  <c r="A9529" i="1"/>
  <c r="A9530" i="1"/>
  <c r="A9531" i="1"/>
  <c r="A9532" i="1"/>
  <c r="A9533" i="1"/>
  <c r="A9534" i="1"/>
  <c r="A9535" i="1"/>
  <c r="A9536" i="1"/>
  <c r="A9537" i="1"/>
  <c r="A9538" i="1"/>
  <c r="A9539" i="1"/>
  <c r="A9540" i="1"/>
  <c r="A9541" i="1"/>
  <c r="A9542" i="1"/>
  <c r="A9543" i="1"/>
  <c r="A9544" i="1"/>
  <c r="A9545" i="1"/>
  <c r="A9546" i="1"/>
  <c r="A9547" i="1"/>
  <c r="A9548" i="1"/>
  <c r="A9549" i="1"/>
  <c r="A9550" i="1"/>
  <c r="A9551" i="1"/>
  <c r="A9552" i="1"/>
  <c r="A9553" i="1"/>
  <c r="A9554" i="1"/>
  <c r="A9555" i="1"/>
  <c r="A9556" i="1"/>
  <c r="A9557" i="1"/>
  <c r="A9558" i="1"/>
  <c r="A9559" i="1"/>
  <c r="A9560" i="1"/>
  <c r="A9561" i="1"/>
  <c r="A9562" i="1"/>
  <c r="A9563" i="1"/>
  <c r="A9564" i="1"/>
  <c r="A9565" i="1"/>
  <c r="A9566" i="1"/>
  <c r="A9567" i="1"/>
  <c r="A9568" i="1"/>
  <c r="A9569" i="1"/>
  <c r="A9570" i="1"/>
  <c r="A9571" i="1"/>
  <c r="A9572" i="1"/>
  <c r="A9573" i="1"/>
  <c r="A9574" i="1"/>
  <c r="A9575" i="1"/>
  <c r="A9576" i="1"/>
  <c r="A9577" i="1"/>
  <c r="A9578" i="1"/>
  <c r="A9579" i="1"/>
  <c r="A9580" i="1"/>
  <c r="A9581" i="1"/>
  <c r="A9582" i="1"/>
  <c r="A9583" i="1"/>
  <c r="A9584" i="1"/>
  <c r="A9585" i="1"/>
  <c r="A9586" i="1"/>
  <c r="A9587" i="1"/>
  <c r="A9588" i="1"/>
  <c r="A9589" i="1"/>
  <c r="A9590" i="1"/>
  <c r="A9591" i="1"/>
  <c r="A9592" i="1"/>
  <c r="A9593" i="1"/>
  <c r="A9594" i="1"/>
  <c r="A9595" i="1"/>
  <c r="A9596" i="1"/>
  <c r="A9597" i="1"/>
  <c r="A9598" i="1"/>
  <c r="A9599" i="1"/>
  <c r="A9600" i="1"/>
  <c r="A9601" i="1"/>
  <c r="A9602" i="1"/>
  <c r="A9603" i="1"/>
  <c r="A9604" i="1"/>
  <c r="A9605" i="1"/>
  <c r="A9606" i="1"/>
  <c r="A9607" i="1"/>
  <c r="A9608" i="1"/>
  <c r="A9609" i="1"/>
  <c r="A9610" i="1"/>
  <c r="A9611" i="1"/>
  <c r="A9612" i="1"/>
  <c r="A9613" i="1"/>
  <c r="A9614" i="1"/>
  <c r="A9615" i="1"/>
  <c r="A9616" i="1"/>
  <c r="A9617" i="1"/>
  <c r="A9618" i="1"/>
  <c r="A9619" i="1"/>
  <c r="A9620" i="1"/>
  <c r="A8785" i="1"/>
  <c r="A8786" i="1"/>
  <c r="A8787" i="1"/>
  <c r="A8788" i="1"/>
  <c r="A8789" i="1"/>
  <c r="A8790" i="1"/>
  <c r="A8791" i="1"/>
  <c r="A8792" i="1"/>
  <c r="A8793" i="1"/>
  <c r="A8794" i="1"/>
  <c r="A8795" i="1"/>
  <c r="A8796" i="1"/>
  <c r="A8797" i="1"/>
  <c r="A8798" i="1"/>
  <c r="A8799" i="1"/>
  <c r="A8800" i="1"/>
  <c r="A8801" i="1"/>
  <c r="A8802" i="1"/>
  <c r="A8803" i="1"/>
  <c r="A8804" i="1"/>
  <c r="A8805" i="1"/>
  <c r="A8806" i="1"/>
  <c r="A8807" i="1"/>
  <c r="A8808" i="1"/>
  <c r="A8809" i="1"/>
  <c r="A8810" i="1"/>
  <c r="A8811" i="1"/>
  <c r="A8812" i="1"/>
  <c r="A8813" i="1"/>
  <c r="A8814" i="1"/>
  <c r="A8815" i="1"/>
  <c r="A8816" i="1"/>
  <c r="A8817" i="1"/>
  <c r="A8818" i="1"/>
  <c r="A8819" i="1"/>
  <c r="A8820" i="1"/>
  <c r="A8821" i="1"/>
  <c r="A8822" i="1"/>
  <c r="A8823" i="1"/>
  <c r="A8824" i="1"/>
  <c r="A8825" i="1"/>
  <c r="A8826" i="1"/>
  <c r="A8827" i="1"/>
  <c r="A8828" i="1"/>
  <c r="A8829" i="1"/>
  <c r="A8830" i="1"/>
  <c r="A8831" i="1"/>
  <c r="A8832" i="1"/>
  <c r="A8833" i="1"/>
  <c r="A8834" i="1"/>
  <c r="A8835" i="1"/>
  <c r="A8836" i="1"/>
  <c r="A8837" i="1"/>
  <c r="A8838" i="1"/>
  <c r="A8839" i="1"/>
  <c r="A8840" i="1"/>
  <c r="A8841" i="1"/>
  <c r="A8842" i="1"/>
  <c r="A8843" i="1"/>
  <c r="A8844" i="1"/>
  <c r="A8845" i="1"/>
  <c r="A8846" i="1"/>
  <c r="A8847" i="1"/>
  <c r="A8848" i="1"/>
  <c r="A8849" i="1"/>
  <c r="A8850" i="1"/>
  <c r="A8851" i="1"/>
  <c r="A8852" i="1"/>
  <c r="A8853" i="1"/>
  <c r="A8854" i="1"/>
  <c r="A8855" i="1"/>
  <c r="A8856" i="1"/>
  <c r="A8857" i="1"/>
  <c r="A8858" i="1"/>
  <c r="A8859" i="1"/>
  <c r="A8860" i="1"/>
  <c r="A8861" i="1"/>
  <c r="A8862" i="1"/>
  <c r="A8863" i="1"/>
  <c r="A8864" i="1"/>
  <c r="A8865" i="1"/>
  <c r="A8866" i="1"/>
  <c r="A8867" i="1"/>
  <c r="A8868" i="1"/>
  <c r="A8869" i="1"/>
  <c r="A8870" i="1"/>
  <c r="A8871" i="1"/>
  <c r="A8872" i="1"/>
  <c r="A8873" i="1"/>
  <c r="A8874" i="1"/>
  <c r="A8875" i="1"/>
  <c r="A8876" i="1"/>
  <c r="A8877" i="1"/>
  <c r="A8878" i="1"/>
  <c r="A8879" i="1"/>
  <c r="A8880" i="1"/>
  <c r="A8881" i="1"/>
  <c r="A8882" i="1"/>
  <c r="A8883" i="1"/>
  <c r="A8884" i="1"/>
  <c r="A8885" i="1"/>
  <c r="A8886" i="1"/>
  <c r="A8887" i="1"/>
  <c r="A8888" i="1"/>
  <c r="A8889" i="1"/>
  <c r="A8890" i="1"/>
  <c r="A8891" i="1"/>
  <c r="A8892" i="1"/>
  <c r="A8893" i="1"/>
  <c r="A8894" i="1"/>
  <c r="A8895" i="1"/>
  <c r="A8896" i="1"/>
  <c r="A8897" i="1"/>
  <c r="A8898" i="1"/>
  <c r="A8899" i="1"/>
  <c r="A8900" i="1"/>
  <c r="A8901" i="1"/>
  <c r="A8902" i="1"/>
  <c r="A8903" i="1"/>
  <c r="A8904" i="1"/>
  <c r="A8905" i="1"/>
  <c r="A8906" i="1"/>
  <c r="A8907" i="1"/>
  <c r="A8908" i="1"/>
  <c r="A8909" i="1"/>
  <c r="A8910" i="1"/>
  <c r="A8911" i="1"/>
  <c r="A8912" i="1"/>
  <c r="A8913" i="1"/>
  <c r="A8914" i="1"/>
  <c r="A8915" i="1"/>
  <c r="A8916" i="1"/>
  <c r="A8917" i="1"/>
  <c r="A8918" i="1"/>
  <c r="A8919" i="1"/>
  <c r="A8920" i="1"/>
  <c r="A8921" i="1"/>
  <c r="A8922" i="1"/>
  <c r="A8923" i="1"/>
  <c r="A8924" i="1"/>
  <c r="A8925" i="1"/>
  <c r="A8926" i="1"/>
  <c r="A8927" i="1"/>
  <c r="A8928" i="1"/>
  <c r="A8929" i="1"/>
  <c r="A8930" i="1"/>
  <c r="A8931" i="1"/>
  <c r="A8932" i="1"/>
  <c r="A8933" i="1"/>
  <c r="A8934" i="1"/>
  <c r="A8935" i="1"/>
  <c r="A8936" i="1"/>
  <c r="A8937" i="1"/>
  <c r="A8938" i="1"/>
  <c r="A8939" i="1"/>
  <c r="A8940" i="1"/>
  <c r="A8941" i="1"/>
  <c r="A8942" i="1"/>
  <c r="A8943" i="1"/>
  <c r="A8944" i="1"/>
  <c r="A8945" i="1"/>
  <c r="A8946" i="1"/>
  <c r="A8947" i="1"/>
  <c r="A8948" i="1"/>
  <c r="A8949" i="1"/>
  <c r="A8950" i="1"/>
  <c r="A8951" i="1"/>
  <c r="A8952" i="1"/>
  <c r="A8953" i="1"/>
  <c r="A8954" i="1"/>
  <c r="A8955" i="1"/>
  <c r="A8956" i="1"/>
  <c r="A8957" i="1"/>
  <c r="A8958" i="1"/>
  <c r="A8959" i="1"/>
  <c r="A8960" i="1"/>
  <c r="A8961" i="1"/>
  <c r="A8962" i="1"/>
  <c r="A8963" i="1"/>
  <c r="A8964" i="1"/>
  <c r="A8965" i="1"/>
  <c r="A8966" i="1"/>
  <c r="A8967" i="1"/>
  <c r="A8968" i="1"/>
  <c r="A8969" i="1"/>
  <c r="A8970" i="1"/>
  <c r="A8971" i="1"/>
  <c r="A8972" i="1"/>
  <c r="A8973" i="1"/>
  <c r="A8974" i="1"/>
  <c r="A8975" i="1"/>
  <c r="A8976" i="1"/>
  <c r="A8977" i="1"/>
  <c r="A8978" i="1"/>
  <c r="A8979" i="1"/>
  <c r="A8980" i="1"/>
  <c r="A8981" i="1"/>
  <c r="A8982" i="1"/>
  <c r="A8983" i="1"/>
  <c r="A8984" i="1"/>
  <c r="A8985" i="1"/>
  <c r="A8986" i="1"/>
  <c r="A8987" i="1"/>
  <c r="A8988" i="1"/>
  <c r="A8989" i="1"/>
  <c r="A8990" i="1"/>
  <c r="A8991" i="1"/>
  <c r="A8992" i="1"/>
  <c r="A8993" i="1"/>
  <c r="A8994" i="1"/>
  <c r="A8995" i="1"/>
  <c r="A8996" i="1"/>
  <c r="A8997" i="1"/>
  <c r="A8998" i="1"/>
  <c r="A8999" i="1"/>
  <c r="A9000" i="1"/>
  <c r="A9001" i="1"/>
  <c r="A9002" i="1"/>
  <c r="A9003" i="1"/>
  <c r="A9004" i="1"/>
  <c r="A9005" i="1"/>
  <c r="A9006" i="1"/>
  <c r="A9007" i="1"/>
  <c r="A9008" i="1"/>
  <c r="A9009" i="1"/>
  <c r="A9010" i="1"/>
  <c r="A9011" i="1"/>
  <c r="A9012" i="1"/>
  <c r="A9013" i="1"/>
  <c r="A9014" i="1"/>
  <c r="A9015" i="1"/>
  <c r="A9016" i="1"/>
  <c r="A9017" i="1"/>
  <c r="A9018" i="1"/>
  <c r="A9019" i="1"/>
  <c r="A9020" i="1"/>
  <c r="A9021" i="1"/>
  <c r="A9022" i="1"/>
  <c r="A9023" i="1"/>
  <c r="A9024" i="1"/>
  <c r="A9025" i="1"/>
  <c r="A9026" i="1"/>
  <c r="A9027" i="1"/>
  <c r="A9028" i="1"/>
  <c r="A9029" i="1"/>
  <c r="A9030" i="1"/>
  <c r="A9031" i="1"/>
  <c r="A9032" i="1"/>
  <c r="A9033" i="1"/>
  <c r="A9034" i="1"/>
  <c r="A9035" i="1"/>
  <c r="A9036" i="1"/>
  <c r="A9037" i="1"/>
  <c r="A9038" i="1"/>
  <c r="A9039" i="1"/>
  <c r="A9040" i="1"/>
  <c r="A9041" i="1"/>
  <c r="A9042" i="1"/>
  <c r="A9043" i="1"/>
  <c r="A9044" i="1"/>
  <c r="A9045" i="1"/>
  <c r="A9046" i="1"/>
  <c r="A9047" i="1"/>
  <c r="A9048" i="1"/>
  <c r="A9049" i="1"/>
  <c r="A9050" i="1"/>
  <c r="A9051" i="1"/>
  <c r="A9052" i="1"/>
  <c r="A9053" i="1"/>
  <c r="A9054" i="1"/>
  <c r="A9055" i="1"/>
  <c r="A9056" i="1"/>
  <c r="A9057" i="1"/>
  <c r="A9058" i="1"/>
  <c r="A9059" i="1"/>
  <c r="A9060" i="1"/>
  <c r="A9061" i="1"/>
  <c r="A9062" i="1"/>
  <c r="A9063" i="1"/>
  <c r="A9064" i="1"/>
  <c r="A9065" i="1"/>
  <c r="A9066" i="1"/>
  <c r="A9067" i="1"/>
  <c r="A9068" i="1"/>
  <c r="A9069" i="1"/>
  <c r="A9070" i="1"/>
  <c r="A9071" i="1"/>
  <c r="A9072" i="1"/>
  <c r="A9073" i="1"/>
  <c r="A9074" i="1"/>
  <c r="A9075" i="1"/>
  <c r="A9076" i="1"/>
  <c r="A9077" i="1"/>
  <c r="A9078" i="1"/>
  <c r="A9079" i="1"/>
  <c r="A9080" i="1"/>
  <c r="A9081" i="1"/>
  <c r="A9082" i="1"/>
  <c r="A9083" i="1"/>
  <c r="A9084" i="1"/>
  <c r="A9085" i="1"/>
  <c r="A9086" i="1"/>
  <c r="A9087" i="1"/>
  <c r="A9088" i="1"/>
  <c r="A9089" i="1"/>
  <c r="A9090" i="1"/>
  <c r="A9091" i="1"/>
  <c r="A9092" i="1"/>
  <c r="A9093" i="1"/>
  <c r="A9094" i="1"/>
  <c r="A9095" i="1"/>
  <c r="A9096" i="1"/>
  <c r="A9097" i="1"/>
  <c r="A9098" i="1"/>
  <c r="A9099" i="1"/>
  <c r="A9100" i="1"/>
  <c r="A9101" i="1"/>
  <c r="A9102" i="1"/>
  <c r="A9103" i="1"/>
  <c r="A9104" i="1"/>
  <c r="A9105" i="1"/>
  <c r="A9106" i="1"/>
  <c r="A9107" i="1"/>
  <c r="A9108" i="1"/>
  <c r="A9109" i="1"/>
  <c r="A9110" i="1"/>
  <c r="A9111" i="1"/>
  <c r="A9112" i="1"/>
  <c r="A9113" i="1"/>
  <c r="A9114" i="1"/>
  <c r="A9115" i="1"/>
  <c r="A9116" i="1"/>
  <c r="A9117" i="1"/>
  <c r="A9118" i="1"/>
  <c r="A9119" i="1"/>
  <c r="A9120" i="1"/>
  <c r="A9121" i="1"/>
  <c r="A9122" i="1"/>
  <c r="A9123" i="1"/>
  <c r="A9124" i="1"/>
  <c r="A9125" i="1"/>
  <c r="A9126" i="1"/>
  <c r="A9127" i="1"/>
  <c r="A9128" i="1"/>
  <c r="A9129" i="1"/>
  <c r="A9130" i="1"/>
  <c r="A9131" i="1"/>
  <c r="A9132" i="1"/>
  <c r="A9133" i="1"/>
  <c r="A9134" i="1"/>
  <c r="A9135" i="1"/>
  <c r="A9136" i="1"/>
  <c r="A9137" i="1"/>
  <c r="A9138" i="1"/>
  <c r="A9139" i="1"/>
  <c r="A9140" i="1"/>
  <c r="A9141" i="1"/>
  <c r="A9142" i="1"/>
  <c r="A9143" i="1"/>
  <c r="A9144" i="1"/>
  <c r="A9145" i="1"/>
  <c r="A9146" i="1"/>
  <c r="A9147" i="1"/>
  <c r="A9148" i="1"/>
  <c r="A9149" i="1"/>
  <c r="A9150" i="1"/>
  <c r="A9151" i="1"/>
  <c r="A9152" i="1"/>
  <c r="A9153" i="1"/>
  <c r="A9154" i="1"/>
  <c r="A9155" i="1"/>
  <c r="A9156" i="1"/>
  <c r="A9157" i="1"/>
  <c r="A9158" i="1"/>
  <c r="A9159" i="1"/>
  <c r="A9160" i="1"/>
  <c r="A9161" i="1"/>
  <c r="A9162" i="1"/>
  <c r="A9163" i="1"/>
  <c r="A9164" i="1"/>
  <c r="A9165" i="1"/>
  <c r="A9166" i="1"/>
  <c r="A9167" i="1"/>
  <c r="A9168" i="1"/>
  <c r="A9169" i="1"/>
  <c r="A9170" i="1"/>
  <c r="A9171" i="1"/>
  <c r="A9172" i="1"/>
  <c r="A9173" i="1"/>
  <c r="A9174" i="1"/>
  <c r="A9175" i="1"/>
  <c r="A9176" i="1"/>
  <c r="A9177" i="1"/>
  <c r="A9178" i="1"/>
  <c r="A9179" i="1"/>
  <c r="A9180" i="1"/>
  <c r="A9181" i="1"/>
  <c r="A9182" i="1"/>
  <c r="A9183" i="1"/>
  <c r="A9184" i="1"/>
  <c r="A9185" i="1"/>
  <c r="A9186" i="1"/>
  <c r="A9187" i="1"/>
  <c r="A9188" i="1"/>
  <c r="A9189" i="1"/>
  <c r="A9190" i="1"/>
  <c r="A9191" i="1"/>
  <c r="A9192" i="1"/>
  <c r="A9193" i="1"/>
  <c r="A9194" i="1"/>
  <c r="A9195" i="1"/>
  <c r="A9196" i="1"/>
  <c r="A9197" i="1"/>
  <c r="A9198" i="1"/>
  <c r="A9199" i="1"/>
  <c r="A9200" i="1"/>
  <c r="A9201" i="1"/>
  <c r="A9202" i="1"/>
  <c r="A8367" i="1"/>
  <c r="A8368" i="1"/>
  <c r="A8369" i="1"/>
  <c r="A8370" i="1"/>
  <c r="A8371" i="1"/>
  <c r="A8372" i="1"/>
  <c r="A8373" i="1"/>
  <c r="A8374" i="1"/>
  <c r="A8375" i="1"/>
  <c r="A8376" i="1"/>
  <c r="A8377" i="1"/>
  <c r="A8378" i="1"/>
  <c r="A8379" i="1"/>
  <c r="A8380" i="1"/>
  <c r="A8381" i="1"/>
  <c r="A8382" i="1"/>
  <c r="A8383" i="1"/>
  <c r="A8384" i="1"/>
  <c r="A8385" i="1"/>
  <c r="A8386" i="1"/>
  <c r="A8387" i="1"/>
  <c r="A8388" i="1"/>
  <c r="A8389" i="1"/>
  <c r="A8390" i="1"/>
  <c r="A8391" i="1"/>
  <c r="A8392" i="1"/>
  <c r="A8393" i="1"/>
  <c r="A8394" i="1"/>
  <c r="A8395" i="1"/>
  <c r="A8396" i="1"/>
  <c r="A8397" i="1"/>
  <c r="A8398" i="1"/>
  <c r="A8399" i="1"/>
  <c r="A8400" i="1"/>
  <c r="A8401" i="1"/>
  <c r="A8402" i="1"/>
  <c r="A8403" i="1"/>
  <c r="A8404" i="1"/>
  <c r="A8405" i="1"/>
  <c r="A8406" i="1"/>
  <c r="A8407" i="1"/>
  <c r="A8408" i="1"/>
  <c r="A8409" i="1"/>
  <c r="A8410" i="1"/>
  <c r="A8411" i="1"/>
  <c r="A8412" i="1"/>
  <c r="A8413" i="1"/>
  <c r="A8414" i="1"/>
  <c r="A8415" i="1"/>
  <c r="A8416" i="1"/>
  <c r="A8417" i="1"/>
  <c r="A8418" i="1"/>
  <c r="A8419" i="1"/>
  <c r="A8420" i="1"/>
  <c r="A8421" i="1"/>
  <c r="A8422" i="1"/>
  <c r="A8423" i="1"/>
  <c r="A8424" i="1"/>
  <c r="A8425" i="1"/>
  <c r="A8426" i="1"/>
  <c r="A8427" i="1"/>
  <c r="A8428" i="1"/>
  <c r="A8429" i="1"/>
  <c r="A8430" i="1"/>
  <c r="A8431" i="1"/>
  <c r="A8432" i="1"/>
  <c r="A8433" i="1"/>
  <c r="A8434" i="1"/>
  <c r="A8435" i="1"/>
  <c r="A8436" i="1"/>
  <c r="A8437" i="1"/>
  <c r="A8438" i="1"/>
  <c r="A8439" i="1"/>
  <c r="A8440" i="1"/>
  <c r="A8441" i="1"/>
  <c r="A8442" i="1"/>
  <c r="A8443" i="1"/>
  <c r="A8444" i="1"/>
  <c r="A8445" i="1"/>
  <c r="A8446" i="1"/>
  <c r="A8447" i="1"/>
  <c r="A8448" i="1"/>
  <c r="A8449" i="1"/>
  <c r="A8450" i="1"/>
  <c r="A8451" i="1"/>
  <c r="A8452" i="1"/>
  <c r="A8453" i="1"/>
  <c r="A8454" i="1"/>
  <c r="A8455" i="1"/>
  <c r="A8456" i="1"/>
  <c r="A8457" i="1"/>
  <c r="A8458" i="1"/>
  <c r="A8459" i="1"/>
  <c r="A8460" i="1"/>
  <c r="A8461" i="1"/>
  <c r="A8462" i="1"/>
  <c r="A8463" i="1"/>
  <c r="A8464" i="1"/>
  <c r="A8465" i="1"/>
  <c r="A8466" i="1"/>
  <c r="A8467" i="1"/>
  <c r="A8468" i="1"/>
  <c r="A8469" i="1"/>
  <c r="A8470" i="1"/>
  <c r="A8471" i="1"/>
  <c r="A8472" i="1"/>
  <c r="A8473" i="1"/>
  <c r="A8474" i="1"/>
  <c r="A8475" i="1"/>
  <c r="A8476" i="1"/>
  <c r="A8477" i="1"/>
  <c r="A8478" i="1"/>
  <c r="A8479" i="1"/>
  <c r="A8480" i="1"/>
  <c r="A8481" i="1"/>
  <c r="A8482" i="1"/>
  <c r="A8483" i="1"/>
  <c r="A8484" i="1"/>
  <c r="A8485" i="1"/>
  <c r="A8486" i="1"/>
  <c r="A8487" i="1"/>
  <c r="A8488" i="1"/>
  <c r="A8489" i="1"/>
  <c r="A8490" i="1"/>
  <c r="A8491" i="1"/>
  <c r="A8492" i="1"/>
  <c r="A8493" i="1"/>
  <c r="A8494" i="1"/>
  <c r="A8495" i="1"/>
  <c r="A8496" i="1"/>
  <c r="A8497" i="1"/>
  <c r="A8498" i="1"/>
  <c r="A8499" i="1"/>
  <c r="A8500" i="1"/>
  <c r="A8501" i="1"/>
  <c r="A8502" i="1"/>
  <c r="A8503" i="1"/>
  <c r="A8504" i="1"/>
  <c r="A8505" i="1"/>
  <c r="A8506" i="1"/>
  <c r="A8507" i="1"/>
  <c r="A8508" i="1"/>
  <c r="A8509" i="1"/>
  <c r="A8510" i="1"/>
  <c r="A8511" i="1"/>
  <c r="A8512" i="1"/>
  <c r="A8513" i="1"/>
  <c r="A8514" i="1"/>
  <c r="A8515" i="1"/>
  <c r="A8516" i="1"/>
  <c r="A8517" i="1"/>
  <c r="A8518" i="1"/>
  <c r="A8519" i="1"/>
  <c r="A8520" i="1"/>
  <c r="A8521" i="1"/>
  <c r="A8522" i="1"/>
  <c r="A8523" i="1"/>
  <c r="A8524" i="1"/>
  <c r="A8525" i="1"/>
  <c r="A8526" i="1"/>
  <c r="A8527" i="1"/>
  <c r="A8528" i="1"/>
  <c r="A8529" i="1"/>
  <c r="A8530" i="1"/>
  <c r="A8531" i="1"/>
  <c r="A8532" i="1"/>
  <c r="A8533" i="1"/>
  <c r="A8534" i="1"/>
  <c r="A8535" i="1"/>
  <c r="A8536" i="1"/>
  <c r="A8537" i="1"/>
  <c r="A8538" i="1"/>
  <c r="A8539" i="1"/>
  <c r="A8540" i="1"/>
  <c r="A8541" i="1"/>
  <c r="A8542" i="1"/>
  <c r="A8543" i="1"/>
  <c r="A8544" i="1"/>
  <c r="A8545" i="1"/>
  <c r="A8546" i="1"/>
  <c r="A8547" i="1"/>
  <c r="A8548" i="1"/>
  <c r="A8549" i="1"/>
  <c r="A8550" i="1"/>
  <c r="A8551" i="1"/>
  <c r="A8552" i="1"/>
  <c r="A8553" i="1"/>
  <c r="A8554" i="1"/>
  <c r="A8555" i="1"/>
  <c r="A8556" i="1"/>
  <c r="A8557" i="1"/>
  <c r="A8558" i="1"/>
  <c r="A8559" i="1"/>
  <c r="A8560" i="1"/>
  <c r="A8561" i="1"/>
  <c r="A8562" i="1"/>
  <c r="A8563" i="1"/>
  <c r="A8564" i="1"/>
  <c r="A8565" i="1"/>
  <c r="A8566" i="1"/>
  <c r="A8567" i="1"/>
  <c r="A8568" i="1"/>
  <c r="A8569" i="1"/>
  <c r="A8570" i="1"/>
  <c r="A8571" i="1"/>
  <c r="A8572" i="1"/>
  <c r="A8573" i="1"/>
  <c r="A8574" i="1"/>
  <c r="A8575" i="1"/>
  <c r="A8576" i="1"/>
  <c r="A8577" i="1"/>
  <c r="A8578" i="1"/>
  <c r="A8579" i="1"/>
  <c r="A8580" i="1"/>
  <c r="A8581" i="1"/>
  <c r="A8582" i="1"/>
  <c r="A8583" i="1"/>
  <c r="A8584" i="1"/>
  <c r="A8585" i="1"/>
  <c r="A8586" i="1"/>
  <c r="A8587" i="1"/>
  <c r="A8588" i="1"/>
  <c r="A8589" i="1"/>
  <c r="A8590" i="1"/>
  <c r="A8591" i="1"/>
  <c r="A8592" i="1"/>
  <c r="A8593" i="1"/>
  <c r="A8594" i="1"/>
  <c r="A8595" i="1"/>
  <c r="A8596" i="1"/>
  <c r="A8597" i="1"/>
  <c r="A8598" i="1"/>
  <c r="A8599" i="1"/>
  <c r="A8600" i="1"/>
  <c r="A8601" i="1"/>
  <c r="A8602" i="1"/>
  <c r="A8603" i="1"/>
  <c r="A8604" i="1"/>
  <c r="A8605" i="1"/>
  <c r="A8606" i="1"/>
  <c r="A8607" i="1"/>
  <c r="A8608" i="1"/>
  <c r="A8609" i="1"/>
  <c r="A8610" i="1"/>
  <c r="A8611" i="1"/>
  <c r="A8612" i="1"/>
  <c r="A8613" i="1"/>
  <c r="A8614" i="1"/>
  <c r="A8615" i="1"/>
  <c r="A8616" i="1"/>
  <c r="A8617" i="1"/>
  <c r="A8618" i="1"/>
  <c r="A8619" i="1"/>
  <c r="A8620" i="1"/>
  <c r="A8621" i="1"/>
  <c r="A8622" i="1"/>
  <c r="A8623" i="1"/>
  <c r="A8624" i="1"/>
  <c r="A8625" i="1"/>
  <c r="A8626" i="1"/>
  <c r="A8627" i="1"/>
  <c r="A8628" i="1"/>
  <c r="A8629" i="1"/>
  <c r="A8630" i="1"/>
  <c r="A8631" i="1"/>
  <c r="A8632" i="1"/>
  <c r="A8633" i="1"/>
  <c r="A8634" i="1"/>
  <c r="A8635" i="1"/>
  <c r="A8636" i="1"/>
  <c r="A8637" i="1"/>
  <c r="A8638" i="1"/>
  <c r="A8639" i="1"/>
  <c r="A8640" i="1"/>
  <c r="A8641" i="1"/>
  <c r="A8642" i="1"/>
  <c r="A8643" i="1"/>
  <c r="A8644" i="1"/>
  <c r="A8645" i="1"/>
  <c r="A8646" i="1"/>
  <c r="A8647" i="1"/>
  <c r="A8648" i="1"/>
  <c r="A8649" i="1"/>
  <c r="A8650" i="1"/>
  <c r="A8651" i="1"/>
  <c r="A8652" i="1"/>
  <c r="A8653" i="1"/>
  <c r="A8654" i="1"/>
  <c r="A8655" i="1"/>
  <c r="A8656" i="1"/>
  <c r="A8657" i="1"/>
  <c r="A8658" i="1"/>
  <c r="A8659" i="1"/>
  <c r="A8660" i="1"/>
  <c r="A8661" i="1"/>
  <c r="A8662" i="1"/>
  <c r="A8663" i="1"/>
  <c r="A8664" i="1"/>
  <c r="A8665" i="1"/>
  <c r="A8666" i="1"/>
  <c r="A8667" i="1"/>
  <c r="A8668" i="1"/>
  <c r="A8669" i="1"/>
  <c r="A8670" i="1"/>
  <c r="A8671" i="1"/>
  <c r="A8672" i="1"/>
  <c r="A8673" i="1"/>
  <c r="A8674" i="1"/>
  <c r="A8675" i="1"/>
  <c r="A8676" i="1"/>
  <c r="A8677" i="1"/>
  <c r="A8678" i="1"/>
  <c r="A8679" i="1"/>
  <c r="A8680" i="1"/>
  <c r="A8681" i="1"/>
  <c r="A8682" i="1"/>
  <c r="A8683" i="1"/>
  <c r="A8684" i="1"/>
  <c r="A8685" i="1"/>
  <c r="A8686" i="1"/>
  <c r="A8687" i="1"/>
  <c r="A8688" i="1"/>
  <c r="A8689" i="1"/>
  <c r="A8690" i="1"/>
  <c r="A8691" i="1"/>
  <c r="A8692" i="1"/>
  <c r="A8693" i="1"/>
  <c r="A8694" i="1"/>
  <c r="A8695" i="1"/>
  <c r="A8696" i="1"/>
  <c r="A8697" i="1"/>
  <c r="A8698" i="1"/>
  <c r="A8699" i="1"/>
  <c r="A8700" i="1"/>
  <c r="A8701" i="1"/>
  <c r="A8702" i="1"/>
  <c r="A8703" i="1"/>
  <c r="A8704" i="1"/>
  <c r="A8705" i="1"/>
  <c r="A8706" i="1"/>
  <c r="A8707" i="1"/>
  <c r="A8708" i="1"/>
  <c r="A8709" i="1"/>
  <c r="A8710" i="1"/>
  <c r="A8711" i="1"/>
  <c r="A8712" i="1"/>
  <c r="A8713" i="1"/>
  <c r="A8714" i="1"/>
  <c r="A8715" i="1"/>
  <c r="A8716" i="1"/>
  <c r="A8717" i="1"/>
  <c r="A8718" i="1"/>
  <c r="A8719" i="1"/>
  <c r="A8720" i="1"/>
  <c r="A8721" i="1"/>
  <c r="A8722" i="1"/>
  <c r="A8723" i="1"/>
  <c r="A8724" i="1"/>
  <c r="A8725" i="1"/>
  <c r="A8726" i="1"/>
  <c r="A8727" i="1"/>
  <c r="A8728" i="1"/>
  <c r="A8729" i="1"/>
  <c r="A8730" i="1"/>
  <c r="A8731" i="1"/>
  <c r="A8732" i="1"/>
  <c r="A8733" i="1"/>
  <c r="A8734" i="1"/>
  <c r="A8735" i="1"/>
  <c r="A8736" i="1"/>
  <c r="A8737" i="1"/>
  <c r="A8738" i="1"/>
  <c r="A8739" i="1"/>
  <c r="A8740" i="1"/>
  <c r="A8741" i="1"/>
  <c r="A8742" i="1"/>
  <c r="A8743" i="1"/>
  <c r="A8744" i="1"/>
  <c r="A8745" i="1"/>
  <c r="A8746" i="1"/>
  <c r="A8747" i="1"/>
  <c r="A8748" i="1"/>
  <c r="A8749" i="1"/>
  <c r="A8750" i="1"/>
  <c r="A8751" i="1"/>
  <c r="A8752" i="1"/>
  <c r="A8753" i="1"/>
  <c r="A8754" i="1"/>
  <c r="A8755" i="1"/>
  <c r="A8756" i="1"/>
  <c r="A8757" i="1"/>
  <c r="A8758" i="1"/>
  <c r="A8759" i="1"/>
  <c r="A8760" i="1"/>
  <c r="A8761" i="1"/>
  <c r="A8762" i="1"/>
  <c r="A8763" i="1"/>
  <c r="A8764" i="1"/>
  <c r="A8765" i="1"/>
  <c r="A8766" i="1"/>
  <c r="A8767" i="1"/>
  <c r="A8768" i="1"/>
  <c r="A8769" i="1"/>
  <c r="A8770" i="1"/>
  <c r="A8771" i="1"/>
  <c r="A8772" i="1"/>
  <c r="A8773" i="1"/>
  <c r="A8774" i="1"/>
  <c r="A8775" i="1"/>
  <c r="A8776" i="1"/>
  <c r="A8777" i="1"/>
  <c r="A8778" i="1"/>
  <c r="A8779" i="1"/>
  <c r="A8780" i="1"/>
  <c r="A8781" i="1"/>
  <c r="A8782" i="1"/>
  <c r="A8783" i="1"/>
  <c r="A8784" i="1"/>
  <c r="A7949" i="1"/>
  <c r="A7950" i="1"/>
  <c r="A7951" i="1"/>
  <c r="A7952" i="1"/>
  <c r="A7953" i="1"/>
  <c r="A7954" i="1"/>
  <c r="A7955" i="1"/>
  <c r="A7956" i="1"/>
  <c r="A7957" i="1"/>
  <c r="A7958" i="1"/>
  <c r="A7959" i="1"/>
  <c r="A7960" i="1"/>
  <c r="A7961" i="1"/>
  <c r="A7962" i="1"/>
  <c r="A7963" i="1"/>
  <c r="A7964" i="1"/>
  <c r="A7965" i="1"/>
  <c r="A7966" i="1"/>
  <c r="A7967" i="1"/>
  <c r="A7968" i="1"/>
  <c r="A7969" i="1"/>
  <c r="A7970" i="1"/>
  <c r="A7971" i="1"/>
  <c r="A7972" i="1"/>
  <c r="A7973" i="1"/>
  <c r="A7974" i="1"/>
  <c r="A7975" i="1"/>
  <c r="A7976" i="1"/>
  <c r="A7977" i="1"/>
  <c r="A7978" i="1"/>
  <c r="A7979" i="1"/>
  <c r="A7980" i="1"/>
  <c r="A7981" i="1"/>
  <c r="A7982" i="1"/>
  <c r="A7983" i="1"/>
  <c r="A7984" i="1"/>
  <c r="A7985" i="1"/>
  <c r="A7986" i="1"/>
  <c r="A7987" i="1"/>
  <c r="A7988" i="1"/>
  <c r="A7989" i="1"/>
  <c r="A7990" i="1"/>
  <c r="A7991" i="1"/>
  <c r="A7992" i="1"/>
  <c r="A7993" i="1"/>
  <c r="A7994" i="1"/>
  <c r="A7995" i="1"/>
  <c r="A7996" i="1"/>
  <c r="A7997" i="1"/>
  <c r="A7998" i="1"/>
  <c r="A7999" i="1"/>
  <c r="A8000" i="1"/>
  <c r="A8001" i="1"/>
  <c r="A8002" i="1"/>
  <c r="A8003" i="1"/>
  <c r="A8004" i="1"/>
  <c r="A8005" i="1"/>
  <c r="A8006" i="1"/>
  <c r="A8007" i="1"/>
  <c r="A8008" i="1"/>
  <c r="A8009" i="1"/>
  <c r="A8010" i="1"/>
  <c r="A8011" i="1"/>
  <c r="A8012" i="1"/>
  <c r="A8013" i="1"/>
  <c r="A8014" i="1"/>
  <c r="A8015" i="1"/>
  <c r="A8016" i="1"/>
  <c r="A8017" i="1"/>
  <c r="A8018" i="1"/>
  <c r="A8019" i="1"/>
  <c r="A8020" i="1"/>
  <c r="A8021" i="1"/>
  <c r="A8022" i="1"/>
  <c r="A8023" i="1"/>
  <c r="A8024" i="1"/>
  <c r="A8025" i="1"/>
  <c r="A8026" i="1"/>
  <c r="A8027" i="1"/>
  <c r="A8028" i="1"/>
  <c r="A8029" i="1"/>
  <c r="A8030" i="1"/>
  <c r="A8031" i="1"/>
  <c r="A8032" i="1"/>
  <c r="A8033" i="1"/>
  <c r="A8034" i="1"/>
  <c r="A8035" i="1"/>
  <c r="A8036" i="1"/>
  <c r="A8037" i="1"/>
  <c r="A8038" i="1"/>
  <c r="A8039" i="1"/>
  <c r="A8040" i="1"/>
  <c r="A8041" i="1"/>
  <c r="A8042" i="1"/>
  <c r="A8043" i="1"/>
  <c r="A8044" i="1"/>
  <c r="A8045" i="1"/>
  <c r="A8046" i="1"/>
  <c r="A8047" i="1"/>
  <c r="A8048" i="1"/>
  <c r="A8049" i="1"/>
  <c r="A8050" i="1"/>
  <c r="A8051" i="1"/>
  <c r="A8052" i="1"/>
  <c r="A8053" i="1"/>
  <c r="A8054" i="1"/>
  <c r="A8055" i="1"/>
  <c r="A8056" i="1"/>
  <c r="A8057" i="1"/>
  <c r="A8058" i="1"/>
  <c r="A8059" i="1"/>
  <c r="A8060" i="1"/>
  <c r="A8061" i="1"/>
  <c r="A8062" i="1"/>
  <c r="A8063" i="1"/>
  <c r="A8064" i="1"/>
  <c r="A8065" i="1"/>
  <c r="A8066" i="1"/>
  <c r="A8067" i="1"/>
  <c r="A8068" i="1"/>
  <c r="A8069" i="1"/>
  <c r="A8070" i="1"/>
  <c r="A8071" i="1"/>
  <c r="A8072" i="1"/>
  <c r="A8073" i="1"/>
  <c r="A8074" i="1"/>
  <c r="A8075" i="1"/>
  <c r="A8076" i="1"/>
  <c r="A8077" i="1"/>
  <c r="A8078" i="1"/>
  <c r="A8079" i="1"/>
  <c r="A8080" i="1"/>
  <c r="A8081" i="1"/>
  <c r="A8082" i="1"/>
  <c r="A8083" i="1"/>
  <c r="A8084" i="1"/>
  <c r="A8085" i="1"/>
  <c r="A8086" i="1"/>
  <c r="A8087" i="1"/>
  <c r="A8088" i="1"/>
  <c r="A8089" i="1"/>
  <c r="A8090" i="1"/>
  <c r="A8091" i="1"/>
  <c r="A8092" i="1"/>
  <c r="A8093" i="1"/>
  <c r="A8094" i="1"/>
  <c r="A8095" i="1"/>
  <c r="A8096" i="1"/>
  <c r="A8097" i="1"/>
  <c r="A8098" i="1"/>
  <c r="A8099" i="1"/>
  <c r="A8100" i="1"/>
  <c r="A8101" i="1"/>
  <c r="A8102" i="1"/>
  <c r="A8103" i="1"/>
  <c r="A8104" i="1"/>
  <c r="A8105" i="1"/>
  <c r="A8106" i="1"/>
  <c r="A8107" i="1"/>
  <c r="A8108" i="1"/>
  <c r="A8109" i="1"/>
  <c r="A8110" i="1"/>
  <c r="A8111" i="1"/>
  <c r="A8112" i="1"/>
  <c r="A8113" i="1"/>
  <c r="A8114" i="1"/>
  <c r="A8115" i="1"/>
  <c r="A8116" i="1"/>
  <c r="A8117" i="1"/>
  <c r="A8118" i="1"/>
  <c r="A8119" i="1"/>
  <c r="A8120" i="1"/>
  <c r="A8121" i="1"/>
  <c r="A8122" i="1"/>
  <c r="A8123" i="1"/>
  <c r="A8124" i="1"/>
  <c r="A8125" i="1"/>
  <c r="A8126" i="1"/>
  <c r="A8127" i="1"/>
  <c r="A8128" i="1"/>
  <c r="A8129" i="1"/>
  <c r="A8130" i="1"/>
  <c r="A8131" i="1"/>
  <c r="A8132" i="1"/>
  <c r="A8133" i="1"/>
  <c r="A8134" i="1"/>
  <c r="A8135" i="1"/>
  <c r="A8136" i="1"/>
  <c r="A8137" i="1"/>
  <c r="A8138" i="1"/>
  <c r="A8139" i="1"/>
  <c r="A8140" i="1"/>
  <c r="A8141" i="1"/>
  <c r="A8142" i="1"/>
  <c r="A8143" i="1"/>
  <c r="A8144" i="1"/>
  <c r="A8145" i="1"/>
  <c r="A8146" i="1"/>
  <c r="A8147" i="1"/>
  <c r="A8148" i="1"/>
  <c r="A8149" i="1"/>
  <c r="A8150" i="1"/>
  <c r="A8151" i="1"/>
  <c r="A8152" i="1"/>
  <c r="A8153" i="1"/>
  <c r="A8154" i="1"/>
  <c r="A8155" i="1"/>
  <c r="A8156" i="1"/>
  <c r="A8157" i="1"/>
  <c r="A8158" i="1"/>
  <c r="A8159" i="1"/>
  <c r="A8160" i="1"/>
  <c r="A8161" i="1"/>
  <c r="A8162" i="1"/>
  <c r="A8163" i="1"/>
  <c r="A8164" i="1"/>
  <c r="A8165" i="1"/>
  <c r="A8166" i="1"/>
  <c r="A8167" i="1"/>
  <c r="A8168" i="1"/>
  <c r="A8169" i="1"/>
  <c r="A8170" i="1"/>
  <c r="A8171" i="1"/>
  <c r="A8172" i="1"/>
  <c r="A8173" i="1"/>
  <c r="A8174" i="1"/>
  <c r="A8175" i="1"/>
  <c r="A8176" i="1"/>
  <c r="A8177" i="1"/>
  <c r="A8178" i="1"/>
  <c r="A8179" i="1"/>
  <c r="A8180" i="1"/>
  <c r="A8181" i="1"/>
  <c r="A8182" i="1"/>
  <c r="A8183" i="1"/>
  <c r="A8184" i="1"/>
  <c r="A8185" i="1"/>
  <c r="A8186" i="1"/>
  <c r="A8187" i="1"/>
  <c r="A8188" i="1"/>
  <c r="A8189" i="1"/>
  <c r="A8190" i="1"/>
  <c r="A8191" i="1"/>
  <c r="A8192" i="1"/>
  <c r="A8193" i="1"/>
  <c r="A8194" i="1"/>
  <c r="A8195" i="1"/>
  <c r="A8196" i="1"/>
  <c r="A8197" i="1"/>
  <c r="A8198" i="1"/>
  <c r="A8199" i="1"/>
  <c r="A8200" i="1"/>
  <c r="A8201" i="1"/>
  <c r="A8202" i="1"/>
  <c r="A8203" i="1"/>
  <c r="A8204" i="1"/>
  <c r="A8205" i="1"/>
  <c r="A8206" i="1"/>
  <c r="A8207" i="1"/>
  <c r="A8208" i="1"/>
  <c r="A8209" i="1"/>
  <c r="A8210" i="1"/>
  <c r="A8211" i="1"/>
  <c r="A8212" i="1"/>
  <c r="A8213" i="1"/>
  <c r="A8214" i="1"/>
  <c r="A8215" i="1"/>
  <c r="A8216" i="1"/>
  <c r="A8217" i="1"/>
  <c r="A8218" i="1"/>
  <c r="A8219" i="1"/>
  <c r="A8220" i="1"/>
  <c r="A8221" i="1"/>
  <c r="A8222" i="1"/>
  <c r="A8223" i="1"/>
  <c r="A8224" i="1"/>
  <c r="A8225" i="1"/>
  <c r="A8226" i="1"/>
  <c r="A8227" i="1"/>
  <c r="A8228" i="1"/>
  <c r="A8229" i="1"/>
  <c r="A8230" i="1"/>
  <c r="A8231" i="1"/>
  <c r="A8232" i="1"/>
  <c r="A8233" i="1"/>
  <c r="A8234" i="1"/>
  <c r="A8235" i="1"/>
  <c r="A8236" i="1"/>
  <c r="A8237" i="1"/>
  <c r="A8238" i="1"/>
  <c r="A8239" i="1"/>
  <c r="A8240" i="1"/>
  <c r="A8241" i="1"/>
  <c r="A8242" i="1"/>
  <c r="A8243" i="1"/>
  <c r="A8244" i="1"/>
  <c r="A8245" i="1"/>
  <c r="A8246" i="1"/>
  <c r="A8247" i="1"/>
  <c r="A8248" i="1"/>
  <c r="A8249" i="1"/>
  <c r="A8250" i="1"/>
  <c r="A8251" i="1"/>
  <c r="A8252" i="1"/>
  <c r="A8253" i="1"/>
  <c r="A8254" i="1"/>
  <c r="A8255" i="1"/>
  <c r="A8256" i="1"/>
  <c r="A8257" i="1"/>
  <c r="A8258" i="1"/>
  <c r="A8259" i="1"/>
  <c r="A8260" i="1"/>
  <c r="A8261" i="1"/>
  <c r="A8262" i="1"/>
  <c r="A8263" i="1"/>
  <c r="A8264" i="1"/>
  <c r="A8265" i="1"/>
  <c r="A8266" i="1"/>
  <c r="A8267" i="1"/>
  <c r="A8268" i="1"/>
  <c r="A8269" i="1"/>
  <c r="A8270" i="1"/>
  <c r="A8271" i="1"/>
  <c r="A8272" i="1"/>
  <c r="A8273" i="1"/>
  <c r="A8274" i="1"/>
  <c r="A8275" i="1"/>
  <c r="A8276" i="1"/>
  <c r="A8277" i="1"/>
  <c r="A8278" i="1"/>
  <c r="A8279" i="1"/>
  <c r="A8280" i="1"/>
  <c r="A8281" i="1"/>
  <c r="A8282" i="1"/>
  <c r="A8283" i="1"/>
  <c r="A8284" i="1"/>
  <c r="A8285" i="1"/>
  <c r="A8286" i="1"/>
  <c r="A8287" i="1"/>
  <c r="A8288" i="1"/>
  <c r="A8289" i="1"/>
  <c r="A8290" i="1"/>
  <c r="A8291" i="1"/>
  <c r="A8292" i="1"/>
  <c r="A8293" i="1"/>
  <c r="A8294" i="1"/>
  <c r="A8295" i="1"/>
  <c r="A8296" i="1"/>
  <c r="A8297" i="1"/>
  <c r="A8298" i="1"/>
  <c r="A8299" i="1"/>
  <c r="A8300" i="1"/>
  <c r="A8301" i="1"/>
  <c r="A8302" i="1"/>
  <c r="A8303" i="1"/>
  <c r="A8304" i="1"/>
  <c r="A8305" i="1"/>
  <c r="A8306" i="1"/>
  <c r="A8307" i="1"/>
  <c r="A8308" i="1"/>
  <c r="A8309" i="1"/>
  <c r="A8310" i="1"/>
  <c r="A8311" i="1"/>
  <c r="A8312" i="1"/>
  <c r="A8313" i="1"/>
  <c r="A8314" i="1"/>
  <c r="A8315" i="1"/>
  <c r="A8316" i="1"/>
  <c r="A8317" i="1"/>
  <c r="A8318" i="1"/>
  <c r="A8319" i="1"/>
  <c r="A8320" i="1"/>
  <c r="A8321" i="1"/>
  <c r="A8322" i="1"/>
  <c r="A8323" i="1"/>
  <c r="A8324" i="1"/>
  <c r="A8325" i="1"/>
  <c r="A8326" i="1"/>
  <c r="A8327" i="1"/>
  <c r="A8328" i="1"/>
  <c r="A8329" i="1"/>
  <c r="A8330" i="1"/>
  <c r="A8331" i="1"/>
  <c r="A8332" i="1"/>
  <c r="A8333" i="1"/>
  <c r="A8334" i="1"/>
  <c r="A8335" i="1"/>
  <c r="A8336" i="1"/>
  <c r="A8337" i="1"/>
  <c r="A8338" i="1"/>
  <c r="A8339" i="1"/>
  <c r="A8340" i="1"/>
  <c r="A8341" i="1"/>
  <c r="A8342" i="1"/>
  <c r="A8343" i="1"/>
  <c r="A8344" i="1"/>
  <c r="A8345" i="1"/>
  <c r="A8346" i="1"/>
  <c r="A8347" i="1"/>
  <c r="A8348" i="1"/>
  <c r="A8349" i="1"/>
  <c r="A8350" i="1"/>
  <c r="A8351" i="1"/>
  <c r="A8352" i="1"/>
  <c r="A8353" i="1"/>
  <c r="A8354" i="1"/>
  <c r="A8355" i="1"/>
  <c r="A8356" i="1"/>
  <c r="A8357" i="1"/>
  <c r="A8358" i="1"/>
  <c r="A8359" i="1"/>
  <c r="A8360" i="1"/>
  <c r="A8361" i="1"/>
  <c r="A8362" i="1"/>
  <c r="A8363" i="1"/>
  <c r="A8364" i="1"/>
  <c r="A8365" i="1"/>
  <c r="A8366" i="1"/>
  <c r="A7531" i="1"/>
  <c r="A7532" i="1"/>
  <c r="A7533" i="1"/>
  <c r="A7534" i="1"/>
  <c r="A7535" i="1"/>
  <c r="A7536" i="1"/>
  <c r="A7537" i="1"/>
  <c r="A7538" i="1"/>
  <c r="A7539" i="1"/>
  <c r="A7540" i="1"/>
  <c r="A7541" i="1"/>
  <c r="A7542" i="1"/>
  <c r="A7543" i="1"/>
  <c r="A7544" i="1"/>
  <c r="A7545" i="1"/>
  <c r="A7546" i="1"/>
  <c r="A7547" i="1"/>
  <c r="A7548" i="1"/>
  <c r="A7549" i="1"/>
  <c r="A7550" i="1"/>
  <c r="A7551" i="1"/>
  <c r="A7552" i="1"/>
  <c r="A7553" i="1"/>
  <c r="A7554" i="1"/>
  <c r="A7555" i="1"/>
  <c r="A7556" i="1"/>
  <c r="A7557" i="1"/>
  <c r="A7558" i="1"/>
  <c r="A7559" i="1"/>
  <c r="A7560" i="1"/>
  <c r="A7561" i="1"/>
  <c r="A7562" i="1"/>
  <c r="A7563" i="1"/>
  <c r="A7564" i="1"/>
  <c r="A7565" i="1"/>
  <c r="A7566" i="1"/>
  <c r="A7567" i="1"/>
  <c r="A7568" i="1"/>
  <c r="A7569" i="1"/>
  <c r="A7570" i="1"/>
  <c r="A7571" i="1"/>
  <c r="A7572" i="1"/>
  <c r="A7573" i="1"/>
  <c r="A7574" i="1"/>
  <c r="A7575" i="1"/>
  <c r="A7576" i="1"/>
  <c r="A7577" i="1"/>
  <c r="A7578" i="1"/>
  <c r="A7579" i="1"/>
  <c r="A7580" i="1"/>
  <c r="A7581" i="1"/>
  <c r="A7582" i="1"/>
  <c r="A7583" i="1"/>
  <c r="A7584" i="1"/>
  <c r="A7585" i="1"/>
  <c r="A7586" i="1"/>
  <c r="A7587" i="1"/>
  <c r="A7588" i="1"/>
  <c r="A7589" i="1"/>
  <c r="A7590" i="1"/>
  <c r="A7591" i="1"/>
  <c r="A7592" i="1"/>
  <c r="A7593" i="1"/>
  <c r="A7594" i="1"/>
  <c r="A7595" i="1"/>
  <c r="A7596" i="1"/>
  <c r="A7597" i="1"/>
  <c r="A7598" i="1"/>
  <c r="A7599" i="1"/>
  <c r="A7600" i="1"/>
  <c r="A7601" i="1"/>
  <c r="A7602" i="1"/>
  <c r="A7603" i="1"/>
  <c r="A7604" i="1"/>
  <c r="A7605" i="1"/>
  <c r="A7606" i="1"/>
  <c r="A7607" i="1"/>
  <c r="A7608" i="1"/>
  <c r="A7609" i="1"/>
  <c r="A7610" i="1"/>
  <c r="A7611" i="1"/>
  <c r="A7612" i="1"/>
  <c r="A7613" i="1"/>
  <c r="A7614" i="1"/>
  <c r="A7615" i="1"/>
  <c r="A7616" i="1"/>
  <c r="A7617" i="1"/>
  <c r="A7618" i="1"/>
  <c r="A7619" i="1"/>
  <c r="A7620" i="1"/>
  <c r="A7621" i="1"/>
  <c r="A7622" i="1"/>
  <c r="A7623" i="1"/>
  <c r="A7624" i="1"/>
  <c r="A7625" i="1"/>
  <c r="A7626" i="1"/>
  <c r="A7627" i="1"/>
  <c r="A7628" i="1"/>
  <c r="A7629" i="1"/>
  <c r="A7630" i="1"/>
  <c r="A7631" i="1"/>
  <c r="A7632" i="1"/>
  <c r="A7633" i="1"/>
  <c r="A7634" i="1"/>
  <c r="A7635" i="1"/>
  <c r="A7636" i="1"/>
  <c r="A7637" i="1"/>
  <c r="A7638" i="1"/>
  <c r="A7639" i="1"/>
  <c r="A7640" i="1"/>
  <c r="A7641" i="1"/>
  <c r="A7642" i="1"/>
  <c r="A7643" i="1"/>
  <c r="A7644" i="1"/>
  <c r="A7645" i="1"/>
  <c r="A7646" i="1"/>
  <c r="A7647" i="1"/>
  <c r="A7648" i="1"/>
  <c r="A7649" i="1"/>
  <c r="A7650" i="1"/>
  <c r="A7651" i="1"/>
  <c r="A7652" i="1"/>
  <c r="A7653" i="1"/>
  <c r="A7654" i="1"/>
  <c r="A7655" i="1"/>
  <c r="A7656" i="1"/>
  <c r="A7657" i="1"/>
  <c r="A7658" i="1"/>
  <c r="A7659" i="1"/>
  <c r="A7660" i="1"/>
  <c r="A7661" i="1"/>
  <c r="A7662" i="1"/>
  <c r="A7663" i="1"/>
  <c r="A7664" i="1"/>
  <c r="A7665" i="1"/>
  <c r="A7666" i="1"/>
  <c r="A7667" i="1"/>
  <c r="A7668" i="1"/>
  <c r="A7669" i="1"/>
  <c r="A7670" i="1"/>
  <c r="A7671" i="1"/>
  <c r="A7672" i="1"/>
  <c r="A7673" i="1"/>
  <c r="A7674" i="1"/>
  <c r="A7675" i="1"/>
  <c r="A7676" i="1"/>
  <c r="A7677" i="1"/>
  <c r="A7678" i="1"/>
  <c r="A7679" i="1"/>
  <c r="A7680" i="1"/>
  <c r="A7681" i="1"/>
  <c r="A7682" i="1"/>
  <c r="A7683" i="1"/>
  <c r="A7684" i="1"/>
  <c r="A7685" i="1"/>
  <c r="A7686" i="1"/>
  <c r="A7687" i="1"/>
  <c r="A7688" i="1"/>
  <c r="A7689" i="1"/>
  <c r="A7690" i="1"/>
  <c r="A7691" i="1"/>
  <c r="A7692" i="1"/>
  <c r="A7693" i="1"/>
  <c r="A7694" i="1"/>
  <c r="A7695" i="1"/>
  <c r="A7696" i="1"/>
  <c r="A7697" i="1"/>
  <c r="A7698" i="1"/>
  <c r="A7699" i="1"/>
  <c r="A7700" i="1"/>
  <c r="A7701" i="1"/>
  <c r="A7702" i="1"/>
  <c r="A7703" i="1"/>
  <c r="A7704" i="1"/>
  <c r="A7705" i="1"/>
  <c r="A7706" i="1"/>
  <c r="A7707" i="1"/>
  <c r="A7708" i="1"/>
  <c r="A7709" i="1"/>
  <c r="A7710" i="1"/>
  <c r="A7711" i="1"/>
  <c r="A7712" i="1"/>
  <c r="A7713" i="1"/>
  <c r="A7714" i="1"/>
  <c r="A7715" i="1"/>
  <c r="A7716" i="1"/>
  <c r="A7717" i="1"/>
  <c r="A7718" i="1"/>
  <c r="A7719" i="1"/>
  <c r="A7720" i="1"/>
  <c r="A7721" i="1"/>
  <c r="A7722" i="1"/>
  <c r="A7723" i="1"/>
  <c r="A7724" i="1"/>
  <c r="A7725" i="1"/>
  <c r="A7726" i="1"/>
  <c r="A7727" i="1"/>
  <c r="A7728" i="1"/>
  <c r="A7729" i="1"/>
  <c r="A7730" i="1"/>
  <c r="A7731" i="1"/>
  <c r="A7732" i="1"/>
  <c r="A7733" i="1"/>
  <c r="A7734" i="1"/>
  <c r="A7735" i="1"/>
  <c r="A7736" i="1"/>
  <c r="A7737" i="1"/>
  <c r="A7738" i="1"/>
  <c r="A7739" i="1"/>
  <c r="A7740" i="1"/>
  <c r="A7741" i="1"/>
  <c r="A7742" i="1"/>
  <c r="A7743" i="1"/>
  <c r="A7744" i="1"/>
  <c r="A7745" i="1"/>
  <c r="A7746" i="1"/>
  <c r="A7747" i="1"/>
  <c r="A7748" i="1"/>
  <c r="A7749" i="1"/>
  <c r="A7750" i="1"/>
  <c r="A7751" i="1"/>
  <c r="A7752" i="1"/>
  <c r="A7753" i="1"/>
  <c r="A7754" i="1"/>
  <c r="A7755" i="1"/>
  <c r="A7756" i="1"/>
  <c r="A7757" i="1"/>
  <c r="A7758" i="1"/>
  <c r="A7759" i="1"/>
  <c r="A7760" i="1"/>
  <c r="A7761" i="1"/>
  <c r="A7762" i="1"/>
  <c r="A7763" i="1"/>
  <c r="A7764" i="1"/>
  <c r="A7765" i="1"/>
  <c r="A7766" i="1"/>
  <c r="A7767" i="1"/>
  <c r="A7768" i="1"/>
  <c r="A7769" i="1"/>
  <c r="A7770" i="1"/>
  <c r="A7771" i="1"/>
  <c r="A7772" i="1"/>
  <c r="A7773" i="1"/>
  <c r="A7774" i="1"/>
  <c r="A7775" i="1"/>
  <c r="A7776" i="1"/>
  <c r="A7777" i="1"/>
  <c r="A7778" i="1"/>
  <c r="A7779" i="1"/>
  <c r="A7780" i="1"/>
  <c r="A7781" i="1"/>
  <c r="A7782" i="1"/>
  <c r="A7783" i="1"/>
  <c r="A7784" i="1"/>
  <c r="A7785" i="1"/>
  <c r="A7786" i="1"/>
  <c r="A7787" i="1"/>
  <c r="A7788" i="1"/>
  <c r="A7789" i="1"/>
  <c r="A7790" i="1"/>
  <c r="A7791" i="1"/>
  <c r="A7792" i="1"/>
  <c r="A7793" i="1"/>
  <c r="A7794" i="1"/>
  <c r="A7795" i="1"/>
  <c r="A7796" i="1"/>
  <c r="A7797" i="1"/>
  <c r="A7798" i="1"/>
  <c r="A7799" i="1"/>
  <c r="A7800" i="1"/>
  <c r="A7801" i="1"/>
  <c r="A7802" i="1"/>
  <c r="A7803" i="1"/>
  <c r="A7804" i="1"/>
  <c r="A7805" i="1"/>
  <c r="A7806" i="1"/>
  <c r="A7807" i="1"/>
  <c r="A7808" i="1"/>
  <c r="A7809" i="1"/>
  <c r="A7810" i="1"/>
  <c r="A7811" i="1"/>
  <c r="A7812" i="1"/>
  <c r="A7813" i="1"/>
  <c r="A7814" i="1"/>
  <c r="A7815" i="1"/>
  <c r="A7816" i="1"/>
  <c r="A7817" i="1"/>
  <c r="A7818" i="1"/>
  <c r="A7819" i="1"/>
  <c r="A7820" i="1"/>
  <c r="A7821" i="1"/>
  <c r="A7822" i="1"/>
  <c r="A7823" i="1"/>
  <c r="A7824" i="1"/>
  <c r="A7825" i="1"/>
  <c r="A7826" i="1"/>
  <c r="A7827" i="1"/>
  <c r="A7828" i="1"/>
  <c r="A7829" i="1"/>
  <c r="A7830" i="1"/>
  <c r="A7831" i="1"/>
  <c r="A7832" i="1"/>
  <c r="A7833" i="1"/>
  <c r="A7834" i="1"/>
  <c r="A7835" i="1"/>
  <c r="A7836" i="1"/>
  <c r="A7837" i="1"/>
  <c r="A7838" i="1"/>
  <c r="A7839" i="1"/>
  <c r="A7840" i="1"/>
  <c r="A7841" i="1"/>
  <c r="A7842" i="1"/>
  <c r="A7843" i="1"/>
  <c r="A7844" i="1"/>
  <c r="A7845" i="1"/>
  <c r="A7846" i="1"/>
  <c r="A7847" i="1"/>
  <c r="A7848" i="1"/>
  <c r="A7849" i="1"/>
  <c r="A7850" i="1"/>
  <c r="A7851" i="1"/>
  <c r="A7852" i="1"/>
  <c r="A7853" i="1"/>
  <c r="A7854" i="1"/>
  <c r="A7855" i="1"/>
  <c r="A7856" i="1"/>
  <c r="A7857" i="1"/>
  <c r="A7858" i="1"/>
  <c r="A7859" i="1"/>
  <c r="A7860" i="1"/>
  <c r="A7861" i="1"/>
  <c r="A7862" i="1"/>
  <c r="A7863" i="1"/>
  <c r="A7864" i="1"/>
  <c r="A7865" i="1"/>
  <c r="A7866" i="1"/>
  <c r="A7867" i="1"/>
  <c r="A7868" i="1"/>
  <c r="A7869" i="1"/>
  <c r="A7870" i="1"/>
  <c r="A7871" i="1"/>
  <c r="A7872" i="1"/>
  <c r="A7873" i="1"/>
  <c r="A7874" i="1"/>
  <c r="A7875" i="1"/>
  <c r="A7876" i="1"/>
  <c r="A7877" i="1"/>
  <c r="A7878" i="1"/>
  <c r="A7879" i="1"/>
  <c r="A7880" i="1"/>
  <c r="A7881" i="1"/>
  <c r="A7882" i="1"/>
  <c r="A7883" i="1"/>
  <c r="A7884" i="1"/>
  <c r="A7885" i="1"/>
  <c r="A7886" i="1"/>
  <c r="A7887" i="1"/>
  <c r="A7888" i="1"/>
  <c r="A7889" i="1"/>
  <c r="A7890" i="1"/>
  <c r="A7891" i="1"/>
  <c r="A7892" i="1"/>
  <c r="A7893" i="1"/>
  <c r="A7894" i="1"/>
  <c r="A7895" i="1"/>
  <c r="A7896" i="1"/>
  <c r="A7897" i="1"/>
  <c r="A7898" i="1"/>
  <c r="A7899" i="1"/>
  <c r="A7900" i="1"/>
  <c r="A7901" i="1"/>
  <c r="A7902" i="1"/>
  <c r="A7903" i="1"/>
  <c r="A7904" i="1"/>
  <c r="A7905" i="1"/>
  <c r="A7906" i="1"/>
  <c r="A7907" i="1"/>
  <c r="A7908" i="1"/>
  <c r="A7909" i="1"/>
  <c r="A7910" i="1"/>
  <c r="A7911" i="1"/>
  <c r="A7912" i="1"/>
  <c r="A7913" i="1"/>
  <c r="A7914" i="1"/>
  <c r="A7915" i="1"/>
  <c r="A7916" i="1"/>
  <c r="A7917" i="1"/>
  <c r="A7918" i="1"/>
  <c r="A7919" i="1"/>
  <c r="A7920" i="1"/>
  <c r="A7921" i="1"/>
  <c r="A7922" i="1"/>
  <c r="A7923" i="1"/>
  <c r="A7924" i="1"/>
  <c r="A7925" i="1"/>
  <c r="A7926" i="1"/>
  <c r="A7927" i="1"/>
  <c r="A7928" i="1"/>
  <c r="A7929" i="1"/>
  <c r="A7930" i="1"/>
  <c r="A7931" i="1"/>
  <c r="A7932" i="1"/>
  <c r="A7933" i="1"/>
  <c r="A7934" i="1"/>
  <c r="A7935" i="1"/>
  <c r="A7936" i="1"/>
  <c r="A7937" i="1"/>
  <c r="A7938" i="1"/>
  <c r="A7939" i="1"/>
  <c r="A7940" i="1"/>
  <c r="A7941" i="1"/>
  <c r="A7942" i="1"/>
  <c r="A7943" i="1"/>
  <c r="A7944" i="1"/>
  <c r="A7945" i="1"/>
  <c r="A7946" i="1"/>
  <c r="A7947" i="1"/>
  <c r="A7948" i="1"/>
  <c r="A7113" i="1"/>
  <c r="A7114" i="1"/>
  <c r="A7115" i="1"/>
  <c r="A7116" i="1"/>
  <c r="A7117" i="1"/>
  <c r="A7118" i="1"/>
  <c r="A7119" i="1"/>
  <c r="A7120" i="1"/>
  <c r="A7121" i="1"/>
  <c r="A7122" i="1"/>
  <c r="A7123" i="1"/>
  <c r="A7124" i="1"/>
  <c r="A7125" i="1"/>
  <c r="A7126" i="1"/>
  <c r="A7127" i="1"/>
  <c r="A7128" i="1"/>
  <c r="A7129" i="1"/>
  <c r="A7130" i="1"/>
  <c r="A7131" i="1"/>
  <c r="A7132" i="1"/>
  <c r="A7133" i="1"/>
  <c r="A7134" i="1"/>
  <c r="A7135" i="1"/>
  <c r="A7136" i="1"/>
  <c r="A7137" i="1"/>
  <c r="A7138" i="1"/>
  <c r="A7139" i="1"/>
  <c r="A7140" i="1"/>
  <c r="A7141" i="1"/>
  <c r="A7142" i="1"/>
  <c r="A7143" i="1"/>
  <c r="A7144" i="1"/>
  <c r="A7145" i="1"/>
  <c r="A7146" i="1"/>
  <c r="A7147" i="1"/>
  <c r="A7148" i="1"/>
  <c r="A7149" i="1"/>
  <c r="A7150" i="1"/>
  <c r="A7151" i="1"/>
  <c r="A7152" i="1"/>
  <c r="A7153" i="1"/>
  <c r="A7154" i="1"/>
  <c r="A7155" i="1"/>
  <c r="A7156" i="1"/>
  <c r="A7157" i="1"/>
  <c r="A7158" i="1"/>
  <c r="A7159" i="1"/>
  <c r="A7160" i="1"/>
  <c r="A7161" i="1"/>
  <c r="A7162" i="1"/>
  <c r="A7163" i="1"/>
  <c r="A7164" i="1"/>
  <c r="A7165" i="1"/>
  <c r="A7166" i="1"/>
  <c r="A7167" i="1"/>
  <c r="A7168" i="1"/>
  <c r="A7169" i="1"/>
  <c r="A7170" i="1"/>
  <c r="A7171" i="1"/>
  <c r="A7172" i="1"/>
  <c r="A7173" i="1"/>
  <c r="A7174" i="1"/>
  <c r="A7175" i="1"/>
  <c r="A7176" i="1"/>
  <c r="A7177" i="1"/>
  <c r="A7178" i="1"/>
  <c r="A7179" i="1"/>
  <c r="A7180" i="1"/>
  <c r="A7181" i="1"/>
  <c r="A7182" i="1"/>
  <c r="A7183" i="1"/>
  <c r="A7184" i="1"/>
  <c r="A7185" i="1"/>
  <c r="A7186" i="1"/>
  <c r="A7187" i="1"/>
  <c r="A7188" i="1"/>
  <c r="A7189" i="1"/>
  <c r="A7190" i="1"/>
  <c r="A7191" i="1"/>
  <c r="A7192" i="1"/>
  <c r="A7193" i="1"/>
  <c r="A7194" i="1"/>
  <c r="A7195" i="1"/>
  <c r="A7196" i="1"/>
  <c r="A7197" i="1"/>
  <c r="A7198" i="1"/>
  <c r="A7199" i="1"/>
  <c r="A7200" i="1"/>
  <c r="A7201" i="1"/>
  <c r="A7202" i="1"/>
  <c r="A7203" i="1"/>
  <c r="A7204" i="1"/>
  <c r="A7205" i="1"/>
  <c r="A7206" i="1"/>
  <c r="A7207" i="1"/>
  <c r="A7208" i="1"/>
  <c r="A7209" i="1"/>
  <c r="A7210" i="1"/>
  <c r="A7211" i="1"/>
  <c r="A7212" i="1"/>
  <c r="A7213" i="1"/>
  <c r="A7214" i="1"/>
  <c r="A7215" i="1"/>
  <c r="A7216" i="1"/>
  <c r="A7217" i="1"/>
  <c r="A7218" i="1"/>
  <c r="A7219" i="1"/>
  <c r="A7220" i="1"/>
  <c r="A7221" i="1"/>
  <c r="A7222" i="1"/>
  <c r="A7223" i="1"/>
  <c r="A7224" i="1"/>
  <c r="A7225" i="1"/>
  <c r="A7226" i="1"/>
  <c r="A7227" i="1"/>
  <c r="A7228" i="1"/>
  <c r="A7229" i="1"/>
  <c r="A7230" i="1"/>
  <c r="A7231" i="1"/>
  <c r="A7232" i="1"/>
  <c r="A7233" i="1"/>
  <c r="A7234" i="1"/>
  <c r="A7235" i="1"/>
  <c r="A7236" i="1"/>
  <c r="A7237" i="1"/>
  <c r="A7238" i="1"/>
  <c r="A7239" i="1"/>
  <c r="A7240" i="1"/>
  <c r="A7241" i="1"/>
  <c r="A7242" i="1"/>
  <c r="A7243" i="1"/>
  <c r="A7244" i="1"/>
  <c r="A7245" i="1"/>
  <c r="A7246" i="1"/>
  <c r="A7247" i="1"/>
  <c r="A7248" i="1"/>
  <c r="A7249" i="1"/>
  <c r="A7250" i="1"/>
  <c r="A7251" i="1"/>
  <c r="A7252" i="1"/>
  <c r="A7253" i="1"/>
  <c r="A7254" i="1"/>
  <c r="A7255" i="1"/>
  <c r="A7256" i="1"/>
  <c r="A7257" i="1"/>
  <c r="A7258" i="1"/>
  <c r="A7259" i="1"/>
  <c r="A7260" i="1"/>
  <c r="A7261" i="1"/>
  <c r="A7262" i="1"/>
  <c r="A7263" i="1"/>
  <c r="A7264" i="1"/>
  <c r="A7265" i="1"/>
  <c r="A7266" i="1"/>
  <c r="A7267" i="1"/>
  <c r="A7268" i="1"/>
  <c r="A7269" i="1"/>
  <c r="A7270" i="1"/>
  <c r="A7271" i="1"/>
  <c r="A7272" i="1"/>
  <c r="A7273" i="1"/>
  <c r="A7274" i="1"/>
  <c r="A7275" i="1"/>
  <c r="A7276" i="1"/>
  <c r="A7277" i="1"/>
  <c r="A7278" i="1"/>
  <c r="A7279" i="1"/>
  <c r="A7280" i="1"/>
  <c r="A7281" i="1"/>
  <c r="A7282" i="1"/>
  <c r="A7283" i="1"/>
  <c r="A7284" i="1"/>
  <c r="A7285" i="1"/>
  <c r="A7286" i="1"/>
  <c r="A7287" i="1"/>
  <c r="A7288" i="1"/>
  <c r="A7289" i="1"/>
  <c r="A7290" i="1"/>
  <c r="A7291" i="1"/>
  <c r="A7292" i="1"/>
  <c r="A7293" i="1"/>
  <c r="A7294" i="1"/>
  <c r="A7295" i="1"/>
  <c r="A7296" i="1"/>
  <c r="A7297" i="1"/>
  <c r="A7298" i="1"/>
  <c r="A7299" i="1"/>
  <c r="A7300" i="1"/>
  <c r="A7301" i="1"/>
  <c r="A7302" i="1"/>
  <c r="A7303" i="1"/>
  <c r="A7304" i="1"/>
  <c r="A7305" i="1"/>
  <c r="A7306" i="1"/>
  <c r="A7307" i="1"/>
  <c r="A7308" i="1"/>
  <c r="A7309" i="1"/>
  <c r="A7310" i="1"/>
  <c r="A7311" i="1"/>
  <c r="A7312" i="1"/>
  <c r="A7313" i="1"/>
  <c r="A7314" i="1"/>
  <c r="A7315" i="1"/>
  <c r="A7316" i="1"/>
  <c r="A7317" i="1"/>
  <c r="A7318" i="1"/>
  <c r="A7319" i="1"/>
  <c r="A7320" i="1"/>
  <c r="A7321" i="1"/>
  <c r="A7322" i="1"/>
  <c r="A7323" i="1"/>
  <c r="A7324" i="1"/>
  <c r="A7325" i="1"/>
  <c r="A7326" i="1"/>
  <c r="A7327" i="1"/>
  <c r="A7328" i="1"/>
  <c r="A7329" i="1"/>
  <c r="A7330" i="1"/>
  <c r="A7331" i="1"/>
  <c r="A7332" i="1"/>
  <c r="A7333" i="1"/>
  <c r="A7334" i="1"/>
  <c r="A7335" i="1"/>
  <c r="A7336" i="1"/>
  <c r="A7337" i="1"/>
  <c r="A7338" i="1"/>
  <c r="A7339" i="1"/>
  <c r="A7340" i="1"/>
  <c r="A7341" i="1"/>
  <c r="A7342" i="1"/>
  <c r="A7343" i="1"/>
  <c r="A7344" i="1"/>
  <c r="A7345" i="1"/>
  <c r="A7346" i="1"/>
  <c r="A7347" i="1"/>
  <c r="A7348" i="1"/>
  <c r="A7349" i="1"/>
  <c r="A7350" i="1"/>
  <c r="A7351" i="1"/>
  <c r="A7352" i="1"/>
  <c r="A7353" i="1"/>
  <c r="A7354" i="1"/>
  <c r="A7355" i="1"/>
  <c r="A7356" i="1"/>
  <c r="A7357" i="1"/>
  <c r="A7358" i="1"/>
  <c r="A7359" i="1"/>
  <c r="A7360" i="1"/>
  <c r="A7361" i="1"/>
  <c r="A7362" i="1"/>
  <c r="A7363" i="1"/>
  <c r="A7364" i="1"/>
  <c r="A7365" i="1"/>
  <c r="A7366" i="1"/>
  <c r="A7367" i="1"/>
  <c r="A7368" i="1"/>
  <c r="A7369" i="1"/>
  <c r="A7370" i="1"/>
  <c r="A7371" i="1"/>
  <c r="A7372" i="1"/>
  <c r="A7373" i="1"/>
  <c r="A7374" i="1"/>
  <c r="A7375" i="1"/>
  <c r="A7376" i="1"/>
  <c r="A7377" i="1"/>
  <c r="A7378" i="1"/>
  <c r="A7379" i="1"/>
  <c r="A7380" i="1"/>
  <c r="A7381" i="1"/>
  <c r="A7382" i="1"/>
  <c r="A7383" i="1"/>
  <c r="A7384" i="1"/>
  <c r="A7385" i="1"/>
  <c r="A7386" i="1"/>
  <c r="A7387" i="1"/>
  <c r="A7388" i="1"/>
  <c r="A7389" i="1"/>
  <c r="A7390" i="1"/>
  <c r="A7391" i="1"/>
  <c r="A7392" i="1"/>
  <c r="A7393" i="1"/>
  <c r="A7394" i="1"/>
  <c r="A7395" i="1"/>
  <c r="A7396" i="1"/>
  <c r="A7397" i="1"/>
  <c r="A7398" i="1"/>
  <c r="A7399" i="1"/>
  <c r="A7400" i="1"/>
  <c r="A7401" i="1"/>
  <c r="A7402" i="1"/>
  <c r="A7403" i="1"/>
  <c r="A7404" i="1"/>
  <c r="A7405" i="1"/>
  <c r="A7406" i="1"/>
  <c r="A7407" i="1"/>
  <c r="A7408" i="1"/>
  <c r="A7409" i="1"/>
  <c r="A7410" i="1"/>
  <c r="A7411" i="1"/>
  <c r="A7412" i="1"/>
  <c r="A7413" i="1"/>
  <c r="A7414" i="1"/>
  <c r="A7415" i="1"/>
  <c r="A7416" i="1"/>
  <c r="A7417" i="1"/>
  <c r="A7418" i="1"/>
  <c r="A7419" i="1"/>
  <c r="A7420" i="1"/>
  <c r="A7421" i="1"/>
  <c r="A7422" i="1"/>
  <c r="A7423" i="1"/>
  <c r="A7424" i="1"/>
  <c r="A7425" i="1"/>
  <c r="A7426" i="1"/>
  <c r="A7427" i="1"/>
  <c r="A7428" i="1"/>
  <c r="A7429" i="1"/>
  <c r="A7430" i="1"/>
  <c r="A7431" i="1"/>
  <c r="A7432" i="1"/>
  <c r="A7433" i="1"/>
  <c r="A7434" i="1"/>
  <c r="A7435" i="1"/>
  <c r="A7436" i="1"/>
  <c r="A7437" i="1"/>
  <c r="A7438" i="1"/>
  <c r="A7439" i="1"/>
  <c r="A7440" i="1"/>
  <c r="A7441" i="1"/>
  <c r="A7442" i="1"/>
  <c r="A7443" i="1"/>
  <c r="A7444" i="1"/>
  <c r="A7445" i="1"/>
  <c r="A7446" i="1"/>
  <c r="A7447" i="1"/>
  <c r="A7448" i="1"/>
  <c r="A7449" i="1"/>
  <c r="A7450" i="1"/>
  <c r="A7451" i="1"/>
  <c r="A7452" i="1"/>
  <c r="A7453" i="1"/>
  <c r="A7454" i="1"/>
  <c r="A7455" i="1"/>
  <c r="A7456" i="1"/>
  <c r="A7457" i="1"/>
  <c r="A7458" i="1"/>
  <c r="A7459" i="1"/>
  <c r="A7460" i="1"/>
  <c r="A7461" i="1"/>
  <c r="A7462" i="1"/>
  <c r="A7463" i="1"/>
  <c r="A7464" i="1"/>
  <c r="A7465" i="1"/>
  <c r="A7466" i="1"/>
  <c r="A7467" i="1"/>
  <c r="A7468" i="1"/>
  <c r="A7469" i="1"/>
  <c r="A7470" i="1"/>
  <c r="A7471" i="1"/>
  <c r="A7472" i="1"/>
  <c r="A7473" i="1"/>
  <c r="A7474" i="1"/>
  <c r="A7475" i="1"/>
  <c r="A7476" i="1"/>
  <c r="A7477" i="1"/>
  <c r="A7478" i="1"/>
  <c r="A7479" i="1"/>
  <c r="A7480" i="1"/>
  <c r="A7481" i="1"/>
  <c r="A7482" i="1"/>
  <c r="A7483" i="1"/>
  <c r="A7484" i="1"/>
  <c r="A7485" i="1"/>
  <c r="A7486" i="1"/>
  <c r="A7487" i="1"/>
  <c r="A7488" i="1"/>
  <c r="A7489" i="1"/>
  <c r="A7490" i="1"/>
  <c r="A7491" i="1"/>
  <c r="A7492" i="1"/>
  <c r="A7493" i="1"/>
  <c r="A7494" i="1"/>
  <c r="A7495" i="1"/>
  <c r="A7496" i="1"/>
  <c r="A7497" i="1"/>
  <c r="A7498" i="1"/>
  <c r="A7499" i="1"/>
  <c r="A7500" i="1"/>
  <c r="A7501" i="1"/>
  <c r="A7502" i="1"/>
  <c r="A7503" i="1"/>
  <c r="A7504" i="1"/>
  <c r="A7505" i="1"/>
  <c r="A7506" i="1"/>
  <c r="A7507" i="1"/>
  <c r="A7508" i="1"/>
  <c r="A7509" i="1"/>
  <c r="A7510" i="1"/>
  <c r="A7511" i="1"/>
  <c r="A7512" i="1"/>
  <c r="A7513" i="1"/>
  <c r="A7514" i="1"/>
  <c r="A7515" i="1"/>
  <c r="A7516" i="1"/>
  <c r="A7517" i="1"/>
  <c r="A7518" i="1"/>
  <c r="A7519" i="1"/>
  <c r="A7520" i="1"/>
  <c r="A7521" i="1"/>
  <c r="A7522" i="1"/>
  <c r="A7523" i="1"/>
  <c r="A7524" i="1"/>
  <c r="A7525" i="1"/>
  <c r="A7526" i="1"/>
  <c r="A7527" i="1"/>
  <c r="A7528" i="1"/>
  <c r="A7529" i="1"/>
  <c r="A7530" i="1"/>
  <c r="A6695" i="1"/>
  <c r="A6696" i="1"/>
  <c r="A6697" i="1"/>
  <c r="A6698" i="1"/>
  <c r="A6699" i="1"/>
  <c r="A6700" i="1"/>
  <c r="A6701" i="1"/>
  <c r="A6702" i="1"/>
  <c r="A6703" i="1"/>
  <c r="A6704" i="1"/>
  <c r="A6705" i="1"/>
  <c r="A6706" i="1"/>
  <c r="A6707" i="1"/>
  <c r="A6708" i="1"/>
  <c r="A6709" i="1"/>
  <c r="A6710" i="1"/>
  <c r="A6711" i="1"/>
  <c r="A6712" i="1"/>
  <c r="A6713" i="1"/>
  <c r="A6714" i="1"/>
  <c r="A6715" i="1"/>
  <c r="A6716" i="1"/>
  <c r="A6717" i="1"/>
  <c r="A6718" i="1"/>
  <c r="A6719" i="1"/>
  <c r="A6720" i="1"/>
  <c r="A6721" i="1"/>
  <c r="A6722" i="1"/>
  <c r="A6723" i="1"/>
  <c r="A6724" i="1"/>
  <c r="A6725" i="1"/>
  <c r="A6726" i="1"/>
  <c r="A6727" i="1"/>
  <c r="A6728" i="1"/>
  <c r="A6729" i="1"/>
  <c r="A6730" i="1"/>
  <c r="A6731" i="1"/>
  <c r="A6732" i="1"/>
  <c r="A6733" i="1"/>
  <c r="A6734" i="1"/>
  <c r="A6735" i="1"/>
  <c r="A6736" i="1"/>
  <c r="A6737" i="1"/>
  <c r="A6738" i="1"/>
  <c r="A6739" i="1"/>
  <c r="A6740" i="1"/>
  <c r="A6741" i="1"/>
  <c r="A6742" i="1"/>
  <c r="A6743" i="1"/>
  <c r="A6744" i="1"/>
  <c r="A6745" i="1"/>
  <c r="A6746" i="1"/>
  <c r="A6747" i="1"/>
  <c r="A6748" i="1"/>
  <c r="A6749" i="1"/>
  <c r="A6750" i="1"/>
  <c r="A6751" i="1"/>
  <c r="A6752" i="1"/>
  <c r="A6753" i="1"/>
  <c r="A6754" i="1"/>
  <c r="A6755" i="1"/>
  <c r="A6756" i="1"/>
  <c r="A6757" i="1"/>
  <c r="A6758" i="1"/>
  <c r="A6759" i="1"/>
  <c r="A6760" i="1"/>
  <c r="A6761" i="1"/>
  <c r="A6762" i="1"/>
  <c r="A6763" i="1"/>
  <c r="A6764" i="1"/>
  <c r="A6765" i="1"/>
  <c r="A6766" i="1"/>
  <c r="A6767" i="1"/>
  <c r="A6768" i="1"/>
  <c r="A6769" i="1"/>
  <c r="A6770" i="1"/>
  <c r="A6771" i="1"/>
  <c r="A6772" i="1"/>
  <c r="A6773" i="1"/>
  <c r="A6774" i="1"/>
  <c r="A6775" i="1"/>
  <c r="A6776" i="1"/>
  <c r="A6777" i="1"/>
  <c r="A6778" i="1"/>
  <c r="A6779" i="1"/>
  <c r="A6780" i="1"/>
  <c r="A6781" i="1"/>
  <c r="A6782" i="1"/>
  <c r="A6783" i="1"/>
  <c r="A6784" i="1"/>
  <c r="A6785" i="1"/>
  <c r="A6786" i="1"/>
  <c r="A6787" i="1"/>
  <c r="A6788" i="1"/>
  <c r="A6789" i="1"/>
  <c r="A6790" i="1"/>
  <c r="A6791" i="1"/>
  <c r="A6792" i="1"/>
  <c r="A6793" i="1"/>
  <c r="A6794" i="1"/>
  <c r="A6795" i="1"/>
  <c r="A6796" i="1"/>
  <c r="A6797" i="1"/>
  <c r="A6798" i="1"/>
  <c r="A6799" i="1"/>
  <c r="A6800" i="1"/>
  <c r="A6801" i="1"/>
  <c r="A6802" i="1"/>
  <c r="A6803" i="1"/>
  <c r="A6804" i="1"/>
  <c r="A6805" i="1"/>
  <c r="A6806" i="1"/>
  <c r="A6807" i="1"/>
  <c r="A6808" i="1"/>
  <c r="A6809" i="1"/>
  <c r="A6810" i="1"/>
  <c r="A6811" i="1"/>
  <c r="A6812" i="1"/>
  <c r="A6813" i="1"/>
  <c r="A6814" i="1"/>
  <c r="A6815" i="1"/>
  <c r="A6816" i="1"/>
  <c r="A6817" i="1"/>
  <c r="A6818" i="1"/>
  <c r="A6819" i="1"/>
  <c r="A6820" i="1"/>
  <c r="A6821" i="1"/>
  <c r="A6822" i="1"/>
  <c r="A6823" i="1"/>
  <c r="A6824" i="1"/>
  <c r="A6825" i="1"/>
  <c r="A6826" i="1"/>
  <c r="A6827" i="1"/>
  <c r="A6828" i="1"/>
  <c r="A6829" i="1"/>
  <c r="A6830" i="1"/>
  <c r="A6831" i="1"/>
  <c r="A6832" i="1"/>
  <c r="A6833" i="1"/>
  <c r="A6834" i="1"/>
  <c r="A6835" i="1"/>
  <c r="A6836" i="1"/>
  <c r="A6837" i="1"/>
  <c r="A6838" i="1"/>
  <c r="A6839" i="1"/>
  <c r="A6840" i="1"/>
  <c r="A6841" i="1"/>
  <c r="A6842" i="1"/>
  <c r="A6843" i="1"/>
  <c r="A6844" i="1"/>
  <c r="A6845" i="1"/>
  <c r="A6846" i="1"/>
  <c r="A6847" i="1"/>
  <c r="A6848" i="1"/>
  <c r="A6849" i="1"/>
  <c r="A6850" i="1"/>
  <c r="A6851" i="1"/>
  <c r="A6852" i="1"/>
  <c r="A6853" i="1"/>
  <c r="A6854" i="1"/>
  <c r="A6855" i="1"/>
  <c r="A6856" i="1"/>
  <c r="A6857" i="1"/>
  <c r="A6858" i="1"/>
  <c r="A6859" i="1"/>
  <c r="A6860" i="1"/>
  <c r="A6861" i="1"/>
  <c r="A6862" i="1"/>
  <c r="A6863" i="1"/>
  <c r="A6864" i="1"/>
  <c r="A6865" i="1"/>
  <c r="A6866" i="1"/>
  <c r="A6867" i="1"/>
  <c r="A6868" i="1"/>
  <c r="A6869" i="1"/>
  <c r="A6870" i="1"/>
  <c r="A6871" i="1"/>
  <c r="A6872" i="1"/>
  <c r="A6873" i="1"/>
  <c r="A6874" i="1"/>
  <c r="A6875" i="1"/>
  <c r="A6876" i="1"/>
  <c r="A6877" i="1"/>
  <c r="A6878" i="1"/>
  <c r="A6879" i="1"/>
  <c r="A6880" i="1"/>
  <c r="A6881" i="1"/>
  <c r="A6882" i="1"/>
  <c r="A6883" i="1"/>
  <c r="A6884" i="1"/>
  <c r="A6885" i="1"/>
  <c r="A6886" i="1"/>
  <c r="A6887" i="1"/>
  <c r="A6888" i="1"/>
  <c r="A6889" i="1"/>
  <c r="A6890" i="1"/>
  <c r="A6891" i="1"/>
  <c r="A6892" i="1"/>
  <c r="A6893" i="1"/>
  <c r="A6894" i="1"/>
  <c r="A6895" i="1"/>
  <c r="A6896" i="1"/>
  <c r="A6897" i="1"/>
  <c r="A6898" i="1"/>
  <c r="A6899" i="1"/>
  <c r="A6900" i="1"/>
  <c r="A6901" i="1"/>
  <c r="A6902" i="1"/>
  <c r="A6903" i="1"/>
  <c r="A6904" i="1"/>
  <c r="A6905" i="1"/>
  <c r="A6906" i="1"/>
  <c r="A6907" i="1"/>
  <c r="A6908" i="1"/>
  <c r="A6909" i="1"/>
  <c r="A6910" i="1"/>
  <c r="A6911" i="1"/>
  <c r="A6912" i="1"/>
  <c r="A6913" i="1"/>
  <c r="A6914" i="1"/>
  <c r="A6915" i="1"/>
  <c r="A6916" i="1"/>
  <c r="A6917" i="1"/>
  <c r="A6918" i="1"/>
  <c r="A6919" i="1"/>
  <c r="A6920" i="1"/>
  <c r="A6921" i="1"/>
  <c r="A6922" i="1"/>
  <c r="A6923" i="1"/>
  <c r="A6924" i="1"/>
  <c r="A6925" i="1"/>
  <c r="A6926" i="1"/>
  <c r="A6927" i="1"/>
  <c r="A6928" i="1"/>
  <c r="A6929" i="1"/>
  <c r="A6930" i="1"/>
  <c r="A6931" i="1"/>
  <c r="A6932" i="1"/>
  <c r="A6933" i="1"/>
  <c r="A6934" i="1"/>
  <c r="A6935" i="1"/>
  <c r="A6936" i="1"/>
  <c r="A6937" i="1"/>
  <c r="A6938" i="1"/>
  <c r="A6939" i="1"/>
  <c r="A6940" i="1"/>
  <c r="A6941" i="1"/>
  <c r="A6942" i="1"/>
  <c r="A6943" i="1"/>
  <c r="A6944" i="1"/>
  <c r="A6945" i="1"/>
  <c r="A6946" i="1"/>
  <c r="A6947" i="1"/>
  <c r="A6948" i="1"/>
  <c r="A6949" i="1"/>
  <c r="A6950" i="1"/>
  <c r="A6951" i="1"/>
  <c r="A6952" i="1"/>
  <c r="A6953" i="1"/>
  <c r="A6954" i="1"/>
  <c r="A6955" i="1"/>
  <c r="A6956" i="1"/>
  <c r="A6957" i="1"/>
  <c r="A6958" i="1"/>
  <c r="A6959" i="1"/>
  <c r="A6960" i="1"/>
  <c r="A6961" i="1"/>
  <c r="A6962" i="1"/>
  <c r="A6963" i="1"/>
  <c r="A6964" i="1"/>
  <c r="A6965" i="1"/>
  <c r="A6966" i="1"/>
  <c r="A6967" i="1"/>
  <c r="A6968" i="1"/>
  <c r="A6969" i="1"/>
  <c r="A6970" i="1"/>
  <c r="A6971" i="1"/>
  <c r="A6972" i="1"/>
  <c r="A6973" i="1"/>
  <c r="A6974" i="1"/>
  <c r="A6975" i="1"/>
  <c r="A6976" i="1"/>
  <c r="A6977" i="1"/>
  <c r="A6978" i="1"/>
  <c r="A6979" i="1"/>
  <c r="A6980" i="1"/>
  <c r="A6981" i="1"/>
  <c r="A6982" i="1"/>
  <c r="A6983" i="1"/>
  <c r="A6984" i="1"/>
  <c r="A6985" i="1"/>
  <c r="A6986" i="1"/>
  <c r="A6987" i="1"/>
  <c r="A6988" i="1"/>
  <c r="A6989" i="1"/>
  <c r="A6990" i="1"/>
  <c r="A6991" i="1"/>
  <c r="A6992" i="1"/>
  <c r="A6993" i="1"/>
  <c r="A6994" i="1"/>
  <c r="A6995" i="1"/>
  <c r="A6996" i="1"/>
  <c r="A6997" i="1"/>
  <c r="A6998" i="1"/>
  <c r="A6999" i="1"/>
  <c r="A7000" i="1"/>
  <c r="A7001" i="1"/>
  <c r="A7002" i="1"/>
  <c r="A7003" i="1"/>
  <c r="A7004" i="1"/>
  <c r="A7005" i="1"/>
  <c r="A7006" i="1"/>
  <c r="A7007" i="1"/>
  <c r="A7008" i="1"/>
  <c r="A7009" i="1"/>
  <c r="A7010" i="1"/>
  <c r="A7011" i="1"/>
  <c r="A7012" i="1"/>
  <c r="A7013" i="1"/>
  <c r="A7014" i="1"/>
  <c r="A7015" i="1"/>
  <c r="A7016" i="1"/>
  <c r="A7017" i="1"/>
  <c r="A7018" i="1"/>
  <c r="A7019" i="1"/>
  <c r="A7020" i="1"/>
  <c r="A7021" i="1"/>
  <c r="A7022" i="1"/>
  <c r="A7023" i="1"/>
  <c r="A7024" i="1"/>
  <c r="A7025" i="1"/>
  <c r="A7026" i="1"/>
  <c r="A7027" i="1"/>
  <c r="A7028" i="1"/>
  <c r="A7029" i="1"/>
  <c r="A7030" i="1"/>
  <c r="A7031" i="1"/>
  <c r="A7032" i="1"/>
  <c r="A7033" i="1"/>
  <c r="A7034" i="1"/>
  <c r="A7035" i="1"/>
  <c r="A7036" i="1"/>
  <c r="A7037" i="1"/>
  <c r="A7038" i="1"/>
  <c r="A7039" i="1"/>
  <c r="A7040" i="1"/>
  <c r="A7041" i="1"/>
  <c r="A7042" i="1"/>
  <c r="A7043" i="1"/>
  <c r="A7044" i="1"/>
  <c r="A7045" i="1"/>
  <c r="A7046" i="1"/>
  <c r="A7047" i="1"/>
  <c r="A7048" i="1"/>
  <c r="A7049" i="1"/>
  <c r="A7050" i="1"/>
  <c r="A7051" i="1"/>
  <c r="A7052" i="1"/>
  <c r="A7053" i="1"/>
  <c r="A7054" i="1"/>
  <c r="A7055" i="1"/>
  <c r="A7056" i="1"/>
  <c r="A7057" i="1"/>
  <c r="A7058" i="1"/>
  <c r="A7059" i="1"/>
  <c r="A7060" i="1"/>
  <c r="A7061" i="1"/>
  <c r="A7062" i="1"/>
  <c r="A7063" i="1"/>
  <c r="A7064" i="1"/>
  <c r="A7065" i="1"/>
  <c r="A7066" i="1"/>
  <c r="A7067" i="1"/>
  <c r="A7068" i="1"/>
  <c r="A7069" i="1"/>
  <c r="A7070" i="1"/>
  <c r="A7071" i="1"/>
  <c r="A7072" i="1"/>
  <c r="A7073" i="1"/>
  <c r="A7074" i="1"/>
  <c r="A7075" i="1"/>
  <c r="A7076" i="1"/>
  <c r="A7077" i="1"/>
  <c r="A7078" i="1"/>
  <c r="A7079" i="1"/>
  <c r="A7080" i="1"/>
  <c r="A7081" i="1"/>
  <c r="A7082" i="1"/>
  <c r="A7083" i="1"/>
  <c r="A7084" i="1"/>
  <c r="A7085" i="1"/>
  <c r="A7086" i="1"/>
  <c r="A7087" i="1"/>
  <c r="A7088" i="1"/>
  <c r="A7089" i="1"/>
  <c r="A7090" i="1"/>
  <c r="A7091" i="1"/>
  <c r="A7092" i="1"/>
  <c r="A7093" i="1"/>
  <c r="A7094" i="1"/>
  <c r="A7095" i="1"/>
  <c r="A7096" i="1"/>
  <c r="A7097" i="1"/>
  <c r="A7098" i="1"/>
  <c r="A7099" i="1"/>
  <c r="A7100" i="1"/>
  <c r="A7101" i="1"/>
  <c r="A7102" i="1"/>
  <c r="A7103" i="1"/>
  <c r="A7104" i="1"/>
  <c r="A7105" i="1"/>
  <c r="A7106" i="1"/>
  <c r="A7107" i="1"/>
  <c r="A7108" i="1"/>
  <c r="A7109" i="1"/>
  <c r="A7110" i="1"/>
  <c r="A7111" i="1"/>
  <c r="A7112" i="1"/>
  <c r="A6277" i="1"/>
  <c r="A6278" i="1"/>
  <c r="A6279" i="1"/>
  <c r="A6280" i="1"/>
  <c r="A6281" i="1"/>
  <c r="A6282" i="1"/>
  <c r="A6283" i="1"/>
  <c r="A6284" i="1"/>
  <c r="A6285" i="1"/>
  <c r="A6286" i="1"/>
  <c r="A6287" i="1"/>
  <c r="A6288" i="1"/>
  <c r="A6289" i="1"/>
  <c r="A6290" i="1"/>
  <c r="A6291" i="1"/>
  <c r="A6292" i="1"/>
  <c r="A6293" i="1"/>
  <c r="A6294" i="1"/>
  <c r="A6295" i="1"/>
  <c r="A6296" i="1"/>
  <c r="A6297" i="1"/>
  <c r="A6298" i="1"/>
  <c r="A6299" i="1"/>
  <c r="A6300" i="1"/>
  <c r="A6301" i="1"/>
  <c r="A6302" i="1"/>
  <c r="A6303" i="1"/>
  <c r="A6304" i="1"/>
  <c r="A6305" i="1"/>
  <c r="A6306" i="1"/>
  <c r="A6307" i="1"/>
  <c r="A6308" i="1"/>
  <c r="A6309" i="1"/>
  <c r="A6310" i="1"/>
  <c r="A6311" i="1"/>
  <c r="A6312" i="1"/>
  <c r="A6313" i="1"/>
  <c r="A6314" i="1"/>
  <c r="A6315" i="1"/>
  <c r="A6316" i="1"/>
  <c r="A6317" i="1"/>
  <c r="A6318" i="1"/>
  <c r="A6319" i="1"/>
  <c r="A6320" i="1"/>
  <c r="A6321" i="1"/>
  <c r="A6322" i="1"/>
  <c r="A6323" i="1"/>
  <c r="A6324" i="1"/>
  <c r="A6325" i="1"/>
  <c r="A6326" i="1"/>
  <c r="A6327" i="1"/>
  <c r="A6328" i="1"/>
  <c r="A6329" i="1"/>
  <c r="A6330" i="1"/>
  <c r="A6331" i="1"/>
  <c r="A6332" i="1"/>
  <c r="A6333" i="1"/>
  <c r="A6334" i="1"/>
  <c r="A6335" i="1"/>
  <c r="A6336" i="1"/>
  <c r="A6337" i="1"/>
  <c r="A6338" i="1"/>
  <c r="A6339" i="1"/>
  <c r="A6340" i="1"/>
  <c r="A6341" i="1"/>
  <c r="A6342" i="1"/>
  <c r="A6343" i="1"/>
  <c r="A6344" i="1"/>
  <c r="A6345" i="1"/>
  <c r="A6346" i="1"/>
  <c r="A6347" i="1"/>
  <c r="A6348" i="1"/>
  <c r="A6349" i="1"/>
  <c r="A6350" i="1"/>
  <c r="A6351" i="1"/>
  <c r="A6352" i="1"/>
  <c r="A6353" i="1"/>
  <c r="A6354" i="1"/>
  <c r="A6355" i="1"/>
  <c r="A6356" i="1"/>
  <c r="A6357" i="1"/>
  <c r="A6358" i="1"/>
  <c r="A6359" i="1"/>
  <c r="A6360" i="1"/>
  <c r="A6361" i="1"/>
  <c r="A6362" i="1"/>
  <c r="A6363" i="1"/>
  <c r="A6364" i="1"/>
  <c r="A6365" i="1"/>
  <c r="A6366" i="1"/>
  <c r="A6367" i="1"/>
  <c r="A6368" i="1"/>
  <c r="A6369" i="1"/>
  <c r="A6370" i="1"/>
  <c r="A6371" i="1"/>
  <c r="A6372" i="1"/>
  <c r="A6373" i="1"/>
  <c r="A6374" i="1"/>
  <c r="A6375" i="1"/>
  <c r="A6376" i="1"/>
  <c r="A6377" i="1"/>
  <c r="A6378" i="1"/>
  <c r="A6379" i="1"/>
  <c r="A6380" i="1"/>
  <c r="A6381" i="1"/>
  <c r="A6382" i="1"/>
  <c r="A6383" i="1"/>
  <c r="A6384" i="1"/>
  <c r="A6385" i="1"/>
  <c r="A6386" i="1"/>
  <c r="A6387" i="1"/>
  <c r="A6388" i="1"/>
  <c r="A6389" i="1"/>
  <c r="A6390" i="1"/>
  <c r="A6391" i="1"/>
  <c r="A6392" i="1"/>
  <c r="A6393" i="1"/>
  <c r="A6394" i="1"/>
  <c r="A6395" i="1"/>
  <c r="A6396" i="1"/>
  <c r="A6397" i="1"/>
  <c r="A6398" i="1"/>
  <c r="A6399" i="1"/>
  <c r="A6400" i="1"/>
  <c r="A6401" i="1"/>
  <c r="A6402" i="1"/>
  <c r="A6403" i="1"/>
  <c r="A6404" i="1"/>
  <c r="A6405" i="1"/>
  <c r="A6406" i="1"/>
  <c r="A6407" i="1"/>
  <c r="A6408" i="1"/>
  <c r="A6409" i="1"/>
  <c r="A6410" i="1"/>
  <c r="A6411" i="1"/>
  <c r="A6412" i="1"/>
  <c r="A6413" i="1"/>
  <c r="A6414" i="1"/>
  <c r="A6415" i="1"/>
  <c r="A6416" i="1"/>
  <c r="A6417" i="1"/>
  <c r="A6418" i="1"/>
  <c r="A6419" i="1"/>
  <c r="A6420" i="1"/>
  <c r="A6421" i="1"/>
  <c r="A6422" i="1"/>
  <c r="A6423" i="1"/>
  <c r="A6424" i="1"/>
  <c r="A6425" i="1"/>
  <c r="A6426" i="1"/>
  <c r="A6427" i="1"/>
  <c r="A6428" i="1"/>
  <c r="A6429" i="1"/>
  <c r="A6430" i="1"/>
  <c r="A6431" i="1"/>
  <c r="A6432" i="1"/>
  <c r="A6433" i="1"/>
  <c r="A6434" i="1"/>
  <c r="A6435" i="1"/>
  <c r="A6436" i="1"/>
  <c r="A6437" i="1"/>
  <c r="A6438" i="1"/>
  <c r="A6439" i="1"/>
  <c r="A6440" i="1"/>
  <c r="A6441" i="1"/>
  <c r="A6442" i="1"/>
  <c r="A6443" i="1"/>
  <c r="A6444" i="1"/>
  <c r="A6445" i="1"/>
  <c r="A6446" i="1"/>
  <c r="A6447" i="1"/>
  <c r="A6448" i="1"/>
  <c r="A6449" i="1"/>
  <c r="A6450" i="1"/>
  <c r="A6451" i="1"/>
  <c r="A6452" i="1"/>
  <c r="A6453" i="1"/>
  <c r="A6454" i="1"/>
  <c r="A6455" i="1"/>
  <c r="A6456" i="1"/>
  <c r="A6457" i="1"/>
  <c r="A6458" i="1"/>
  <c r="A6459" i="1"/>
  <c r="A6460" i="1"/>
  <c r="A6461" i="1"/>
  <c r="A6462" i="1"/>
  <c r="A6463" i="1"/>
  <c r="A6464" i="1"/>
  <c r="A6465" i="1"/>
  <c r="A6466" i="1"/>
  <c r="A6467" i="1"/>
  <c r="A6468" i="1"/>
  <c r="A6469" i="1"/>
  <c r="A6470" i="1"/>
  <c r="A6471" i="1"/>
  <c r="A6472" i="1"/>
  <c r="A6473" i="1"/>
  <c r="A6474" i="1"/>
  <c r="A6475" i="1"/>
  <c r="A6476" i="1"/>
  <c r="A6477" i="1"/>
  <c r="A6478" i="1"/>
  <c r="A6479" i="1"/>
  <c r="A6480" i="1"/>
  <c r="A6481" i="1"/>
  <c r="A6482" i="1"/>
  <c r="A6483" i="1"/>
  <c r="A6484" i="1"/>
  <c r="A6485" i="1"/>
  <c r="A6486" i="1"/>
  <c r="A6487" i="1"/>
  <c r="A6488" i="1"/>
  <c r="A6489" i="1"/>
  <c r="A6490" i="1"/>
  <c r="A6491" i="1"/>
  <c r="A6492" i="1"/>
  <c r="A6493" i="1"/>
  <c r="A6494" i="1"/>
  <c r="A6495" i="1"/>
  <c r="A6496" i="1"/>
  <c r="A6497" i="1"/>
  <c r="A6498" i="1"/>
  <c r="A6499" i="1"/>
  <c r="A6500" i="1"/>
  <c r="A6501" i="1"/>
  <c r="A6502" i="1"/>
  <c r="A6503" i="1"/>
  <c r="A6504" i="1"/>
  <c r="A6505" i="1"/>
  <c r="A6506" i="1"/>
  <c r="A6507" i="1"/>
  <c r="A6508" i="1"/>
  <c r="A6509" i="1"/>
  <c r="A6510" i="1"/>
  <c r="A6511" i="1"/>
  <c r="A6512" i="1"/>
  <c r="A6513" i="1"/>
  <c r="A6514" i="1"/>
  <c r="A6515" i="1"/>
  <c r="A6516" i="1"/>
  <c r="A6517" i="1"/>
  <c r="A6518" i="1"/>
  <c r="A6519" i="1"/>
  <c r="A6520" i="1"/>
  <c r="A6521" i="1"/>
  <c r="A6522" i="1"/>
  <c r="A6523" i="1"/>
  <c r="A6524" i="1"/>
  <c r="A6525" i="1"/>
  <c r="A6526" i="1"/>
  <c r="A6527" i="1"/>
  <c r="A6528" i="1"/>
  <c r="A6529" i="1"/>
  <c r="A6530" i="1"/>
  <c r="A6531" i="1"/>
  <c r="A6532" i="1"/>
  <c r="A6533" i="1"/>
  <c r="A6534" i="1"/>
  <c r="A6535" i="1"/>
  <c r="A6536" i="1"/>
  <c r="A6537" i="1"/>
  <c r="A6538" i="1"/>
  <c r="A6539" i="1"/>
  <c r="A6540" i="1"/>
  <c r="A6541" i="1"/>
  <c r="A6542" i="1"/>
  <c r="A6543" i="1"/>
  <c r="A6544" i="1"/>
  <c r="A6545" i="1"/>
  <c r="A6546" i="1"/>
  <c r="A6547" i="1"/>
  <c r="A6548" i="1"/>
  <c r="A6549" i="1"/>
  <c r="A6550" i="1"/>
  <c r="A6551" i="1"/>
  <c r="A6552" i="1"/>
  <c r="A6553" i="1"/>
  <c r="A6554" i="1"/>
  <c r="A6555" i="1"/>
  <c r="A6556" i="1"/>
  <c r="A6557" i="1"/>
  <c r="A6558" i="1"/>
  <c r="A6559" i="1"/>
  <c r="A6560" i="1"/>
  <c r="A6561" i="1"/>
  <c r="A6562" i="1"/>
  <c r="A6563" i="1"/>
  <c r="A6564" i="1"/>
  <c r="A6565" i="1"/>
  <c r="A6566" i="1"/>
  <c r="A6567" i="1"/>
  <c r="A6568" i="1"/>
  <c r="A6569" i="1"/>
  <c r="A6570" i="1"/>
  <c r="A6571" i="1"/>
  <c r="A6572" i="1"/>
  <c r="A6573" i="1"/>
  <c r="A6574" i="1"/>
  <c r="A6575" i="1"/>
  <c r="A6576" i="1"/>
  <c r="A6577" i="1"/>
  <c r="A6578" i="1"/>
  <c r="A6579" i="1"/>
  <c r="A6580" i="1"/>
  <c r="A6581" i="1"/>
  <c r="A6582" i="1"/>
  <c r="A6583" i="1"/>
  <c r="A6584" i="1"/>
  <c r="A6585" i="1"/>
  <c r="A6586" i="1"/>
  <c r="A6587" i="1"/>
  <c r="A6588" i="1"/>
  <c r="A6589" i="1"/>
  <c r="A6590" i="1"/>
  <c r="A6591" i="1"/>
  <c r="A6592" i="1"/>
  <c r="A6593" i="1"/>
  <c r="A6594" i="1"/>
  <c r="A6595" i="1"/>
  <c r="A6596" i="1"/>
  <c r="A6597" i="1"/>
  <c r="A6598" i="1"/>
  <c r="A6599" i="1"/>
  <c r="A6600" i="1"/>
  <c r="A6601" i="1"/>
  <c r="A6602" i="1"/>
  <c r="A6603" i="1"/>
  <c r="A6604" i="1"/>
  <c r="A6605" i="1"/>
  <c r="A6606" i="1"/>
  <c r="A6607" i="1"/>
  <c r="A6608" i="1"/>
  <c r="A6609" i="1"/>
  <c r="A6610" i="1"/>
  <c r="A6611" i="1"/>
  <c r="A6612" i="1"/>
  <c r="A6613" i="1"/>
  <c r="A6614" i="1"/>
  <c r="A6615" i="1"/>
  <c r="A6616" i="1"/>
  <c r="A6617" i="1"/>
  <c r="A6618" i="1"/>
  <c r="A6619" i="1"/>
  <c r="A6620" i="1"/>
  <c r="A6621" i="1"/>
  <c r="A6622" i="1"/>
  <c r="A6623" i="1"/>
  <c r="A6624" i="1"/>
  <c r="A6625" i="1"/>
  <c r="A6626" i="1"/>
  <c r="A6627" i="1"/>
  <c r="A6628" i="1"/>
  <c r="A6629" i="1"/>
  <c r="A6630" i="1"/>
  <c r="A6631" i="1"/>
  <c r="A6632" i="1"/>
  <c r="A6633" i="1"/>
  <c r="A6634" i="1"/>
  <c r="A6635" i="1"/>
  <c r="A6636" i="1"/>
  <c r="A6637" i="1"/>
  <c r="A6638" i="1"/>
  <c r="A6639" i="1"/>
  <c r="A6640" i="1"/>
  <c r="A6641" i="1"/>
  <c r="A6642" i="1"/>
  <c r="A6643" i="1"/>
  <c r="A6644" i="1"/>
  <c r="A6645" i="1"/>
  <c r="A6646" i="1"/>
  <c r="A6647" i="1"/>
  <c r="A6648" i="1"/>
  <c r="A6649" i="1"/>
  <c r="A6650" i="1"/>
  <c r="A6651" i="1"/>
  <c r="A6652" i="1"/>
  <c r="A6653" i="1"/>
  <c r="A6654" i="1"/>
  <c r="A6655" i="1"/>
  <c r="A6656" i="1"/>
  <c r="A6657" i="1"/>
  <c r="A6658" i="1"/>
  <c r="A6659" i="1"/>
  <c r="A6660" i="1"/>
  <c r="A6661" i="1"/>
  <c r="A6662" i="1"/>
  <c r="A6663" i="1"/>
  <c r="A6664" i="1"/>
  <c r="A6665" i="1"/>
  <c r="A6666" i="1"/>
  <c r="A6667" i="1"/>
  <c r="A6668" i="1"/>
  <c r="A6669" i="1"/>
  <c r="A6670" i="1"/>
  <c r="A6671" i="1"/>
  <c r="A6672" i="1"/>
  <c r="A6673" i="1"/>
  <c r="A6674" i="1"/>
  <c r="A6675" i="1"/>
  <c r="A6676" i="1"/>
  <c r="A6677" i="1"/>
  <c r="A6678" i="1"/>
  <c r="A6679" i="1"/>
  <c r="A6680" i="1"/>
  <c r="A6681" i="1"/>
  <c r="A6682" i="1"/>
  <c r="A6683" i="1"/>
  <c r="A6684" i="1"/>
  <c r="A6685" i="1"/>
  <c r="A6686" i="1"/>
  <c r="A6687" i="1"/>
  <c r="A6688" i="1"/>
  <c r="A6689" i="1"/>
  <c r="A6690" i="1"/>
  <c r="A6691" i="1"/>
  <c r="A6692" i="1"/>
  <c r="A6693" i="1"/>
  <c r="A6694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6009" i="1"/>
  <c r="A6010" i="1"/>
  <c r="A6011" i="1"/>
  <c r="A6012" i="1"/>
  <c r="A6013" i="1"/>
  <c r="A6014" i="1"/>
  <c r="A6015" i="1"/>
  <c r="A6016" i="1"/>
  <c r="A6017" i="1"/>
  <c r="A6018" i="1"/>
  <c r="A6019" i="1"/>
  <c r="A6020" i="1"/>
  <c r="A6021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78" i="1"/>
  <c r="A6079" i="1"/>
  <c r="A6080" i="1"/>
  <c r="A6081" i="1"/>
  <c r="A6082" i="1"/>
  <c r="A6083" i="1"/>
  <c r="A6084" i="1"/>
  <c r="A6085" i="1"/>
  <c r="A6086" i="1"/>
  <c r="A6087" i="1"/>
  <c r="A6088" i="1"/>
  <c r="A6089" i="1"/>
  <c r="A6090" i="1"/>
  <c r="A6091" i="1"/>
  <c r="A6092" i="1"/>
  <c r="A6093" i="1"/>
  <c r="A6094" i="1"/>
  <c r="A6095" i="1"/>
  <c r="A6096" i="1"/>
  <c r="A6097" i="1"/>
  <c r="A6098" i="1"/>
  <c r="A6099" i="1"/>
  <c r="A6100" i="1"/>
  <c r="A6101" i="1"/>
  <c r="A6102" i="1"/>
  <c r="A6103" i="1"/>
  <c r="A6104" i="1"/>
  <c r="A6105" i="1"/>
  <c r="A6106" i="1"/>
  <c r="A6107" i="1"/>
  <c r="A6108" i="1"/>
  <c r="A6109" i="1"/>
  <c r="A6110" i="1"/>
  <c r="A6111" i="1"/>
  <c r="A6112" i="1"/>
  <c r="A6113" i="1"/>
  <c r="A6114" i="1"/>
  <c r="A6115" i="1"/>
  <c r="A6116" i="1"/>
  <c r="A6117" i="1"/>
  <c r="A6118" i="1"/>
  <c r="A6119" i="1"/>
  <c r="A6120" i="1"/>
  <c r="A6121" i="1"/>
  <c r="A6122" i="1"/>
  <c r="A6123" i="1"/>
  <c r="A6124" i="1"/>
  <c r="A6125" i="1"/>
  <c r="A6126" i="1"/>
  <c r="A6127" i="1"/>
  <c r="A6128" i="1"/>
  <c r="A6129" i="1"/>
  <c r="A6130" i="1"/>
  <c r="A6131" i="1"/>
  <c r="A6132" i="1"/>
  <c r="A6133" i="1"/>
  <c r="A6134" i="1"/>
  <c r="A6135" i="1"/>
  <c r="A6136" i="1"/>
  <c r="A6137" i="1"/>
  <c r="A6138" i="1"/>
  <c r="A6139" i="1"/>
  <c r="A6140" i="1"/>
  <c r="A6141" i="1"/>
  <c r="A6142" i="1"/>
  <c r="A6143" i="1"/>
  <c r="A6144" i="1"/>
  <c r="A6145" i="1"/>
  <c r="A6146" i="1"/>
  <c r="A6147" i="1"/>
  <c r="A6148" i="1"/>
  <c r="A6149" i="1"/>
  <c r="A6150" i="1"/>
  <c r="A6151" i="1"/>
  <c r="A6152" i="1"/>
  <c r="A6153" i="1"/>
  <c r="A6154" i="1"/>
  <c r="A6155" i="1"/>
  <c r="A6156" i="1"/>
  <c r="A6157" i="1"/>
  <c r="A6158" i="1"/>
  <c r="A6159" i="1"/>
  <c r="A6160" i="1"/>
  <c r="A6161" i="1"/>
  <c r="A6162" i="1"/>
  <c r="A6163" i="1"/>
  <c r="A6164" i="1"/>
  <c r="A6165" i="1"/>
  <c r="A6166" i="1"/>
  <c r="A6167" i="1"/>
  <c r="A6168" i="1"/>
  <c r="A6169" i="1"/>
  <c r="A6170" i="1"/>
  <c r="A6171" i="1"/>
  <c r="A6172" i="1"/>
  <c r="A6173" i="1"/>
  <c r="A6174" i="1"/>
  <c r="A6175" i="1"/>
  <c r="A6176" i="1"/>
  <c r="A6177" i="1"/>
  <c r="A6178" i="1"/>
  <c r="A6179" i="1"/>
  <c r="A6180" i="1"/>
  <c r="A6181" i="1"/>
  <c r="A6182" i="1"/>
  <c r="A6183" i="1"/>
  <c r="A6184" i="1"/>
  <c r="A6185" i="1"/>
  <c r="A6186" i="1"/>
  <c r="A6187" i="1"/>
  <c r="A6188" i="1"/>
  <c r="A6189" i="1"/>
  <c r="A6190" i="1"/>
  <c r="A6191" i="1"/>
  <c r="A6192" i="1"/>
  <c r="A6193" i="1"/>
  <c r="A6194" i="1"/>
  <c r="A6195" i="1"/>
  <c r="A6196" i="1"/>
  <c r="A6197" i="1"/>
  <c r="A6198" i="1"/>
  <c r="A6199" i="1"/>
  <c r="A6200" i="1"/>
  <c r="A6201" i="1"/>
  <c r="A6202" i="1"/>
  <c r="A6203" i="1"/>
  <c r="A6204" i="1"/>
  <c r="A6205" i="1"/>
  <c r="A6206" i="1"/>
  <c r="A6207" i="1"/>
  <c r="A6208" i="1"/>
  <c r="A6209" i="1"/>
  <c r="A6210" i="1"/>
  <c r="A6211" i="1"/>
  <c r="A6212" i="1"/>
  <c r="A6213" i="1"/>
  <c r="A6214" i="1"/>
  <c r="A6215" i="1"/>
  <c r="A6216" i="1"/>
  <c r="A6217" i="1"/>
  <c r="A6218" i="1"/>
  <c r="A6219" i="1"/>
  <c r="A6220" i="1"/>
  <c r="A6221" i="1"/>
  <c r="A6222" i="1"/>
  <c r="A6223" i="1"/>
  <c r="A6224" i="1"/>
  <c r="A6225" i="1"/>
  <c r="A6226" i="1"/>
  <c r="A6227" i="1"/>
  <c r="A6228" i="1"/>
  <c r="A6229" i="1"/>
  <c r="A6230" i="1"/>
  <c r="A6231" i="1"/>
  <c r="A6232" i="1"/>
  <c r="A6233" i="1"/>
  <c r="A6234" i="1"/>
  <c r="A6235" i="1"/>
  <c r="A6236" i="1"/>
  <c r="A6237" i="1"/>
  <c r="A6238" i="1"/>
  <c r="A6239" i="1"/>
  <c r="A6240" i="1"/>
  <c r="A6241" i="1"/>
  <c r="A6242" i="1"/>
  <c r="A6243" i="1"/>
  <c r="A6244" i="1"/>
  <c r="A6245" i="1"/>
  <c r="A6246" i="1"/>
  <c r="A6247" i="1"/>
  <c r="A6248" i="1"/>
  <c r="A6249" i="1"/>
  <c r="A6250" i="1"/>
  <c r="A6251" i="1"/>
  <c r="A6252" i="1"/>
  <c r="A6253" i="1"/>
  <c r="A6254" i="1"/>
  <c r="A6255" i="1"/>
  <c r="A6256" i="1"/>
  <c r="A6257" i="1"/>
  <c r="A6258" i="1"/>
  <c r="A6259" i="1"/>
  <c r="A6260" i="1"/>
  <c r="A6261" i="1"/>
  <c r="A6262" i="1"/>
  <c r="A6263" i="1"/>
  <c r="A6264" i="1"/>
  <c r="A6265" i="1"/>
  <c r="A6266" i="1"/>
  <c r="A6267" i="1"/>
  <c r="A6268" i="1"/>
  <c r="A6269" i="1"/>
  <c r="A6270" i="1"/>
  <c r="A6271" i="1"/>
  <c r="A6272" i="1"/>
  <c r="A6273" i="1"/>
  <c r="A6274" i="1"/>
  <c r="A6275" i="1"/>
  <c r="A6276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B9619" i="1"/>
  <c r="B9620" i="1"/>
  <c r="B9201" i="1"/>
  <c r="B9202" i="1"/>
  <c r="B8783" i="1"/>
  <c r="B8784" i="1"/>
  <c r="B8365" i="1"/>
  <c r="B8366" i="1"/>
  <c r="B7947" i="1"/>
  <c r="B7948" i="1"/>
  <c r="B7529" i="1"/>
  <c r="B7530" i="1"/>
  <c r="B7111" i="1"/>
  <c r="B7112" i="1"/>
  <c r="B6693" i="1"/>
  <c r="B6694" i="1"/>
  <c r="B6275" i="1"/>
  <c r="B6276" i="1"/>
  <c r="B5857" i="1"/>
  <c r="B5858" i="1"/>
  <c r="B5439" i="1"/>
  <c r="B5440" i="1"/>
  <c r="B5021" i="1"/>
  <c r="B5022" i="1"/>
  <c r="B4603" i="1"/>
  <c r="B4604" i="1"/>
  <c r="B4185" i="1"/>
  <c r="B4186" i="1"/>
  <c r="B3767" i="1"/>
  <c r="B3768" i="1"/>
  <c r="B3349" i="1"/>
  <c r="B3350" i="1"/>
  <c r="B2931" i="1"/>
  <c r="B2932" i="1"/>
  <c r="B2513" i="1"/>
  <c r="B2514" i="1"/>
  <c r="B2095" i="1"/>
  <c r="B2096" i="1"/>
  <c r="B1677" i="1"/>
  <c r="B1678" i="1"/>
  <c r="B1259" i="1"/>
  <c r="B1260" i="1"/>
  <c r="B841" i="1"/>
  <c r="B842" i="1"/>
  <c r="B423" i="1"/>
  <c r="B424" i="1"/>
  <c r="B9617" i="1"/>
  <c r="B9618" i="1"/>
  <c r="B9199" i="1"/>
  <c r="B9200" i="1"/>
  <c r="B8781" i="1"/>
  <c r="B8782" i="1"/>
  <c r="B8363" i="1"/>
  <c r="B8364" i="1"/>
  <c r="B7945" i="1"/>
  <c r="B7946" i="1"/>
  <c r="B7527" i="1"/>
  <c r="B7528" i="1"/>
  <c r="B7109" i="1"/>
  <c r="B7110" i="1"/>
  <c r="B6691" i="1"/>
  <c r="B6692" i="1"/>
  <c r="B6273" i="1"/>
  <c r="B6274" i="1"/>
  <c r="B5855" i="1"/>
  <c r="B5856" i="1"/>
  <c r="B5437" i="1"/>
  <c r="B5438" i="1"/>
  <c r="B5019" i="1"/>
  <c r="B5020" i="1"/>
  <c r="B4601" i="1"/>
  <c r="B4602" i="1"/>
  <c r="B4183" i="1"/>
  <c r="B4184" i="1"/>
  <c r="B3765" i="1"/>
  <c r="B3766" i="1"/>
  <c r="B3347" i="1"/>
  <c r="B3348" i="1"/>
  <c r="B2929" i="1"/>
  <c r="B2930" i="1"/>
  <c r="B2511" i="1"/>
  <c r="B2512" i="1"/>
  <c r="B2093" i="1"/>
  <c r="B2094" i="1"/>
  <c r="B1675" i="1"/>
  <c r="B1676" i="1"/>
  <c r="B1257" i="1"/>
  <c r="B1258" i="1"/>
  <c r="B839" i="1"/>
  <c r="B840" i="1"/>
  <c r="B421" i="1"/>
  <c r="B422" i="1"/>
  <c r="B9615" i="1"/>
  <c r="B9616" i="1"/>
  <c r="B9197" i="1"/>
  <c r="B9198" i="1"/>
  <c r="B8779" i="1"/>
  <c r="B8780" i="1"/>
  <c r="B8361" i="1"/>
  <c r="B8362" i="1"/>
  <c r="B7943" i="1"/>
  <c r="B7944" i="1"/>
  <c r="B7525" i="1"/>
  <c r="B7526" i="1"/>
  <c r="B7107" i="1"/>
  <c r="B7108" i="1"/>
  <c r="B6689" i="1"/>
  <c r="B6690" i="1"/>
  <c r="B6271" i="1"/>
  <c r="B6272" i="1"/>
  <c r="B5853" i="1"/>
  <c r="B5854" i="1"/>
  <c r="B5435" i="1"/>
  <c r="B5436" i="1"/>
  <c r="B5017" i="1"/>
  <c r="B5018" i="1"/>
  <c r="B4599" i="1"/>
  <c r="B4600" i="1"/>
  <c r="B4181" i="1"/>
  <c r="B4182" i="1"/>
  <c r="B3763" i="1"/>
  <c r="B3764" i="1"/>
  <c r="B3345" i="1"/>
  <c r="B3346" i="1"/>
  <c r="B2927" i="1"/>
  <c r="B2928" i="1"/>
  <c r="B2509" i="1"/>
  <c r="B2510" i="1"/>
  <c r="B2091" i="1"/>
  <c r="B2092" i="1"/>
  <c r="B1673" i="1"/>
  <c r="B1674" i="1"/>
  <c r="B1255" i="1"/>
  <c r="B1256" i="1"/>
  <c r="B837" i="1"/>
  <c r="B838" i="1"/>
  <c r="B419" i="1"/>
  <c r="B420" i="1"/>
  <c r="B9613" i="1"/>
  <c r="B9614" i="1"/>
  <c r="B9195" i="1"/>
  <c r="B9196" i="1"/>
  <c r="B8777" i="1"/>
  <c r="B8778" i="1"/>
  <c r="B8359" i="1"/>
  <c r="B8360" i="1"/>
  <c r="B7941" i="1"/>
  <c r="B7942" i="1"/>
  <c r="B7523" i="1"/>
  <c r="B7524" i="1"/>
  <c r="B7105" i="1"/>
  <c r="B7106" i="1"/>
  <c r="B6687" i="1"/>
  <c r="B6688" i="1"/>
  <c r="B6269" i="1"/>
  <c r="B6270" i="1"/>
  <c r="B5851" i="1"/>
  <c r="B5852" i="1"/>
  <c r="B5433" i="1"/>
  <c r="B5434" i="1"/>
  <c r="B5015" i="1"/>
  <c r="B5016" i="1"/>
  <c r="B4597" i="1"/>
  <c r="B4598" i="1"/>
  <c r="B4179" i="1"/>
  <c r="B4180" i="1"/>
  <c r="B3761" i="1"/>
  <c r="B3762" i="1"/>
  <c r="B3343" i="1"/>
  <c r="B3344" i="1"/>
  <c r="B2925" i="1"/>
  <c r="B2926" i="1"/>
  <c r="B2507" i="1"/>
  <c r="B2508" i="1"/>
  <c r="B2089" i="1"/>
  <c r="B2090" i="1"/>
  <c r="B1671" i="1"/>
  <c r="B1672" i="1"/>
  <c r="B1253" i="1"/>
  <c r="B1254" i="1"/>
  <c r="B835" i="1"/>
  <c r="B836" i="1"/>
  <c r="B417" i="1"/>
  <c r="B418" i="1"/>
  <c r="B9611" i="1"/>
  <c r="B9612" i="1"/>
  <c r="B9193" i="1"/>
  <c r="B9194" i="1"/>
  <c r="B8775" i="1"/>
  <c r="B8776" i="1"/>
  <c r="B8357" i="1"/>
  <c r="B8358" i="1"/>
  <c r="B7939" i="1"/>
  <c r="B7940" i="1"/>
  <c r="B7521" i="1"/>
  <c r="B7522" i="1"/>
  <c r="B7103" i="1"/>
  <c r="B7104" i="1"/>
  <c r="B6685" i="1"/>
  <c r="B6686" i="1"/>
  <c r="B6267" i="1"/>
  <c r="B6268" i="1"/>
  <c r="B5849" i="1"/>
  <c r="B5850" i="1"/>
  <c r="B5431" i="1"/>
  <c r="B5432" i="1"/>
  <c r="B5013" i="1"/>
  <c r="B5014" i="1"/>
  <c r="B4595" i="1"/>
  <c r="B4596" i="1"/>
  <c r="B4177" i="1"/>
  <c r="B4178" i="1"/>
  <c r="B3759" i="1"/>
  <c r="B3760" i="1"/>
  <c r="B3341" i="1"/>
  <c r="B3342" i="1"/>
  <c r="B2923" i="1"/>
  <c r="B2924" i="1"/>
  <c r="B2505" i="1"/>
  <c r="B2506" i="1"/>
  <c r="B2087" i="1"/>
  <c r="B2088" i="1"/>
  <c r="B1669" i="1"/>
  <c r="B1670" i="1"/>
  <c r="B1251" i="1"/>
  <c r="B1252" i="1"/>
  <c r="B833" i="1"/>
  <c r="B834" i="1"/>
  <c r="B415" i="1"/>
  <c r="B416" i="1"/>
  <c r="B9609" i="1"/>
  <c r="B9610" i="1"/>
  <c r="B9191" i="1"/>
  <c r="B9192" i="1"/>
  <c r="B8773" i="1"/>
  <c r="B8774" i="1"/>
  <c r="B8355" i="1"/>
  <c r="B8356" i="1"/>
  <c r="B7937" i="1"/>
  <c r="B7938" i="1"/>
  <c r="B7519" i="1"/>
  <c r="B7520" i="1"/>
  <c r="B7101" i="1"/>
  <c r="B7102" i="1"/>
  <c r="B6683" i="1"/>
  <c r="B6684" i="1"/>
  <c r="B6265" i="1"/>
  <c r="B6266" i="1"/>
  <c r="B5847" i="1"/>
  <c r="B5848" i="1"/>
  <c r="B5429" i="1"/>
  <c r="B5430" i="1"/>
  <c r="B5011" i="1"/>
  <c r="B5012" i="1"/>
  <c r="B4593" i="1"/>
  <c r="B4594" i="1"/>
  <c r="B4175" i="1"/>
  <c r="B4176" i="1"/>
  <c r="B3757" i="1"/>
  <c r="B3758" i="1"/>
  <c r="B3339" i="1"/>
  <c r="B3340" i="1"/>
  <c r="B2921" i="1"/>
  <c r="B2922" i="1"/>
  <c r="B2503" i="1"/>
  <c r="B2504" i="1"/>
  <c r="B2085" i="1"/>
  <c r="B2086" i="1"/>
  <c r="B1667" i="1"/>
  <c r="B1668" i="1"/>
  <c r="B1249" i="1"/>
  <c r="B1250" i="1"/>
  <c r="B831" i="1"/>
  <c r="B832" i="1"/>
  <c r="B413" i="1"/>
  <c r="B414" i="1"/>
  <c r="B9607" i="1"/>
  <c r="B9608" i="1"/>
  <c r="B9189" i="1"/>
  <c r="B9190" i="1"/>
  <c r="B8771" i="1"/>
  <c r="B8772" i="1"/>
  <c r="B8353" i="1"/>
  <c r="B8354" i="1"/>
  <c r="B7935" i="1"/>
  <c r="B7936" i="1"/>
  <c r="B7517" i="1"/>
  <c r="B7518" i="1"/>
  <c r="B7099" i="1"/>
  <c r="B7100" i="1"/>
  <c r="B6681" i="1"/>
  <c r="B6682" i="1"/>
  <c r="B6263" i="1"/>
  <c r="B6264" i="1"/>
  <c r="B5845" i="1"/>
  <c r="B5846" i="1"/>
  <c r="B5427" i="1"/>
  <c r="B5428" i="1"/>
  <c r="B5009" i="1"/>
  <c r="B5010" i="1"/>
  <c r="B4591" i="1"/>
  <c r="B4592" i="1"/>
  <c r="B4173" i="1"/>
  <c r="B4174" i="1"/>
  <c r="B3755" i="1"/>
  <c r="B3756" i="1"/>
  <c r="B3337" i="1"/>
  <c r="B3338" i="1"/>
  <c r="B2919" i="1"/>
  <c r="B2920" i="1"/>
  <c r="B2501" i="1"/>
  <c r="B2502" i="1"/>
  <c r="B2083" i="1"/>
  <c r="B2084" i="1"/>
  <c r="B1665" i="1"/>
  <c r="B1666" i="1"/>
  <c r="B1247" i="1"/>
  <c r="B1248" i="1"/>
  <c r="B829" i="1"/>
  <c r="B830" i="1"/>
  <c r="B411" i="1"/>
  <c r="B412" i="1"/>
  <c r="B9605" i="1"/>
  <c r="B9606" i="1"/>
  <c r="B9187" i="1"/>
  <c r="B9188" i="1"/>
  <c r="B8769" i="1"/>
  <c r="B8770" i="1"/>
  <c r="B8351" i="1"/>
  <c r="B8352" i="1"/>
  <c r="B7933" i="1"/>
  <c r="B7934" i="1"/>
  <c r="B7515" i="1"/>
  <c r="B7516" i="1"/>
  <c r="B7097" i="1"/>
  <c r="B7098" i="1"/>
  <c r="B6679" i="1"/>
  <c r="B6680" i="1"/>
  <c r="B6261" i="1"/>
  <c r="B6262" i="1"/>
  <c r="B5843" i="1"/>
  <c r="B5844" i="1"/>
  <c r="B5425" i="1"/>
  <c r="B5426" i="1"/>
  <c r="B5007" i="1"/>
  <c r="B5008" i="1"/>
  <c r="B4589" i="1"/>
  <c r="B4590" i="1"/>
  <c r="B4171" i="1"/>
  <c r="B4172" i="1"/>
  <c r="B3753" i="1"/>
  <c r="B3754" i="1"/>
  <c r="B3335" i="1"/>
  <c r="B3336" i="1"/>
  <c r="B2917" i="1"/>
  <c r="B2918" i="1"/>
  <c r="B2499" i="1"/>
  <c r="B2500" i="1"/>
  <c r="B2081" i="1"/>
  <c r="B2082" i="1"/>
  <c r="B1663" i="1"/>
  <c r="B1664" i="1"/>
  <c r="B1245" i="1"/>
  <c r="B1246" i="1"/>
  <c r="B827" i="1"/>
  <c r="B828" i="1"/>
  <c r="B409" i="1"/>
  <c r="B410" i="1"/>
  <c r="B9603" i="1"/>
  <c r="B9604" i="1"/>
  <c r="B9185" i="1"/>
  <c r="B9186" i="1"/>
  <c r="B8767" i="1"/>
  <c r="B8768" i="1"/>
  <c r="B8349" i="1"/>
  <c r="B8350" i="1"/>
  <c r="B7931" i="1"/>
  <c r="B7932" i="1"/>
  <c r="B7513" i="1"/>
  <c r="B7514" i="1"/>
  <c r="B7095" i="1"/>
  <c r="B7096" i="1"/>
  <c r="B6677" i="1"/>
  <c r="B6678" i="1"/>
  <c r="B6259" i="1"/>
  <c r="B6260" i="1"/>
  <c r="B5841" i="1"/>
  <c r="B5842" i="1"/>
  <c r="B5423" i="1"/>
  <c r="B5424" i="1"/>
  <c r="B5005" i="1"/>
  <c r="B5006" i="1"/>
  <c r="B4587" i="1"/>
  <c r="B4588" i="1"/>
  <c r="B4169" i="1"/>
  <c r="B4170" i="1"/>
  <c r="B3751" i="1"/>
  <c r="B3752" i="1"/>
  <c r="B3333" i="1"/>
  <c r="B3334" i="1"/>
  <c r="B2915" i="1"/>
  <c r="B2916" i="1"/>
  <c r="B2497" i="1"/>
  <c r="B2498" i="1"/>
  <c r="B2079" i="1"/>
  <c r="B2080" i="1"/>
  <c r="B1661" i="1"/>
  <c r="B1662" i="1"/>
  <c r="B1243" i="1"/>
  <c r="B1244" i="1"/>
  <c r="B825" i="1"/>
  <c r="B826" i="1"/>
  <c r="B407" i="1"/>
  <c r="B408" i="1"/>
  <c r="B9601" i="1"/>
  <c r="B9602" i="1"/>
  <c r="B9183" i="1"/>
  <c r="B9184" i="1"/>
  <c r="B8765" i="1"/>
  <c r="B8766" i="1"/>
  <c r="B8347" i="1"/>
  <c r="B8348" i="1"/>
  <c r="B7929" i="1"/>
  <c r="B7930" i="1"/>
  <c r="B7511" i="1"/>
  <c r="B7512" i="1"/>
  <c r="B7093" i="1"/>
  <c r="B7094" i="1"/>
  <c r="B6675" i="1"/>
  <c r="B6676" i="1"/>
  <c r="B6257" i="1"/>
  <c r="B6258" i="1"/>
  <c r="B5839" i="1"/>
  <c r="B5840" i="1"/>
  <c r="B5421" i="1"/>
  <c r="B5422" i="1"/>
  <c r="B5003" i="1"/>
  <c r="B5004" i="1"/>
  <c r="B4585" i="1"/>
  <c r="B4586" i="1"/>
  <c r="B4167" i="1"/>
  <c r="B4168" i="1"/>
  <c r="B3749" i="1"/>
  <c r="B3750" i="1"/>
  <c r="B3331" i="1"/>
  <c r="B3332" i="1"/>
  <c r="B2913" i="1"/>
  <c r="B2914" i="1"/>
  <c r="B2495" i="1"/>
  <c r="B2496" i="1"/>
  <c r="B2077" i="1"/>
  <c r="B2078" i="1"/>
  <c r="B1659" i="1"/>
  <c r="B1660" i="1"/>
  <c r="B1241" i="1"/>
  <c r="B1242" i="1"/>
  <c r="B823" i="1"/>
  <c r="B824" i="1"/>
  <c r="B405" i="1"/>
  <c r="B406" i="1"/>
  <c r="B9599" i="1"/>
  <c r="B9600" i="1"/>
  <c r="B9181" i="1"/>
  <c r="B9182" i="1"/>
  <c r="B8763" i="1"/>
  <c r="B8764" i="1"/>
  <c r="B8345" i="1"/>
  <c r="B8346" i="1"/>
  <c r="B7927" i="1"/>
  <c r="B7928" i="1"/>
  <c r="B7509" i="1"/>
  <c r="B7510" i="1"/>
  <c r="B7091" i="1"/>
  <c r="B7092" i="1"/>
  <c r="B6673" i="1"/>
  <c r="B6674" i="1"/>
  <c r="B6255" i="1"/>
  <c r="B6256" i="1"/>
  <c r="B5837" i="1"/>
  <c r="B5838" i="1"/>
  <c r="B5419" i="1"/>
  <c r="B5420" i="1"/>
  <c r="B5001" i="1"/>
  <c r="B5002" i="1"/>
  <c r="B4583" i="1"/>
  <c r="B4584" i="1"/>
  <c r="B4165" i="1"/>
  <c r="B4166" i="1"/>
  <c r="B3747" i="1"/>
  <c r="B3748" i="1"/>
  <c r="B3329" i="1"/>
  <c r="B3330" i="1"/>
  <c r="B2911" i="1"/>
  <c r="B2912" i="1"/>
  <c r="B2493" i="1"/>
  <c r="B2494" i="1"/>
  <c r="B2075" i="1"/>
  <c r="B2076" i="1"/>
  <c r="B1657" i="1"/>
  <c r="B1658" i="1"/>
  <c r="B1239" i="1"/>
  <c r="B1240" i="1"/>
  <c r="B821" i="1"/>
  <c r="B822" i="1"/>
  <c r="B403" i="1"/>
  <c r="B404" i="1"/>
  <c r="B9597" i="1"/>
  <c r="B9598" i="1"/>
  <c r="B9179" i="1"/>
  <c r="B9180" i="1"/>
  <c r="B8761" i="1"/>
  <c r="B8762" i="1"/>
  <c r="B8343" i="1"/>
  <c r="B8344" i="1"/>
  <c r="B7925" i="1"/>
  <c r="B7926" i="1"/>
  <c r="B7507" i="1"/>
  <c r="B7508" i="1"/>
  <c r="B7089" i="1"/>
  <c r="B7090" i="1"/>
  <c r="B6671" i="1"/>
  <c r="B6672" i="1"/>
  <c r="B6253" i="1"/>
  <c r="B6254" i="1"/>
  <c r="B5835" i="1"/>
  <c r="B5836" i="1"/>
  <c r="B5417" i="1"/>
  <c r="B5418" i="1"/>
  <c r="B4999" i="1"/>
  <c r="B5000" i="1"/>
  <c r="B4581" i="1"/>
  <c r="B4582" i="1"/>
  <c r="B4163" i="1"/>
  <c r="B4164" i="1"/>
  <c r="B3745" i="1"/>
  <c r="B3746" i="1"/>
  <c r="B3327" i="1"/>
  <c r="B3328" i="1"/>
  <c r="B2909" i="1"/>
  <c r="B2910" i="1"/>
  <c r="B2491" i="1"/>
  <c r="B2492" i="1"/>
  <c r="B2073" i="1"/>
  <c r="B2074" i="1"/>
  <c r="B1655" i="1"/>
  <c r="B1656" i="1"/>
  <c r="B1237" i="1"/>
  <c r="B1238" i="1"/>
  <c r="B819" i="1"/>
  <c r="B820" i="1"/>
  <c r="B401" i="1"/>
  <c r="B402" i="1"/>
  <c r="B9595" i="1"/>
  <c r="B9596" i="1"/>
  <c r="B9177" i="1"/>
  <c r="B9178" i="1"/>
  <c r="B8759" i="1"/>
  <c r="B8760" i="1"/>
  <c r="B8341" i="1"/>
  <c r="B8342" i="1"/>
  <c r="B7923" i="1"/>
  <c r="B7924" i="1"/>
  <c r="B7505" i="1"/>
  <c r="B7506" i="1"/>
  <c r="B7087" i="1"/>
  <c r="B7088" i="1"/>
  <c r="B6669" i="1"/>
  <c r="B6670" i="1"/>
  <c r="B6251" i="1"/>
  <c r="B6252" i="1"/>
  <c r="B5833" i="1"/>
  <c r="B5834" i="1"/>
  <c r="B5415" i="1"/>
  <c r="B5416" i="1"/>
  <c r="B4997" i="1"/>
  <c r="B4998" i="1"/>
  <c r="B4579" i="1"/>
  <c r="B4580" i="1"/>
  <c r="B4161" i="1"/>
  <c r="B4162" i="1"/>
  <c r="B3743" i="1"/>
  <c r="B3744" i="1"/>
  <c r="B3325" i="1"/>
  <c r="B3326" i="1"/>
  <c r="B2907" i="1"/>
  <c r="B2908" i="1"/>
  <c r="B2489" i="1"/>
  <c r="B2490" i="1"/>
  <c r="B2071" i="1"/>
  <c r="B2072" i="1"/>
  <c r="B1653" i="1"/>
  <c r="B1654" i="1"/>
  <c r="B1235" i="1"/>
  <c r="B1236" i="1"/>
  <c r="B817" i="1"/>
  <c r="B818" i="1"/>
  <c r="B399" i="1"/>
  <c r="B400" i="1"/>
  <c r="B9593" i="1"/>
  <c r="B9594" i="1"/>
  <c r="B9175" i="1"/>
  <c r="B9176" i="1"/>
  <c r="B8757" i="1"/>
  <c r="B8758" i="1"/>
  <c r="B8339" i="1"/>
  <c r="B8340" i="1"/>
  <c r="B7921" i="1"/>
  <c r="B7922" i="1"/>
  <c r="B7503" i="1"/>
  <c r="B7504" i="1"/>
  <c r="B7085" i="1"/>
  <c r="B7086" i="1"/>
  <c r="B6667" i="1"/>
  <c r="B6668" i="1"/>
  <c r="B6249" i="1"/>
  <c r="B6250" i="1"/>
  <c r="B5831" i="1"/>
  <c r="B5832" i="1"/>
  <c r="B5413" i="1"/>
  <c r="B5414" i="1"/>
  <c r="B4995" i="1"/>
  <c r="B4996" i="1"/>
  <c r="B4577" i="1"/>
  <c r="B4578" i="1"/>
  <c r="B4159" i="1"/>
  <c r="B4160" i="1"/>
  <c r="B3741" i="1"/>
  <c r="B3742" i="1"/>
  <c r="B3323" i="1"/>
  <c r="B3324" i="1"/>
  <c r="B2905" i="1"/>
  <c r="B2906" i="1"/>
  <c r="B2487" i="1"/>
  <c r="B2488" i="1"/>
  <c r="B2069" i="1"/>
  <c r="B2070" i="1"/>
  <c r="B1651" i="1"/>
  <c r="B1652" i="1"/>
  <c r="B1233" i="1"/>
  <c r="B1234" i="1"/>
  <c r="B815" i="1"/>
  <c r="B816" i="1"/>
  <c r="B397" i="1"/>
  <c r="B398" i="1"/>
  <c r="B9591" i="1"/>
  <c r="B9592" i="1"/>
  <c r="B9173" i="1"/>
  <c r="B9174" i="1"/>
  <c r="B8755" i="1"/>
  <c r="B8756" i="1"/>
  <c r="B8337" i="1"/>
  <c r="B8338" i="1"/>
  <c r="B7919" i="1"/>
  <c r="B7920" i="1"/>
  <c r="B7501" i="1"/>
  <c r="B7502" i="1"/>
  <c r="B7083" i="1"/>
  <c r="B7084" i="1"/>
  <c r="B6665" i="1"/>
  <c r="B6666" i="1"/>
  <c r="B6247" i="1"/>
  <c r="B6248" i="1"/>
  <c r="B5829" i="1"/>
  <c r="B5830" i="1"/>
  <c r="B5411" i="1"/>
  <c r="B5412" i="1"/>
  <c r="B4993" i="1"/>
  <c r="B4994" i="1"/>
  <c r="B4575" i="1"/>
  <c r="B4576" i="1"/>
  <c r="B4157" i="1"/>
  <c r="B4158" i="1"/>
  <c r="B3739" i="1"/>
  <c r="B3740" i="1"/>
  <c r="B3321" i="1"/>
  <c r="B3322" i="1"/>
  <c r="B2903" i="1"/>
  <c r="B2904" i="1"/>
  <c r="B2485" i="1"/>
  <c r="B2486" i="1"/>
  <c r="B2067" i="1"/>
  <c r="B2068" i="1"/>
  <c r="B1649" i="1"/>
  <c r="B1650" i="1"/>
  <c r="B1231" i="1"/>
  <c r="B1232" i="1"/>
  <c r="B813" i="1"/>
  <c r="B814" i="1"/>
  <c r="B395" i="1"/>
  <c r="B396" i="1"/>
  <c r="B9589" i="1"/>
  <c r="B9590" i="1"/>
  <c r="B9171" i="1"/>
  <c r="B9172" i="1"/>
  <c r="B8753" i="1"/>
  <c r="B8754" i="1"/>
  <c r="B8335" i="1"/>
  <c r="B8336" i="1"/>
  <c r="B7917" i="1"/>
  <c r="B7918" i="1"/>
  <c r="B7499" i="1"/>
  <c r="B7500" i="1"/>
  <c r="B7081" i="1"/>
  <c r="B7082" i="1"/>
  <c r="B6663" i="1"/>
  <c r="B6664" i="1"/>
  <c r="B6245" i="1"/>
  <c r="B6246" i="1"/>
  <c r="B5827" i="1"/>
  <c r="B5828" i="1"/>
  <c r="B5409" i="1"/>
  <c r="B5410" i="1"/>
  <c r="B4991" i="1"/>
  <c r="B4992" i="1"/>
  <c r="B4573" i="1"/>
  <c r="B4574" i="1"/>
  <c r="B4155" i="1"/>
  <c r="B4156" i="1"/>
  <c r="B3737" i="1"/>
  <c r="B3738" i="1"/>
  <c r="B3319" i="1"/>
  <c r="B3320" i="1"/>
  <c r="B2901" i="1"/>
  <c r="B2902" i="1"/>
  <c r="B2483" i="1"/>
  <c r="B2484" i="1"/>
  <c r="B2065" i="1"/>
  <c r="B2066" i="1"/>
  <c r="B1647" i="1"/>
  <c r="B1648" i="1"/>
  <c r="B1229" i="1"/>
  <c r="B1230" i="1"/>
  <c r="B811" i="1"/>
  <c r="B812" i="1"/>
  <c r="B393" i="1"/>
  <c r="B394" i="1"/>
  <c r="B9587" i="1"/>
  <c r="B9588" i="1"/>
  <c r="B9169" i="1"/>
  <c r="B9170" i="1"/>
  <c r="B8751" i="1"/>
  <c r="B8752" i="1"/>
  <c r="B8333" i="1"/>
  <c r="B8334" i="1"/>
  <c r="B7915" i="1"/>
  <c r="B7916" i="1"/>
  <c r="B7497" i="1"/>
  <c r="B7498" i="1"/>
  <c r="B7079" i="1"/>
  <c r="B7080" i="1"/>
  <c r="B6661" i="1"/>
  <c r="B6662" i="1"/>
  <c r="B6243" i="1"/>
  <c r="B6244" i="1"/>
  <c r="B5825" i="1"/>
  <c r="B5826" i="1"/>
  <c r="B5407" i="1"/>
  <c r="B5408" i="1"/>
  <c r="B4989" i="1"/>
  <c r="B4990" i="1"/>
  <c r="B4571" i="1"/>
  <c r="B4572" i="1"/>
  <c r="B4153" i="1"/>
  <c r="B4154" i="1"/>
  <c r="B3735" i="1"/>
  <c r="B3736" i="1"/>
  <c r="B3317" i="1"/>
  <c r="B3318" i="1"/>
  <c r="B2899" i="1"/>
  <c r="B2900" i="1"/>
  <c r="B2481" i="1"/>
  <c r="B2482" i="1"/>
  <c r="B2063" i="1"/>
  <c r="B2064" i="1"/>
  <c r="B1645" i="1"/>
  <c r="B1646" i="1"/>
  <c r="B1227" i="1"/>
  <c r="B1228" i="1"/>
  <c r="B809" i="1"/>
  <c r="B810" i="1"/>
  <c r="B391" i="1"/>
  <c r="B392" i="1"/>
  <c r="B9585" i="1"/>
  <c r="B9586" i="1"/>
  <c r="B9167" i="1"/>
  <c r="B9168" i="1"/>
  <c r="B8749" i="1"/>
  <c r="B8750" i="1"/>
  <c r="B8331" i="1"/>
  <c r="B8332" i="1"/>
  <c r="B7913" i="1"/>
  <c r="B7914" i="1"/>
  <c r="B7495" i="1"/>
  <c r="B7496" i="1"/>
  <c r="B7077" i="1"/>
  <c r="B7078" i="1"/>
  <c r="B6659" i="1"/>
  <c r="B6660" i="1"/>
  <c r="B6241" i="1"/>
  <c r="B6242" i="1"/>
  <c r="B5823" i="1"/>
  <c r="B5824" i="1"/>
  <c r="B5405" i="1"/>
  <c r="B5406" i="1"/>
  <c r="B4987" i="1"/>
  <c r="B4988" i="1"/>
  <c r="B4569" i="1"/>
  <c r="B4570" i="1"/>
  <c r="B4151" i="1"/>
  <c r="B4152" i="1"/>
  <c r="B3733" i="1"/>
  <c r="B3734" i="1"/>
  <c r="B3315" i="1"/>
  <c r="B3316" i="1"/>
  <c r="B2897" i="1"/>
  <c r="B2898" i="1"/>
  <c r="B2479" i="1"/>
  <c r="B2480" i="1"/>
  <c r="B2061" i="1"/>
  <c r="B2062" i="1"/>
  <c r="B1643" i="1"/>
  <c r="B1644" i="1"/>
  <c r="B1225" i="1"/>
  <c r="B1226" i="1"/>
  <c r="B807" i="1"/>
  <c r="B808" i="1"/>
  <c r="B389" i="1"/>
  <c r="B390" i="1"/>
  <c r="B9583" i="1"/>
  <c r="B9584" i="1"/>
  <c r="B9165" i="1"/>
  <c r="B9166" i="1"/>
  <c r="B8747" i="1"/>
  <c r="B8748" i="1"/>
  <c r="B8329" i="1"/>
  <c r="B8330" i="1"/>
  <c r="B7911" i="1"/>
  <c r="B7912" i="1"/>
  <c r="B7493" i="1"/>
  <c r="B7494" i="1"/>
  <c r="B7075" i="1"/>
  <c r="B7076" i="1"/>
  <c r="B6657" i="1"/>
  <c r="B6658" i="1"/>
  <c r="B6239" i="1"/>
  <c r="B6240" i="1"/>
  <c r="B5821" i="1"/>
  <c r="B5822" i="1"/>
  <c r="B5403" i="1"/>
  <c r="B5404" i="1"/>
  <c r="B4985" i="1"/>
  <c r="B4986" i="1"/>
  <c r="B4567" i="1"/>
  <c r="B4568" i="1"/>
  <c r="B4149" i="1"/>
  <c r="B4150" i="1"/>
  <c r="B3731" i="1"/>
  <c r="B3732" i="1"/>
  <c r="B3313" i="1"/>
  <c r="B3314" i="1"/>
  <c r="B2895" i="1"/>
  <c r="B2896" i="1"/>
  <c r="B2477" i="1"/>
  <c r="B2478" i="1"/>
  <c r="B2059" i="1"/>
  <c r="B2060" i="1"/>
  <c r="B1641" i="1"/>
  <c r="B1642" i="1"/>
  <c r="B1223" i="1"/>
  <c r="B1224" i="1"/>
  <c r="B805" i="1"/>
  <c r="B806" i="1"/>
  <c r="B387" i="1"/>
  <c r="B388" i="1"/>
  <c r="B9581" i="1"/>
  <c r="B9582" i="1"/>
  <c r="B9163" i="1"/>
  <c r="B9164" i="1"/>
  <c r="B8745" i="1"/>
  <c r="B8746" i="1"/>
  <c r="B8327" i="1"/>
  <c r="B8328" i="1"/>
  <c r="B7909" i="1"/>
  <c r="B7910" i="1"/>
  <c r="B7491" i="1"/>
  <c r="B7492" i="1"/>
  <c r="B7073" i="1"/>
  <c r="B7074" i="1"/>
  <c r="B6655" i="1"/>
  <c r="B6656" i="1"/>
  <c r="B6237" i="1"/>
  <c r="B6238" i="1"/>
  <c r="B5819" i="1"/>
  <c r="B5820" i="1"/>
  <c r="B5401" i="1"/>
  <c r="B5402" i="1"/>
  <c r="B4983" i="1"/>
  <c r="B4984" i="1"/>
  <c r="B4565" i="1"/>
  <c r="B4566" i="1"/>
  <c r="B4147" i="1"/>
  <c r="B4148" i="1"/>
  <c r="B3729" i="1"/>
  <c r="B3730" i="1"/>
  <c r="B3311" i="1"/>
  <c r="B3312" i="1"/>
  <c r="B2893" i="1"/>
  <c r="B2894" i="1"/>
  <c r="B2475" i="1"/>
  <c r="B2476" i="1"/>
  <c r="B2057" i="1"/>
  <c r="B2058" i="1"/>
  <c r="B1639" i="1"/>
  <c r="B1640" i="1"/>
  <c r="B1221" i="1"/>
  <c r="B1222" i="1"/>
  <c r="B803" i="1"/>
  <c r="B804" i="1"/>
  <c r="B385" i="1"/>
  <c r="B386" i="1"/>
  <c r="B9579" i="1"/>
  <c r="B9580" i="1"/>
  <c r="B9161" i="1"/>
  <c r="B9162" i="1"/>
  <c r="B8743" i="1"/>
  <c r="B8744" i="1"/>
  <c r="B8325" i="1"/>
  <c r="B8326" i="1"/>
  <c r="B7907" i="1"/>
  <c r="B7908" i="1"/>
  <c r="B7489" i="1"/>
  <c r="B7490" i="1"/>
  <c r="B7071" i="1"/>
  <c r="B7072" i="1"/>
  <c r="B6653" i="1"/>
  <c r="B6654" i="1"/>
  <c r="B6235" i="1"/>
  <c r="B6236" i="1"/>
  <c r="B5817" i="1"/>
  <c r="B5818" i="1"/>
  <c r="B5399" i="1"/>
  <c r="B5400" i="1"/>
  <c r="B4981" i="1"/>
  <c r="B4982" i="1"/>
  <c r="B4563" i="1"/>
  <c r="B4564" i="1"/>
  <c r="B4145" i="1"/>
  <c r="B4146" i="1"/>
  <c r="B3727" i="1"/>
  <c r="B3728" i="1"/>
  <c r="B3309" i="1"/>
  <c r="B3310" i="1"/>
  <c r="B2891" i="1"/>
  <c r="B2892" i="1"/>
  <c r="B2473" i="1"/>
  <c r="B2474" i="1"/>
  <c r="B2055" i="1"/>
  <c r="B2056" i="1"/>
  <c r="B1637" i="1"/>
  <c r="B1638" i="1"/>
  <c r="B1219" i="1"/>
  <c r="B1220" i="1"/>
  <c r="B801" i="1"/>
  <c r="B802" i="1"/>
  <c r="B383" i="1"/>
  <c r="B384" i="1"/>
  <c r="B9577" i="1"/>
  <c r="B9578" i="1"/>
  <c r="B9159" i="1"/>
  <c r="B9160" i="1"/>
  <c r="B8741" i="1"/>
  <c r="B8742" i="1"/>
  <c r="B8323" i="1"/>
  <c r="B8324" i="1"/>
  <c r="B7905" i="1"/>
  <c r="B7906" i="1"/>
  <c r="B7487" i="1"/>
  <c r="B7488" i="1"/>
  <c r="B7069" i="1"/>
  <c r="B7070" i="1"/>
  <c r="B6651" i="1"/>
  <c r="B6652" i="1"/>
  <c r="B6233" i="1"/>
  <c r="B6234" i="1"/>
  <c r="B5815" i="1"/>
  <c r="B5816" i="1"/>
  <c r="B5397" i="1"/>
  <c r="B5398" i="1"/>
  <c r="B4979" i="1"/>
  <c r="B4980" i="1"/>
  <c r="B4561" i="1"/>
  <c r="B4562" i="1"/>
  <c r="B4143" i="1"/>
  <c r="B4144" i="1"/>
  <c r="B3725" i="1"/>
  <c r="B3726" i="1"/>
  <c r="B3307" i="1"/>
  <c r="B3308" i="1"/>
  <c r="B2889" i="1"/>
  <c r="B2890" i="1"/>
  <c r="B2471" i="1"/>
  <c r="B2472" i="1"/>
  <c r="B2053" i="1"/>
  <c r="B2054" i="1"/>
  <c r="B1635" i="1"/>
  <c r="B1636" i="1"/>
  <c r="B1217" i="1"/>
  <c r="B1218" i="1"/>
  <c r="B799" i="1"/>
  <c r="B800" i="1"/>
  <c r="B381" i="1"/>
  <c r="B382" i="1"/>
  <c r="B9575" i="1"/>
  <c r="B9576" i="1"/>
  <c r="B9157" i="1"/>
  <c r="B9158" i="1"/>
  <c r="B8739" i="1"/>
  <c r="B8740" i="1"/>
  <c r="B8321" i="1"/>
  <c r="B8322" i="1"/>
  <c r="B7903" i="1"/>
  <c r="B7904" i="1"/>
  <c r="B7485" i="1"/>
  <c r="B7486" i="1"/>
  <c r="B7067" i="1"/>
  <c r="B7068" i="1"/>
  <c r="B6649" i="1"/>
  <c r="B6650" i="1"/>
  <c r="B6231" i="1"/>
  <c r="B6232" i="1"/>
  <c r="B5813" i="1"/>
  <c r="B5814" i="1"/>
  <c r="B5395" i="1"/>
  <c r="B5396" i="1"/>
  <c r="B4977" i="1"/>
  <c r="B4978" i="1"/>
  <c r="B4559" i="1"/>
  <c r="B4560" i="1"/>
  <c r="B4141" i="1"/>
  <c r="B4142" i="1"/>
  <c r="B3723" i="1"/>
  <c r="B3724" i="1"/>
  <c r="B3305" i="1"/>
  <c r="B3306" i="1"/>
  <c r="B2887" i="1"/>
  <c r="B2888" i="1"/>
  <c r="B2469" i="1"/>
  <c r="B2470" i="1"/>
  <c r="B2051" i="1"/>
  <c r="B2052" i="1"/>
  <c r="B1633" i="1"/>
  <c r="B1634" i="1"/>
  <c r="B1215" i="1"/>
  <c r="B1216" i="1"/>
  <c r="B797" i="1"/>
  <c r="B798" i="1"/>
  <c r="B379" i="1"/>
  <c r="B380" i="1"/>
  <c r="B9573" i="1"/>
  <c r="B9574" i="1"/>
  <c r="B9155" i="1"/>
  <c r="B9156" i="1"/>
  <c r="B8737" i="1"/>
  <c r="B8738" i="1"/>
  <c r="B8319" i="1"/>
  <c r="B8320" i="1"/>
  <c r="B7901" i="1"/>
  <c r="B7902" i="1"/>
  <c r="B7483" i="1"/>
  <c r="B7484" i="1"/>
  <c r="B7065" i="1"/>
  <c r="B7066" i="1"/>
  <c r="B6647" i="1"/>
  <c r="B6648" i="1"/>
  <c r="B6229" i="1"/>
  <c r="B6230" i="1"/>
  <c r="B5811" i="1"/>
  <c r="B5812" i="1"/>
  <c r="B5393" i="1"/>
  <c r="B5394" i="1"/>
  <c r="B4975" i="1"/>
  <c r="B4976" i="1"/>
  <c r="B4557" i="1"/>
  <c r="B4558" i="1"/>
  <c r="B4139" i="1"/>
  <c r="B4140" i="1"/>
  <c r="B3721" i="1"/>
  <c r="B3722" i="1"/>
  <c r="B3303" i="1"/>
  <c r="B3304" i="1"/>
  <c r="B2885" i="1"/>
  <c r="B2886" i="1"/>
  <c r="B2467" i="1"/>
  <c r="B2468" i="1"/>
  <c r="B2049" i="1"/>
  <c r="B2050" i="1"/>
  <c r="B1631" i="1"/>
  <c r="B1632" i="1"/>
  <c r="B1213" i="1"/>
  <c r="B1214" i="1"/>
  <c r="B795" i="1"/>
  <c r="B796" i="1"/>
  <c r="B377" i="1"/>
  <c r="B378" i="1"/>
  <c r="B9571" i="1"/>
  <c r="B9572" i="1"/>
  <c r="B9153" i="1"/>
  <c r="B9154" i="1"/>
  <c r="B8735" i="1"/>
  <c r="B8736" i="1"/>
  <c r="B8317" i="1"/>
  <c r="B8318" i="1"/>
  <c r="B7899" i="1"/>
  <c r="B7900" i="1"/>
  <c r="B7481" i="1"/>
  <c r="B7482" i="1"/>
  <c r="B7063" i="1"/>
  <c r="B7064" i="1"/>
  <c r="B6645" i="1"/>
  <c r="B6646" i="1"/>
  <c r="B6227" i="1"/>
  <c r="B6228" i="1"/>
  <c r="B5809" i="1"/>
  <c r="B5810" i="1"/>
  <c r="B5391" i="1"/>
  <c r="B5392" i="1"/>
  <c r="B4973" i="1"/>
  <c r="B4974" i="1"/>
  <c r="B4555" i="1"/>
  <c r="B4556" i="1"/>
  <c r="B4137" i="1"/>
  <c r="B4138" i="1"/>
  <c r="B3719" i="1"/>
  <c r="B3720" i="1"/>
  <c r="B3301" i="1"/>
  <c r="B3302" i="1"/>
  <c r="B2883" i="1"/>
  <c r="B2884" i="1"/>
  <c r="B2465" i="1"/>
  <c r="B2466" i="1"/>
  <c r="B2047" i="1"/>
  <c r="B2048" i="1"/>
  <c r="B1629" i="1"/>
  <c r="B1630" i="1"/>
  <c r="B1211" i="1"/>
  <c r="B1212" i="1"/>
  <c r="B793" i="1"/>
  <c r="B794" i="1"/>
  <c r="B375" i="1"/>
  <c r="B376" i="1"/>
  <c r="B9569" i="1"/>
  <c r="B9570" i="1"/>
  <c r="B9151" i="1"/>
  <c r="B9152" i="1"/>
  <c r="B8733" i="1"/>
  <c r="B8734" i="1"/>
  <c r="B8315" i="1"/>
  <c r="B8316" i="1"/>
  <c r="B7897" i="1"/>
  <c r="B7898" i="1"/>
  <c r="B7479" i="1"/>
  <c r="B7480" i="1"/>
  <c r="B7061" i="1"/>
  <c r="B7062" i="1"/>
  <c r="B6643" i="1"/>
  <c r="B6644" i="1"/>
  <c r="B6225" i="1"/>
  <c r="B6226" i="1"/>
  <c r="B5807" i="1"/>
  <c r="B5808" i="1"/>
  <c r="B5389" i="1"/>
  <c r="B5390" i="1"/>
  <c r="B4971" i="1"/>
  <c r="B4972" i="1"/>
  <c r="B4553" i="1"/>
  <c r="B4554" i="1"/>
  <c r="B4135" i="1"/>
  <c r="B4136" i="1"/>
  <c r="B3717" i="1"/>
  <c r="B3718" i="1"/>
  <c r="B3299" i="1"/>
  <c r="B3300" i="1"/>
  <c r="B2881" i="1"/>
  <c r="B2882" i="1"/>
  <c r="B2463" i="1"/>
  <c r="B2464" i="1"/>
  <c r="B2045" i="1"/>
  <c r="B2046" i="1"/>
  <c r="B1627" i="1"/>
  <c r="B1628" i="1"/>
  <c r="B1209" i="1"/>
  <c r="B1210" i="1"/>
  <c r="B791" i="1"/>
  <c r="B792" i="1"/>
  <c r="B373" i="1"/>
  <c r="B374" i="1"/>
  <c r="B9567" i="1"/>
  <c r="B9568" i="1"/>
  <c r="B9149" i="1"/>
  <c r="B9150" i="1"/>
  <c r="B8731" i="1"/>
  <c r="B8732" i="1"/>
  <c r="B8313" i="1"/>
  <c r="B8314" i="1"/>
  <c r="B7895" i="1"/>
  <c r="B7896" i="1"/>
  <c r="B7477" i="1"/>
  <c r="B7478" i="1"/>
  <c r="B7059" i="1"/>
  <c r="B7060" i="1"/>
  <c r="B6641" i="1"/>
  <c r="B6642" i="1"/>
  <c r="B6223" i="1"/>
  <c r="B6224" i="1"/>
  <c r="B5805" i="1"/>
  <c r="B5806" i="1"/>
  <c r="B5387" i="1"/>
  <c r="B5388" i="1"/>
  <c r="B4969" i="1"/>
  <c r="B4970" i="1"/>
  <c r="B4551" i="1"/>
  <c r="B4552" i="1"/>
  <c r="B4133" i="1"/>
  <c r="B4134" i="1"/>
  <c r="B3715" i="1"/>
  <c r="B3716" i="1"/>
  <c r="B3297" i="1"/>
  <c r="B3298" i="1"/>
  <c r="B2879" i="1"/>
  <c r="B2880" i="1"/>
  <c r="B2461" i="1"/>
  <c r="B2462" i="1"/>
  <c r="B2043" i="1"/>
  <c r="B2044" i="1"/>
  <c r="B1625" i="1"/>
  <c r="B1626" i="1"/>
  <c r="B1207" i="1"/>
  <c r="B1208" i="1"/>
  <c r="B789" i="1"/>
  <c r="B790" i="1"/>
  <c r="B371" i="1"/>
  <c r="B372" i="1"/>
  <c r="B9565" i="1"/>
  <c r="B9566" i="1"/>
  <c r="B9147" i="1"/>
  <c r="B9148" i="1"/>
  <c r="B8729" i="1"/>
  <c r="B8730" i="1"/>
  <c r="B8311" i="1"/>
  <c r="B8312" i="1"/>
  <c r="B7893" i="1"/>
  <c r="B7894" i="1"/>
  <c r="B7475" i="1"/>
  <c r="B7476" i="1"/>
  <c r="B7057" i="1"/>
  <c r="B7058" i="1"/>
  <c r="B6639" i="1"/>
  <c r="B6640" i="1"/>
  <c r="B6221" i="1"/>
  <c r="B6222" i="1"/>
  <c r="B5803" i="1"/>
  <c r="B5804" i="1"/>
  <c r="B5385" i="1"/>
  <c r="B5386" i="1"/>
  <c r="B4967" i="1"/>
  <c r="B4968" i="1"/>
  <c r="B4549" i="1"/>
  <c r="B4550" i="1"/>
  <c r="B4131" i="1"/>
  <c r="B4132" i="1"/>
  <c r="B3713" i="1"/>
  <c r="B3714" i="1"/>
  <c r="B3295" i="1"/>
  <c r="B3296" i="1"/>
  <c r="B2877" i="1"/>
  <c r="B2878" i="1"/>
  <c r="B2459" i="1"/>
  <c r="B2460" i="1"/>
  <c r="B2041" i="1"/>
  <c r="B2042" i="1"/>
  <c r="B1623" i="1"/>
  <c r="B1624" i="1"/>
  <c r="B1205" i="1"/>
  <c r="B1206" i="1"/>
  <c r="B787" i="1"/>
  <c r="B788" i="1"/>
  <c r="B369" i="1"/>
  <c r="B370" i="1"/>
  <c r="B9563" i="1"/>
  <c r="B9564" i="1"/>
  <c r="B9145" i="1"/>
  <c r="B9146" i="1"/>
  <c r="B8727" i="1"/>
  <c r="B8728" i="1"/>
  <c r="B8309" i="1"/>
  <c r="B8310" i="1"/>
  <c r="B7891" i="1"/>
  <c r="B7892" i="1"/>
  <c r="B7473" i="1"/>
  <c r="B7474" i="1"/>
  <c r="B7055" i="1"/>
  <c r="B7056" i="1"/>
  <c r="B6637" i="1"/>
  <c r="B6638" i="1"/>
  <c r="B6219" i="1"/>
  <c r="B6220" i="1"/>
  <c r="B5801" i="1"/>
  <c r="B5802" i="1"/>
  <c r="B5383" i="1"/>
  <c r="B5384" i="1"/>
  <c r="B4965" i="1"/>
  <c r="B4966" i="1"/>
  <c r="B4547" i="1"/>
  <c r="B4548" i="1"/>
  <c r="B4129" i="1"/>
  <c r="B4130" i="1"/>
  <c r="B3711" i="1"/>
  <c r="B3712" i="1"/>
  <c r="B3293" i="1"/>
  <c r="B3294" i="1"/>
  <c r="B2875" i="1"/>
  <c r="B2876" i="1"/>
  <c r="B2457" i="1"/>
  <c r="B2458" i="1"/>
  <c r="B2039" i="1"/>
  <c r="B2040" i="1"/>
  <c r="B1621" i="1"/>
  <c r="B1622" i="1"/>
  <c r="B1203" i="1"/>
  <c r="B1204" i="1"/>
  <c r="B785" i="1"/>
  <c r="B786" i="1"/>
  <c r="B367" i="1"/>
  <c r="B368" i="1"/>
  <c r="B9561" i="1"/>
  <c r="B9562" i="1"/>
  <c r="B9143" i="1"/>
  <c r="B9144" i="1"/>
  <c r="B8725" i="1"/>
  <c r="B8726" i="1"/>
  <c r="B8307" i="1"/>
  <c r="B8308" i="1"/>
  <c r="B7889" i="1"/>
  <c r="B7890" i="1"/>
  <c r="B7471" i="1"/>
  <c r="B7472" i="1"/>
  <c r="B7053" i="1"/>
  <c r="B7054" i="1"/>
  <c r="B6635" i="1"/>
  <c r="B6636" i="1"/>
  <c r="B6217" i="1"/>
  <c r="B6218" i="1"/>
  <c r="B5799" i="1"/>
  <c r="B5800" i="1"/>
  <c r="B5381" i="1"/>
  <c r="B5382" i="1"/>
  <c r="B4963" i="1"/>
  <c r="B4964" i="1"/>
  <c r="B4545" i="1"/>
  <c r="B4546" i="1"/>
  <c r="B4127" i="1"/>
  <c r="B4128" i="1"/>
  <c r="B3709" i="1"/>
  <c r="B3710" i="1"/>
  <c r="B3291" i="1"/>
  <c r="B3292" i="1"/>
  <c r="B2873" i="1"/>
  <c r="B2874" i="1"/>
  <c r="B2455" i="1"/>
  <c r="B2456" i="1"/>
  <c r="B2037" i="1"/>
  <c r="B2038" i="1"/>
  <c r="B1619" i="1"/>
  <c r="B1620" i="1"/>
  <c r="B1201" i="1"/>
  <c r="B1202" i="1"/>
  <c r="B783" i="1"/>
  <c r="B784" i="1"/>
  <c r="B365" i="1"/>
  <c r="B366" i="1"/>
  <c r="B9559" i="1"/>
  <c r="B9560" i="1"/>
  <c r="B9141" i="1"/>
  <c r="B9142" i="1"/>
  <c r="B8723" i="1"/>
  <c r="B8724" i="1"/>
  <c r="B8305" i="1"/>
  <c r="B8306" i="1"/>
  <c r="B7887" i="1"/>
  <c r="B7888" i="1"/>
  <c r="B7469" i="1"/>
  <c r="B7470" i="1"/>
  <c r="B7051" i="1"/>
  <c r="B7052" i="1"/>
  <c r="B6633" i="1"/>
  <c r="B6634" i="1"/>
  <c r="B6215" i="1"/>
  <c r="B6216" i="1"/>
  <c r="B5797" i="1"/>
  <c r="B5798" i="1"/>
  <c r="B5379" i="1"/>
  <c r="B5380" i="1"/>
  <c r="B4961" i="1"/>
  <c r="B4962" i="1"/>
  <c r="B4543" i="1"/>
  <c r="B4544" i="1"/>
  <c r="B4125" i="1"/>
  <c r="B4126" i="1"/>
  <c r="B3707" i="1"/>
  <c r="B3708" i="1"/>
  <c r="B3289" i="1"/>
  <c r="B3290" i="1"/>
  <c r="B2871" i="1"/>
  <c r="B2872" i="1"/>
  <c r="B2453" i="1"/>
  <c r="B2454" i="1"/>
  <c r="B2035" i="1"/>
  <c r="B2036" i="1"/>
  <c r="B1617" i="1"/>
  <c r="B1618" i="1"/>
  <c r="B1199" i="1"/>
  <c r="B1200" i="1"/>
  <c r="B781" i="1"/>
  <c r="B782" i="1"/>
  <c r="B363" i="1"/>
  <c r="B364" i="1"/>
  <c r="B9557" i="1"/>
  <c r="B9558" i="1"/>
  <c r="B9139" i="1"/>
  <c r="B9140" i="1"/>
  <c r="B8721" i="1"/>
  <c r="B8722" i="1"/>
  <c r="B8303" i="1"/>
  <c r="B8304" i="1"/>
  <c r="B7885" i="1"/>
  <c r="B7886" i="1"/>
  <c r="B7467" i="1"/>
  <c r="B7468" i="1"/>
  <c r="B7049" i="1"/>
  <c r="B7050" i="1"/>
  <c r="B6631" i="1"/>
  <c r="B6632" i="1"/>
  <c r="B6213" i="1"/>
  <c r="B6214" i="1"/>
  <c r="B5795" i="1"/>
  <c r="B5796" i="1"/>
  <c r="B5377" i="1"/>
  <c r="B5378" i="1"/>
  <c r="B4959" i="1"/>
  <c r="B4960" i="1"/>
  <c r="B4541" i="1"/>
  <c r="B4542" i="1"/>
  <c r="B4123" i="1"/>
  <c r="B4124" i="1"/>
  <c r="B3705" i="1"/>
  <c r="B3706" i="1"/>
  <c r="B3287" i="1"/>
  <c r="B3288" i="1"/>
  <c r="B2869" i="1"/>
  <c r="B2870" i="1"/>
  <c r="B2451" i="1"/>
  <c r="B2452" i="1"/>
  <c r="B2033" i="1"/>
  <c r="B2034" i="1"/>
  <c r="B1615" i="1"/>
  <c r="B1616" i="1"/>
  <c r="B1197" i="1"/>
  <c r="B1198" i="1"/>
  <c r="B779" i="1"/>
  <c r="B780" i="1"/>
  <c r="B361" i="1"/>
  <c r="B362" i="1"/>
  <c r="B9555" i="1"/>
  <c r="B9556" i="1"/>
  <c r="B9137" i="1"/>
  <c r="B9138" i="1"/>
  <c r="B8719" i="1"/>
  <c r="B8720" i="1"/>
  <c r="B8301" i="1"/>
  <c r="B8302" i="1"/>
  <c r="B7883" i="1"/>
  <c r="B7884" i="1"/>
  <c r="B7465" i="1"/>
  <c r="B7466" i="1"/>
  <c r="B7047" i="1"/>
  <c r="B7048" i="1"/>
  <c r="B6629" i="1"/>
  <c r="B6630" i="1"/>
  <c r="B6211" i="1"/>
  <c r="B6212" i="1"/>
  <c r="B5793" i="1"/>
  <c r="B5794" i="1"/>
  <c r="B5375" i="1"/>
  <c r="B5376" i="1"/>
  <c r="B4957" i="1"/>
  <c r="B4958" i="1"/>
  <c r="B4539" i="1"/>
  <c r="B4540" i="1"/>
  <c r="B4121" i="1"/>
  <c r="B4122" i="1"/>
  <c r="B3703" i="1"/>
  <c r="B3704" i="1"/>
  <c r="B3285" i="1"/>
  <c r="B3286" i="1"/>
  <c r="B2867" i="1"/>
  <c r="B2868" i="1"/>
  <c r="B2449" i="1"/>
  <c r="B2450" i="1"/>
  <c r="B2031" i="1"/>
  <c r="B2032" i="1"/>
  <c r="B1613" i="1"/>
  <c r="B1614" i="1"/>
  <c r="B1195" i="1"/>
  <c r="B1196" i="1"/>
  <c r="B777" i="1"/>
  <c r="B778" i="1"/>
  <c r="B359" i="1"/>
  <c r="B360" i="1"/>
  <c r="B9553" i="1"/>
  <c r="B9554" i="1"/>
  <c r="B9135" i="1"/>
  <c r="B9136" i="1"/>
  <c r="B8717" i="1"/>
  <c r="B8718" i="1"/>
  <c r="B8299" i="1"/>
  <c r="B8300" i="1"/>
  <c r="B7881" i="1"/>
  <c r="B7882" i="1"/>
  <c r="B7463" i="1"/>
  <c r="B7464" i="1"/>
  <c r="B7045" i="1"/>
  <c r="B7046" i="1"/>
  <c r="B6627" i="1"/>
  <c r="B6628" i="1"/>
  <c r="B6209" i="1"/>
  <c r="B6210" i="1"/>
  <c r="B5791" i="1"/>
  <c r="B5792" i="1"/>
  <c r="B5373" i="1"/>
  <c r="B5374" i="1"/>
  <c r="B4955" i="1"/>
  <c r="B4956" i="1"/>
  <c r="B4537" i="1"/>
  <c r="B4538" i="1"/>
  <c r="B4119" i="1"/>
  <c r="B4120" i="1"/>
  <c r="B3701" i="1"/>
  <c r="B3702" i="1"/>
  <c r="B3283" i="1"/>
  <c r="B3284" i="1"/>
  <c r="B2865" i="1"/>
  <c r="B2866" i="1"/>
  <c r="B2447" i="1"/>
  <c r="B2448" i="1"/>
  <c r="B2029" i="1"/>
  <c r="B2030" i="1"/>
  <c r="B1611" i="1"/>
  <c r="B1612" i="1"/>
  <c r="B1193" i="1"/>
  <c r="B1194" i="1"/>
  <c r="B775" i="1"/>
  <c r="B776" i="1"/>
  <c r="B357" i="1"/>
  <c r="B358" i="1"/>
  <c r="B9551" i="1"/>
  <c r="B9552" i="1"/>
  <c r="B9133" i="1"/>
  <c r="B9134" i="1"/>
  <c r="B8715" i="1"/>
  <c r="B8716" i="1"/>
  <c r="B8297" i="1"/>
  <c r="B8298" i="1"/>
  <c r="B7879" i="1"/>
  <c r="B7880" i="1"/>
  <c r="B7461" i="1"/>
  <c r="B7462" i="1"/>
  <c r="B7043" i="1"/>
  <c r="B7044" i="1"/>
  <c r="B6625" i="1"/>
  <c r="B6626" i="1"/>
  <c r="B6207" i="1"/>
  <c r="B6208" i="1"/>
  <c r="B5789" i="1"/>
  <c r="B5790" i="1"/>
  <c r="B5371" i="1"/>
  <c r="B5372" i="1"/>
  <c r="B4953" i="1"/>
  <c r="B4954" i="1"/>
  <c r="B4535" i="1"/>
  <c r="B4536" i="1"/>
  <c r="B4117" i="1"/>
  <c r="B4118" i="1"/>
  <c r="B3699" i="1"/>
  <c r="B3700" i="1"/>
  <c r="B3281" i="1"/>
  <c r="B3282" i="1"/>
  <c r="B2863" i="1"/>
  <c r="B2864" i="1"/>
  <c r="B2445" i="1"/>
  <c r="B2446" i="1"/>
  <c r="B2027" i="1"/>
  <c r="B2028" i="1"/>
  <c r="B1609" i="1"/>
  <c r="B1610" i="1"/>
  <c r="B1191" i="1"/>
  <c r="B1192" i="1"/>
  <c r="B773" i="1"/>
  <c r="B774" i="1"/>
  <c r="B355" i="1"/>
  <c r="B356" i="1"/>
  <c r="B9549" i="1"/>
  <c r="B9550" i="1"/>
  <c r="B9131" i="1"/>
  <c r="B9132" i="1"/>
  <c r="B8713" i="1"/>
  <c r="B8714" i="1"/>
  <c r="B8295" i="1"/>
  <c r="B8296" i="1"/>
  <c r="B7877" i="1"/>
  <c r="B7878" i="1"/>
  <c r="B7459" i="1"/>
  <c r="B7460" i="1"/>
  <c r="B7041" i="1"/>
  <c r="B7042" i="1"/>
  <c r="B6623" i="1"/>
  <c r="B6624" i="1"/>
  <c r="B6205" i="1"/>
  <c r="B6206" i="1"/>
  <c r="B5787" i="1"/>
  <c r="B5788" i="1"/>
  <c r="B5369" i="1"/>
  <c r="B5370" i="1"/>
  <c r="B4951" i="1"/>
  <c r="B4952" i="1"/>
  <c r="B4533" i="1"/>
  <c r="B4534" i="1"/>
  <c r="B4115" i="1"/>
  <c r="B4116" i="1"/>
  <c r="B3697" i="1"/>
  <c r="B3698" i="1"/>
  <c r="B3279" i="1"/>
  <c r="B3280" i="1"/>
  <c r="B2861" i="1"/>
  <c r="B2862" i="1"/>
  <c r="B2443" i="1"/>
  <c r="B2444" i="1"/>
  <c r="B2025" i="1"/>
  <c r="B2026" i="1"/>
  <c r="B1607" i="1"/>
  <c r="B1608" i="1"/>
  <c r="B1189" i="1"/>
  <c r="B1190" i="1"/>
  <c r="B771" i="1"/>
  <c r="B772" i="1"/>
  <c r="B353" i="1"/>
  <c r="B354" i="1"/>
  <c r="B9547" i="1"/>
  <c r="B9548" i="1"/>
  <c r="B9129" i="1"/>
  <c r="B9130" i="1"/>
  <c r="B8711" i="1"/>
  <c r="B8712" i="1"/>
  <c r="B8293" i="1"/>
  <c r="B8294" i="1"/>
  <c r="B7875" i="1"/>
  <c r="B7876" i="1"/>
  <c r="B7457" i="1"/>
  <c r="B7458" i="1"/>
  <c r="B7039" i="1"/>
  <c r="B7040" i="1"/>
  <c r="B6621" i="1"/>
  <c r="B6622" i="1"/>
  <c r="B6203" i="1"/>
  <c r="B6204" i="1"/>
  <c r="B5785" i="1"/>
  <c r="B5786" i="1"/>
  <c r="B5367" i="1"/>
  <c r="B5368" i="1"/>
  <c r="B4949" i="1"/>
  <c r="B4950" i="1"/>
  <c r="B4531" i="1"/>
  <c r="B4532" i="1"/>
  <c r="B4113" i="1"/>
  <c r="B4114" i="1"/>
  <c r="B3695" i="1"/>
  <c r="B3696" i="1"/>
  <c r="B3277" i="1"/>
  <c r="B3278" i="1"/>
  <c r="B2859" i="1"/>
  <c r="B2860" i="1"/>
  <c r="B2441" i="1"/>
  <c r="B2442" i="1"/>
  <c r="B2023" i="1"/>
  <c r="B2024" i="1"/>
  <c r="B1605" i="1"/>
  <c r="B1606" i="1"/>
  <c r="B1187" i="1"/>
  <c r="B1188" i="1"/>
  <c r="B769" i="1"/>
  <c r="B770" i="1"/>
  <c r="B351" i="1"/>
  <c r="B352" i="1"/>
  <c r="B9545" i="1"/>
  <c r="B9546" i="1"/>
  <c r="B9127" i="1"/>
  <c r="B9128" i="1"/>
  <c r="B8709" i="1"/>
  <c r="B8710" i="1"/>
  <c r="B8291" i="1"/>
  <c r="B8292" i="1"/>
  <c r="B7873" i="1"/>
  <c r="B7874" i="1"/>
  <c r="B7455" i="1"/>
  <c r="B7456" i="1"/>
  <c r="B7037" i="1"/>
  <c r="B7038" i="1"/>
  <c r="B6619" i="1"/>
  <c r="B6620" i="1"/>
  <c r="B6201" i="1"/>
  <c r="B6202" i="1"/>
  <c r="B5783" i="1"/>
  <c r="B5784" i="1"/>
  <c r="B5365" i="1"/>
  <c r="B5366" i="1"/>
  <c r="B4947" i="1"/>
  <c r="B4948" i="1"/>
  <c r="B4529" i="1"/>
  <c r="B4530" i="1"/>
  <c r="B4111" i="1"/>
  <c r="B4112" i="1"/>
  <c r="B3693" i="1"/>
  <c r="B3694" i="1"/>
  <c r="B3275" i="1"/>
  <c r="B3276" i="1"/>
  <c r="B2857" i="1"/>
  <c r="B2858" i="1"/>
  <c r="B2439" i="1"/>
  <c r="B2440" i="1"/>
  <c r="B2021" i="1"/>
  <c r="B2022" i="1"/>
  <c r="B1603" i="1"/>
  <c r="B1604" i="1"/>
  <c r="B1185" i="1"/>
  <c r="B1186" i="1"/>
  <c r="B767" i="1"/>
  <c r="B768" i="1"/>
  <c r="B349" i="1"/>
  <c r="B350" i="1"/>
  <c r="B9543" i="1"/>
  <c r="B9544" i="1"/>
  <c r="B9125" i="1"/>
  <c r="B9126" i="1"/>
  <c r="B8707" i="1"/>
  <c r="B8708" i="1"/>
  <c r="B8289" i="1"/>
  <c r="B8290" i="1"/>
  <c r="B7871" i="1"/>
  <c r="B7872" i="1"/>
  <c r="B7453" i="1"/>
  <c r="B7454" i="1"/>
  <c r="B7035" i="1"/>
  <c r="B7036" i="1"/>
  <c r="B6617" i="1"/>
  <c r="B6618" i="1"/>
  <c r="B6199" i="1"/>
  <c r="B6200" i="1"/>
  <c r="B5781" i="1"/>
  <c r="B5782" i="1"/>
  <c r="B5363" i="1"/>
  <c r="B5364" i="1"/>
  <c r="B4945" i="1"/>
  <c r="B4946" i="1"/>
  <c r="B4527" i="1"/>
  <c r="B4528" i="1"/>
  <c r="B4109" i="1"/>
  <c r="B4110" i="1"/>
  <c r="B3691" i="1"/>
  <c r="B3692" i="1"/>
  <c r="B3273" i="1"/>
  <c r="B3274" i="1"/>
  <c r="B2855" i="1"/>
  <c r="B2856" i="1"/>
  <c r="B2437" i="1"/>
  <c r="B2438" i="1"/>
  <c r="B2019" i="1"/>
  <c r="B2020" i="1"/>
  <c r="B1601" i="1"/>
  <c r="B1602" i="1"/>
  <c r="B1183" i="1"/>
  <c r="B1184" i="1"/>
  <c r="B765" i="1"/>
  <c r="B766" i="1"/>
  <c r="B347" i="1"/>
  <c r="B348" i="1"/>
  <c r="B9541" i="1"/>
  <c r="B9542" i="1"/>
  <c r="B9123" i="1"/>
  <c r="B9124" i="1"/>
  <c r="B8705" i="1"/>
  <c r="B8706" i="1"/>
  <c r="B8287" i="1"/>
  <c r="B8288" i="1"/>
  <c r="B7869" i="1"/>
  <c r="B7870" i="1"/>
  <c r="B7451" i="1"/>
  <c r="B7452" i="1"/>
  <c r="B7033" i="1"/>
  <c r="B7034" i="1"/>
  <c r="B6615" i="1"/>
  <c r="B6616" i="1"/>
  <c r="B6197" i="1"/>
  <c r="B6198" i="1"/>
  <c r="B5779" i="1"/>
  <c r="B5780" i="1"/>
  <c r="B5361" i="1"/>
  <c r="B5362" i="1"/>
  <c r="B4943" i="1"/>
  <c r="B4944" i="1"/>
  <c r="B4525" i="1"/>
  <c r="B4526" i="1"/>
  <c r="B4107" i="1"/>
  <c r="B4108" i="1"/>
  <c r="B3689" i="1"/>
  <c r="B3690" i="1"/>
  <c r="B3271" i="1"/>
  <c r="B3272" i="1"/>
  <c r="B2853" i="1"/>
  <c r="B2854" i="1"/>
  <c r="B2435" i="1"/>
  <c r="B2436" i="1"/>
  <c r="B2017" i="1"/>
  <c r="B2018" i="1"/>
  <c r="B1599" i="1"/>
  <c r="B1600" i="1"/>
  <c r="B1181" i="1"/>
  <c r="B1182" i="1"/>
  <c r="B763" i="1"/>
  <c r="B764" i="1"/>
  <c r="B345" i="1"/>
  <c r="B346" i="1"/>
  <c r="B9539" i="1"/>
  <c r="B9540" i="1"/>
  <c r="B9121" i="1"/>
  <c r="B9122" i="1"/>
  <c r="B8703" i="1"/>
  <c r="B8704" i="1"/>
  <c r="B8285" i="1"/>
  <c r="B8286" i="1"/>
  <c r="B7867" i="1"/>
  <c r="B7868" i="1"/>
  <c r="B7449" i="1"/>
  <c r="B7450" i="1"/>
  <c r="B7031" i="1"/>
  <c r="B7032" i="1"/>
  <c r="B6613" i="1"/>
  <c r="B6614" i="1"/>
  <c r="B6195" i="1"/>
  <c r="B6196" i="1"/>
  <c r="B5777" i="1"/>
  <c r="B5778" i="1"/>
  <c r="B5359" i="1"/>
  <c r="B5360" i="1"/>
  <c r="B4941" i="1"/>
  <c r="B4942" i="1"/>
  <c r="B4523" i="1"/>
  <c r="B4524" i="1"/>
  <c r="B4105" i="1"/>
  <c r="B4106" i="1"/>
  <c r="B3687" i="1"/>
  <c r="B3688" i="1"/>
  <c r="B3269" i="1"/>
  <c r="B3270" i="1"/>
  <c r="B2851" i="1"/>
  <c r="B2852" i="1"/>
  <c r="B2433" i="1"/>
  <c r="B2434" i="1"/>
  <c r="B2015" i="1"/>
  <c r="B2016" i="1"/>
  <c r="B1597" i="1"/>
  <c r="B1598" i="1"/>
  <c r="B1179" i="1"/>
  <c r="B1180" i="1"/>
  <c r="B761" i="1"/>
  <c r="B762" i="1"/>
  <c r="B343" i="1"/>
  <c r="B344" i="1"/>
  <c r="B9537" i="1"/>
  <c r="B9538" i="1"/>
  <c r="B9119" i="1"/>
  <c r="B9120" i="1"/>
  <c r="B8701" i="1"/>
  <c r="B8702" i="1"/>
  <c r="B8283" i="1"/>
  <c r="B8284" i="1"/>
  <c r="B7865" i="1"/>
  <c r="B7866" i="1"/>
  <c r="B7447" i="1"/>
  <c r="B7448" i="1"/>
  <c r="B7029" i="1"/>
  <c r="B7030" i="1"/>
  <c r="B6611" i="1"/>
  <c r="B6612" i="1"/>
  <c r="B6193" i="1"/>
  <c r="B6194" i="1"/>
  <c r="B5775" i="1"/>
  <c r="B5776" i="1"/>
  <c r="B5357" i="1"/>
  <c r="B5358" i="1"/>
  <c r="B4939" i="1"/>
  <c r="B4940" i="1"/>
  <c r="B4521" i="1"/>
  <c r="B4522" i="1"/>
  <c r="B4103" i="1"/>
  <c r="B4104" i="1"/>
  <c r="B3685" i="1"/>
  <c r="B3686" i="1"/>
  <c r="B3267" i="1"/>
  <c r="B3268" i="1"/>
  <c r="B2849" i="1"/>
  <c r="B2850" i="1"/>
  <c r="B2431" i="1"/>
  <c r="B2432" i="1"/>
  <c r="B2013" i="1"/>
  <c r="B2014" i="1"/>
  <c r="B1595" i="1"/>
  <c r="B1596" i="1"/>
  <c r="B1177" i="1"/>
  <c r="B1178" i="1"/>
  <c r="B759" i="1"/>
  <c r="B760" i="1"/>
  <c r="B341" i="1"/>
  <c r="B342" i="1"/>
  <c r="B9535" i="1"/>
  <c r="B9536" i="1"/>
  <c r="B9117" i="1"/>
  <c r="B9118" i="1"/>
  <c r="B8699" i="1"/>
  <c r="B8700" i="1"/>
  <c r="B8281" i="1"/>
  <c r="B8282" i="1"/>
  <c r="B7863" i="1"/>
  <c r="B7864" i="1"/>
  <c r="B7445" i="1"/>
  <c r="B7446" i="1"/>
  <c r="B7027" i="1"/>
  <c r="B7028" i="1"/>
  <c r="B6609" i="1"/>
  <c r="B6610" i="1"/>
  <c r="B6191" i="1"/>
  <c r="B6192" i="1"/>
  <c r="B5773" i="1"/>
  <c r="B5774" i="1"/>
  <c r="B5355" i="1"/>
  <c r="B5356" i="1"/>
  <c r="B4937" i="1"/>
  <c r="B4938" i="1"/>
  <c r="B4519" i="1"/>
  <c r="B4520" i="1"/>
  <c r="B4101" i="1"/>
  <c r="B4102" i="1"/>
  <c r="B3683" i="1"/>
  <c r="B3684" i="1"/>
  <c r="B3265" i="1"/>
  <c r="B3266" i="1"/>
  <c r="B2847" i="1"/>
  <c r="B2848" i="1"/>
  <c r="B2429" i="1"/>
  <c r="B2430" i="1"/>
  <c r="B2011" i="1"/>
  <c r="B2012" i="1"/>
  <c r="B1593" i="1"/>
  <c r="B1594" i="1"/>
  <c r="B1175" i="1"/>
  <c r="B1176" i="1"/>
  <c r="B757" i="1"/>
  <c r="B758" i="1"/>
  <c r="B339" i="1"/>
  <c r="B340" i="1"/>
  <c r="B9533" i="1"/>
  <c r="B9534" i="1"/>
  <c r="B9115" i="1"/>
  <c r="B9116" i="1"/>
  <c r="B8697" i="1"/>
  <c r="B8698" i="1"/>
  <c r="B8279" i="1"/>
  <c r="B8280" i="1"/>
  <c r="B7861" i="1"/>
  <c r="B7862" i="1"/>
  <c r="B7443" i="1"/>
  <c r="B7444" i="1"/>
  <c r="B7025" i="1"/>
  <c r="B7026" i="1"/>
  <c r="B6607" i="1"/>
  <c r="B6608" i="1"/>
  <c r="B6189" i="1"/>
  <c r="B6190" i="1"/>
  <c r="B5771" i="1"/>
  <c r="B5772" i="1"/>
  <c r="B5353" i="1"/>
  <c r="B5354" i="1"/>
  <c r="B4935" i="1"/>
  <c r="B4936" i="1"/>
  <c r="B4517" i="1"/>
  <c r="B4518" i="1"/>
  <c r="B4099" i="1"/>
  <c r="B4100" i="1"/>
  <c r="B3681" i="1"/>
  <c r="B3682" i="1"/>
  <c r="B3263" i="1"/>
  <c r="B3264" i="1"/>
  <c r="B2845" i="1"/>
  <c r="B2846" i="1"/>
  <c r="B2427" i="1"/>
  <c r="B2428" i="1"/>
  <c r="B2009" i="1"/>
  <c r="B2010" i="1"/>
  <c r="B1591" i="1"/>
  <c r="B1592" i="1"/>
  <c r="B1173" i="1"/>
  <c r="B1174" i="1"/>
  <c r="B755" i="1"/>
  <c r="B756" i="1"/>
  <c r="B337" i="1"/>
  <c r="B338" i="1"/>
  <c r="B9531" i="1"/>
  <c r="B9532" i="1"/>
  <c r="B9113" i="1"/>
  <c r="B9114" i="1"/>
  <c r="B8695" i="1"/>
  <c r="B8696" i="1"/>
  <c r="B8277" i="1"/>
  <c r="B8278" i="1"/>
  <c r="B7859" i="1"/>
  <c r="B7860" i="1"/>
  <c r="B7441" i="1"/>
  <c r="B7442" i="1"/>
  <c r="B7023" i="1"/>
  <c r="B7024" i="1"/>
  <c r="B6605" i="1"/>
  <c r="B6606" i="1"/>
  <c r="B6187" i="1"/>
  <c r="B6188" i="1"/>
  <c r="B5769" i="1"/>
  <c r="B5770" i="1"/>
  <c r="B5351" i="1"/>
  <c r="B5352" i="1"/>
  <c r="B4933" i="1"/>
  <c r="B4934" i="1"/>
  <c r="B4515" i="1"/>
  <c r="B4516" i="1"/>
  <c r="B4097" i="1"/>
  <c r="B4098" i="1"/>
  <c r="B3679" i="1"/>
  <c r="B3680" i="1"/>
  <c r="B3261" i="1"/>
  <c r="B3262" i="1"/>
  <c r="B2843" i="1"/>
  <c r="B2844" i="1"/>
  <c r="B2425" i="1"/>
  <c r="B2426" i="1"/>
  <c r="B2007" i="1"/>
  <c r="B2008" i="1"/>
  <c r="B1589" i="1"/>
  <c r="B1590" i="1"/>
  <c r="B1171" i="1"/>
  <c r="B1172" i="1"/>
  <c r="B753" i="1"/>
  <c r="B754" i="1"/>
  <c r="B335" i="1"/>
  <c r="B336" i="1"/>
  <c r="B9529" i="1"/>
  <c r="B9530" i="1"/>
  <c r="B9111" i="1"/>
  <c r="B9112" i="1"/>
  <c r="B8693" i="1"/>
  <c r="B8694" i="1"/>
  <c r="B8275" i="1"/>
  <c r="B8276" i="1"/>
  <c r="B7857" i="1"/>
  <c r="B7858" i="1"/>
  <c r="B7439" i="1"/>
  <c r="B7440" i="1"/>
  <c r="B7021" i="1"/>
  <c r="B7022" i="1"/>
  <c r="B6603" i="1"/>
  <c r="B6604" i="1"/>
  <c r="B6185" i="1"/>
  <c r="B6186" i="1"/>
  <c r="B5767" i="1"/>
  <c r="B5768" i="1"/>
  <c r="B5349" i="1"/>
  <c r="B5350" i="1"/>
  <c r="B4931" i="1"/>
  <c r="B4932" i="1"/>
  <c r="B4513" i="1"/>
  <c r="B4514" i="1"/>
  <c r="B4095" i="1"/>
  <c r="B4096" i="1"/>
  <c r="B3677" i="1"/>
  <c r="B3678" i="1"/>
  <c r="B3259" i="1"/>
  <c r="B3260" i="1"/>
  <c r="B2841" i="1"/>
  <c r="B2842" i="1"/>
  <c r="B2423" i="1"/>
  <c r="B2424" i="1"/>
  <c r="B2005" i="1"/>
  <c r="B2006" i="1"/>
  <c r="B1587" i="1"/>
  <c r="B1588" i="1"/>
  <c r="B1169" i="1"/>
  <c r="B1170" i="1"/>
  <c r="B751" i="1"/>
  <c r="B752" i="1"/>
  <c r="B333" i="1"/>
  <c r="B334" i="1"/>
  <c r="B9527" i="1"/>
  <c r="B9528" i="1"/>
  <c r="B9109" i="1"/>
  <c r="B9110" i="1"/>
  <c r="B8691" i="1"/>
  <c r="B8692" i="1"/>
  <c r="B8273" i="1"/>
  <c r="B8274" i="1"/>
  <c r="B7855" i="1"/>
  <c r="B7856" i="1"/>
  <c r="B7437" i="1"/>
  <c r="B7438" i="1"/>
  <c r="B7019" i="1"/>
  <c r="B7020" i="1"/>
  <c r="B6601" i="1"/>
  <c r="B6602" i="1"/>
  <c r="B6183" i="1"/>
  <c r="B6184" i="1"/>
  <c r="B5765" i="1"/>
  <c r="B5766" i="1"/>
  <c r="B5347" i="1"/>
  <c r="B5348" i="1"/>
  <c r="B4929" i="1"/>
  <c r="B4930" i="1"/>
  <c r="B4511" i="1"/>
  <c r="B4512" i="1"/>
  <c r="B4093" i="1"/>
  <c r="B4094" i="1"/>
  <c r="B3675" i="1"/>
  <c r="B3676" i="1"/>
  <c r="B3257" i="1"/>
  <c r="B3258" i="1"/>
  <c r="B2839" i="1"/>
  <c r="B2840" i="1"/>
  <c r="B2421" i="1"/>
  <c r="B2422" i="1"/>
  <c r="B2003" i="1"/>
  <c r="B2004" i="1"/>
  <c r="B1585" i="1"/>
  <c r="B1586" i="1"/>
  <c r="B1167" i="1"/>
  <c r="B1168" i="1"/>
  <c r="B749" i="1"/>
  <c r="B750" i="1"/>
  <c r="B331" i="1"/>
  <c r="B332" i="1"/>
  <c r="B9525" i="1"/>
  <c r="B9526" i="1"/>
  <c r="B9107" i="1"/>
  <c r="B9108" i="1"/>
  <c r="B8689" i="1"/>
  <c r="B8690" i="1"/>
  <c r="B8271" i="1"/>
  <c r="B8272" i="1"/>
  <c r="B7853" i="1"/>
  <c r="B7854" i="1"/>
  <c r="B7435" i="1"/>
  <c r="B7436" i="1"/>
  <c r="B7017" i="1"/>
  <c r="B7018" i="1"/>
  <c r="B6599" i="1"/>
  <c r="B6600" i="1"/>
  <c r="B6181" i="1"/>
  <c r="B6182" i="1"/>
  <c r="B5763" i="1"/>
  <c r="B5764" i="1"/>
  <c r="B5345" i="1"/>
  <c r="B5346" i="1"/>
  <c r="B4927" i="1"/>
  <c r="B4928" i="1"/>
  <c r="B4509" i="1"/>
  <c r="B4510" i="1"/>
  <c r="B4091" i="1"/>
  <c r="B4092" i="1"/>
  <c r="B3673" i="1"/>
  <c r="B3674" i="1"/>
  <c r="B3255" i="1"/>
  <c r="B3256" i="1"/>
  <c r="B2837" i="1"/>
  <c r="B2838" i="1"/>
  <c r="B2419" i="1"/>
  <c r="B2420" i="1"/>
  <c r="B2001" i="1"/>
  <c r="B2002" i="1"/>
  <c r="B1583" i="1"/>
  <c r="B1584" i="1"/>
  <c r="B1165" i="1"/>
  <c r="B1166" i="1"/>
  <c r="B747" i="1"/>
  <c r="B748" i="1"/>
  <c r="B329" i="1"/>
  <c r="B330" i="1"/>
  <c r="B9523" i="1"/>
  <c r="B9524" i="1"/>
  <c r="B9105" i="1"/>
  <c r="B9106" i="1"/>
  <c r="B8687" i="1"/>
  <c r="B8688" i="1"/>
  <c r="B8269" i="1"/>
  <c r="B8270" i="1"/>
  <c r="B7851" i="1"/>
  <c r="B7852" i="1"/>
  <c r="B7433" i="1"/>
  <c r="B7434" i="1"/>
  <c r="B7015" i="1"/>
  <c r="B7016" i="1"/>
  <c r="B6597" i="1"/>
  <c r="B6598" i="1"/>
  <c r="B6179" i="1"/>
  <c r="B6180" i="1"/>
  <c r="B5761" i="1"/>
  <c r="B5762" i="1"/>
  <c r="B5343" i="1"/>
  <c r="B5344" i="1"/>
  <c r="B4925" i="1"/>
  <c r="B4926" i="1"/>
  <c r="B4507" i="1"/>
  <c r="B4508" i="1"/>
  <c r="B4089" i="1"/>
  <c r="B4090" i="1"/>
  <c r="B3671" i="1"/>
  <c r="B3672" i="1"/>
  <c r="B3253" i="1"/>
  <c r="B3254" i="1"/>
  <c r="B2835" i="1"/>
  <c r="B2836" i="1"/>
  <c r="B2417" i="1"/>
  <c r="B2418" i="1"/>
  <c r="B1999" i="1"/>
  <c r="B2000" i="1"/>
  <c r="B1581" i="1"/>
  <c r="B1582" i="1"/>
  <c r="B1163" i="1"/>
  <c r="B1164" i="1"/>
  <c r="B745" i="1"/>
  <c r="B746" i="1"/>
  <c r="B327" i="1"/>
  <c r="B328" i="1"/>
  <c r="B9521" i="1"/>
  <c r="B9522" i="1"/>
  <c r="B9103" i="1"/>
  <c r="B9104" i="1"/>
  <c r="B8685" i="1"/>
  <c r="B8686" i="1"/>
  <c r="B8267" i="1"/>
  <c r="B8268" i="1"/>
  <c r="B7849" i="1"/>
  <c r="B7850" i="1"/>
  <c r="B7431" i="1"/>
  <c r="B7432" i="1"/>
  <c r="B7013" i="1"/>
  <c r="B7014" i="1"/>
  <c r="B6595" i="1"/>
  <c r="B6596" i="1"/>
  <c r="B6177" i="1"/>
  <c r="B6178" i="1"/>
  <c r="B5759" i="1"/>
  <c r="B5760" i="1"/>
  <c r="B5341" i="1"/>
  <c r="B5342" i="1"/>
  <c r="B4923" i="1"/>
  <c r="B4924" i="1"/>
  <c r="B4505" i="1"/>
  <c r="B4506" i="1"/>
  <c r="B4087" i="1"/>
  <c r="B4088" i="1"/>
  <c r="B3669" i="1"/>
  <c r="B3670" i="1"/>
  <c r="B3251" i="1"/>
  <c r="B3252" i="1"/>
  <c r="B2833" i="1"/>
  <c r="B2834" i="1"/>
  <c r="B2415" i="1"/>
  <c r="B2416" i="1"/>
  <c r="B1997" i="1"/>
  <c r="B1998" i="1"/>
  <c r="B1579" i="1"/>
  <c r="B1580" i="1"/>
  <c r="B1161" i="1"/>
  <c r="B1162" i="1"/>
  <c r="B743" i="1"/>
  <c r="B744" i="1"/>
  <c r="B325" i="1"/>
  <c r="B326" i="1"/>
  <c r="B9519" i="1"/>
  <c r="B9520" i="1"/>
  <c r="B9101" i="1"/>
  <c r="B9102" i="1"/>
  <c r="B8683" i="1"/>
  <c r="B8684" i="1"/>
  <c r="B8265" i="1"/>
  <c r="B8266" i="1"/>
  <c r="B7847" i="1"/>
  <c r="B7848" i="1"/>
  <c r="B7429" i="1"/>
  <c r="B7430" i="1"/>
  <c r="B7011" i="1"/>
  <c r="B7012" i="1"/>
  <c r="B6593" i="1"/>
  <c r="B6594" i="1"/>
  <c r="B6175" i="1"/>
  <c r="B6176" i="1"/>
  <c r="B5757" i="1"/>
  <c r="B5758" i="1"/>
  <c r="B5339" i="1"/>
  <c r="B5340" i="1"/>
  <c r="B4921" i="1"/>
  <c r="B4922" i="1"/>
  <c r="B4503" i="1"/>
  <c r="B4504" i="1"/>
  <c r="B4085" i="1"/>
  <c r="B4086" i="1"/>
  <c r="B3667" i="1"/>
  <c r="B3668" i="1"/>
  <c r="B3249" i="1"/>
  <c r="B3250" i="1"/>
  <c r="B2831" i="1"/>
  <c r="B2832" i="1"/>
  <c r="B2413" i="1"/>
  <c r="B2414" i="1"/>
  <c r="B1995" i="1"/>
  <c r="B1996" i="1"/>
  <c r="B1577" i="1"/>
  <c r="B1578" i="1"/>
  <c r="B1159" i="1"/>
  <c r="B1160" i="1"/>
  <c r="B741" i="1"/>
  <c r="B742" i="1"/>
  <c r="B323" i="1"/>
  <c r="B324" i="1"/>
  <c r="B9517" i="1"/>
  <c r="B9518" i="1"/>
  <c r="B9099" i="1"/>
  <c r="B9100" i="1"/>
  <c r="B8681" i="1"/>
  <c r="B8682" i="1"/>
  <c r="B8263" i="1"/>
  <c r="B8264" i="1"/>
  <c r="B7845" i="1"/>
  <c r="B7846" i="1"/>
  <c r="B7427" i="1"/>
  <c r="B7428" i="1"/>
  <c r="B7009" i="1"/>
  <c r="B7010" i="1"/>
  <c r="B6591" i="1"/>
  <c r="B6592" i="1"/>
  <c r="B6173" i="1"/>
  <c r="B6174" i="1"/>
  <c r="B5755" i="1"/>
  <c r="B5756" i="1"/>
  <c r="B5337" i="1"/>
  <c r="B5338" i="1"/>
  <c r="B4919" i="1"/>
  <c r="B4920" i="1"/>
  <c r="B4501" i="1"/>
  <c r="B4502" i="1"/>
  <c r="B4083" i="1"/>
  <c r="B4084" i="1"/>
  <c r="B3665" i="1"/>
  <c r="B3666" i="1"/>
  <c r="B3247" i="1"/>
  <c r="B3248" i="1"/>
  <c r="B2829" i="1"/>
  <c r="B2830" i="1"/>
  <c r="B2411" i="1"/>
  <c r="B2412" i="1"/>
  <c r="B1993" i="1"/>
  <c r="B1994" i="1"/>
  <c r="B1575" i="1"/>
  <c r="B1576" i="1"/>
  <c r="B1157" i="1"/>
  <c r="B1158" i="1"/>
  <c r="B739" i="1"/>
  <c r="B740" i="1"/>
  <c r="B321" i="1"/>
  <c r="B322" i="1"/>
  <c r="B9515" i="1"/>
  <c r="B9516" i="1"/>
  <c r="B9097" i="1"/>
  <c r="B9098" i="1"/>
  <c r="B8679" i="1"/>
  <c r="B8680" i="1"/>
  <c r="B8261" i="1"/>
  <c r="B8262" i="1"/>
  <c r="B7843" i="1"/>
  <c r="B7844" i="1"/>
  <c r="B7425" i="1"/>
  <c r="B7426" i="1"/>
  <c r="B7007" i="1"/>
  <c r="B7008" i="1"/>
  <c r="B6589" i="1"/>
  <c r="B6590" i="1"/>
  <c r="B6171" i="1"/>
  <c r="B6172" i="1"/>
  <c r="B5753" i="1"/>
  <c r="B5754" i="1"/>
  <c r="B5335" i="1"/>
  <c r="B5336" i="1"/>
  <c r="B4917" i="1"/>
  <c r="B4918" i="1"/>
  <c r="B4499" i="1"/>
  <c r="B4500" i="1"/>
  <c r="B4081" i="1"/>
  <c r="B4082" i="1"/>
  <c r="B3663" i="1"/>
  <c r="B3664" i="1"/>
  <c r="B3245" i="1"/>
  <c r="B3246" i="1"/>
  <c r="B2827" i="1"/>
  <c r="B2828" i="1"/>
  <c r="B2409" i="1"/>
  <c r="B2410" i="1"/>
  <c r="B1991" i="1"/>
  <c r="B1992" i="1"/>
  <c r="B1573" i="1"/>
  <c r="B1574" i="1"/>
  <c r="B1155" i="1"/>
  <c r="B1156" i="1"/>
  <c r="B737" i="1"/>
  <c r="B738" i="1"/>
  <c r="B319" i="1"/>
  <c r="B320" i="1"/>
  <c r="B9513" i="1"/>
  <c r="B9514" i="1"/>
  <c r="B9095" i="1"/>
  <c r="B9096" i="1"/>
  <c r="B8677" i="1"/>
  <c r="B8678" i="1"/>
  <c r="B8259" i="1"/>
  <c r="B8260" i="1"/>
  <c r="B7841" i="1"/>
  <c r="B7842" i="1"/>
  <c r="B7423" i="1"/>
  <c r="B7424" i="1"/>
  <c r="B7005" i="1"/>
  <c r="B7006" i="1"/>
  <c r="B6587" i="1"/>
  <c r="B6588" i="1"/>
  <c r="B6169" i="1"/>
  <c r="B6170" i="1"/>
  <c r="B5751" i="1"/>
  <c r="B5752" i="1"/>
  <c r="B5333" i="1"/>
  <c r="B5334" i="1"/>
  <c r="B4915" i="1"/>
  <c r="B4916" i="1"/>
  <c r="B4497" i="1"/>
  <c r="B4498" i="1"/>
  <c r="B4079" i="1"/>
  <c r="B4080" i="1"/>
  <c r="B3661" i="1"/>
  <c r="B3662" i="1"/>
  <c r="B3243" i="1"/>
  <c r="B3244" i="1"/>
  <c r="B2825" i="1"/>
  <c r="B2826" i="1"/>
  <c r="B2407" i="1"/>
  <c r="B2408" i="1"/>
  <c r="B1989" i="1"/>
  <c r="B1990" i="1"/>
  <c r="B1571" i="1"/>
  <c r="B1572" i="1"/>
  <c r="B1153" i="1"/>
  <c r="B1154" i="1"/>
  <c r="B735" i="1"/>
  <c r="B736" i="1"/>
  <c r="B317" i="1"/>
  <c r="B318" i="1"/>
  <c r="B9511" i="1"/>
  <c r="B9512" i="1"/>
  <c r="B9093" i="1"/>
  <c r="B9094" i="1"/>
  <c r="B8675" i="1"/>
  <c r="B8676" i="1"/>
  <c r="B8257" i="1"/>
  <c r="B8258" i="1"/>
  <c r="B7839" i="1"/>
  <c r="B7840" i="1"/>
  <c r="B7421" i="1"/>
  <c r="B7422" i="1"/>
  <c r="B7003" i="1"/>
  <c r="B7004" i="1"/>
  <c r="B6585" i="1"/>
  <c r="B6586" i="1"/>
  <c r="B6167" i="1"/>
  <c r="B6168" i="1"/>
  <c r="B5749" i="1"/>
  <c r="B5750" i="1"/>
  <c r="B5331" i="1"/>
  <c r="B5332" i="1"/>
  <c r="B4913" i="1"/>
  <c r="B4914" i="1"/>
  <c r="B4495" i="1"/>
  <c r="B4496" i="1"/>
  <c r="B4077" i="1"/>
  <c r="B4078" i="1"/>
  <c r="B3659" i="1"/>
  <c r="B3660" i="1"/>
  <c r="B3241" i="1"/>
  <c r="B3242" i="1"/>
  <c r="B2823" i="1"/>
  <c r="B2824" i="1"/>
  <c r="B2405" i="1"/>
  <c r="B2406" i="1"/>
  <c r="B1987" i="1"/>
  <c r="B1988" i="1"/>
  <c r="B1569" i="1"/>
  <c r="B1570" i="1"/>
  <c r="B1151" i="1"/>
  <c r="B1152" i="1"/>
  <c r="B733" i="1"/>
  <c r="B734" i="1"/>
  <c r="B315" i="1"/>
  <c r="B316" i="1"/>
  <c r="B9509" i="1"/>
  <c r="B9510" i="1"/>
  <c r="B9091" i="1"/>
  <c r="B9092" i="1"/>
  <c r="B8673" i="1"/>
  <c r="B8674" i="1"/>
  <c r="B8255" i="1"/>
  <c r="B8256" i="1"/>
  <c r="B7837" i="1"/>
  <c r="B7838" i="1"/>
  <c r="B7419" i="1"/>
  <c r="B7420" i="1"/>
  <c r="B7001" i="1"/>
  <c r="B7002" i="1"/>
  <c r="B6583" i="1"/>
  <c r="B6584" i="1"/>
  <c r="B6165" i="1"/>
  <c r="B6166" i="1"/>
  <c r="B5747" i="1"/>
  <c r="B5748" i="1"/>
  <c r="B5329" i="1"/>
  <c r="B5330" i="1"/>
  <c r="B4911" i="1"/>
  <c r="B4912" i="1"/>
  <c r="B4493" i="1"/>
  <c r="B4494" i="1"/>
  <c r="B4075" i="1"/>
  <c r="B4076" i="1"/>
  <c r="B3657" i="1"/>
  <c r="B3658" i="1"/>
  <c r="B3239" i="1"/>
  <c r="B3240" i="1"/>
  <c r="B2821" i="1"/>
  <c r="B2822" i="1"/>
  <c r="B2403" i="1"/>
  <c r="B2404" i="1"/>
  <c r="B1985" i="1"/>
  <c r="B1986" i="1"/>
  <c r="B1567" i="1"/>
  <c r="B1568" i="1"/>
  <c r="B1149" i="1"/>
  <c r="B1150" i="1"/>
  <c r="B731" i="1"/>
  <c r="B732" i="1"/>
  <c r="B313" i="1"/>
  <c r="B314" i="1"/>
  <c r="B9507" i="1"/>
  <c r="B9508" i="1"/>
  <c r="B9089" i="1"/>
  <c r="B9090" i="1"/>
  <c r="B8671" i="1"/>
  <c r="B8672" i="1"/>
  <c r="B8253" i="1"/>
  <c r="B8254" i="1"/>
  <c r="B7835" i="1"/>
  <c r="B7836" i="1"/>
  <c r="B7417" i="1"/>
  <c r="B7418" i="1"/>
  <c r="B6999" i="1"/>
  <c r="B7000" i="1"/>
  <c r="B6581" i="1"/>
  <c r="B6582" i="1"/>
  <c r="B6163" i="1"/>
  <c r="B6164" i="1"/>
  <c r="B5745" i="1"/>
  <c r="B5746" i="1"/>
  <c r="B5327" i="1"/>
  <c r="B5328" i="1"/>
  <c r="B4909" i="1"/>
  <c r="B4910" i="1"/>
  <c r="B4491" i="1"/>
  <c r="B4492" i="1"/>
  <c r="B4073" i="1"/>
  <c r="B4074" i="1"/>
  <c r="B3655" i="1"/>
  <c r="B3656" i="1"/>
  <c r="B3237" i="1"/>
  <c r="B3238" i="1"/>
  <c r="B2819" i="1"/>
  <c r="B2820" i="1"/>
  <c r="B2401" i="1"/>
  <c r="B2402" i="1"/>
  <c r="B1983" i="1"/>
  <c r="B1984" i="1"/>
  <c r="B1565" i="1"/>
  <c r="B1566" i="1"/>
  <c r="B1147" i="1"/>
  <c r="B1148" i="1"/>
  <c r="B729" i="1"/>
  <c r="B730" i="1"/>
  <c r="B311" i="1"/>
  <c r="B312" i="1"/>
  <c r="B9505" i="1"/>
  <c r="B9506" i="1"/>
  <c r="B9087" i="1"/>
  <c r="B9088" i="1"/>
  <c r="B8669" i="1"/>
  <c r="B8670" i="1"/>
  <c r="B8251" i="1"/>
  <c r="B8252" i="1"/>
  <c r="B7833" i="1"/>
  <c r="B7834" i="1"/>
  <c r="B7415" i="1"/>
  <c r="B7416" i="1"/>
  <c r="B6997" i="1"/>
  <c r="B6998" i="1"/>
  <c r="B6579" i="1"/>
  <c r="B6580" i="1"/>
  <c r="B6161" i="1"/>
  <c r="B6162" i="1"/>
  <c r="B5743" i="1"/>
  <c r="B5744" i="1"/>
  <c r="B5325" i="1"/>
  <c r="B5326" i="1"/>
  <c r="B4907" i="1"/>
  <c r="B4908" i="1"/>
  <c r="B4489" i="1"/>
  <c r="B4490" i="1"/>
  <c r="B4071" i="1"/>
  <c r="B4072" i="1"/>
  <c r="B3653" i="1"/>
  <c r="B3654" i="1"/>
  <c r="B3235" i="1"/>
  <c r="B3236" i="1"/>
  <c r="B2817" i="1"/>
  <c r="B2818" i="1"/>
  <c r="B2399" i="1"/>
  <c r="B2400" i="1"/>
  <c r="B1981" i="1"/>
  <c r="B1982" i="1"/>
  <c r="B1563" i="1"/>
  <c r="B1564" i="1"/>
  <c r="B1145" i="1"/>
  <c r="B1146" i="1"/>
  <c r="B727" i="1"/>
  <c r="B728" i="1"/>
  <c r="B309" i="1"/>
  <c r="B310" i="1"/>
  <c r="B9503" i="1"/>
  <c r="B9504" i="1"/>
  <c r="B9085" i="1"/>
  <c r="B9086" i="1"/>
  <c r="B8667" i="1"/>
  <c r="B8668" i="1"/>
  <c r="B8249" i="1"/>
  <c r="B8250" i="1"/>
  <c r="B7831" i="1"/>
  <c r="B7832" i="1"/>
  <c r="B7413" i="1"/>
  <c r="B7414" i="1"/>
  <c r="B6995" i="1"/>
  <c r="B6996" i="1"/>
  <c r="B6577" i="1"/>
  <c r="B6578" i="1"/>
  <c r="B6159" i="1"/>
  <c r="B6160" i="1"/>
  <c r="B5741" i="1"/>
  <c r="B5742" i="1"/>
  <c r="B5323" i="1"/>
  <c r="B5324" i="1"/>
  <c r="B4905" i="1"/>
  <c r="B4906" i="1"/>
  <c r="B4487" i="1"/>
  <c r="B4488" i="1"/>
  <c r="B4069" i="1"/>
  <c r="B4070" i="1"/>
  <c r="B3651" i="1"/>
  <c r="B3652" i="1"/>
  <c r="B3233" i="1"/>
  <c r="B3234" i="1"/>
  <c r="B2815" i="1"/>
  <c r="B2816" i="1"/>
  <c r="B2397" i="1"/>
  <c r="B2398" i="1"/>
  <c r="B1979" i="1"/>
  <c r="B1980" i="1"/>
  <c r="B1561" i="1"/>
  <c r="B1562" i="1"/>
  <c r="B1143" i="1"/>
  <c r="B1144" i="1"/>
  <c r="B725" i="1"/>
  <c r="B726" i="1"/>
  <c r="B307" i="1"/>
  <c r="B308" i="1"/>
  <c r="B9501" i="1"/>
  <c r="B9502" i="1"/>
  <c r="B9083" i="1"/>
  <c r="B9084" i="1"/>
  <c r="B8665" i="1"/>
  <c r="B8666" i="1"/>
  <c r="B8247" i="1"/>
  <c r="B8248" i="1"/>
  <c r="B7829" i="1"/>
  <c r="B7830" i="1"/>
  <c r="B7411" i="1"/>
  <c r="B7412" i="1"/>
  <c r="B6993" i="1"/>
  <c r="B6994" i="1"/>
  <c r="B6575" i="1"/>
  <c r="B6576" i="1"/>
  <c r="B6157" i="1"/>
  <c r="B6158" i="1"/>
  <c r="B5739" i="1"/>
  <c r="B5740" i="1"/>
  <c r="B5321" i="1"/>
  <c r="B5322" i="1"/>
  <c r="B4903" i="1"/>
  <c r="B4904" i="1"/>
  <c r="B4485" i="1"/>
  <c r="B4486" i="1"/>
  <c r="B4067" i="1"/>
  <c r="B4068" i="1"/>
  <c r="B3649" i="1"/>
  <c r="B3650" i="1"/>
  <c r="B3231" i="1"/>
  <c r="B3232" i="1"/>
  <c r="B2813" i="1"/>
  <c r="B2814" i="1"/>
  <c r="B2395" i="1"/>
  <c r="B2396" i="1"/>
  <c r="B1977" i="1"/>
  <c r="B1978" i="1"/>
  <c r="B1559" i="1"/>
  <c r="B1560" i="1"/>
  <c r="B1141" i="1"/>
  <c r="B1142" i="1"/>
  <c r="B723" i="1"/>
  <c r="B724" i="1"/>
  <c r="B305" i="1"/>
  <c r="B306" i="1"/>
  <c r="B9499" i="1"/>
  <c r="B9500" i="1"/>
  <c r="B9081" i="1"/>
  <c r="B9082" i="1"/>
  <c r="B8663" i="1"/>
  <c r="B8664" i="1"/>
  <c r="B8245" i="1"/>
  <c r="B8246" i="1"/>
  <c r="B7827" i="1"/>
  <c r="B7828" i="1"/>
  <c r="B7409" i="1"/>
  <c r="B7410" i="1"/>
  <c r="B6991" i="1"/>
  <c r="B6992" i="1"/>
  <c r="B6573" i="1"/>
  <c r="B6574" i="1"/>
  <c r="B6155" i="1"/>
  <c r="B6156" i="1"/>
  <c r="B5737" i="1"/>
  <c r="B5738" i="1"/>
  <c r="B5319" i="1"/>
  <c r="B5320" i="1"/>
  <c r="B4901" i="1"/>
  <c r="B4902" i="1"/>
  <c r="B4483" i="1"/>
  <c r="B4484" i="1"/>
  <c r="B4065" i="1"/>
  <c r="B4066" i="1"/>
  <c r="B3647" i="1"/>
  <c r="B3648" i="1"/>
  <c r="B3229" i="1"/>
  <c r="B3230" i="1"/>
  <c r="B2811" i="1"/>
  <c r="B2812" i="1"/>
  <c r="B2393" i="1"/>
  <c r="B2394" i="1"/>
  <c r="B1975" i="1"/>
  <c r="B1976" i="1"/>
  <c r="B1557" i="1"/>
  <c r="B1558" i="1"/>
  <c r="B1139" i="1"/>
  <c r="B1140" i="1"/>
  <c r="B721" i="1"/>
  <c r="B722" i="1"/>
  <c r="B303" i="1"/>
  <c r="B304" i="1"/>
  <c r="B9497" i="1"/>
  <c r="B9498" i="1"/>
  <c r="B9079" i="1"/>
  <c r="B9080" i="1"/>
  <c r="B8661" i="1"/>
  <c r="B8662" i="1"/>
  <c r="B8243" i="1"/>
  <c r="B8244" i="1"/>
  <c r="B7825" i="1"/>
  <c r="B7826" i="1"/>
  <c r="B7407" i="1"/>
  <c r="B7408" i="1"/>
  <c r="B6989" i="1"/>
  <c r="B6990" i="1"/>
  <c r="B6571" i="1"/>
  <c r="B6572" i="1"/>
  <c r="B6153" i="1"/>
  <c r="B6154" i="1"/>
  <c r="B5735" i="1"/>
  <c r="B5736" i="1"/>
  <c r="B5317" i="1"/>
  <c r="B5318" i="1"/>
  <c r="B4899" i="1"/>
  <c r="B4900" i="1"/>
  <c r="B4481" i="1"/>
  <c r="B4482" i="1"/>
  <c r="B4063" i="1"/>
  <c r="B4064" i="1"/>
  <c r="B3645" i="1"/>
  <c r="B3646" i="1"/>
  <c r="B3227" i="1"/>
  <c r="B3228" i="1"/>
  <c r="B2809" i="1"/>
  <c r="B2810" i="1"/>
  <c r="B2391" i="1"/>
  <c r="B2392" i="1"/>
  <c r="B1973" i="1"/>
  <c r="B1974" i="1"/>
  <c r="B1555" i="1"/>
  <c r="B1556" i="1"/>
  <c r="B1137" i="1"/>
  <c r="B1138" i="1"/>
  <c r="B719" i="1"/>
  <c r="B720" i="1"/>
  <c r="B301" i="1"/>
  <c r="B302" i="1"/>
  <c r="B9495" i="1"/>
  <c r="B9496" i="1"/>
  <c r="B9077" i="1"/>
  <c r="B9078" i="1"/>
  <c r="B8659" i="1"/>
  <c r="B8660" i="1"/>
  <c r="B8241" i="1"/>
  <c r="B8242" i="1"/>
  <c r="B7823" i="1"/>
  <c r="B7824" i="1"/>
  <c r="B7405" i="1"/>
  <c r="B7406" i="1"/>
  <c r="B6987" i="1"/>
  <c r="B6988" i="1"/>
  <c r="B6569" i="1"/>
  <c r="B6570" i="1"/>
  <c r="B6151" i="1"/>
  <c r="B6152" i="1"/>
  <c r="B5733" i="1"/>
  <c r="B5734" i="1"/>
  <c r="B5315" i="1"/>
  <c r="B5316" i="1"/>
  <c r="B4897" i="1"/>
  <c r="B4898" i="1"/>
  <c r="B4479" i="1"/>
  <c r="B4480" i="1"/>
  <c r="B4061" i="1"/>
  <c r="B4062" i="1"/>
  <c r="B3643" i="1"/>
  <c r="B3644" i="1"/>
  <c r="B3225" i="1"/>
  <c r="B3226" i="1"/>
  <c r="B2807" i="1"/>
  <c r="B2808" i="1"/>
  <c r="B2389" i="1"/>
  <c r="B2390" i="1"/>
  <c r="B1971" i="1"/>
  <c r="B1972" i="1"/>
  <c r="B1553" i="1"/>
  <c r="B1554" i="1"/>
  <c r="B1135" i="1"/>
  <c r="B1136" i="1"/>
  <c r="B717" i="1"/>
  <c r="B718" i="1"/>
  <c r="B299" i="1"/>
  <c r="B300" i="1"/>
  <c r="B9493" i="1"/>
  <c r="B9494" i="1"/>
  <c r="B9075" i="1"/>
  <c r="B9076" i="1"/>
  <c r="B8657" i="1"/>
  <c r="B8658" i="1"/>
  <c r="B8239" i="1"/>
  <c r="B8240" i="1"/>
  <c r="B7821" i="1"/>
  <c r="B7822" i="1"/>
  <c r="B7403" i="1"/>
  <c r="B7404" i="1"/>
  <c r="B6985" i="1"/>
  <c r="B6986" i="1"/>
  <c r="B6567" i="1"/>
  <c r="B6568" i="1"/>
  <c r="B6149" i="1"/>
  <c r="B6150" i="1"/>
  <c r="B5731" i="1"/>
  <c r="B5732" i="1"/>
  <c r="B5313" i="1"/>
  <c r="B5314" i="1"/>
  <c r="B4895" i="1"/>
  <c r="B4896" i="1"/>
  <c r="B4477" i="1"/>
  <c r="B4478" i="1"/>
  <c r="B4059" i="1"/>
  <c r="B4060" i="1"/>
  <c r="B3641" i="1"/>
  <c r="B3642" i="1"/>
  <c r="B3223" i="1"/>
  <c r="B3224" i="1"/>
  <c r="B2805" i="1"/>
  <c r="B2806" i="1"/>
  <c r="B2387" i="1"/>
  <c r="B2388" i="1"/>
  <c r="B1969" i="1"/>
  <c r="B1970" i="1"/>
  <c r="B1551" i="1"/>
  <c r="B1552" i="1"/>
  <c r="B1133" i="1"/>
  <c r="B1134" i="1"/>
  <c r="B715" i="1"/>
  <c r="B716" i="1"/>
  <c r="B297" i="1"/>
  <c r="B298" i="1"/>
  <c r="B9491" i="1"/>
  <c r="B9492" i="1"/>
  <c r="B9073" i="1"/>
  <c r="B9074" i="1"/>
  <c r="B8655" i="1"/>
  <c r="B8656" i="1"/>
  <c r="B8237" i="1"/>
  <c r="B8238" i="1"/>
  <c r="B7819" i="1"/>
  <c r="B7820" i="1"/>
  <c r="B7401" i="1"/>
  <c r="B7402" i="1"/>
  <c r="B6983" i="1"/>
  <c r="B6984" i="1"/>
  <c r="B6565" i="1"/>
  <c r="B6566" i="1"/>
  <c r="B6147" i="1"/>
  <c r="B6148" i="1"/>
  <c r="B5729" i="1"/>
  <c r="B5730" i="1"/>
  <c r="B5311" i="1"/>
  <c r="B5312" i="1"/>
  <c r="B4893" i="1"/>
  <c r="B4894" i="1"/>
  <c r="B4475" i="1"/>
  <c r="B4476" i="1"/>
  <c r="B4057" i="1"/>
  <c r="B4058" i="1"/>
  <c r="B3639" i="1"/>
  <c r="B3640" i="1"/>
  <c r="B3221" i="1"/>
  <c r="B3222" i="1"/>
  <c r="B2803" i="1"/>
  <c r="B2804" i="1"/>
  <c r="B2385" i="1"/>
  <c r="B2386" i="1"/>
  <c r="B1967" i="1"/>
  <c r="B1968" i="1"/>
  <c r="B1549" i="1"/>
  <c r="B1550" i="1"/>
  <c r="B1131" i="1"/>
  <c r="B1132" i="1"/>
  <c r="B713" i="1"/>
  <c r="B714" i="1"/>
  <c r="B295" i="1"/>
  <c r="B296" i="1"/>
  <c r="B9489" i="1"/>
  <c r="B9490" i="1"/>
  <c r="B9071" i="1"/>
  <c r="B9072" i="1"/>
  <c r="B8653" i="1"/>
  <c r="B8654" i="1"/>
  <c r="B8235" i="1"/>
  <c r="B8236" i="1"/>
  <c r="B7817" i="1"/>
  <c r="B7818" i="1"/>
  <c r="B7399" i="1"/>
  <c r="B7400" i="1"/>
  <c r="B6981" i="1"/>
  <c r="B6982" i="1"/>
  <c r="B6563" i="1"/>
  <c r="B6564" i="1"/>
  <c r="B6145" i="1"/>
  <c r="B6146" i="1"/>
  <c r="B5727" i="1"/>
  <c r="B5728" i="1"/>
  <c r="B5309" i="1"/>
  <c r="B5310" i="1"/>
  <c r="B4891" i="1"/>
  <c r="B4892" i="1"/>
  <c r="B4473" i="1"/>
  <c r="B4474" i="1"/>
  <c r="B4055" i="1"/>
  <c r="B4056" i="1"/>
  <c r="B3637" i="1"/>
  <c r="B3638" i="1"/>
  <c r="B3219" i="1"/>
  <c r="B3220" i="1"/>
  <c r="B2801" i="1"/>
  <c r="B2802" i="1"/>
  <c r="B2383" i="1"/>
  <c r="B2384" i="1"/>
  <c r="B1965" i="1"/>
  <c r="B1966" i="1"/>
  <c r="B1547" i="1"/>
  <c r="B1548" i="1"/>
  <c r="B1129" i="1"/>
  <c r="B1130" i="1"/>
  <c r="B711" i="1"/>
  <c r="B712" i="1"/>
  <c r="B293" i="1"/>
  <c r="B294" i="1"/>
  <c r="B9487" i="1"/>
  <c r="B9488" i="1"/>
  <c r="B9069" i="1"/>
  <c r="B9070" i="1"/>
  <c r="B8651" i="1"/>
  <c r="B8652" i="1"/>
  <c r="B8233" i="1"/>
  <c r="B8234" i="1"/>
  <c r="B7815" i="1"/>
  <c r="B7816" i="1"/>
  <c r="B7397" i="1"/>
  <c r="B7398" i="1"/>
  <c r="B6979" i="1"/>
  <c r="B6980" i="1"/>
  <c r="B6561" i="1"/>
  <c r="B6562" i="1"/>
  <c r="B6143" i="1"/>
  <c r="B6144" i="1"/>
  <c r="B5725" i="1"/>
  <c r="B5726" i="1"/>
  <c r="B5307" i="1"/>
  <c r="B5308" i="1"/>
  <c r="B4889" i="1"/>
  <c r="B4890" i="1"/>
  <c r="B4471" i="1"/>
  <c r="B4472" i="1"/>
  <c r="B4053" i="1"/>
  <c r="B4054" i="1"/>
  <c r="B3635" i="1"/>
  <c r="B3636" i="1"/>
  <c r="B3217" i="1"/>
  <c r="B3218" i="1"/>
  <c r="B2799" i="1"/>
  <c r="B2800" i="1"/>
  <c r="B2381" i="1"/>
  <c r="B2382" i="1"/>
  <c r="B1963" i="1"/>
  <c r="B1964" i="1"/>
  <c r="B1545" i="1"/>
  <c r="B1546" i="1"/>
  <c r="B1127" i="1"/>
  <c r="B1128" i="1"/>
  <c r="B709" i="1"/>
  <c r="B710" i="1"/>
  <c r="B291" i="1"/>
  <c r="B292" i="1"/>
  <c r="B9485" i="1"/>
  <c r="B9486" i="1"/>
  <c r="B9067" i="1"/>
  <c r="B9068" i="1"/>
  <c r="B8649" i="1"/>
  <c r="B8650" i="1"/>
  <c r="B8231" i="1"/>
  <c r="B8232" i="1"/>
  <c r="B7813" i="1"/>
  <c r="B7814" i="1"/>
  <c r="B7395" i="1"/>
  <c r="B7396" i="1"/>
  <c r="B6977" i="1"/>
  <c r="B6978" i="1"/>
  <c r="B6559" i="1"/>
  <c r="B6560" i="1"/>
  <c r="B6141" i="1"/>
  <c r="B6142" i="1"/>
  <c r="B5723" i="1"/>
  <c r="B5724" i="1"/>
  <c r="B5305" i="1"/>
  <c r="B5306" i="1"/>
  <c r="B4887" i="1"/>
  <c r="B4888" i="1"/>
  <c r="B4469" i="1"/>
  <c r="B4470" i="1"/>
  <c r="B4051" i="1"/>
  <c r="B4052" i="1"/>
  <c r="B3633" i="1"/>
  <c r="B3634" i="1"/>
  <c r="B3215" i="1"/>
  <c r="B3216" i="1"/>
  <c r="B2797" i="1"/>
  <c r="B2798" i="1"/>
  <c r="B2379" i="1"/>
  <c r="B2380" i="1"/>
  <c r="B1961" i="1"/>
  <c r="B1962" i="1"/>
  <c r="B1543" i="1"/>
  <c r="B1544" i="1"/>
  <c r="B1125" i="1"/>
  <c r="B1126" i="1"/>
  <c r="B707" i="1"/>
  <c r="B708" i="1"/>
  <c r="B289" i="1"/>
  <c r="B290" i="1"/>
  <c r="B9483" i="1"/>
  <c r="B9484" i="1"/>
  <c r="B9065" i="1"/>
  <c r="B9066" i="1"/>
  <c r="B8647" i="1"/>
  <c r="B8648" i="1"/>
  <c r="B8229" i="1"/>
  <c r="B8230" i="1"/>
  <c r="B7811" i="1"/>
  <c r="B7812" i="1"/>
  <c r="B7393" i="1"/>
  <c r="B7394" i="1"/>
  <c r="B6975" i="1"/>
  <c r="B6976" i="1"/>
  <c r="B6557" i="1"/>
  <c r="B6558" i="1"/>
  <c r="B6139" i="1"/>
  <c r="B6140" i="1"/>
  <c r="B5721" i="1"/>
  <c r="B5722" i="1"/>
  <c r="B5303" i="1"/>
  <c r="B5304" i="1"/>
  <c r="B4885" i="1"/>
  <c r="B4886" i="1"/>
  <c r="B4467" i="1"/>
  <c r="B4468" i="1"/>
  <c r="B4049" i="1"/>
  <c r="B4050" i="1"/>
  <c r="B3631" i="1"/>
  <c r="B3632" i="1"/>
  <c r="B3213" i="1"/>
  <c r="B3214" i="1"/>
  <c r="B2795" i="1"/>
  <c r="B2796" i="1"/>
  <c r="B2377" i="1"/>
  <c r="B2378" i="1"/>
  <c r="B1959" i="1"/>
  <c r="B1960" i="1"/>
  <c r="B1541" i="1"/>
  <c r="B1542" i="1"/>
  <c r="B1123" i="1"/>
  <c r="B1124" i="1"/>
  <c r="B705" i="1"/>
  <c r="B706" i="1"/>
  <c r="B287" i="1"/>
  <c r="B288" i="1"/>
  <c r="B9481" i="1"/>
  <c r="B9482" i="1"/>
  <c r="B9063" i="1"/>
  <c r="B9064" i="1"/>
  <c r="B8645" i="1"/>
  <c r="B8646" i="1"/>
  <c r="B8227" i="1"/>
  <c r="B8228" i="1"/>
  <c r="B7809" i="1"/>
  <c r="B7810" i="1"/>
  <c r="B7391" i="1"/>
  <c r="B7392" i="1"/>
  <c r="B6973" i="1"/>
  <c r="B6974" i="1"/>
  <c r="B6555" i="1"/>
  <c r="B6556" i="1"/>
  <c r="B6137" i="1"/>
  <c r="B6138" i="1"/>
  <c r="B5719" i="1"/>
  <c r="B5720" i="1"/>
  <c r="B5301" i="1"/>
  <c r="B5302" i="1"/>
  <c r="B4883" i="1"/>
  <c r="B4884" i="1"/>
  <c r="B4465" i="1"/>
  <c r="B4466" i="1"/>
  <c r="B4047" i="1"/>
  <c r="B4048" i="1"/>
  <c r="B3629" i="1"/>
  <c r="B3630" i="1"/>
  <c r="B3211" i="1"/>
  <c r="B3212" i="1"/>
  <c r="B2793" i="1"/>
  <c r="B2794" i="1"/>
  <c r="B2375" i="1"/>
  <c r="B2376" i="1"/>
  <c r="B1957" i="1"/>
  <c r="B1958" i="1"/>
  <c r="B1539" i="1"/>
  <c r="B1540" i="1"/>
  <c r="B1121" i="1"/>
  <c r="B1122" i="1"/>
  <c r="B703" i="1"/>
  <c r="B704" i="1"/>
  <c r="B285" i="1"/>
  <c r="B286" i="1"/>
  <c r="B9479" i="1"/>
  <c r="B9480" i="1"/>
  <c r="B9061" i="1"/>
  <c r="B9062" i="1"/>
  <c r="B8643" i="1"/>
  <c r="B8644" i="1"/>
  <c r="B8225" i="1"/>
  <c r="B8226" i="1"/>
  <c r="B7807" i="1"/>
  <c r="B7808" i="1"/>
  <c r="B7389" i="1"/>
  <c r="B7390" i="1"/>
  <c r="B6971" i="1"/>
  <c r="B6972" i="1"/>
  <c r="B6553" i="1"/>
  <c r="B6554" i="1"/>
  <c r="B6135" i="1"/>
  <c r="B6136" i="1"/>
  <c r="B5717" i="1"/>
  <c r="B5718" i="1"/>
  <c r="B5299" i="1"/>
  <c r="B5300" i="1"/>
  <c r="B4881" i="1"/>
  <c r="B4882" i="1"/>
  <c r="B4463" i="1"/>
  <c r="B4464" i="1"/>
  <c r="B4045" i="1"/>
  <c r="B4046" i="1"/>
  <c r="B3627" i="1"/>
  <c r="B3628" i="1"/>
  <c r="B3209" i="1"/>
  <c r="B3210" i="1"/>
  <c r="B2791" i="1"/>
  <c r="B2792" i="1"/>
  <c r="B2373" i="1"/>
  <c r="B2374" i="1"/>
  <c r="B1955" i="1"/>
  <c r="B1956" i="1"/>
  <c r="B1537" i="1"/>
  <c r="B1538" i="1"/>
  <c r="B1119" i="1"/>
  <c r="B1120" i="1"/>
  <c r="B701" i="1"/>
  <c r="B702" i="1"/>
  <c r="B283" i="1"/>
  <c r="B284" i="1"/>
  <c r="B9477" i="1"/>
  <c r="B9478" i="1"/>
  <c r="B9059" i="1"/>
  <c r="B9060" i="1"/>
  <c r="B8641" i="1"/>
  <c r="B8642" i="1"/>
  <c r="B8223" i="1"/>
  <c r="B8224" i="1"/>
  <c r="B7805" i="1"/>
  <c r="B7806" i="1"/>
  <c r="B7387" i="1"/>
  <c r="B7388" i="1"/>
  <c r="B6969" i="1"/>
  <c r="B6970" i="1"/>
  <c r="B6551" i="1"/>
  <c r="B6552" i="1"/>
  <c r="B6133" i="1"/>
  <c r="B6134" i="1"/>
  <c r="B5715" i="1"/>
  <c r="B5716" i="1"/>
  <c r="B5297" i="1"/>
  <c r="B5298" i="1"/>
  <c r="B4879" i="1"/>
  <c r="B4880" i="1"/>
  <c r="B4461" i="1"/>
  <c r="B4462" i="1"/>
  <c r="B4043" i="1"/>
  <c r="B4044" i="1"/>
  <c r="B3625" i="1"/>
  <c r="B3626" i="1"/>
  <c r="B3207" i="1"/>
  <c r="B3208" i="1"/>
  <c r="B2789" i="1"/>
  <c r="B2790" i="1"/>
  <c r="B2371" i="1"/>
  <c r="B2372" i="1"/>
  <c r="B1953" i="1"/>
  <c r="B1954" i="1"/>
  <c r="B1535" i="1"/>
  <c r="B1536" i="1"/>
  <c r="B1117" i="1"/>
  <c r="B1118" i="1"/>
  <c r="B699" i="1"/>
  <c r="B700" i="1"/>
  <c r="B281" i="1"/>
  <c r="B282" i="1"/>
  <c r="B9475" i="1"/>
  <c r="B9476" i="1"/>
  <c r="B9057" i="1"/>
  <c r="B9058" i="1"/>
  <c r="B8639" i="1"/>
  <c r="B8640" i="1"/>
  <c r="B8221" i="1"/>
  <c r="B8222" i="1"/>
  <c r="B7803" i="1"/>
  <c r="B7804" i="1"/>
  <c r="B7385" i="1"/>
  <c r="B7386" i="1"/>
  <c r="B6967" i="1"/>
  <c r="B6968" i="1"/>
  <c r="B6549" i="1"/>
  <c r="B6550" i="1"/>
  <c r="B6131" i="1"/>
  <c r="B6132" i="1"/>
  <c r="B5713" i="1"/>
  <c r="B5714" i="1"/>
  <c r="B5295" i="1"/>
  <c r="B5296" i="1"/>
  <c r="B4877" i="1"/>
  <c r="B4878" i="1"/>
  <c r="B4459" i="1"/>
  <c r="B4460" i="1"/>
  <c r="B4041" i="1"/>
  <c r="B4042" i="1"/>
  <c r="B3623" i="1"/>
  <c r="B3624" i="1"/>
  <c r="B3205" i="1"/>
  <c r="B3206" i="1"/>
  <c r="B2787" i="1"/>
  <c r="B2788" i="1"/>
  <c r="B2369" i="1"/>
  <c r="B2370" i="1"/>
  <c r="B1951" i="1"/>
  <c r="B1952" i="1"/>
  <c r="B1533" i="1"/>
  <c r="B1534" i="1"/>
  <c r="B1115" i="1"/>
  <c r="B1116" i="1"/>
  <c r="B697" i="1"/>
  <c r="B698" i="1"/>
  <c r="B279" i="1"/>
  <c r="B280" i="1"/>
  <c r="B9473" i="1"/>
  <c r="B9474" i="1"/>
  <c r="B9055" i="1"/>
  <c r="B9056" i="1"/>
  <c r="B8637" i="1"/>
  <c r="B8638" i="1"/>
  <c r="B8219" i="1"/>
  <c r="B8220" i="1"/>
  <c r="B7801" i="1"/>
  <c r="B7802" i="1"/>
  <c r="B7383" i="1"/>
  <c r="B7384" i="1"/>
  <c r="B6965" i="1"/>
  <c r="B6966" i="1"/>
  <c r="B6547" i="1"/>
  <c r="B6548" i="1"/>
  <c r="B6129" i="1"/>
  <c r="B6130" i="1"/>
  <c r="B5711" i="1"/>
  <c r="B5712" i="1"/>
  <c r="B5293" i="1"/>
  <c r="B5294" i="1"/>
  <c r="B4875" i="1"/>
  <c r="B4876" i="1"/>
  <c r="B4457" i="1"/>
  <c r="B4458" i="1"/>
  <c r="B4039" i="1"/>
  <c r="B4040" i="1"/>
  <c r="B3621" i="1"/>
  <c r="B3622" i="1"/>
  <c r="B3203" i="1"/>
  <c r="B3204" i="1"/>
  <c r="B2785" i="1"/>
  <c r="B2786" i="1"/>
  <c r="B2367" i="1"/>
  <c r="B2368" i="1"/>
  <c r="B1949" i="1"/>
  <c r="B1950" i="1"/>
  <c r="B1531" i="1"/>
  <c r="B1532" i="1"/>
  <c r="B1113" i="1"/>
  <c r="B1114" i="1"/>
  <c r="B695" i="1"/>
  <c r="B696" i="1"/>
  <c r="B277" i="1"/>
  <c r="B278" i="1"/>
  <c r="B9471" i="1"/>
  <c r="B9472" i="1"/>
  <c r="B9053" i="1"/>
  <c r="B9054" i="1"/>
  <c r="B8635" i="1"/>
  <c r="B8636" i="1"/>
  <c r="B8217" i="1"/>
  <c r="B8218" i="1"/>
  <c r="B7799" i="1"/>
  <c r="B7800" i="1"/>
  <c r="B7381" i="1"/>
  <c r="B7382" i="1"/>
  <c r="B6963" i="1"/>
  <c r="B6964" i="1"/>
  <c r="B6545" i="1"/>
  <c r="B6546" i="1"/>
  <c r="B6127" i="1"/>
  <c r="B6128" i="1"/>
  <c r="B5709" i="1"/>
  <c r="B5710" i="1"/>
  <c r="B5291" i="1"/>
  <c r="B5292" i="1"/>
  <c r="B4873" i="1"/>
  <c r="B4874" i="1"/>
  <c r="B4455" i="1"/>
  <c r="B4456" i="1"/>
  <c r="B4037" i="1"/>
  <c r="B4038" i="1"/>
  <c r="B3619" i="1"/>
  <c r="B3620" i="1"/>
  <c r="B3201" i="1"/>
  <c r="B3202" i="1"/>
  <c r="B2783" i="1"/>
  <c r="B2784" i="1"/>
  <c r="B2365" i="1"/>
  <c r="B2366" i="1"/>
  <c r="B1947" i="1"/>
  <c r="B1948" i="1"/>
  <c r="B1529" i="1"/>
  <c r="B1530" i="1"/>
  <c r="B1111" i="1"/>
  <c r="B1112" i="1"/>
  <c r="B693" i="1"/>
  <c r="B694" i="1"/>
  <c r="B275" i="1"/>
  <c r="B276" i="1"/>
  <c r="B9469" i="1"/>
  <c r="B9470" i="1"/>
  <c r="B9051" i="1"/>
  <c r="B9052" i="1"/>
  <c r="B8633" i="1"/>
  <c r="B8634" i="1"/>
  <c r="B8215" i="1"/>
  <c r="B8216" i="1"/>
  <c r="B7797" i="1"/>
  <c r="B7798" i="1"/>
  <c r="B7379" i="1"/>
  <c r="B7380" i="1"/>
  <c r="B6961" i="1"/>
  <c r="B6962" i="1"/>
  <c r="B6543" i="1"/>
  <c r="B6544" i="1"/>
  <c r="B6125" i="1"/>
  <c r="B6126" i="1"/>
  <c r="B5707" i="1"/>
  <c r="B5708" i="1"/>
  <c r="B5289" i="1"/>
  <c r="B5290" i="1"/>
  <c r="B4871" i="1"/>
  <c r="B4872" i="1"/>
  <c r="B4453" i="1"/>
  <c r="B4454" i="1"/>
  <c r="B4035" i="1"/>
  <c r="B4036" i="1"/>
  <c r="B3617" i="1"/>
  <c r="B3618" i="1"/>
  <c r="B3199" i="1"/>
  <c r="B3200" i="1"/>
  <c r="B2781" i="1"/>
  <c r="B2782" i="1"/>
  <c r="B2363" i="1"/>
  <c r="B2364" i="1"/>
  <c r="B1945" i="1"/>
  <c r="B1946" i="1"/>
  <c r="B1527" i="1"/>
  <c r="B1528" i="1"/>
  <c r="B1109" i="1"/>
  <c r="B1110" i="1"/>
  <c r="B691" i="1"/>
  <c r="B692" i="1"/>
  <c r="B273" i="1"/>
  <c r="B274" i="1"/>
  <c r="B9467" i="1"/>
  <c r="B9468" i="1"/>
  <c r="B9049" i="1"/>
  <c r="B9050" i="1"/>
  <c r="B8631" i="1"/>
  <c r="B8632" i="1"/>
  <c r="B8213" i="1"/>
  <c r="B8214" i="1"/>
  <c r="B7795" i="1"/>
  <c r="B7796" i="1"/>
  <c r="B7377" i="1"/>
  <c r="B7378" i="1"/>
  <c r="B6959" i="1"/>
  <c r="B6960" i="1"/>
  <c r="B6541" i="1"/>
  <c r="B6542" i="1"/>
  <c r="B6123" i="1"/>
  <c r="B6124" i="1"/>
  <c r="B5705" i="1"/>
  <c r="B5706" i="1"/>
  <c r="B5287" i="1"/>
  <c r="B5288" i="1"/>
  <c r="B4869" i="1"/>
  <c r="B4870" i="1"/>
  <c r="B4451" i="1"/>
  <c r="B4452" i="1"/>
  <c r="B4033" i="1"/>
  <c r="B4034" i="1"/>
  <c r="B3615" i="1"/>
  <c r="B3616" i="1"/>
  <c r="B3197" i="1"/>
  <c r="B3198" i="1"/>
  <c r="B2779" i="1"/>
  <c r="B2780" i="1"/>
  <c r="B2361" i="1"/>
  <c r="B2362" i="1"/>
  <c r="B1943" i="1"/>
  <c r="B1944" i="1"/>
  <c r="B1525" i="1"/>
  <c r="B1526" i="1"/>
  <c r="B1107" i="1"/>
  <c r="B1108" i="1"/>
  <c r="B689" i="1"/>
  <c r="B690" i="1"/>
  <c r="B271" i="1"/>
  <c r="B272" i="1"/>
  <c r="B9465" i="1"/>
  <c r="B9466" i="1"/>
  <c r="B9047" i="1"/>
  <c r="B9048" i="1"/>
  <c r="B8629" i="1"/>
  <c r="B8630" i="1"/>
  <c r="B8211" i="1"/>
  <c r="B8212" i="1"/>
  <c r="B7793" i="1"/>
  <c r="B7794" i="1"/>
  <c r="B7375" i="1"/>
  <c r="B7376" i="1"/>
  <c r="B6957" i="1"/>
  <c r="B6958" i="1"/>
  <c r="B6539" i="1"/>
  <c r="B6540" i="1"/>
  <c r="B6121" i="1"/>
  <c r="B6122" i="1"/>
  <c r="B5703" i="1"/>
  <c r="B5704" i="1"/>
  <c r="B5285" i="1"/>
  <c r="B5286" i="1"/>
  <c r="B4867" i="1"/>
  <c r="B4868" i="1"/>
  <c r="B4449" i="1"/>
  <c r="B4450" i="1"/>
  <c r="B4031" i="1"/>
  <c r="B4032" i="1"/>
  <c r="B3613" i="1"/>
  <c r="B3614" i="1"/>
  <c r="B3195" i="1"/>
  <c r="B3196" i="1"/>
  <c r="B2777" i="1"/>
  <c r="B2778" i="1"/>
  <c r="B2359" i="1"/>
  <c r="B2360" i="1"/>
  <c r="B1941" i="1"/>
  <c r="B1942" i="1"/>
  <c r="B1523" i="1"/>
  <c r="B1524" i="1"/>
  <c r="B1105" i="1"/>
  <c r="B1106" i="1"/>
  <c r="B687" i="1"/>
  <c r="B688" i="1"/>
  <c r="B269" i="1"/>
  <c r="B270" i="1"/>
  <c r="B9463" i="1"/>
  <c r="B9464" i="1"/>
  <c r="B9045" i="1"/>
  <c r="B9046" i="1"/>
  <c r="B8627" i="1"/>
  <c r="B8628" i="1"/>
  <c r="B8209" i="1"/>
  <c r="B8210" i="1"/>
  <c r="B7791" i="1"/>
  <c r="B7792" i="1"/>
  <c r="B7373" i="1"/>
  <c r="B7374" i="1"/>
  <c r="B6955" i="1"/>
  <c r="B6956" i="1"/>
  <c r="B6537" i="1"/>
  <c r="B6538" i="1"/>
  <c r="B6119" i="1"/>
  <c r="B6120" i="1"/>
  <c r="B5701" i="1"/>
  <c r="B5702" i="1"/>
  <c r="B5283" i="1"/>
  <c r="B5284" i="1"/>
  <c r="B4865" i="1"/>
  <c r="B4866" i="1"/>
  <c r="B4447" i="1"/>
  <c r="B4448" i="1"/>
  <c r="B4029" i="1"/>
  <c r="B4030" i="1"/>
  <c r="B3611" i="1"/>
  <c r="B3612" i="1"/>
  <c r="B3193" i="1"/>
  <c r="B3194" i="1"/>
  <c r="B2775" i="1"/>
  <c r="B2776" i="1"/>
  <c r="B2357" i="1"/>
  <c r="B2358" i="1"/>
  <c r="B1939" i="1"/>
  <c r="B1940" i="1"/>
  <c r="B1521" i="1"/>
  <c r="B1522" i="1"/>
  <c r="B1103" i="1"/>
  <c r="B1104" i="1"/>
  <c r="B685" i="1"/>
  <c r="B686" i="1"/>
  <c r="B267" i="1"/>
  <c r="B268" i="1"/>
  <c r="B9461" i="1"/>
  <c r="B9462" i="1"/>
  <c r="B9043" i="1"/>
  <c r="B9044" i="1"/>
  <c r="B8625" i="1"/>
  <c r="B8626" i="1"/>
  <c r="B8207" i="1"/>
  <c r="B8208" i="1"/>
  <c r="B7789" i="1"/>
  <c r="B7790" i="1"/>
  <c r="B7371" i="1"/>
  <c r="B7372" i="1"/>
  <c r="B6953" i="1"/>
  <c r="B6954" i="1"/>
  <c r="B6535" i="1"/>
  <c r="B6536" i="1"/>
  <c r="B6117" i="1"/>
  <c r="B6118" i="1"/>
  <c r="B5699" i="1"/>
  <c r="B5700" i="1"/>
  <c r="B5281" i="1"/>
  <c r="B5282" i="1"/>
  <c r="B4863" i="1"/>
  <c r="B4864" i="1"/>
  <c r="B4445" i="1"/>
  <c r="B4446" i="1"/>
  <c r="B4027" i="1"/>
  <c r="B4028" i="1"/>
  <c r="B3609" i="1"/>
  <c r="B3610" i="1"/>
  <c r="B3191" i="1"/>
  <c r="B3192" i="1"/>
  <c r="B2773" i="1"/>
  <c r="B2774" i="1"/>
  <c r="B2355" i="1"/>
  <c r="B2356" i="1"/>
  <c r="B1937" i="1"/>
  <c r="B1938" i="1"/>
  <c r="B1519" i="1"/>
  <c r="B1520" i="1"/>
  <c r="B1101" i="1"/>
  <c r="B1102" i="1"/>
  <c r="B683" i="1"/>
  <c r="B684" i="1"/>
  <c r="B265" i="1"/>
  <c r="B266" i="1"/>
  <c r="B9459" i="1"/>
  <c r="B9460" i="1"/>
  <c r="B9041" i="1"/>
  <c r="B9042" i="1"/>
  <c r="B8623" i="1"/>
  <c r="B8624" i="1"/>
  <c r="B8205" i="1"/>
  <c r="B8206" i="1"/>
  <c r="B7787" i="1"/>
  <c r="B7788" i="1"/>
  <c r="B7369" i="1"/>
  <c r="B7370" i="1"/>
  <c r="B6951" i="1"/>
  <c r="B6952" i="1"/>
  <c r="B6533" i="1"/>
  <c r="B6534" i="1"/>
  <c r="B6115" i="1"/>
  <c r="B6116" i="1"/>
  <c r="B5697" i="1"/>
  <c r="B5698" i="1"/>
  <c r="B5279" i="1"/>
  <c r="B5280" i="1"/>
  <c r="B4861" i="1"/>
  <c r="B4862" i="1"/>
  <c r="B4443" i="1"/>
  <c r="B4444" i="1"/>
  <c r="B4025" i="1"/>
  <c r="B4026" i="1"/>
  <c r="B3607" i="1"/>
  <c r="B3608" i="1"/>
  <c r="B3189" i="1"/>
  <c r="B3190" i="1"/>
  <c r="B2771" i="1"/>
  <c r="B2772" i="1"/>
  <c r="B2353" i="1"/>
  <c r="B2354" i="1"/>
  <c r="B1935" i="1"/>
  <c r="B1936" i="1"/>
  <c r="B1517" i="1"/>
  <c r="B1518" i="1"/>
  <c r="B1099" i="1"/>
  <c r="B1100" i="1"/>
  <c r="B681" i="1"/>
  <c r="B682" i="1"/>
  <c r="B263" i="1"/>
  <c r="B264" i="1"/>
  <c r="B9457" i="1"/>
  <c r="B9458" i="1"/>
  <c r="B9039" i="1"/>
  <c r="B9040" i="1"/>
  <c r="B8621" i="1"/>
  <c r="B8622" i="1"/>
  <c r="B8203" i="1"/>
  <c r="B8204" i="1"/>
  <c r="B7785" i="1"/>
  <c r="B7786" i="1"/>
  <c r="B7367" i="1"/>
  <c r="B7368" i="1"/>
  <c r="B6949" i="1"/>
  <c r="B6950" i="1"/>
  <c r="B6531" i="1"/>
  <c r="B6532" i="1"/>
  <c r="B6113" i="1"/>
  <c r="B6114" i="1"/>
  <c r="B5695" i="1"/>
  <c r="B5696" i="1"/>
  <c r="B5277" i="1"/>
  <c r="B5278" i="1"/>
  <c r="B4859" i="1"/>
  <c r="B4860" i="1"/>
  <c r="B4441" i="1"/>
  <c r="B4442" i="1"/>
  <c r="B4023" i="1"/>
  <c r="B4024" i="1"/>
  <c r="B3605" i="1"/>
  <c r="B3606" i="1"/>
  <c r="B3187" i="1"/>
  <c r="B3188" i="1"/>
  <c r="B2769" i="1"/>
  <c r="B2770" i="1"/>
  <c r="B2351" i="1"/>
  <c r="B2352" i="1"/>
  <c r="B1933" i="1"/>
  <c r="B1934" i="1"/>
  <c r="B1515" i="1"/>
  <c r="B1516" i="1"/>
  <c r="B1097" i="1"/>
  <c r="B1098" i="1"/>
  <c r="B679" i="1"/>
  <c r="B680" i="1"/>
  <c r="B261" i="1"/>
  <c r="B262" i="1"/>
  <c r="B9455" i="1"/>
  <c r="B9456" i="1"/>
  <c r="B9037" i="1"/>
  <c r="B9038" i="1"/>
  <c r="B8619" i="1"/>
  <c r="B8620" i="1"/>
  <c r="B8201" i="1"/>
  <c r="B8202" i="1"/>
  <c r="B7783" i="1"/>
  <c r="B7784" i="1"/>
  <c r="B7365" i="1"/>
  <c r="B7366" i="1"/>
  <c r="B6947" i="1"/>
  <c r="B6948" i="1"/>
  <c r="B6529" i="1"/>
  <c r="B6530" i="1"/>
  <c r="B6111" i="1"/>
  <c r="B6112" i="1"/>
  <c r="B5693" i="1"/>
  <c r="B5694" i="1"/>
  <c r="B5275" i="1"/>
  <c r="B5276" i="1"/>
  <c r="B4857" i="1"/>
  <c r="B4858" i="1"/>
  <c r="B4439" i="1"/>
  <c r="B4440" i="1"/>
  <c r="B4021" i="1"/>
  <c r="B4022" i="1"/>
  <c r="B3603" i="1"/>
  <c r="B3604" i="1"/>
  <c r="B3185" i="1"/>
  <c r="B3186" i="1"/>
  <c r="B2767" i="1"/>
  <c r="B2768" i="1"/>
  <c r="B2349" i="1"/>
  <c r="B2350" i="1"/>
  <c r="B1931" i="1"/>
  <c r="B1932" i="1"/>
  <c r="B1513" i="1"/>
  <c r="B1514" i="1"/>
  <c r="B1095" i="1"/>
  <c r="B1096" i="1"/>
  <c r="B677" i="1"/>
  <c r="B678" i="1"/>
  <c r="B259" i="1"/>
  <c r="B260" i="1"/>
  <c r="B9453" i="1"/>
  <c r="B9454" i="1"/>
  <c r="B9035" i="1"/>
  <c r="B9036" i="1"/>
  <c r="B8617" i="1"/>
  <c r="B8618" i="1"/>
  <c r="B8199" i="1"/>
  <c r="B8200" i="1"/>
  <c r="B7781" i="1"/>
  <c r="B7782" i="1"/>
  <c r="B7363" i="1"/>
  <c r="B7364" i="1"/>
  <c r="B6945" i="1"/>
  <c r="B6946" i="1"/>
  <c r="B6527" i="1"/>
  <c r="B6528" i="1"/>
  <c r="B6109" i="1"/>
  <c r="B6110" i="1"/>
  <c r="B5691" i="1"/>
  <c r="B5692" i="1"/>
  <c r="B5273" i="1"/>
  <c r="B5274" i="1"/>
  <c r="B4855" i="1"/>
  <c r="B4856" i="1"/>
  <c r="B4437" i="1"/>
  <c r="B4438" i="1"/>
  <c r="B4019" i="1"/>
  <c r="B4020" i="1"/>
  <c r="B3601" i="1"/>
  <c r="B3602" i="1"/>
  <c r="B3183" i="1"/>
  <c r="B3184" i="1"/>
  <c r="B2765" i="1"/>
  <c r="B2766" i="1"/>
  <c r="B2347" i="1"/>
  <c r="B2348" i="1"/>
  <c r="B1929" i="1"/>
  <c r="B1930" i="1"/>
  <c r="B1511" i="1"/>
  <c r="B1512" i="1"/>
  <c r="B1093" i="1"/>
  <c r="B1094" i="1"/>
  <c r="B675" i="1"/>
  <c r="B676" i="1"/>
  <c r="B257" i="1"/>
  <c r="B258" i="1"/>
  <c r="B9451" i="1"/>
  <c r="B9452" i="1"/>
  <c r="B9033" i="1"/>
  <c r="B9034" i="1"/>
  <c r="B8615" i="1"/>
  <c r="B8616" i="1"/>
  <c r="B8197" i="1"/>
  <c r="B8198" i="1"/>
  <c r="B7779" i="1"/>
  <c r="B7780" i="1"/>
  <c r="B7361" i="1"/>
  <c r="B7362" i="1"/>
  <c r="B6943" i="1"/>
  <c r="B6944" i="1"/>
  <c r="B6525" i="1"/>
  <c r="B6526" i="1"/>
  <c r="B6107" i="1"/>
  <c r="B6108" i="1"/>
  <c r="B5689" i="1"/>
  <c r="B5690" i="1"/>
  <c r="B5271" i="1"/>
  <c r="B5272" i="1"/>
  <c r="B4853" i="1"/>
  <c r="B4854" i="1"/>
  <c r="B4435" i="1"/>
  <c r="B4436" i="1"/>
  <c r="B4017" i="1"/>
  <c r="B4018" i="1"/>
  <c r="B3599" i="1"/>
  <c r="B3600" i="1"/>
  <c r="B3181" i="1"/>
  <c r="B3182" i="1"/>
  <c r="B2763" i="1"/>
  <c r="B2764" i="1"/>
  <c r="B2345" i="1"/>
  <c r="B2346" i="1"/>
  <c r="B1927" i="1"/>
  <c r="B1928" i="1"/>
  <c r="B1509" i="1"/>
  <c r="B1510" i="1"/>
  <c r="B1091" i="1"/>
  <c r="B1092" i="1"/>
  <c r="B673" i="1"/>
  <c r="B674" i="1"/>
  <c r="B255" i="1"/>
  <c r="B256" i="1"/>
  <c r="B9449" i="1"/>
  <c r="B9450" i="1"/>
  <c r="B9031" i="1"/>
  <c r="B9032" i="1"/>
  <c r="B8613" i="1"/>
  <c r="B8614" i="1"/>
  <c r="B8195" i="1"/>
  <c r="B8196" i="1"/>
  <c r="B7777" i="1"/>
  <c r="B7778" i="1"/>
  <c r="B7359" i="1"/>
  <c r="B7360" i="1"/>
  <c r="B6941" i="1"/>
  <c r="B6942" i="1"/>
  <c r="B6523" i="1"/>
  <c r="B6524" i="1"/>
  <c r="B6105" i="1"/>
  <c r="B6106" i="1"/>
  <c r="B5687" i="1"/>
  <c r="B5688" i="1"/>
  <c r="B5269" i="1"/>
  <c r="B5270" i="1"/>
  <c r="B4851" i="1"/>
  <c r="B4852" i="1"/>
  <c r="B4433" i="1"/>
  <c r="B4434" i="1"/>
  <c r="B4015" i="1"/>
  <c r="B4016" i="1"/>
  <c r="B3597" i="1"/>
  <c r="B3598" i="1"/>
  <c r="B3179" i="1"/>
  <c r="B3180" i="1"/>
  <c r="B2761" i="1"/>
  <c r="B2762" i="1"/>
  <c r="B2343" i="1"/>
  <c r="B2344" i="1"/>
  <c r="B1925" i="1"/>
  <c r="B1926" i="1"/>
  <c r="B1507" i="1"/>
  <c r="B1508" i="1"/>
  <c r="B1089" i="1"/>
  <c r="B1090" i="1"/>
  <c r="B671" i="1"/>
  <c r="B672" i="1"/>
  <c r="B253" i="1"/>
  <c r="B254" i="1"/>
  <c r="B9447" i="1"/>
  <c r="B9448" i="1"/>
  <c r="B9029" i="1"/>
  <c r="B9030" i="1"/>
  <c r="B8611" i="1"/>
  <c r="B8612" i="1"/>
  <c r="B8193" i="1"/>
  <c r="B8194" i="1"/>
  <c r="B7775" i="1"/>
  <c r="B7776" i="1"/>
  <c r="B7357" i="1"/>
  <c r="B7358" i="1"/>
  <c r="B6939" i="1"/>
  <c r="B6940" i="1"/>
  <c r="B6521" i="1"/>
  <c r="B6522" i="1"/>
  <c r="B6103" i="1"/>
  <c r="B6104" i="1"/>
  <c r="B5685" i="1"/>
  <c r="B5686" i="1"/>
  <c r="B5267" i="1"/>
  <c r="B5268" i="1"/>
  <c r="B4849" i="1"/>
  <c r="B4850" i="1"/>
  <c r="B4431" i="1"/>
  <c r="B4432" i="1"/>
  <c r="B4013" i="1"/>
  <c r="B4014" i="1"/>
  <c r="B3595" i="1"/>
  <c r="B3596" i="1"/>
  <c r="B3177" i="1"/>
  <c r="B3178" i="1"/>
  <c r="B2759" i="1"/>
  <c r="B2760" i="1"/>
  <c r="B2341" i="1"/>
  <c r="B2342" i="1"/>
  <c r="B1923" i="1"/>
  <c r="B1924" i="1"/>
  <c r="B1505" i="1"/>
  <c r="B1506" i="1"/>
  <c r="B1087" i="1"/>
  <c r="B1088" i="1"/>
  <c r="B669" i="1"/>
  <c r="B670" i="1"/>
  <c r="B251" i="1"/>
  <c r="B252" i="1"/>
  <c r="B9445" i="1"/>
  <c r="B9446" i="1"/>
  <c r="B9027" i="1"/>
  <c r="B9028" i="1"/>
  <c r="B8609" i="1"/>
  <c r="B8610" i="1"/>
  <c r="B8191" i="1"/>
  <c r="B8192" i="1"/>
  <c r="B7773" i="1"/>
  <c r="B7774" i="1"/>
  <c r="B7355" i="1"/>
  <c r="B7356" i="1"/>
  <c r="B6937" i="1"/>
  <c r="B6938" i="1"/>
  <c r="B6519" i="1"/>
  <c r="B6520" i="1"/>
  <c r="B6101" i="1"/>
  <c r="B6102" i="1"/>
  <c r="B5683" i="1"/>
  <c r="B5684" i="1"/>
  <c r="B5265" i="1"/>
  <c r="B5266" i="1"/>
  <c r="B4847" i="1"/>
  <c r="B4848" i="1"/>
  <c r="B4429" i="1"/>
  <c r="B4430" i="1"/>
  <c r="B4011" i="1"/>
  <c r="B4012" i="1"/>
  <c r="B3593" i="1"/>
  <c r="B3594" i="1"/>
  <c r="B3175" i="1"/>
  <c r="B3176" i="1"/>
  <c r="B2757" i="1"/>
  <c r="B2758" i="1"/>
  <c r="B2339" i="1"/>
  <c r="B2340" i="1"/>
  <c r="B1921" i="1"/>
  <c r="B1922" i="1"/>
  <c r="B1503" i="1"/>
  <c r="B1504" i="1"/>
  <c r="B1085" i="1"/>
  <c r="B1086" i="1"/>
  <c r="B667" i="1"/>
  <c r="B668" i="1"/>
  <c r="B249" i="1"/>
  <c r="B250" i="1"/>
  <c r="B9443" i="1"/>
  <c r="B9444" i="1"/>
  <c r="B9025" i="1"/>
  <c r="B9026" i="1"/>
  <c r="B8607" i="1"/>
  <c r="B8608" i="1"/>
  <c r="B8189" i="1"/>
  <c r="B8190" i="1"/>
  <c r="B7771" i="1"/>
  <c r="B7772" i="1"/>
  <c r="B7353" i="1"/>
  <c r="B7354" i="1"/>
  <c r="B6935" i="1"/>
  <c r="B6936" i="1"/>
  <c r="B6517" i="1"/>
  <c r="B6518" i="1"/>
  <c r="B6099" i="1"/>
  <c r="B6100" i="1"/>
  <c r="B5681" i="1"/>
  <c r="B5682" i="1"/>
  <c r="B5263" i="1"/>
  <c r="B5264" i="1"/>
  <c r="B4845" i="1"/>
  <c r="B4846" i="1"/>
  <c r="B4427" i="1"/>
  <c r="B4428" i="1"/>
  <c r="B4009" i="1"/>
  <c r="B4010" i="1"/>
  <c r="B3591" i="1"/>
  <c r="B3592" i="1"/>
  <c r="B3173" i="1"/>
  <c r="B3174" i="1"/>
  <c r="B2755" i="1"/>
  <c r="B2756" i="1"/>
  <c r="B2337" i="1"/>
  <c r="B2338" i="1"/>
  <c r="B1919" i="1"/>
  <c r="B1920" i="1"/>
  <c r="B1501" i="1"/>
  <c r="B1502" i="1"/>
  <c r="B1083" i="1"/>
  <c r="B1084" i="1"/>
  <c r="B665" i="1"/>
  <c r="B666" i="1"/>
  <c r="B247" i="1"/>
  <c r="B248" i="1"/>
  <c r="B9441" i="1"/>
  <c r="B9442" i="1"/>
  <c r="B9023" i="1"/>
  <c r="B9024" i="1"/>
  <c r="B8605" i="1"/>
  <c r="B8606" i="1"/>
  <c r="B8187" i="1"/>
  <c r="B8188" i="1"/>
  <c r="B7769" i="1"/>
  <c r="B7770" i="1"/>
  <c r="B7351" i="1"/>
  <c r="B7352" i="1"/>
  <c r="B6933" i="1"/>
  <c r="B6934" i="1"/>
  <c r="B6515" i="1"/>
  <c r="B6516" i="1"/>
  <c r="B6097" i="1"/>
  <c r="B6098" i="1"/>
  <c r="B5679" i="1"/>
  <c r="B5680" i="1"/>
  <c r="B5261" i="1"/>
  <c r="B5262" i="1"/>
  <c r="B4843" i="1"/>
  <c r="B4844" i="1"/>
  <c r="B4425" i="1"/>
  <c r="B4426" i="1"/>
  <c r="B4007" i="1"/>
  <c r="B4008" i="1"/>
  <c r="B3589" i="1"/>
  <c r="B3590" i="1"/>
  <c r="B3171" i="1"/>
  <c r="B3172" i="1"/>
  <c r="B2753" i="1"/>
  <c r="B2754" i="1"/>
  <c r="B2335" i="1"/>
  <c r="B2336" i="1"/>
  <c r="B1917" i="1"/>
  <c r="B1918" i="1"/>
  <c r="B1499" i="1"/>
  <c r="B1500" i="1"/>
  <c r="B1081" i="1"/>
  <c r="B1082" i="1"/>
  <c r="B663" i="1"/>
  <c r="B664" i="1"/>
  <c r="B245" i="1"/>
  <c r="B246" i="1"/>
  <c r="B9439" i="1"/>
  <c r="B9440" i="1"/>
  <c r="B9021" i="1"/>
  <c r="B9022" i="1"/>
  <c r="B8603" i="1"/>
  <c r="B8604" i="1"/>
  <c r="B8185" i="1"/>
  <c r="B8186" i="1"/>
  <c r="B7767" i="1"/>
  <c r="B7768" i="1"/>
  <c r="B7349" i="1"/>
  <c r="B7350" i="1"/>
  <c r="B6931" i="1"/>
  <c r="B6932" i="1"/>
  <c r="B6513" i="1"/>
  <c r="B6514" i="1"/>
  <c r="B6095" i="1"/>
  <c r="B6096" i="1"/>
  <c r="B5677" i="1"/>
  <c r="B5678" i="1"/>
  <c r="B5259" i="1"/>
  <c r="B5260" i="1"/>
  <c r="B4841" i="1"/>
  <c r="B4842" i="1"/>
  <c r="B4423" i="1"/>
  <c r="B4424" i="1"/>
  <c r="B4005" i="1"/>
  <c r="B4006" i="1"/>
  <c r="B3587" i="1"/>
  <c r="B3588" i="1"/>
  <c r="B3169" i="1"/>
  <c r="B3170" i="1"/>
  <c r="B2751" i="1"/>
  <c r="B2752" i="1"/>
  <c r="B2333" i="1"/>
  <c r="B2334" i="1"/>
  <c r="B1915" i="1"/>
  <c r="B1916" i="1"/>
  <c r="B1497" i="1"/>
  <c r="B1498" i="1"/>
  <c r="B1079" i="1"/>
  <c r="B1080" i="1"/>
  <c r="B661" i="1"/>
  <c r="B662" i="1"/>
  <c r="B243" i="1"/>
  <c r="B244" i="1"/>
  <c r="B9437" i="1"/>
  <c r="B9438" i="1"/>
  <c r="B9019" i="1"/>
  <c r="B9020" i="1"/>
  <c r="B8601" i="1"/>
  <c r="B8602" i="1"/>
  <c r="B8183" i="1"/>
  <c r="B8184" i="1"/>
  <c r="B7765" i="1"/>
  <c r="B7766" i="1"/>
  <c r="B7347" i="1"/>
  <c r="B7348" i="1"/>
  <c r="B6929" i="1"/>
  <c r="B6930" i="1"/>
  <c r="B6511" i="1"/>
  <c r="B6512" i="1"/>
  <c r="B6093" i="1"/>
  <c r="B6094" i="1"/>
  <c r="B5675" i="1"/>
  <c r="B5676" i="1"/>
  <c r="B5257" i="1"/>
  <c r="B5258" i="1"/>
  <c r="B4839" i="1"/>
  <c r="B4840" i="1"/>
  <c r="B4421" i="1"/>
  <c r="B4422" i="1"/>
  <c r="B4003" i="1"/>
  <c r="B4004" i="1"/>
  <c r="B3585" i="1"/>
  <c r="B3586" i="1"/>
  <c r="B3167" i="1"/>
  <c r="B3168" i="1"/>
  <c r="B2749" i="1"/>
  <c r="B2750" i="1"/>
  <c r="B2331" i="1"/>
  <c r="B2332" i="1"/>
  <c r="B1913" i="1"/>
  <c r="B1914" i="1"/>
  <c r="B1495" i="1"/>
  <c r="B1496" i="1"/>
  <c r="B1077" i="1"/>
  <c r="B1078" i="1"/>
  <c r="B659" i="1"/>
  <c r="B660" i="1"/>
  <c r="B241" i="1"/>
  <c r="B242" i="1"/>
  <c r="B9435" i="1"/>
  <c r="B9436" i="1"/>
  <c r="B9017" i="1"/>
  <c r="B9018" i="1"/>
  <c r="B8599" i="1"/>
  <c r="B8600" i="1"/>
  <c r="B8181" i="1"/>
  <c r="B8182" i="1"/>
  <c r="B7763" i="1"/>
  <c r="B7764" i="1"/>
  <c r="B7345" i="1"/>
  <c r="B7346" i="1"/>
  <c r="B6927" i="1"/>
  <c r="B6928" i="1"/>
  <c r="B6509" i="1"/>
  <c r="B6510" i="1"/>
  <c r="B6091" i="1"/>
  <c r="B6092" i="1"/>
  <c r="B5673" i="1"/>
  <c r="B5674" i="1"/>
  <c r="B5255" i="1"/>
  <c r="B5256" i="1"/>
  <c r="B4837" i="1"/>
  <c r="B4838" i="1"/>
  <c r="B4419" i="1"/>
  <c r="B4420" i="1"/>
  <c r="B4001" i="1"/>
  <c r="B4002" i="1"/>
  <c r="B3583" i="1"/>
  <c r="B3584" i="1"/>
  <c r="B3165" i="1"/>
  <c r="B3166" i="1"/>
  <c r="B2747" i="1"/>
  <c r="B2748" i="1"/>
  <c r="B2329" i="1"/>
  <c r="B2330" i="1"/>
  <c r="B1911" i="1"/>
  <c r="B1912" i="1"/>
  <c r="B1493" i="1"/>
  <c r="B1494" i="1"/>
  <c r="B1075" i="1"/>
  <c r="B1076" i="1"/>
  <c r="B657" i="1"/>
  <c r="B658" i="1"/>
  <c r="B239" i="1"/>
  <c r="B240" i="1"/>
  <c r="B9433" i="1"/>
  <c r="B9434" i="1"/>
  <c r="B9015" i="1"/>
  <c r="B9016" i="1"/>
  <c r="B8597" i="1"/>
  <c r="B8598" i="1"/>
  <c r="B8179" i="1"/>
  <c r="B8180" i="1"/>
  <c r="B7761" i="1"/>
  <c r="B7762" i="1"/>
  <c r="B7343" i="1"/>
  <c r="B7344" i="1"/>
  <c r="B6925" i="1"/>
  <c r="B6926" i="1"/>
  <c r="B6507" i="1"/>
  <c r="B6508" i="1"/>
  <c r="B6089" i="1"/>
  <c r="B6090" i="1"/>
  <c r="B5671" i="1"/>
  <c r="B5672" i="1"/>
  <c r="B5253" i="1"/>
  <c r="B5254" i="1"/>
  <c r="B4835" i="1"/>
  <c r="B4836" i="1"/>
  <c r="B4417" i="1"/>
  <c r="B4418" i="1"/>
  <c r="B3999" i="1"/>
  <c r="B4000" i="1"/>
  <c r="B3581" i="1"/>
  <c r="B3582" i="1"/>
  <c r="B3163" i="1"/>
  <c r="B3164" i="1"/>
  <c r="B2745" i="1"/>
  <c r="B2746" i="1"/>
  <c r="B2327" i="1"/>
  <c r="B2328" i="1"/>
  <c r="B1909" i="1"/>
  <c r="B1910" i="1"/>
  <c r="B1491" i="1"/>
  <c r="B1492" i="1"/>
  <c r="B1073" i="1"/>
  <c r="B1074" i="1"/>
  <c r="B655" i="1"/>
  <c r="B656" i="1"/>
  <c r="B237" i="1"/>
  <c r="B238" i="1"/>
  <c r="B9431" i="1"/>
  <c r="B9432" i="1"/>
  <c r="B9013" i="1"/>
  <c r="B9014" i="1"/>
  <c r="B8595" i="1"/>
  <c r="B8596" i="1"/>
  <c r="B8177" i="1"/>
  <c r="B8178" i="1"/>
  <c r="B7759" i="1"/>
  <c r="B7760" i="1"/>
  <c r="B7341" i="1"/>
  <c r="B7342" i="1"/>
  <c r="B6923" i="1"/>
  <c r="B6924" i="1"/>
  <c r="B6505" i="1"/>
  <c r="B6506" i="1"/>
  <c r="B6087" i="1"/>
  <c r="B6088" i="1"/>
  <c r="B5669" i="1"/>
  <c r="B5670" i="1"/>
  <c r="B5251" i="1"/>
  <c r="B5252" i="1"/>
  <c r="B4833" i="1"/>
  <c r="B4834" i="1"/>
  <c r="B4415" i="1"/>
  <c r="B4416" i="1"/>
  <c r="B3997" i="1"/>
  <c r="B3998" i="1"/>
  <c r="B3579" i="1"/>
  <c r="B3580" i="1"/>
  <c r="B3161" i="1"/>
  <c r="B3162" i="1"/>
  <c r="B2743" i="1"/>
  <c r="B2744" i="1"/>
  <c r="B2325" i="1"/>
  <c r="B2326" i="1"/>
  <c r="B1907" i="1"/>
  <c r="B1908" i="1"/>
  <c r="B1489" i="1"/>
  <c r="B1490" i="1"/>
  <c r="B1071" i="1"/>
  <c r="B1072" i="1"/>
  <c r="B653" i="1"/>
  <c r="B654" i="1"/>
  <c r="B235" i="1"/>
  <c r="B236" i="1"/>
  <c r="B9429" i="1"/>
  <c r="B9430" i="1"/>
  <c r="B9011" i="1"/>
  <c r="B9012" i="1"/>
  <c r="B8593" i="1"/>
  <c r="B8594" i="1"/>
  <c r="B8175" i="1"/>
  <c r="B8176" i="1"/>
  <c r="B7757" i="1"/>
  <c r="B7758" i="1"/>
  <c r="B7339" i="1"/>
  <c r="B7340" i="1"/>
  <c r="B6921" i="1"/>
  <c r="B6922" i="1"/>
  <c r="B6503" i="1"/>
  <c r="B6504" i="1"/>
  <c r="B6085" i="1"/>
  <c r="B6086" i="1"/>
  <c r="B5667" i="1"/>
  <c r="B5668" i="1"/>
  <c r="B5249" i="1"/>
  <c r="B5250" i="1"/>
  <c r="B4831" i="1"/>
  <c r="B4832" i="1"/>
  <c r="B4413" i="1"/>
  <c r="B4414" i="1"/>
  <c r="B3995" i="1"/>
  <c r="B3996" i="1"/>
  <c r="B3577" i="1"/>
  <c r="B3578" i="1"/>
  <c r="B3159" i="1"/>
  <c r="B3160" i="1"/>
  <c r="B2741" i="1"/>
  <c r="B2742" i="1"/>
  <c r="B2323" i="1"/>
  <c r="B2324" i="1"/>
  <c r="B1905" i="1"/>
  <c r="B1906" i="1"/>
  <c r="B1487" i="1"/>
  <c r="B1488" i="1"/>
  <c r="B1069" i="1"/>
  <c r="B1070" i="1"/>
  <c r="B651" i="1"/>
  <c r="B652" i="1"/>
  <c r="B233" i="1"/>
  <c r="B234" i="1"/>
  <c r="B9427" i="1"/>
  <c r="B9428" i="1"/>
  <c r="B9009" i="1"/>
  <c r="B9010" i="1"/>
  <c r="B8591" i="1"/>
  <c r="B8592" i="1"/>
  <c r="B8173" i="1"/>
  <c r="B8174" i="1"/>
  <c r="B7755" i="1"/>
  <c r="B7756" i="1"/>
  <c r="B7337" i="1"/>
  <c r="B7338" i="1"/>
  <c r="B6919" i="1"/>
  <c r="B6920" i="1"/>
  <c r="B6501" i="1"/>
  <c r="B6502" i="1"/>
  <c r="B6083" i="1"/>
  <c r="B6084" i="1"/>
  <c r="B5665" i="1"/>
  <c r="B5666" i="1"/>
  <c r="B5247" i="1"/>
  <c r="B5248" i="1"/>
  <c r="B4829" i="1"/>
  <c r="B4830" i="1"/>
  <c r="B4411" i="1"/>
  <c r="B4412" i="1"/>
  <c r="B3993" i="1"/>
  <c r="B3994" i="1"/>
  <c r="B3575" i="1"/>
  <c r="B3576" i="1"/>
  <c r="B3157" i="1"/>
  <c r="B3158" i="1"/>
  <c r="B2739" i="1"/>
  <c r="B2740" i="1"/>
  <c r="B2321" i="1"/>
  <c r="B2322" i="1"/>
  <c r="B1903" i="1"/>
  <c r="B1904" i="1"/>
  <c r="B1485" i="1"/>
  <c r="B1486" i="1"/>
  <c r="B1067" i="1"/>
  <c r="B1068" i="1"/>
  <c r="B649" i="1"/>
  <c r="B650" i="1"/>
  <c r="B231" i="1"/>
  <c r="B232" i="1"/>
  <c r="B9425" i="1"/>
  <c r="B9426" i="1"/>
  <c r="B9007" i="1"/>
  <c r="B9008" i="1"/>
  <c r="B8589" i="1"/>
  <c r="B8590" i="1"/>
  <c r="B8171" i="1"/>
  <c r="B8172" i="1"/>
  <c r="B7753" i="1"/>
  <c r="B7754" i="1"/>
  <c r="B7335" i="1"/>
  <c r="B7336" i="1"/>
  <c r="B6917" i="1"/>
  <c r="B6918" i="1"/>
  <c r="B6499" i="1"/>
  <c r="B6500" i="1"/>
  <c r="B6081" i="1"/>
  <c r="B6082" i="1"/>
  <c r="B5663" i="1"/>
  <c r="B5664" i="1"/>
  <c r="B5245" i="1"/>
  <c r="B5246" i="1"/>
  <c r="B4827" i="1"/>
  <c r="B4828" i="1"/>
  <c r="B4409" i="1"/>
  <c r="B4410" i="1"/>
  <c r="B3991" i="1"/>
  <c r="B3992" i="1"/>
  <c r="B3573" i="1"/>
  <c r="B3574" i="1"/>
  <c r="B3155" i="1"/>
  <c r="B3156" i="1"/>
  <c r="B2737" i="1"/>
  <c r="B2738" i="1"/>
  <c r="B2319" i="1"/>
  <c r="B2320" i="1"/>
  <c r="B1901" i="1"/>
  <c r="B1902" i="1"/>
  <c r="B1483" i="1"/>
  <c r="B1484" i="1"/>
  <c r="B1065" i="1"/>
  <c r="B1066" i="1"/>
  <c r="B647" i="1"/>
  <c r="B648" i="1"/>
  <c r="B229" i="1"/>
  <c r="B230" i="1"/>
  <c r="B9423" i="1"/>
  <c r="B9424" i="1"/>
  <c r="B9005" i="1"/>
  <c r="B9006" i="1"/>
  <c r="B8587" i="1"/>
  <c r="B8588" i="1"/>
  <c r="B8169" i="1"/>
  <c r="B8170" i="1"/>
  <c r="B7751" i="1"/>
  <c r="B7752" i="1"/>
  <c r="B7333" i="1"/>
  <c r="B7334" i="1"/>
  <c r="B6915" i="1"/>
  <c r="B6916" i="1"/>
  <c r="B6497" i="1"/>
  <c r="B6498" i="1"/>
  <c r="B6079" i="1"/>
  <c r="B6080" i="1"/>
  <c r="B5661" i="1"/>
  <c r="B5662" i="1"/>
  <c r="B5243" i="1"/>
  <c r="B5244" i="1"/>
  <c r="B4825" i="1"/>
  <c r="B4826" i="1"/>
  <c r="B4407" i="1"/>
  <c r="B4408" i="1"/>
  <c r="B3989" i="1"/>
  <c r="B3990" i="1"/>
  <c r="B3571" i="1"/>
  <c r="B3572" i="1"/>
  <c r="B3153" i="1"/>
  <c r="B3154" i="1"/>
  <c r="B2735" i="1"/>
  <c r="B2736" i="1"/>
  <c r="B2317" i="1"/>
  <c r="B2318" i="1"/>
  <c r="B1899" i="1"/>
  <c r="B1900" i="1"/>
  <c r="B1481" i="1"/>
  <c r="B1482" i="1"/>
  <c r="B1063" i="1"/>
  <c r="B1064" i="1"/>
  <c r="B645" i="1"/>
  <c r="B646" i="1"/>
  <c r="B227" i="1"/>
  <c r="B228" i="1"/>
  <c r="B9421" i="1"/>
  <c r="B9422" i="1"/>
  <c r="B9003" i="1"/>
  <c r="B9004" i="1"/>
  <c r="B8585" i="1"/>
  <c r="B8586" i="1"/>
  <c r="B8167" i="1"/>
  <c r="B8168" i="1"/>
  <c r="B7749" i="1"/>
  <c r="B7750" i="1"/>
  <c r="B7331" i="1"/>
  <c r="B7332" i="1"/>
  <c r="B6913" i="1"/>
  <c r="B6914" i="1"/>
  <c r="B6495" i="1"/>
  <c r="B6496" i="1"/>
  <c r="B6077" i="1"/>
  <c r="B6078" i="1"/>
  <c r="B5659" i="1"/>
  <c r="B5660" i="1"/>
  <c r="B5241" i="1"/>
  <c r="B5242" i="1"/>
  <c r="B4823" i="1"/>
  <c r="B4824" i="1"/>
  <c r="B4405" i="1"/>
  <c r="B4406" i="1"/>
  <c r="B3987" i="1"/>
  <c r="B3988" i="1"/>
  <c r="B3569" i="1"/>
  <c r="B3570" i="1"/>
  <c r="B3151" i="1"/>
  <c r="B3152" i="1"/>
  <c r="B2733" i="1"/>
  <c r="B2734" i="1"/>
  <c r="B2315" i="1"/>
  <c r="B2316" i="1"/>
  <c r="B1897" i="1"/>
  <c r="B1898" i="1"/>
  <c r="B1479" i="1"/>
  <c r="B1480" i="1"/>
  <c r="B1061" i="1"/>
  <c r="B1062" i="1"/>
  <c r="B643" i="1"/>
  <c r="B644" i="1"/>
  <c r="B225" i="1"/>
  <c r="B226" i="1"/>
  <c r="B9419" i="1"/>
  <c r="B9420" i="1"/>
  <c r="B9001" i="1"/>
  <c r="B9002" i="1"/>
  <c r="B8583" i="1"/>
  <c r="B8584" i="1"/>
  <c r="B8165" i="1"/>
  <c r="B8166" i="1"/>
  <c r="B7747" i="1"/>
  <c r="B7748" i="1"/>
  <c r="B7329" i="1"/>
  <c r="B7330" i="1"/>
  <c r="B6911" i="1"/>
  <c r="B6912" i="1"/>
  <c r="B6493" i="1"/>
  <c r="B6494" i="1"/>
  <c r="B6075" i="1"/>
  <c r="B6076" i="1"/>
  <c r="B5657" i="1"/>
  <c r="B5658" i="1"/>
  <c r="B5239" i="1"/>
  <c r="B5240" i="1"/>
  <c r="B4821" i="1"/>
  <c r="B4822" i="1"/>
  <c r="B4403" i="1"/>
  <c r="B4404" i="1"/>
  <c r="B3985" i="1"/>
  <c r="B3986" i="1"/>
  <c r="B3567" i="1"/>
  <c r="B3568" i="1"/>
  <c r="B3149" i="1"/>
  <c r="B3150" i="1"/>
  <c r="B2731" i="1"/>
  <c r="B2732" i="1"/>
  <c r="B2313" i="1"/>
  <c r="B2314" i="1"/>
  <c r="B1895" i="1"/>
  <c r="B1896" i="1"/>
  <c r="B1477" i="1"/>
  <c r="B1478" i="1"/>
  <c r="B1059" i="1"/>
  <c r="B1060" i="1"/>
  <c r="B641" i="1"/>
  <c r="B642" i="1"/>
  <c r="B223" i="1"/>
  <c r="B224" i="1"/>
  <c r="B9417" i="1"/>
  <c r="B9418" i="1"/>
  <c r="B8999" i="1"/>
  <c r="B9000" i="1"/>
  <c r="B8581" i="1"/>
  <c r="B8582" i="1"/>
  <c r="B8163" i="1"/>
  <c r="B8164" i="1"/>
  <c r="B7745" i="1"/>
  <c r="B7746" i="1"/>
  <c r="B7327" i="1"/>
  <c r="B7328" i="1"/>
  <c r="B6909" i="1"/>
  <c r="B6910" i="1"/>
  <c r="B6491" i="1"/>
  <c r="B6492" i="1"/>
  <c r="B6073" i="1"/>
  <c r="B6074" i="1"/>
  <c r="B5655" i="1"/>
  <c r="B5656" i="1"/>
  <c r="B5237" i="1"/>
  <c r="B5238" i="1"/>
  <c r="B4819" i="1"/>
  <c r="B4820" i="1"/>
  <c r="B4401" i="1"/>
  <c r="B4402" i="1"/>
  <c r="B3983" i="1"/>
  <c r="B3984" i="1"/>
  <c r="B3565" i="1"/>
  <c r="B3566" i="1"/>
  <c r="B3147" i="1"/>
  <c r="B3148" i="1"/>
  <c r="B2729" i="1"/>
  <c r="B2730" i="1"/>
  <c r="B2311" i="1"/>
  <c r="B2312" i="1"/>
  <c r="B1893" i="1"/>
  <c r="B1894" i="1"/>
  <c r="B1475" i="1"/>
  <c r="B1476" i="1"/>
  <c r="B1057" i="1"/>
  <c r="B1058" i="1"/>
  <c r="B639" i="1"/>
  <c r="B640" i="1"/>
  <c r="B221" i="1"/>
  <c r="B222" i="1"/>
  <c r="B9415" i="1"/>
  <c r="B9416" i="1"/>
  <c r="B8997" i="1"/>
  <c r="B8998" i="1"/>
  <c r="B8579" i="1"/>
  <c r="B8580" i="1"/>
  <c r="B8161" i="1"/>
  <c r="B8162" i="1"/>
  <c r="B7743" i="1"/>
  <c r="B7744" i="1"/>
  <c r="B7325" i="1"/>
  <c r="B7326" i="1"/>
  <c r="B6907" i="1"/>
  <c r="B6908" i="1"/>
  <c r="B6489" i="1"/>
  <c r="B6490" i="1"/>
  <c r="B6071" i="1"/>
  <c r="B6072" i="1"/>
  <c r="B5653" i="1"/>
  <c r="B5654" i="1"/>
  <c r="B5235" i="1"/>
  <c r="B5236" i="1"/>
  <c r="B4817" i="1"/>
  <c r="B4818" i="1"/>
  <c r="B4399" i="1"/>
  <c r="B4400" i="1"/>
  <c r="B3981" i="1"/>
  <c r="B3982" i="1"/>
  <c r="B3563" i="1"/>
  <c r="B3564" i="1"/>
  <c r="B3145" i="1"/>
  <c r="B3146" i="1"/>
  <c r="B2727" i="1"/>
  <c r="B2728" i="1"/>
  <c r="B2309" i="1"/>
  <c r="B2310" i="1"/>
  <c r="B1891" i="1"/>
  <c r="B1892" i="1"/>
  <c r="B1473" i="1"/>
  <c r="B1474" i="1"/>
  <c r="B1055" i="1"/>
  <c r="B1056" i="1"/>
  <c r="B637" i="1"/>
  <c r="B638" i="1"/>
  <c r="B219" i="1"/>
  <c r="B220" i="1"/>
  <c r="B9413" i="1"/>
  <c r="B9414" i="1"/>
  <c r="B8995" i="1"/>
  <c r="B8996" i="1"/>
  <c r="B8577" i="1"/>
  <c r="B8578" i="1"/>
  <c r="B8159" i="1"/>
  <c r="B8160" i="1"/>
  <c r="B7741" i="1"/>
  <c r="B7742" i="1"/>
  <c r="B7323" i="1"/>
  <c r="B7324" i="1"/>
  <c r="B6905" i="1"/>
  <c r="B6906" i="1"/>
  <c r="B6487" i="1"/>
  <c r="B6488" i="1"/>
  <c r="B6069" i="1"/>
  <c r="B6070" i="1"/>
  <c r="B5651" i="1"/>
  <c r="B5652" i="1"/>
  <c r="B5233" i="1"/>
  <c r="B5234" i="1"/>
  <c r="B4815" i="1"/>
  <c r="B4816" i="1"/>
  <c r="B4397" i="1"/>
  <c r="B4398" i="1"/>
  <c r="B3979" i="1"/>
  <c r="B3980" i="1"/>
  <c r="B3561" i="1"/>
  <c r="B3562" i="1"/>
  <c r="B3143" i="1"/>
  <c r="B3144" i="1"/>
  <c r="B2725" i="1"/>
  <c r="B2726" i="1"/>
  <c r="B2307" i="1"/>
  <c r="B2308" i="1"/>
  <c r="B1889" i="1"/>
  <c r="B1890" i="1"/>
  <c r="B1471" i="1"/>
  <c r="B1472" i="1"/>
  <c r="B1053" i="1"/>
  <c r="B1054" i="1"/>
  <c r="B635" i="1"/>
  <c r="B636" i="1"/>
  <c r="B217" i="1"/>
  <c r="B218" i="1"/>
  <c r="B9411" i="1"/>
  <c r="B9412" i="1"/>
  <c r="B8993" i="1"/>
  <c r="B8994" i="1"/>
  <c r="B8575" i="1"/>
  <c r="B8576" i="1"/>
  <c r="B8157" i="1"/>
  <c r="B8158" i="1"/>
  <c r="B7739" i="1"/>
  <c r="B7740" i="1"/>
  <c r="B7321" i="1"/>
  <c r="B7322" i="1"/>
  <c r="B6903" i="1"/>
  <c r="B6904" i="1"/>
  <c r="B6485" i="1"/>
  <c r="B6486" i="1"/>
  <c r="B6067" i="1"/>
  <c r="B6068" i="1"/>
  <c r="B5649" i="1"/>
  <c r="B5650" i="1"/>
  <c r="B5231" i="1"/>
  <c r="B5232" i="1"/>
  <c r="B4813" i="1"/>
  <c r="B4814" i="1"/>
  <c r="B4395" i="1"/>
  <c r="B4396" i="1"/>
  <c r="B3977" i="1"/>
  <c r="B3978" i="1"/>
  <c r="B3559" i="1"/>
  <c r="B3560" i="1"/>
  <c r="B3141" i="1"/>
  <c r="B3142" i="1"/>
  <c r="B2723" i="1"/>
  <c r="B2724" i="1"/>
  <c r="B2305" i="1"/>
  <c r="B2306" i="1"/>
  <c r="B1887" i="1"/>
  <c r="B1888" i="1"/>
  <c r="B1469" i="1"/>
  <c r="B1470" i="1"/>
  <c r="B1051" i="1"/>
  <c r="B1052" i="1"/>
  <c r="B633" i="1"/>
  <c r="B634" i="1"/>
  <c r="B215" i="1"/>
  <c r="B216" i="1"/>
  <c r="B9409" i="1"/>
  <c r="B9410" i="1"/>
  <c r="B8991" i="1"/>
  <c r="B8992" i="1"/>
  <c r="B8573" i="1"/>
  <c r="B8574" i="1"/>
  <c r="B8155" i="1"/>
  <c r="B8156" i="1"/>
  <c r="B7737" i="1"/>
  <c r="B7738" i="1"/>
  <c r="B7319" i="1"/>
  <c r="B7320" i="1"/>
  <c r="B6901" i="1"/>
  <c r="B6902" i="1"/>
  <c r="B6483" i="1"/>
  <c r="B6484" i="1"/>
  <c r="B6065" i="1"/>
  <c r="B6066" i="1"/>
  <c r="B5647" i="1"/>
  <c r="B5648" i="1"/>
  <c r="B5229" i="1"/>
  <c r="B5230" i="1"/>
  <c r="B4811" i="1"/>
  <c r="B4812" i="1"/>
  <c r="B4393" i="1"/>
  <c r="B4394" i="1"/>
  <c r="B3975" i="1"/>
  <c r="B3976" i="1"/>
  <c r="B3557" i="1"/>
  <c r="B3558" i="1"/>
  <c r="B3139" i="1"/>
  <c r="B3140" i="1"/>
  <c r="B2721" i="1"/>
  <c r="B2722" i="1"/>
  <c r="B2303" i="1"/>
  <c r="B2304" i="1"/>
  <c r="B1885" i="1"/>
  <c r="B1886" i="1"/>
  <c r="B1467" i="1"/>
  <c r="B1468" i="1"/>
  <c r="B1049" i="1"/>
  <c r="B1050" i="1"/>
  <c r="B631" i="1"/>
  <c r="B632" i="1"/>
  <c r="B213" i="1"/>
  <c r="B214" i="1"/>
  <c r="B9407" i="1"/>
  <c r="B9408" i="1"/>
  <c r="B8989" i="1"/>
  <c r="B8990" i="1"/>
  <c r="B8571" i="1"/>
  <c r="B8572" i="1"/>
  <c r="B8153" i="1"/>
  <c r="B8154" i="1"/>
  <c r="B7735" i="1"/>
  <c r="B7736" i="1"/>
  <c r="B7317" i="1"/>
  <c r="B7318" i="1"/>
  <c r="B6899" i="1"/>
  <c r="B6900" i="1"/>
  <c r="B6481" i="1"/>
  <c r="B6482" i="1"/>
  <c r="B6063" i="1"/>
  <c r="B6064" i="1"/>
  <c r="B5645" i="1"/>
  <c r="B5646" i="1"/>
  <c r="B5227" i="1"/>
  <c r="B5228" i="1"/>
  <c r="B4809" i="1"/>
  <c r="B4810" i="1"/>
  <c r="B4391" i="1"/>
  <c r="B4392" i="1"/>
  <c r="B3973" i="1"/>
  <c r="B3974" i="1"/>
  <c r="B3555" i="1"/>
  <c r="B3556" i="1"/>
  <c r="B3137" i="1"/>
  <c r="B3138" i="1"/>
  <c r="B2719" i="1"/>
  <c r="B2720" i="1"/>
  <c r="B2301" i="1"/>
  <c r="B2302" i="1"/>
  <c r="B1883" i="1"/>
  <c r="B1884" i="1"/>
  <c r="B1465" i="1"/>
  <c r="B1466" i="1"/>
  <c r="B1047" i="1"/>
  <c r="B1048" i="1"/>
  <c r="B629" i="1"/>
  <c r="B630" i="1"/>
  <c r="B211" i="1"/>
  <c r="B212" i="1"/>
  <c r="B9405" i="1"/>
  <c r="B9406" i="1"/>
  <c r="B8987" i="1"/>
  <c r="B8988" i="1"/>
  <c r="B8569" i="1"/>
  <c r="B8570" i="1"/>
  <c r="B8151" i="1"/>
  <c r="B8152" i="1"/>
  <c r="B7733" i="1"/>
  <c r="B7734" i="1"/>
  <c r="B7315" i="1"/>
  <c r="B7316" i="1"/>
  <c r="B6897" i="1"/>
  <c r="B6898" i="1"/>
  <c r="B6479" i="1"/>
  <c r="B6480" i="1"/>
  <c r="B6061" i="1"/>
  <c r="B6062" i="1"/>
  <c r="B5643" i="1"/>
  <c r="B5644" i="1"/>
  <c r="B5225" i="1"/>
  <c r="B5226" i="1"/>
  <c r="B4807" i="1"/>
  <c r="B4808" i="1"/>
  <c r="B4389" i="1"/>
  <c r="B4390" i="1"/>
  <c r="B3971" i="1"/>
  <c r="B3972" i="1"/>
  <c r="B3553" i="1"/>
  <c r="B3554" i="1"/>
  <c r="B3135" i="1"/>
  <c r="B3136" i="1"/>
  <c r="B2717" i="1"/>
  <c r="B2718" i="1"/>
  <c r="B2299" i="1"/>
  <c r="B2300" i="1"/>
  <c r="B1881" i="1"/>
  <c r="B1882" i="1"/>
  <c r="B1463" i="1"/>
  <c r="B1464" i="1"/>
  <c r="B1045" i="1"/>
  <c r="B1046" i="1"/>
  <c r="B627" i="1"/>
  <c r="B628" i="1"/>
  <c r="B209" i="1"/>
  <c r="B210" i="1"/>
  <c r="B9403" i="1"/>
  <c r="B9404" i="1"/>
  <c r="B8985" i="1"/>
  <c r="B8986" i="1"/>
  <c r="B8567" i="1"/>
  <c r="B8568" i="1"/>
  <c r="B8149" i="1"/>
  <c r="B8150" i="1"/>
  <c r="B7731" i="1"/>
  <c r="B7732" i="1"/>
  <c r="B7313" i="1"/>
  <c r="B7314" i="1"/>
  <c r="B6895" i="1"/>
  <c r="B6896" i="1"/>
  <c r="B6477" i="1"/>
  <c r="B6478" i="1"/>
  <c r="B6059" i="1"/>
  <c r="B6060" i="1"/>
  <c r="B5641" i="1"/>
  <c r="B5642" i="1"/>
  <c r="B5223" i="1"/>
  <c r="B5224" i="1"/>
  <c r="B4805" i="1"/>
  <c r="B4806" i="1"/>
  <c r="B4387" i="1"/>
  <c r="B4388" i="1"/>
  <c r="B3969" i="1"/>
  <c r="B3970" i="1"/>
  <c r="B3551" i="1"/>
  <c r="B3552" i="1"/>
  <c r="B3133" i="1"/>
  <c r="B3134" i="1"/>
  <c r="B2715" i="1"/>
  <c r="B2716" i="1"/>
  <c r="B2297" i="1"/>
  <c r="B2298" i="1"/>
  <c r="B1879" i="1"/>
  <c r="B1880" i="1"/>
  <c r="B1461" i="1"/>
  <c r="B1462" i="1"/>
  <c r="B1043" i="1"/>
  <c r="B1044" i="1"/>
  <c r="B625" i="1"/>
  <c r="B626" i="1"/>
  <c r="B207" i="1"/>
  <c r="B208" i="1"/>
  <c r="B9401" i="1"/>
  <c r="B9402" i="1"/>
  <c r="B8983" i="1"/>
  <c r="B8984" i="1"/>
  <c r="B8565" i="1"/>
  <c r="B8566" i="1"/>
  <c r="B8147" i="1"/>
  <c r="B8148" i="1"/>
  <c r="B7729" i="1"/>
  <c r="B7730" i="1"/>
  <c r="B7311" i="1"/>
  <c r="B7312" i="1"/>
  <c r="B6893" i="1"/>
  <c r="B6894" i="1"/>
  <c r="B6475" i="1"/>
  <c r="B6476" i="1"/>
  <c r="B6057" i="1"/>
  <c r="B6058" i="1"/>
  <c r="B5639" i="1"/>
  <c r="B5640" i="1"/>
  <c r="B5221" i="1"/>
  <c r="B5222" i="1"/>
  <c r="B4803" i="1"/>
  <c r="B4804" i="1"/>
  <c r="B4385" i="1"/>
  <c r="B4386" i="1"/>
  <c r="B3967" i="1"/>
  <c r="B3968" i="1"/>
  <c r="B3549" i="1"/>
  <c r="B3550" i="1"/>
  <c r="B3131" i="1"/>
  <c r="B3132" i="1"/>
  <c r="B2713" i="1"/>
  <c r="B2714" i="1"/>
  <c r="B2295" i="1"/>
  <c r="B2296" i="1"/>
  <c r="B1877" i="1"/>
  <c r="B1878" i="1"/>
  <c r="B1459" i="1"/>
  <c r="B1460" i="1"/>
  <c r="B1041" i="1"/>
  <c r="B1042" i="1"/>
  <c r="B623" i="1"/>
  <c r="B624" i="1"/>
  <c r="B205" i="1"/>
  <c r="B206" i="1"/>
  <c r="B9399" i="1"/>
  <c r="B9400" i="1"/>
  <c r="B8981" i="1"/>
  <c r="B8982" i="1"/>
  <c r="B8563" i="1"/>
  <c r="B8564" i="1"/>
  <c r="B8145" i="1"/>
  <c r="B8146" i="1"/>
  <c r="B7727" i="1"/>
  <c r="B7728" i="1"/>
  <c r="B7309" i="1"/>
  <c r="B7310" i="1"/>
  <c r="B6891" i="1"/>
  <c r="B6892" i="1"/>
  <c r="B6473" i="1"/>
  <c r="B6474" i="1"/>
  <c r="B6055" i="1"/>
  <c r="B6056" i="1"/>
  <c r="B5637" i="1"/>
  <c r="B5638" i="1"/>
  <c r="B5219" i="1"/>
  <c r="B5220" i="1"/>
  <c r="B4801" i="1"/>
  <c r="B4802" i="1"/>
  <c r="B4383" i="1"/>
  <c r="B4384" i="1"/>
  <c r="B3965" i="1"/>
  <c r="B3966" i="1"/>
  <c r="B3547" i="1"/>
  <c r="B3548" i="1"/>
  <c r="B3129" i="1"/>
  <c r="B3130" i="1"/>
  <c r="B2711" i="1"/>
  <c r="B2712" i="1"/>
  <c r="B2293" i="1"/>
  <c r="B2294" i="1"/>
  <c r="B1875" i="1"/>
  <c r="B1876" i="1"/>
  <c r="B1457" i="1"/>
  <c r="B1458" i="1"/>
  <c r="B1039" i="1"/>
  <c r="B1040" i="1"/>
  <c r="B621" i="1"/>
  <c r="B622" i="1"/>
  <c r="B203" i="1"/>
  <c r="B204" i="1"/>
  <c r="B9397" i="1"/>
  <c r="B9398" i="1"/>
  <c r="B8979" i="1"/>
  <c r="B8980" i="1"/>
  <c r="B8561" i="1"/>
  <c r="B8562" i="1"/>
  <c r="B8143" i="1"/>
  <c r="B8144" i="1"/>
  <c r="B7725" i="1"/>
  <c r="B7726" i="1"/>
  <c r="B7307" i="1"/>
  <c r="B7308" i="1"/>
  <c r="B6889" i="1"/>
  <c r="B6890" i="1"/>
  <c r="B6471" i="1"/>
  <c r="B6472" i="1"/>
  <c r="B6053" i="1"/>
  <c r="B6054" i="1"/>
  <c r="B5635" i="1"/>
  <c r="B5636" i="1"/>
  <c r="B5217" i="1"/>
  <c r="B5218" i="1"/>
  <c r="B4799" i="1"/>
  <c r="B4800" i="1"/>
  <c r="B4381" i="1"/>
  <c r="B4382" i="1"/>
  <c r="B3963" i="1"/>
  <c r="B3964" i="1"/>
  <c r="B3545" i="1"/>
  <c r="B3546" i="1"/>
  <c r="B3127" i="1"/>
  <c r="B3128" i="1"/>
  <c r="B2709" i="1"/>
  <c r="B2710" i="1"/>
  <c r="B2291" i="1"/>
  <c r="B2292" i="1"/>
  <c r="B1873" i="1"/>
  <c r="B1874" i="1"/>
  <c r="B1455" i="1"/>
  <c r="B1456" i="1"/>
  <c r="B1037" i="1"/>
  <c r="B1038" i="1"/>
  <c r="B619" i="1"/>
  <c r="B620" i="1"/>
  <c r="B201" i="1"/>
  <c r="B202" i="1"/>
  <c r="B9395" i="1"/>
  <c r="B9396" i="1"/>
  <c r="B8977" i="1"/>
  <c r="B8978" i="1"/>
  <c r="B8559" i="1"/>
  <c r="B8560" i="1"/>
  <c r="B8141" i="1"/>
  <c r="B8142" i="1"/>
  <c r="B7723" i="1"/>
  <c r="B7724" i="1"/>
  <c r="B7305" i="1"/>
  <c r="B7306" i="1"/>
  <c r="B6887" i="1"/>
  <c r="B6888" i="1"/>
  <c r="B6469" i="1"/>
  <c r="B6470" i="1"/>
  <c r="B6051" i="1"/>
  <c r="B6052" i="1"/>
  <c r="B5633" i="1"/>
  <c r="B5634" i="1"/>
  <c r="B5215" i="1"/>
  <c r="B5216" i="1"/>
  <c r="B4797" i="1"/>
  <c r="B4798" i="1"/>
  <c r="B4379" i="1"/>
  <c r="B4380" i="1"/>
  <c r="B3961" i="1"/>
  <c r="B3962" i="1"/>
  <c r="B3543" i="1"/>
  <c r="B3544" i="1"/>
  <c r="B3125" i="1"/>
  <c r="B3126" i="1"/>
  <c r="B2707" i="1"/>
  <c r="B2708" i="1"/>
  <c r="B2289" i="1"/>
  <c r="B2290" i="1"/>
  <c r="B1871" i="1"/>
  <c r="B1872" i="1"/>
  <c r="B1453" i="1"/>
  <c r="B1454" i="1"/>
  <c r="B1035" i="1"/>
  <c r="B1036" i="1"/>
  <c r="B617" i="1"/>
  <c r="B618" i="1"/>
  <c r="B199" i="1"/>
  <c r="B200" i="1"/>
  <c r="B9393" i="1"/>
  <c r="B9394" i="1"/>
  <c r="B8975" i="1"/>
  <c r="B8976" i="1"/>
  <c r="B8557" i="1"/>
  <c r="B8558" i="1"/>
  <c r="B8139" i="1"/>
  <c r="B8140" i="1"/>
  <c r="B7721" i="1"/>
  <c r="B7722" i="1"/>
  <c r="B7303" i="1"/>
  <c r="B7304" i="1"/>
  <c r="B6885" i="1"/>
  <c r="B6886" i="1"/>
  <c r="B6467" i="1"/>
  <c r="B6468" i="1"/>
  <c r="B6049" i="1"/>
  <c r="B6050" i="1"/>
  <c r="B5631" i="1"/>
  <c r="B5632" i="1"/>
  <c r="B5213" i="1"/>
  <c r="B5214" i="1"/>
  <c r="B4795" i="1"/>
  <c r="B4796" i="1"/>
  <c r="B4377" i="1"/>
  <c r="B4378" i="1"/>
  <c r="B3959" i="1"/>
  <c r="B3960" i="1"/>
  <c r="B3541" i="1"/>
  <c r="B3542" i="1"/>
  <c r="B3123" i="1"/>
  <c r="B3124" i="1"/>
  <c r="B2705" i="1"/>
  <c r="B2706" i="1"/>
  <c r="B2287" i="1"/>
  <c r="B2288" i="1"/>
  <c r="B1869" i="1"/>
  <c r="B1870" i="1"/>
  <c r="B1451" i="1"/>
  <c r="B1452" i="1"/>
  <c r="B1033" i="1"/>
  <c r="B1034" i="1"/>
  <c r="B615" i="1"/>
  <c r="B616" i="1"/>
  <c r="B197" i="1"/>
  <c r="B198" i="1"/>
  <c r="B9391" i="1"/>
  <c r="B9392" i="1"/>
  <c r="B8973" i="1"/>
  <c r="B8974" i="1"/>
  <c r="B8555" i="1"/>
  <c r="B8556" i="1"/>
  <c r="B8137" i="1"/>
  <c r="B8138" i="1"/>
  <c r="B7719" i="1"/>
  <c r="B7720" i="1"/>
  <c r="B7301" i="1"/>
  <c r="B7302" i="1"/>
  <c r="B6883" i="1"/>
  <c r="B6884" i="1"/>
  <c r="B6465" i="1"/>
  <c r="B6466" i="1"/>
  <c r="B6047" i="1"/>
  <c r="B6048" i="1"/>
  <c r="B5629" i="1"/>
  <c r="B5630" i="1"/>
  <c r="B5211" i="1"/>
  <c r="B5212" i="1"/>
  <c r="B4793" i="1"/>
  <c r="B4794" i="1"/>
  <c r="B4375" i="1"/>
  <c r="B4376" i="1"/>
  <c r="B3957" i="1"/>
  <c r="B3958" i="1"/>
  <c r="B3539" i="1"/>
  <c r="B3540" i="1"/>
  <c r="B3121" i="1"/>
  <c r="B3122" i="1"/>
  <c r="B2703" i="1"/>
  <c r="B2704" i="1"/>
  <c r="B2285" i="1"/>
  <c r="B2286" i="1"/>
  <c r="B1867" i="1"/>
  <c r="B1868" i="1"/>
  <c r="B1449" i="1"/>
  <c r="B1450" i="1"/>
  <c r="B1031" i="1"/>
  <c r="B1032" i="1"/>
  <c r="B613" i="1"/>
  <c r="B614" i="1"/>
  <c r="B195" i="1"/>
  <c r="B196" i="1"/>
  <c r="B9389" i="1"/>
  <c r="B9390" i="1"/>
  <c r="B8971" i="1"/>
  <c r="B8972" i="1"/>
  <c r="B8553" i="1"/>
  <c r="B8554" i="1"/>
  <c r="B8135" i="1"/>
  <c r="B8136" i="1"/>
  <c r="B7717" i="1"/>
  <c r="B7718" i="1"/>
  <c r="B7299" i="1"/>
  <c r="B7300" i="1"/>
  <c r="B6881" i="1"/>
  <c r="B6882" i="1"/>
  <c r="B6463" i="1"/>
  <c r="B6464" i="1"/>
  <c r="B6045" i="1"/>
  <c r="B6046" i="1"/>
  <c r="B5627" i="1"/>
  <c r="B5628" i="1"/>
  <c r="B5209" i="1"/>
  <c r="B5210" i="1"/>
  <c r="B4791" i="1"/>
  <c r="B4792" i="1"/>
  <c r="B4373" i="1"/>
  <c r="B4374" i="1"/>
  <c r="B3955" i="1"/>
  <c r="B3956" i="1"/>
  <c r="B3537" i="1"/>
  <c r="B3538" i="1"/>
  <c r="B3119" i="1"/>
  <c r="B3120" i="1"/>
  <c r="B2701" i="1"/>
  <c r="B2702" i="1"/>
  <c r="B2283" i="1"/>
  <c r="B2284" i="1"/>
  <c r="B1865" i="1"/>
  <c r="B1866" i="1"/>
  <c r="B1447" i="1"/>
  <c r="B1448" i="1"/>
  <c r="B1029" i="1"/>
  <c r="B1030" i="1"/>
  <c r="B611" i="1"/>
  <c r="B612" i="1"/>
  <c r="B193" i="1"/>
  <c r="B194" i="1"/>
  <c r="B9387" i="1"/>
  <c r="B9388" i="1"/>
  <c r="B8969" i="1"/>
  <c r="B8970" i="1"/>
  <c r="B8551" i="1"/>
  <c r="B8552" i="1"/>
  <c r="B8133" i="1"/>
  <c r="B8134" i="1"/>
  <c r="B7715" i="1"/>
  <c r="B7716" i="1"/>
  <c r="B7297" i="1"/>
  <c r="B7298" i="1"/>
  <c r="B6879" i="1"/>
  <c r="B6880" i="1"/>
  <c r="B6461" i="1"/>
  <c r="B6462" i="1"/>
  <c r="B6043" i="1"/>
  <c r="B6044" i="1"/>
  <c r="B5625" i="1"/>
  <c r="B5626" i="1"/>
  <c r="B5207" i="1"/>
  <c r="B5208" i="1"/>
  <c r="B4789" i="1"/>
  <c r="B4790" i="1"/>
  <c r="B4371" i="1"/>
  <c r="B4372" i="1"/>
  <c r="B3953" i="1"/>
  <c r="B3954" i="1"/>
  <c r="B3535" i="1"/>
  <c r="B3536" i="1"/>
  <c r="B3117" i="1"/>
  <c r="B3118" i="1"/>
  <c r="B2699" i="1"/>
  <c r="B2700" i="1"/>
  <c r="B2281" i="1"/>
  <c r="B2282" i="1"/>
  <c r="B1863" i="1"/>
  <c r="B1864" i="1"/>
  <c r="B1445" i="1"/>
  <c r="B1446" i="1"/>
  <c r="B1027" i="1"/>
  <c r="B1028" i="1"/>
  <c r="B609" i="1"/>
  <c r="B610" i="1"/>
  <c r="B191" i="1"/>
  <c r="B192" i="1"/>
  <c r="B9385" i="1"/>
  <c r="B9386" i="1"/>
  <c r="B8967" i="1"/>
  <c r="B8968" i="1"/>
  <c r="B8549" i="1"/>
  <c r="B8550" i="1"/>
  <c r="B8131" i="1"/>
  <c r="B8132" i="1"/>
  <c r="B7713" i="1"/>
  <c r="B7714" i="1"/>
  <c r="B7295" i="1"/>
  <c r="B7296" i="1"/>
  <c r="B6877" i="1"/>
  <c r="B6878" i="1"/>
  <c r="B6459" i="1"/>
  <c r="B6460" i="1"/>
  <c r="B6041" i="1"/>
  <c r="B6042" i="1"/>
  <c r="B5623" i="1"/>
  <c r="B5624" i="1"/>
  <c r="B5205" i="1"/>
  <c r="B5206" i="1"/>
  <c r="B4787" i="1"/>
  <c r="B4788" i="1"/>
  <c r="B4369" i="1"/>
  <c r="B4370" i="1"/>
  <c r="B3951" i="1"/>
  <c r="B3952" i="1"/>
  <c r="B3533" i="1"/>
  <c r="B3534" i="1"/>
  <c r="B3115" i="1"/>
  <c r="B3116" i="1"/>
  <c r="B2697" i="1"/>
  <c r="B2698" i="1"/>
  <c r="B2279" i="1"/>
  <c r="B2280" i="1"/>
  <c r="B1861" i="1"/>
  <c r="B1862" i="1"/>
  <c r="B1443" i="1"/>
  <c r="B1444" i="1"/>
  <c r="B1025" i="1"/>
  <c r="B1026" i="1"/>
  <c r="B607" i="1"/>
  <c r="B608" i="1"/>
  <c r="B189" i="1"/>
  <c r="B190" i="1"/>
  <c r="B9383" i="1"/>
  <c r="B9384" i="1"/>
  <c r="B8965" i="1"/>
  <c r="B8966" i="1"/>
  <c r="B8547" i="1"/>
  <c r="B8548" i="1"/>
  <c r="B8129" i="1"/>
  <c r="B8130" i="1"/>
  <c r="B7711" i="1"/>
  <c r="B7712" i="1"/>
  <c r="B7293" i="1"/>
  <c r="B7294" i="1"/>
  <c r="B6875" i="1"/>
  <c r="B6876" i="1"/>
  <c r="B6457" i="1"/>
  <c r="B6458" i="1"/>
  <c r="B6039" i="1"/>
  <c r="B6040" i="1"/>
  <c r="B5621" i="1"/>
  <c r="B5622" i="1"/>
  <c r="B5203" i="1"/>
  <c r="B5204" i="1"/>
  <c r="B4785" i="1"/>
  <c r="B4786" i="1"/>
  <c r="B4367" i="1"/>
  <c r="B4368" i="1"/>
  <c r="B3949" i="1"/>
  <c r="B3950" i="1"/>
  <c r="B3531" i="1"/>
  <c r="B3532" i="1"/>
  <c r="B3113" i="1"/>
  <c r="B3114" i="1"/>
  <c r="B2695" i="1"/>
  <c r="B2696" i="1"/>
  <c r="B2277" i="1"/>
  <c r="B2278" i="1"/>
  <c r="B1859" i="1"/>
  <c r="B1860" i="1"/>
  <c r="B1441" i="1"/>
  <c r="B1442" i="1"/>
  <c r="B1023" i="1"/>
  <c r="B1024" i="1"/>
  <c r="B605" i="1"/>
  <c r="B606" i="1"/>
  <c r="B187" i="1"/>
  <c r="B188" i="1"/>
  <c r="B9381" i="1"/>
  <c r="B9382" i="1"/>
  <c r="B8963" i="1"/>
  <c r="B8964" i="1"/>
  <c r="B8545" i="1"/>
  <c r="B8546" i="1"/>
  <c r="B8127" i="1"/>
  <c r="B8128" i="1"/>
  <c r="B7709" i="1"/>
  <c r="B7710" i="1"/>
  <c r="B7291" i="1"/>
  <c r="B7292" i="1"/>
  <c r="B6873" i="1"/>
  <c r="B6874" i="1"/>
  <c r="B6455" i="1"/>
  <c r="B6456" i="1"/>
  <c r="B6037" i="1"/>
  <c r="B6038" i="1"/>
  <c r="B5619" i="1"/>
  <c r="B5620" i="1"/>
  <c r="B5201" i="1"/>
  <c r="B5202" i="1"/>
  <c r="B4783" i="1"/>
  <c r="B4784" i="1"/>
  <c r="B4365" i="1"/>
  <c r="B4366" i="1"/>
  <c r="B3947" i="1"/>
  <c r="B3948" i="1"/>
  <c r="B3529" i="1"/>
  <c r="B3530" i="1"/>
  <c r="B3111" i="1"/>
  <c r="B3112" i="1"/>
  <c r="B2693" i="1"/>
  <c r="B2694" i="1"/>
  <c r="B2275" i="1"/>
  <c r="B2276" i="1"/>
  <c r="B1857" i="1"/>
  <c r="B1858" i="1"/>
  <c r="B1439" i="1"/>
  <c r="B1440" i="1"/>
  <c r="B1021" i="1"/>
  <c r="B1022" i="1"/>
  <c r="B603" i="1"/>
  <c r="B604" i="1"/>
  <c r="B185" i="1"/>
  <c r="B186" i="1"/>
  <c r="B9379" i="1"/>
  <c r="B9380" i="1"/>
  <c r="B8961" i="1"/>
  <c r="B8962" i="1"/>
  <c r="B8543" i="1"/>
  <c r="B8544" i="1"/>
  <c r="B8125" i="1"/>
  <c r="B8126" i="1"/>
  <c r="B7707" i="1"/>
  <c r="B7708" i="1"/>
  <c r="B7289" i="1"/>
  <c r="B7290" i="1"/>
  <c r="B6871" i="1"/>
  <c r="B6872" i="1"/>
  <c r="B6453" i="1"/>
  <c r="B6454" i="1"/>
  <c r="B6035" i="1"/>
  <c r="B6036" i="1"/>
  <c r="B5617" i="1"/>
  <c r="B5618" i="1"/>
  <c r="B5199" i="1"/>
  <c r="B5200" i="1"/>
  <c r="B4781" i="1"/>
  <c r="B4782" i="1"/>
  <c r="B4363" i="1"/>
  <c r="B4364" i="1"/>
  <c r="B3945" i="1"/>
  <c r="B3946" i="1"/>
  <c r="B3527" i="1"/>
  <c r="B3528" i="1"/>
  <c r="B3109" i="1"/>
  <c r="B3110" i="1"/>
  <c r="B2691" i="1"/>
  <c r="B2692" i="1"/>
  <c r="B2273" i="1"/>
  <c r="B2274" i="1"/>
  <c r="B1855" i="1"/>
  <c r="B1856" i="1"/>
  <c r="B1437" i="1"/>
  <c r="B1438" i="1"/>
  <c r="B1019" i="1"/>
  <c r="B1020" i="1"/>
  <c r="B601" i="1"/>
  <c r="B602" i="1"/>
  <c r="B183" i="1"/>
  <c r="B184" i="1"/>
  <c r="B9377" i="1"/>
  <c r="B9378" i="1"/>
  <c r="B8959" i="1"/>
  <c r="B8960" i="1"/>
  <c r="B8541" i="1"/>
  <c r="B8542" i="1"/>
  <c r="B8123" i="1"/>
  <c r="B8124" i="1"/>
  <c r="B7705" i="1"/>
  <c r="B7706" i="1"/>
  <c r="B7287" i="1"/>
  <c r="B7288" i="1"/>
  <c r="B6869" i="1"/>
  <c r="B6870" i="1"/>
  <c r="B6451" i="1"/>
  <c r="B6452" i="1"/>
  <c r="B6033" i="1"/>
  <c r="B6034" i="1"/>
  <c r="B5615" i="1"/>
  <c r="B5616" i="1"/>
  <c r="B5197" i="1"/>
  <c r="B5198" i="1"/>
  <c r="B4779" i="1"/>
  <c r="B4780" i="1"/>
  <c r="B4361" i="1"/>
  <c r="B4362" i="1"/>
  <c r="B3943" i="1"/>
  <c r="B3944" i="1"/>
  <c r="B3525" i="1"/>
  <c r="B3526" i="1"/>
  <c r="B3107" i="1"/>
  <c r="B3108" i="1"/>
  <c r="B2689" i="1"/>
  <c r="B2690" i="1"/>
  <c r="B2271" i="1"/>
  <c r="B2272" i="1"/>
  <c r="B1853" i="1"/>
  <c r="B1854" i="1"/>
  <c r="B1435" i="1"/>
  <c r="B1436" i="1"/>
  <c r="B1017" i="1"/>
  <c r="B1018" i="1"/>
  <c r="B599" i="1"/>
  <c r="B600" i="1"/>
  <c r="B181" i="1"/>
  <c r="B182" i="1"/>
  <c r="B9375" i="1"/>
  <c r="B9376" i="1"/>
  <c r="B8957" i="1"/>
  <c r="B8958" i="1"/>
  <c r="B8539" i="1"/>
  <c r="B8540" i="1"/>
  <c r="B8121" i="1"/>
  <c r="B8122" i="1"/>
  <c r="B7703" i="1"/>
  <c r="B7704" i="1"/>
  <c r="B7285" i="1"/>
  <c r="B7286" i="1"/>
  <c r="B6867" i="1"/>
  <c r="B6868" i="1"/>
  <c r="B6449" i="1"/>
  <c r="B6450" i="1"/>
  <c r="B6031" i="1"/>
  <c r="B6032" i="1"/>
  <c r="B5613" i="1"/>
  <c r="B5614" i="1"/>
  <c r="B5195" i="1"/>
  <c r="B5196" i="1"/>
  <c r="B4777" i="1"/>
  <c r="B4778" i="1"/>
  <c r="B4359" i="1"/>
  <c r="B4360" i="1"/>
  <c r="B3941" i="1"/>
  <c r="B3942" i="1"/>
  <c r="B3523" i="1"/>
  <c r="B3524" i="1"/>
  <c r="B3105" i="1"/>
  <c r="B3106" i="1"/>
  <c r="B2687" i="1"/>
  <c r="B2688" i="1"/>
  <c r="B2269" i="1"/>
  <c r="B2270" i="1"/>
  <c r="B1851" i="1"/>
  <c r="B1852" i="1"/>
  <c r="B1433" i="1"/>
  <c r="B1434" i="1"/>
  <c r="B1015" i="1"/>
  <c r="B1016" i="1"/>
  <c r="B597" i="1"/>
  <c r="B598" i="1"/>
  <c r="B179" i="1"/>
  <c r="B180" i="1"/>
  <c r="B9373" i="1"/>
  <c r="B9374" i="1"/>
  <c r="B8955" i="1"/>
  <c r="B8956" i="1"/>
  <c r="B8537" i="1"/>
  <c r="B8538" i="1"/>
  <c r="B8119" i="1"/>
  <c r="B8120" i="1"/>
  <c r="B7701" i="1"/>
  <c r="B7702" i="1"/>
  <c r="B7283" i="1"/>
  <c r="B7284" i="1"/>
  <c r="B6865" i="1"/>
  <c r="B6866" i="1"/>
  <c r="B6447" i="1"/>
  <c r="B6448" i="1"/>
  <c r="B6029" i="1"/>
  <c r="B6030" i="1"/>
  <c r="B5611" i="1"/>
  <c r="B5612" i="1"/>
  <c r="B5193" i="1"/>
  <c r="B5194" i="1"/>
  <c r="B4775" i="1"/>
  <c r="B4776" i="1"/>
  <c r="B4357" i="1"/>
  <c r="B4358" i="1"/>
  <c r="B3939" i="1"/>
  <c r="B3940" i="1"/>
  <c r="B3521" i="1"/>
  <c r="B3522" i="1"/>
  <c r="B3103" i="1"/>
  <c r="B3104" i="1"/>
  <c r="B2685" i="1"/>
  <c r="B2686" i="1"/>
  <c r="B2267" i="1"/>
  <c r="B2268" i="1"/>
  <c r="B1849" i="1"/>
  <c r="B1850" i="1"/>
  <c r="B1431" i="1"/>
  <c r="B1432" i="1"/>
  <c r="B1013" i="1"/>
  <c r="B1014" i="1"/>
  <c r="B595" i="1"/>
  <c r="B596" i="1"/>
  <c r="B177" i="1"/>
  <c r="B178" i="1"/>
  <c r="B9371" i="1"/>
  <c r="B9372" i="1"/>
  <c r="B8953" i="1"/>
  <c r="B8954" i="1"/>
  <c r="B8535" i="1"/>
  <c r="B8536" i="1"/>
  <c r="B8117" i="1"/>
  <c r="B8118" i="1"/>
  <c r="B7699" i="1"/>
  <c r="B7700" i="1"/>
  <c r="B7281" i="1"/>
  <c r="B7282" i="1"/>
  <c r="B6863" i="1"/>
  <c r="B6864" i="1"/>
  <c r="B6445" i="1"/>
  <c r="B6446" i="1"/>
  <c r="B6027" i="1"/>
  <c r="B6028" i="1"/>
  <c r="B5609" i="1"/>
  <c r="B5610" i="1"/>
  <c r="B5191" i="1"/>
  <c r="B5192" i="1"/>
  <c r="B4773" i="1"/>
  <c r="B4774" i="1"/>
  <c r="B4355" i="1"/>
  <c r="B4356" i="1"/>
  <c r="B3937" i="1"/>
  <c r="B3938" i="1"/>
  <c r="B3519" i="1"/>
  <c r="B3520" i="1"/>
  <c r="B3101" i="1"/>
  <c r="B3102" i="1"/>
  <c r="B2683" i="1"/>
  <c r="B2684" i="1"/>
  <c r="B2265" i="1"/>
  <c r="B2266" i="1"/>
  <c r="B1847" i="1"/>
  <c r="B1848" i="1"/>
  <c r="B1429" i="1"/>
  <c r="B1430" i="1"/>
  <c r="B1011" i="1"/>
  <c r="B1012" i="1"/>
  <c r="B593" i="1"/>
  <c r="B594" i="1"/>
  <c r="B175" i="1"/>
  <c r="B176" i="1"/>
  <c r="B9369" i="1"/>
  <c r="B9370" i="1"/>
  <c r="B8951" i="1"/>
  <c r="B8952" i="1"/>
  <c r="B8533" i="1"/>
  <c r="B8534" i="1"/>
  <c r="B8115" i="1"/>
  <c r="B8116" i="1"/>
  <c r="B7697" i="1"/>
  <c r="B7698" i="1"/>
  <c r="B7279" i="1"/>
  <c r="B7280" i="1"/>
  <c r="B6861" i="1"/>
  <c r="B6862" i="1"/>
  <c r="B6443" i="1"/>
  <c r="B6444" i="1"/>
  <c r="B6025" i="1"/>
  <c r="B6026" i="1"/>
  <c r="B5607" i="1"/>
  <c r="B5608" i="1"/>
  <c r="B5189" i="1"/>
  <c r="B5190" i="1"/>
  <c r="B4771" i="1"/>
  <c r="B4772" i="1"/>
  <c r="B4353" i="1"/>
  <c r="B4354" i="1"/>
  <c r="B3935" i="1"/>
  <c r="B3936" i="1"/>
  <c r="B3517" i="1"/>
  <c r="B3518" i="1"/>
  <c r="B3099" i="1"/>
  <c r="B3100" i="1"/>
  <c r="B2681" i="1"/>
  <c r="B2682" i="1"/>
  <c r="B2263" i="1"/>
  <c r="B2264" i="1"/>
  <c r="B1845" i="1"/>
  <c r="B1846" i="1"/>
  <c r="B1427" i="1"/>
  <c r="B1428" i="1"/>
  <c r="B1009" i="1"/>
  <c r="B1010" i="1"/>
  <c r="B591" i="1"/>
  <c r="B592" i="1"/>
  <c r="B173" i="1"/>
  <c r="B174" i="1"/>
  <c r="B9367" i="1"/>
  <c r="B9368" i="1"/>
  <c r="B8949" i="1"/>
  <c r="B8950" i="1"/>
  <c r="B8531" i="1"/>
  <c r="B8532" i="1"/>
  <c r="B8113" i="1"/>
  <c r="B8114" i="1"/>
  <c r="B7695" i="1"/>
  <c r="B7696" i="1"/>
  <c r="B7277" i="1"/>
  <c r="B7278" i="1"/>
  <c r="B6859" i="1"/>
  <c r="B6860" i="1"/>
  <c r="B6441" i="1"/>
  <c r="B6442" i="1"/>
  <c r="B6023" i="1"/>
  <c r="B6024" i="1"/>
  <c r="B5605" i="1"/>
  <c r="B5606" i="1"/>
  <c r="B5187" i="1"/>
  <c r="B5188" i="1"/>
  <c r="B4769" i="1"/>
  <c r="B4770" i="1"/>
  <c r="B4351" i="1"/>
  <c r="B4352" i="1"/>
  <c r="B3933" i="1"/>
  <c r="B3934" i="1"/>
  <c r="B3515" i="1"/>
  <c r="B3516" i="1"/>
  <c r="B3097" i="1"/>
  <c r="B3098" i="1"/>
  <c r="B2679" i="1"/>
  <c r="B2680" i="1"/>
  <c r="B2261" i="1"/>
  <c r="B2262" i="1"/>
  <c r="B1843" i="1"/>
  <c r="B1844" i="1"/>
  <c r="B1425" i="1"/>
  <c r="B1426" i="1"/>
  <c r="B1007" i="1"/>
  <c r="B1008" i="1"/>
  <c r="B589" i="1"/>
  <c r="B590" i="1"/>
  <c r="B171" i="1"/>
  <c r="B172" i="1"/>
  <c r="B9365" i="1"/>
  <c r="B9366" i="1"/>
  <c r="B8947" i="1"/>
  <c r="B8948" i="1"/>
  <c r="B8529" i="1"/>
  <c r="B8530" i="1"/>
  <c r="B8111" i="1"/>
  <c r="B8112" i="1"/>
  <c r="B7693" i="1"/>
  <c r="B7694" i="1"/>
  <c r="B7275" i="1"/>
  <c r="B7276" i="1"/>
  <c r="B6857" i="1"/>
  <c r="B6858" i="1"/>
  <c r="B6439" i="1"/>
  <c r="B6440" i="1"/>
  <c r="B6021" i="1"/>
  <c r="B6022" i="1"/>
  <c r="B5603" i="1"/>
  <c r="B5604" i="1"/>
  <c r="B5185" i="1"/>
  <c r="B5186" i="1"/>
  <c r="B4767" i="1"/>
  <c r="B4768" i="1"/>
  <c r="B4349" i="1"/>
  <c r="B4350" i="1"/>
  <c r="B3931" i="1"/>
  <c r="B3932" i="1"/>
  <c r="B3513" i="1"/>
  <c r="B3514" i="1"/>
  <c r="B3095" i="1"/>
  <c r="B3096" i="1"/>
  <c r="B2677" i="1"/>
  <c r="B2678" i="1"/>
  <c r="B2259" i="1"/>
  <c r="B2260" i="1"/>
  <c r="B1841" i="1"/>
  <c r="B1842" i="1"/>
  <c r="B1423" i="1"/>
  <c r="B1424" i="1"/>
  <c r="B1005" i="1"/>
  <c r="B1006" i="1"/>
  <c r="B587" i="1"/>
  <c r="B588" i="1"/>
  <c r="B169" i="1"/>
  <c r="B170" i="1"/>
  <c r="B9363" i="1"/>
  <c r="B9364" i="1"/>
  <c r="B8945" i="1"/>
  <c r="B8946" i="1"/>
  <c r="B8527" i="1"/>
  <c r="B8528" i="1"/>
  <c r="B8109" i="1"/>
  <c r="B8110" i="1"/>
  <c r="B7691" i="1"/>
  <c r="B7692" i="1"/>
  <c r="B7273" i="1"/>
  <c r="B7274" i="1"/>
  <c r="B6855" i="1"/>
  <c r="B6856" i="1"/>
  <c r="B6437" i="1"/>
  <c r="B6438" i="1"/>
  <c r="B6019" i="1"/>
  <c r="B6020" i="1"/>
  <c r="B5601" i="1"/>
  <c r="B5602" i="1"/>
  <c r="B5183" i="1"/>
  <c r="B5184" i="1"/>
  <c r="B4765" i="1"/>
  <c r="B4766" i="1"/>
  <c r="B4347" i="1"/>
  <c r="B4348" i="1"/>
  <c r="B3929" i="1"/>
  <c r="B3930" i="1"/>
  <c r="B3511" i="1"/>
  <c r="B3512" i="1"/>
  <c r="B3093" i="1"/>
  <c r="B3094" i="1"/>
  <c r="B2675" i="1"/>
  <c r="B2676" i="1"/>
  <c r="B2257" i="1"/>
  <c r="B2258" i="1"/>
  <c r="B1839" i="1"/>
  <c r="B1840" i="1"/>
  <c r="B1421" i="1"/>
  <c r="B1422" i="1"/>
  <c r="B1003" i="1"/>
  <c r="B1004" i="1"/>
  <c r="B585" i="1"/>
  <c r="B586" i="1"/>
  <c r="B167" i="1"/>
  <c r="B168" i="1"/>
  <c r="B9361" i="1"/>
  <c r="B9362" i="1"/>
  <c r="B8943" i="1"/>
  <c r="B8944" i="1"/>
  <c r="B8525" i="1"/>
  <c r="B8526" i="1"/>
  <c r="B8107" i="1"/>
  <c r="B8108" i="1"/>
  <c r="B7689" i="1"/>
  <c r="B7690" i="1"/>
  <c r="B7271" i="1"/>
  <c r="B7272" i="1"/>
  <c r="B6853" i="1"/>
  <c r="B6854" i="1"/>
  <c r="B6435" i="1"/>
  <c r="B6436" i="1"/>
  <c r="B6017" i="1"/>
  <c r="B6018" i="1"/>
  <c r="B5599" i="1"/>
  <c r="B5600" i="1"/>
  <c r="B5181" i="1"/>
  <c r="B5182" i="1"/>
  <c r="B4763" i="1"/>
  <c r="B4764" i="1"/>
  <c r="B4345" i="1"/>
  <c r="B4346" i="1"/>
  <c r="B3927" i="1"/>
  <c r="B3928" i="1"/>
  <c r="B3509" i="1"/>
  <c r="B3510" i="1"/>
  <c r="B3091" i="1"/>
  <c r="B3092" i="1"/>
  <c r="B2673" i="1"/>
  <c r="B2674" i="1"/>
  <c r="B2255" i="1"/>
  <c r="B2256" i="1"/>
  <c r="B1837" i="1"/>
  <c r="B1838" i="1"/>
  <c r="B1419" i="1"/>
  <c r="B1420" i="1"/>
  <c r="B1001" i="1"/>
  <c r="B1002" i="1"/>
  <c r="B583" i="1"/>
  <c r="B584" i="1"/>
  <c r="B165" i="1"/>
  <c r="B166" i="1"/>
  <c r="B9359" i="1"/>
  <c r="B9360" i="1"/>
  <c r="B8941" i="1"/>
  <c r="B8942" i="1"/>
  <c r="B8523" i="1"/>
  <c r="B8524" i="1"/>
  <c r="B8105" i="1"/>
  <c r="B8106" i="1"/>
  <c r="B7687" i="1"/>
  <c r="B7688" i="1"/>
  <c r="B7269" i="1"/>
  <c r="B7270" i="1"/>
  <c r="B6851" i="1"/>
  <c r="B6852" i="1"/>
  <c r="B6433" i="1"/>
  <c r="B6434" i="1"/>
  <c r="B6015" i="1"/>
  <c r="B6016" i="1"/>
  <c r="B5597" i="1"/>
  <c r="B5598" i="1"/>
  <c r="B5179" i="1"/>
  <c r="B5180" i="1"/>
  <c r="B4761" i="1"/>
  <c r="B4762" i="1"/>
  <c r="B4343" i="1"/>
  <c r="B4344" i="1"/>
  <c r="B3925" i="1"/>
  <c r="B3926" i="1"/>
  <c r="B3507" i="1"/>
  <c r="B3508" i="1"/>
  <c r="B3089" i="1"/>
  <c r="B3090" i="1"/>
  <c r="B2671" i="1"/>
  <c r="B2672" i="1"/>
  <c r="B2253" i="1"/>
  <c r="B2254" i="1"/>
  <c r="B1835" i="1"/>
  <c r="B1836" i="1"/>
  <c r="B1417" i="1"/>
  <c r="B1418" i="1"/>
  <c r="B999" i="1"/>
  <c r="B1000" i="1"/>
  <c r="B581" i="1"/>
  <c r="B582" i="1"/>
  <c r="B163" i="1"/>
  <c r="B164" i="1"/>
  <c r="B9357" i="1"/>
  <c r="B9358" i="1"/>
  <c r="B8939" i="1"/>
  <c r="B8940" i="1"/>
  <c r="B8521" i="1"/>
  <c r="B8522" i="1"/>
  <c r="B8103" i="1"/>
  <c r="B8104" i="1"/>
  <c r="B7685" i="1"/>
  <c r="B7686" i="1"/>
  <c r="B7267" i="1"/>
  <c r="B7268" i="1"/>
  <c r="B6849" i="1"/>
  <c r="B6850" i="1"/>
  <c r="B6431" i="1"/>
  <c r="B6432" i="1"/>
  <c r="B6013" i="1"/>
  <c r="B6014" i="1"/>
  <c r="B5595" i="1"/>
  <c r="B5596" i="1"/>
  <c r="B5177" i="1"/>
  <c r="B5178" i="1"/>
  <c r="B4759" i="1"/>
  <c r="B4760" i="1"/>
  <c r="B4341" i="1"/>
  <c r="B4342" i="1"/>
  <c r="B3923" i="1"/>
  <c r="B3924" i="1"/>
  <c r="B3505" i="1"/>
  <c r="B3506" i="1"/>
  <c r="B3087" i="1"/>
  <c r="B3088" i="1"/>
  <c r="B2669" i="1"/>
  <c r="B2670" i="1"/>
  <c r="B2251" i="1"/>
  <c r="B2252" i="1"/>
  <c r="B1833" i="1"/>
  <c r="B1834" i="1"/>
  <c r="B1415" i="1"/>
  <c r="B1416" i="1"/>
  <c r="B997" i="1"/>
  <c r="B998" i="1"/>
  <c r="B579" i="1"/>
  <c r="B580" i="1"/>
  <c r="B161" i="1"/>
  <c r="B162" i="1"/>
  <c r="B9355" i="1"/>
  <c r="B9356" i="1"/>
  <c r="B8937" i="1"/>
  <c r="B8938" i="1"/>
  <c r="B8519" i="1"/>
  <c r="B8520" i="1"/>
  <c r="B8101" i="1"/>
  <c r="B8102" i="1"/>
  <c r="B7683" i="1"/>
  <c r="B7684" i="1"/>
  <c r="B7265" i="1"/>
  <c r="B7266" i="1"/>
  <c r="B6847" i="1"/>
  <c r="B6848" i="1"/>
  <c r="B6429" i="1"/>
  <c r="B6430" i="1"/>
  <c r="B6011" i="1"/>
  <c r="B6012" i="1"/>
  <c r="B5593" i="1"/>
  <c r="B5594" i="1"/>
  <c r="B5175" i="1"/>
  <c r="B5176" i="1"/>
  <c r="B4757" i="1"/>
  <c r="B4758" i="1"/>
  <c r="B4339" i="1"/>
  <c r="B4340" i="1"/>
  <c r="B3921" i="1"/>
  <c r="B3922" i="1"/>
  <c r="B3503" i="1"/>
  <c r="B3504" i="1"/>
  <c r="B3085" i="1"/>
  <c r="B3086" i="1"/>
  <c r="B2667" i="1"/>
  <c r="B2668" i="1"/>
  <c r="B2249" i="1"/>
  <c r="B2250" i="1"/>
  <c r="B1831" i="1"/>
  <c r="B1832" i="1"/>
  <c r="B1413" i="1"/>
  <c r="B1414" i="1"/>
  <c r="B995" i="1"/>
  <c r="B996" i="1"/>
  <c r="B577" i="1"/>
  <c r="B578" i="1"/>
  <c r="B159" i="1"/>
  <c r="B160" i="1"/>
  <c r="B9353" i="1"/>
  <c r="B9354" i="1"/>
  <c r="B8935" i="1"/>
  <c r="B8936" i="1"/>
  <c r="B8517" i="1"/>
  <c r="B8518" i="1"/>
  <c r="B8099" i="1"/>
  <c r="B8100" i="1"/>
  <c r="B7681" i="1"/>
  <c r="B7682" i="1"/>
  <c r="B7263" i="1"/>
  <c r="B7264" i="1"/>
  <c r="B6845" i="1"/>
  <c r="B6846" i="1"/>
  <c r="B6427" i="1"/>
  <c r="B6428" i="1"/>
  <c r="B6009" i="1"/>
  <c r="B6010" i="1"/>
  <c r="B5591" i="1"/>
  <c r="B5592" i="1"/>
  <c r="B5173" i="1"/>
  <c r="B5174" i="1"/>
  <c r="B4755" i="1"/>
  <c r="B4756" i="1"/>
  <c r="B4337" i="1"/>
  <c r="B4338" i="1"/>
  <c r="B3919" i="1"/>
  <c r="B3920" i="1"/>
  <c r="B3501" i="1"/>
  <c r="B3502" i="1"/>
  <c r="B3083" i="1"/>
  <c r="B3084" i="1"/>
  <c r="B2665" i="1"/>
  <c r="B2666" i="1"/>
  <c r="B2247" i="1"/>
  <c r="B2248" i="1"/>
  <c r="B1829" i="1"/>
  <c r="B1830" i="1"/>
  <c r="B1411" i="1"/>
  <c r="B1412" i="1"/>
  <c r="B993" i="1"/>
  <c r="B994" i="1"/>
  <c r="B575" i="1"/>
  <c r="B576" i="1"/>
  <c r="B157" i="1"/>
  <c r="B158" i="1"/>
  <c r="B9351" i="1"/>
  <c r="B9352" i="1"/>
  <c r="B8933" i="1"/>
  <c r="B8934" i="1"/>
  <c r="B8515" i="1"/>
  <c r="B8516" i="1"/>
  <c r="B8097" i="1"/>
  <c r="B8098" i="1"/>
  <c r="B7679" i="1"/>
  <c r="B7680" i="1"/>
  <c r="B7261" i="1"/>
  <c r="B7262" i="1"/>
  <c r="B6843" i="1"/>
  <c r="B6844" i="1"/>
  <c r="B6425" i="1"/>
  <c r="B6426" i="1"/>
  <c r="B6007" i="1"/>
  <c r="B6008" i="1"/>
  <c r="B5589" i="1"/>
  <c r="B5590" i="1"/>
  <c r="B5171" i="1"/>
  <c r="B5172" i="1"/>
  <c r="B4753" i="1"/>
  <c r="B4754" i="1"/>
  <c r="B4335" i="1"/>
  <c r="B4336" i="1"/>
  <c r="B3917" i="1"/>
  <c r="B3918" i="1"/>
  <c r="B3499" i="1"/>
  <c r="B3500" i="1"/>
  <c r="B3081" i="1"/>
  <c r="B3082" i="1"/>
  <c r="B2663" i="1"/>
  <c r="B2664" i="1"/>
  <c r="B2245" i="1"/>
  <c r="B2246" i="1"/>
  <c r="B1827" i="1"/>
  <c r="B1828" i="1"/>
  <c r="B1409" i="1"/>
  <c r="B1410" i="1"/>
  <c r="B991" i="1"/>
  <c r="B992" i="1"/>
  <c r="B573" i="1"/>
  <c r="B574" i="1"/>
  <c r="B155" i="1"/>
  <c r="B156" i="1"/>
  <c r="B9349" i="1"/>
  <c r="B9350" i="1"/>
  <c r="B8931" i="1"/>
  <c r="B8932" i="1"/>
  <c r="B8513" i="1"/>
  <c r="B8514" i="1"/>
  <c r="B8095" i="1"/>
  <c r="B8096" i="1"/>
  <c r="B7677" i="1"/>
  <c r="B7678" i="1"/>
  <c r="B7259" i="1"/>
  <c r="B7260" i="1"/>
  <c r="B6841" i="1"/>
  <c r="B6842" i="1"/>
  <c r="B6423" i="1"/>
  <c r="B6424" i="1"/>
  <c r="B6005" i="1"/>
  <c r="B6006" i="1"/>
  <c r="B5587" i="1"/>
  <c r="B5588" i="1"/>
  <c r="B5169" i="1"/>
  <c r="B5170" i="1"/>
  <c r="B4751" i="1"/>
  <c r="B4752" i="1"/>
  <c r="B4333" i="1"/>
  <c r="B4334" i="1"/>
  <c r="B3915" i="1"/>
  <c r="B3916" i="1"/>
  <c r="B3497" i="1"/>
  <c r="B3498" i="1"/>
  <c r="B3079" i="1"/>
  <c r="B3080" i="1"/>
  <c r="B2661" i="1"/>
  <c r="B2662" i="1"/>
  <c r="B2243" i="1"/>
  <c r="B2244" i="1"/>
  <c r="B1825" i="1"/>
  <c r="B1826" i="1"/>
  <c r="B1407" i="1"/>
  <c r="B1408" i="1"/>
  <c r="B989" i="1"/>
  <c r="B990" i="1"/>
  <c r="B571" i="1"/>
  <c r="B572" i="1"/>
  <c r="B153" i="1"/>
  <c r="B154" i="1"/>
  <c r="B9347" i="1"/>
  <c r="B9348" i="1"/>
  <c r="B8929" i="1"/>
  <c r="B8930" i="1"/>
  <c r="B8511" i="1"/>
  <c r="B8512" i="1"/>
  <c r="B8093" i="1"/>
  <c r="B8094" i="1"/>
  <c r="B7675" i="1"/>
  <c r="B7676" i="1"/>
  <c r="B7257" i="1"/>
  <c r="B7258" i="1"/>
  <c r="B6839" i="1"/>
  <c r="B6840" i="1"/>
  <c r="B6421" i="1"/>
  <c r="B6422" i="1"/>
  <c r="B6003" i="1"/>
  <c r="B6004" i="1"/>
  <c r="B5585" i="1"/>
  <c r="B5586" i="1"/>
  <c r="B5167" i="1"/>
  <c r="B5168" i="1"/>
  <c r="B4749" i="1"/>
  <c r="B4750" i="1"/>
  <c r="B4331" i="1"/>
  <c r="B4332" i="1"/>
  <c r="B3913" i="1"/>
  <c r="B3914" i="1"/>
  <c r="B3495" i="1"/>
  <c r="B3496" i="1"/>
  <c r="B3077" i="1"/>
  <c r="B3078" i="1"/>
  <c r="B2659" i="1"/>
  <c r="B2660" i="1"/>
  <c r="B2241" i="1"/>
  <c r="B2242" i="1"/>
  <c r="B1823" i="1"/>
  <c r="B1824" i="1"/>
  <c r="B1405" i="1"/>
  <c r="B1406" i="1"/>
  <c r="B987" i="1"/>
  <c r="B988" i="1"/>
  <c r="B569" i="1"/>
  <c r="B570" i="1"/>
  <c r="B151" i="1"/>
  <c r="B152" i="1"/>
  <c r="B9345" i="1"/>
  <c r="B9346" i="1"/>
  <c r="B8927" i="1"/>
  <c r="B8928" i="1"/>
  <c r="B8509" i="1"/>
  <c r="B8510" i="1"/>
  <c r="B8091" i="1"/>
  <c r="B8092" i="1"/>
  <c r="B7673" i="1"/>
  <c r="B7674" i="1"/>
  <c r="B7255" i="1"/>
  <c r="B7256" i="1"/>
  <c r="B6837" i="1"/>
  <c r="B6838" i="1"/>
  <c r="B6419" i="1"/>
  <c r="B6420" i="1"/>
  <c r="B6001" i="1"/>
  <c r="B6002" i="1"/>
  <c r="B5583" i="1"/>
  <c r="B5584" i="1"/>
  <c r="B5165" i="1"/>
  <c r="B5166" i="1"/>
  <c r="B4747" i="1"/>
  <c r="B4748" i="1"/>
  <c r="B4329" i="1"/>
  <c r="B4330" i="1"/>
  <c r="B3911" i="1"/>
  <c r="B3912" i="1"/>
  <c r="B3493" i="1"/>
  <c r="B3494" i="1"/>
  <c r="B3075" i="1"/>
  <c r="B3076" i="1"/>
  <c r="B2657" i="1"/>
  <c r="B2658" i="1"/>
  <c r="B2239" i="1"/>
  <c r="B2240" i="1"/>
  <c r="B1821" i="1"/>
  <c r="B1822" i="1"/>
  <c r="B1403" i="1"/>
  <c r="B1404" i="1"/>
  <c r="B985" i="1"/>
  <c r="B986" i="1"/>
  <c r="B567" i="1"/>
  <c r="B568" i="1"/>
  <c r="B149" i="1"/>
  <c r="B150" i="1"/>
  <c r="B9343" i="1"/>
  <c r="B9344" i="1"/>
  <c r="B8925" i="1"/>
  <c r="B8926" i="1"/>
  <c r="B8507" i="1"/>
  <c r="B8508" i="1"/>
  <c r="B8089" i="1"/>
  <c r="B8090" i="1"/>
  <c r="B7671" i="1"/>
  <c r="B7672" i="1"/>
  <c r="B7253" i="1"/>
  <c r="B7254" i="1"/>
  <c r="B6835" i="1"/>
  <c r="B6836" i="1"/>
  <c r="B6417" i="1"/>
  <c r="B6418" i="1"/>
  <c r="B5999" i="1"/>
  <c r="B6000" i="1"/>
  <c r="B5581" i="1"/>
  <c r="B5582" i="1"/>
  <c r="B5163" i="1"/>
  <c r="B5164" i="1"/>
  <c r="B4745" i="1"/>
  <c r="B4746" i="1"/>
  <c r="B4327" i="1"/>
  <c r="B4328" i="1"/>
  <c r="B3909" i="1"/>
  <c r="B3910" i="1"/>
  <c r="B3491" i="1"/>
  <c r="B3492" i="1"/>
  <c r="B3073" i="1"/>
  <c r="B3074" i="1"/>
  <c r="B2655" i="1"/>
  <c r="B2656" i="1"/>
  <c r="B2237" i="1"/>
  <c r="B2238" i="1"/>
  <c r="B1819" i="1"/>
  <c r="B1820" i="1"/>
  <c r="B1401" i="1"/>
  <c r="B1402" i="1"/>
  <c r="B983" i="1"/>
  <c r="B984" i="1"/>
  <c r="B565" i="1"/>
  <c r="B566" i="1"/>
  <c r="B147" i="1"/>
  <c r="B148" i="1"/>
  <c r="B9341" i="1"/>
  <c r="B9342" i="1"/>
  <c r="B8923" i="1"/>
  <c r="B8924" i="1"/>
  <c r="B8505" i="1"/>
  <c r="B8506" i="1"/>
  <c r="B8087" i="1"/>
  <c r="B8088" i="1"/>
  <c r="B7669" i="1"/>
  <c r="B7670" i="1"/>
  <c r="B7251" i="1"/>
  <c r="B7252" i="1"/>
  <c r="B6833" i="1"/>
  <c r="B6834" i="1"/>
  <c r="B6415" i="1"/>
  <c r="B6416" i="1"/>
  <c r="B5997" i="1"/>
  <c r="B5998" i="1"/>
  <c r="B5579" i="1"/>
  <c r="B5580" i="1"/>
  <c r="B5161" i="1"/>
  <c r="B5162" i="1"/>
  <c r="B4743" i="1"/>
  <c r="B4744" i="1"/>
  <c r="B4325" i="1"/>
  <c r="B4326" i="1"/>
  <c r="B3907" i="1"/>
  <c r="B3908" i="1"/>
  <c r="B3489" i="1"/>
  <c r="B3490" i="1"/>
  <c r="B3071" i="1"/>
  <c r="B3072" i="1"/>
  <c r="B2653" i="1"/>
  <c r="B2654" i="1"/>
  <c r="B2235" i="1"/>
  <c r="B2236" i="1"/>
  <c r="B1817" i="1"/>
  <c r="B1818" i="1"/>
  <c r="B1399" i="1"/>
  <c r="B1400" i="1"/>
  <c r="B981" i="1"/>
  <c r="B982" i="1"/>
  <c r="B563" i="1"/>
  <c r="B564" i="1"/>
  <c r="B145" i="1"/>
  <c r="B146" i="1"/>
  <c r="B9339" i="1"/>
  <c r="B9340" i="1"/>
  <c r="B8921" i="1"/>
  <c r="B8922" i="1"/>
  <c r="B8503" i="1"/>
  <c r="B8504" i="1"/>
  <c r="B8085" i="1"/>
  <c r="B8086" i="1"/>
  <c r="B7667" i="1"/>
  <c r="B7668" i="1"/>
  <c r="B7249" i="1"/>
  <c r="B7250" i="1"/>
  <c r="B6831" i="1"/>
  <c r="B6832" i="1"/>
  <c r="B6413" i="1"/>
  <c r="B6414" i="1"/>
  <c r="B5995" i="1"/>
  <c r="B5996" i="1"/>
  <c r="B5577" i="1"/>
  <c r="B5578" i="1"/>
  <c r="B5159" i="1"/>
  <c r="B5160" i="1"/>
  <c r="B4741" i="1"/>
  <c r="B4742" i="1"/>
  <c r="B4323" i="1"/>
  <c r="B4324" i="1"/>
  <c r="B3905" i="1"/>
  <c r="B3906" i="1"/>
  <c r="B3487" i="1"/>
  <c r="B3488" i="1"/>
  <c r="B3069" i="1"/>
  <c r="B3070" i="1"/>
  <c r="B2651" i="1"/>
  <c r="B2652" i="1"/>
  <c r="B2233" i="1"/>
  <c r="B2234" i="1"/>
  <c r="B1815" i="1"/>
  <c r="B1816" i="1"/>
  <c r="B1397" i="1"/>
  <c r="B1398" i="1"/>
  <c r="B979" i="1"/>
  <c r="B980" i="1"/>
  <c r="B561" i="1"/>
  <c r="B562" i="1"/>
  <c r="B143" i="1"/>
  <c r="B144" i="1"/>
  <c r="B9337" i="1"/>
  <c r="B9338" i="1"/>
  <c r="B8919" i="1"/>
  <c r="B8920" i="1"/>
  <c r="B8501" i="1"/>
  <c r="B8502" i="1"/>
  <c r="B8083" i="1"/>
  <c r="B8084" i="1"/>
  <c r="B7665" i="1"/>
  <c r="B7666" i="1"/>
  <c r="B7247" i="1"/>
  <c r="B7248" i="1"/>
  <c r="B6829" i="1"/>
  <c r="B6830" i="1"/>
  <c r="B6411" i="1"/>
  <c r="B6412" i="1"/>
  <c r="B5993" i="1"/>
  <c r="B5994" i="1"/>
  <c r="B5575" i="1"/>
  <c r="B5576" i="1"/>
  <c r="B5157" i="1"/>
  <c r="B5158" i="1"/>
  <c r="B4739" i="1"/>
  <c r="B4740" i="1"/>
  <c r="B4321" i="1"/>
  <c r="B4322" i="1"/>
  <c r="B3903" i="1"/>
  <c r="B3904" i="1"/>
  <c r="B3485" i="1"/>
  <c r="B3486" i="1"/>
  <c r="B3067" i="1"/>
  <c r="B3068" i="1"/>
  <c r="B2649" i="1"/>
  <c r="B2650" i="1"/>
  <c r="B2231" i="1"/>
  <c r="B2232" i="1"/>
  <c r="B1813" i="1"/>
  <c r="B1814" i="1"/>
  <c r="B1395" i="1"/>
  <c r="B1396" i="1"/>
  <c r="B977" i="1"/>
  <c r="B978" i="1"/>
  <c r="B559" i="1"/>
  <c r="B560" i="1"/>
  <c r="B141" i="1"/>
  <c r="B142" i="1"/>
  <c r="B9335" i="1"/>
  <c r="B9336" i="1"/>
  <c r="B8917" i="1"/>
  <c r="B8918" i="1"/>
  <c r="B8499" i="1"/>
  <c r="B8500" i="1"/>
  <c r="B8081" i="1"/>
  <c r="B8082" i="1"/>
  <c r="B7663" i="1"/>
  <c r="B7664" i="1"/>
  <c r="B7245" i="1"/>
  <c r="B7246" i="1"/>
  <c r="B6827" i="1"/>
  <c r="B6828" i="1"/>
  <c r="B6409" i="1"/>
  <c r="B6410" i="1"/>
  <c r="B5991" i="1"/>
  <c r="B5992" i="1"/>
  <c r="B5573" i="1"/>
  <c r="B5574" i="1"/>
  <c r="B5155" i="1"/>
  <c r="B5156" i="1"/>
  <c r="B4737" i="1"/>
  <c r="B4738" i="1"/>
  <c r="B4319" i="1"/>
  <c r="B4320" i="1"/>
  <c r="B3901" i="1"/>
  <c r="B3902" i="1"/>
  <c r="B3483" i="1"/>
  <c r="B3484" i="1"/>
  <c r="B3065" i="1"/>
  <c r="B3066" i="1"/>
  <c r="B2647" i="1"/>
  <c r="B2648" i="1"/>
  <c r="B2229" i="1"/>
  <c r="B2230" i="1"/>
  <c r="B1811" i="1"/>
  <c r="B1812" i="1"/>
  <c r="B1393" i="1"/>
  <c r="B1394" i="1"/>
  <c r="B975" i="1"/>
  <c r="B976" i="1"/>
  <c r="B557" i="1"/>
  <c r="B558" i="1"/>
  <c r="B139" i="1"/>
  <c r="B140" i="1"/>
  <c r="B9333" i="1"/>
  <c r="B9334" i="1"/>
  <c r="B8915" i="1"/>
  <c r="B8916" i="1"/>
  <c r="B8497" i="1"/>
  <c r="B8498" i="1"/>
  <c r="B8079" i="1"/>
  <c r="B8080" i="1"/>
  <c r="B7661" i="1"/>
  <c r="B7662" i="1"/>
  <c r="B7243" i="1"/>
  <c r="B7244" i="1"/>
  <c r="B6825" i="1"/>
  <c r="B6826" i="1"/>
  <c r="B6407" i="1"/>
  <c r="B6408" i="1"/>
  <c r="B5989" i="1"/>
  <c r="B5990" i="1"/>
  <c r="B5571" i="1"/>
  <c r="B5572" i="1"/>
  <c r="B5153" i="1"/>
  <c r="B5154" i="1"/>
  <c r="B4735" i="1"/>
  <c r="B4736" i="1"/>
  <c r="B4317" i="1"/>
  <c r="B4318" i="1"/>
  <c r="B3899" i="1"/>
  <c r="B3900" i="1"/>
  <c r="B3481" i="1"/>
  <c r="B3482" i="1"/>
  <c r="B3063" i="1"/>
  <c r="B3064" i="1"/>
  <c r="B2645" i="1"/>
  <c r="B2646" i="1"/>
  <c r="B2227" i="1"/>
  <c r="B2228" i="1"/>
  <c r="B1809" i="1"/>
  <c r="B1810" i="1"/>
  <c r="B1391" i="1"/>
  <c r="B1392" i="1"/>
  <c r="B973" i="1"/>
  <c r="B974" i="1"/>
  <c r="B555" i="1"/>
  <c r="B556" i="1"/>
  <c r="B137" i="1"/>
  <c r="B138" i="1"/>
  <c r="B9331" i="1"/>
  <c r="B9332" i="1"/>
  <c r="B8913" i="1"/>
  <c r="B8914" i="1"/>
  <c r="B8495" i="1"/>
  <c r="B8496" i="1"/>
  <c r="B8077" i="1"/>
  <c r="B8078" i="1"/>
  <c r="B7659" i="1"/>
  <c r="B7660" i="1"/>
  <c r="B7241" i="1"/>
  <c r="B7242" i="1"/>
  <c r="B6823" i="1"/>
  <c r="B6824" i="1"/>
  <c r="B6405" i="1"/>
  <c r="B6406" i="1"/>
  <c r="B5987" i="1"/>
  <c r="B5988" i="1"/>
  <c r="B5569" i="1"/>
  <c r="B5570" i="1"/>
  <c r="B5151" i="1"/>
  <c r="B5152" i="1"/>
  <c r="B4733" i="1"/>
  <c r="B4734" i="1"/>
  <c r="B4315" i="1"/>
  <c r="B4316" i="1"/>
  <c r="B3897" i="1"/>
  <c r="B3898" i="1"/>
  <c r="B3479" i="1"/>
  <c r="B3480" i="1"/>
  <c r="B3061" i="1"/>
  <c r="B3062" i="1"/>
  <c r="B2643" i="1"/>
  <c r="B2644" i="1"/>
  <c r="B2225" i="1"/>
  <c r="B2226" i="1"/>
  <c r="B1807" i="1"/>
  <c r="B1808" i="1"/>
  <c r="B1389" i="1"/>
  <c r="B1390" i="1"/>
  <c r="B971" i="1"/>
  <c r="B972" i="1"/>
  <c r="B553" i="1"/>
  <c r="B554" i="1"/>
  <c r="B135" i="1"/>
  <c r="B136" i="1"/>
  <c r="B9329" i="1"/>
  <c r="B9330" i="1"/>
  <c r="B8911" i="1"/>
  <c r="B8912" i="1"/>
  <c r="B8493" i="1"/>
  <c r="B8494" i="1"/>
  <c r="B8075" i="1"/>
  <c r="B8076" i="1"/>
  <c r="B7657" i="1"/>
  <c r="B7658" i="1"/>
  <c r="B7239" i="1"/>
  <c r="B7240" i="1"/>
  <c r="B6821" i="1"/>
  <c r="B6822" i="1"/>
  <c r="B6403" i="1"/>
  <c r="B6404" i="1"/>
  <c r="B5985" i="1"/>
  <c r="B5986" i="1"/>
  <c r="B5567" i="1"/>
  <c r="B5568" i="1"/>
  <c r="B5149" i="1"/>
  <c r="B5150" i="1"/>
  <c r="B4731" i="1"/>
  <c r="B4732" i="1"/>
  <c r="B4313" i="1"/>
  <c r="B4314" i="1"/>
  <c r="B3895" i="1"/>
  <c r="B3896" i="1"/>
  <c r="B3477" i="1"/>
  <c r="B3478" i="1"/>
  <c r="B3059" i="1"/>
  <c r="B3060" i="1"/>
  <c r="B2641" i="1"/>
  <c r="B2642" i="1"/>
  <c r="B2223" i="1"/>
  <c r="B2224" i="1"/>
  <c r="B1805" i="1"/>
  <c r="B1806" i="1"/>
  <c r="B1387" i="1"/>
  <c r="B1388" i="1"/>
  <c r="B969" i="1"/>
  <c r="B970" i="1"/>
  <c r="B551" i="1"/>
  <c r="B552" i="1"/>
  <c r="B133" i="1"/>
  <c r="B134" i="1"/>
  <c r="B9327" i="1"/>
  <c r="B9328" i="1"/>
  <c r="B8909" i="1"/>
  <c r="B8910" i="1"/>
  <c r="B8491" i="1"/>
  <c r="B8492" i="1"/>
  <c r="B8073" i="1"/>
  <c r="B8074" i="1"/>
  <c r="B7655" i="1"/>
  <c r="B7656" i="1"/>
  <c r="B7237" i="1"/>
  <c r="B7238" i="1"/>
  <c r="B6819" i="1"/>
  <c r="B6820" i="1"/>
  <c r="B6401" i="1"/>
  <c r="B6402" i="1"/>
  <c r="B5983" i="1"/>
  <c r="B5984" i="1"/>
  <c r="B5565" i="1"/>
  <c r="B5566" i="1"/>
  <c r="B5147" i="1"/>
  <c r="B5148" i="1"/>
  <c r="B4729" i="1"/>
  <c r="B4730" i="1"/>
  <c r="B4311" i="1"/>
  <c r="B4312" i="1"/>
  <c r="B3893" i="1"/>
  <c r="B3894" i="1"/>
  <c r="B3475" i="1"/>
  <c r="B3476" i="1"/>
  <c r="B3057" i="1"/>
  <c r="B3058" i="1"/>
  <c r="B2639" i="1"/>
  <c r="B2640" i="1"/>
  <c r="B2221" i="1"/>
  <c r="B2222" i="1"/>
  <c r="B1803" i="1"/>
  <c r="B1804" i="1"/>
  <c r="B1385" i="1"/>
  <c r="B1386" i="1"/>
  <c r="B967" i="1"/>
  <c r="B968" i="1"/>
  <c r="B549" i="1"/>
  <c r="B550" i="1"/>
  <c r="B131" i="1"/>
  <c r="B132" i="1"/>
  <c r="B9325" i="1"/>
  <c r="B9326" i="1"/>
  <c r="B8907" i="1"/>
  <c r="B8908" i="1"/>
  <c r="B8489" i="1"/>
  <c r="B8490" i="1"/>
  <c r="B8071" i="1"/>
  <c r="B8072" i="1"/>
  <c r="B7653" i="1"/>
  <c r="B7654" i="1"/>
  <c r="B7235" i="1"/>
  <c r="B7236" i="1"/>
  <c r="B6817" i="1"/>
  <c r="B6818" i="1"/>
  <c r="B6399" i="1"/>
  <c r="B6400" i="1"/>
  <c r="B5981" i="1"/>
  <c r="B5982" i="1"/>
  <c r="B5563" i="1"/>
  <c r="B5564" i="1"/>
  <c r="B5145" i="1"/>
  <c r="B5146" i="1"/>
  <c r="B4727" i="1"/>
  <c r="B4728" i="1"/>
  <c r="B4309" i="1"/>
  <c r="B4310" i="1"/>
  <c r="B3891" i="1"/>
  <c r="B3892" i="1"/>
  <c r="B3473" i="1"/>
  <c r="B3474" i="1"/>
  <c r="B3055" i="1"/>
  <c r="B3056" i="1"/>
  <c r="B2637" i="1"/>
  <c r="B2638" i="1"/>
  <c r="B2219" i="1"/>
  <c r="B2220" i="1"/>
  <c r="B1801" i="1"/>
  <c r="B1802" i="1"/>
  <c r="B1383" i="1"/>
  <c r="B1384" i="1"/>
  <c r="B965" i="1"/>
  <c r="B966" i="1"/>
  <c r="B547" i="1"/>
  <c r="B548" i="1"/>
  <c r="B129" i="1"/>
  <c r="B130" i="1"/>
  <c r="B9323" i="1"/>
  <c r="B9324" i="1"/>
  <c r="B8905" i="1"/>
  <c r="B8906" i="1"/>
  <c r="B8487" i="1"/>
  <c r="B8488" i="1"/>
  <c r="B8069" i="1"/>
  <c r="B8070" i="1"/>
  <c r="B7651" i="1"/>
  <c r="B7652" i="1"/>
  <c r="B7233" i="1"/>
  <c r="B7234" i="1"/>
  <c r="B6815" i="1"/>
  <c r="B6816" i="1"/>
  <c r="B6397" i="1"/>
  <c r="B6398" i="1"/>
  <c r="B5979" i="1"/>
  <c r="B5980" i="1"/>
  <c r="B5561" i="1"/>
  <c r="B5562" i="1"/>
  <c r="B5143" i="1"/>
  <c r="B5144" i="1"/>
  <c r="B4725" i="1"/>
  <c r="B4726" i="1"/>
  <c r="B4307" i="1"/>
  <c r="B4308" i="1"/>
  <c r="B3889" i="1"/>
  <c r="B3890" i="1"/>
  <c r="B3471" i="1"/>
  <c r="B3472" i="1"/>
  <c r="B3053" i="1"/>
  <c r="B3054" i="1"/>
  <c r="B2635" i="1"/>
  <c r="B2636" i="1"/>
  <c r="B2217" i="1"/>
  <c r="B2218" i="1"/>
  <c r="B1799" i="1"/>
  <c r="B1800" i="1"/>
  <c r="B1381" i="1"/>
  <c r="B1382" i="1"/>
  <c r="B963" i="1"/>
  <c r="B964" i="1"/>
  <c r="B545" i="1"/>
  <c r="B546" i="1"/>
  <c r="B127" i="1"/>
  <c r="B128" i="1"/>
  <c r="B9321" i="1"/>
  <c r="B9322" i="1"/>
  <c r="B8903" i="1"/>
  <c r="B8904" i="1"/>
  <c r="B8485" i="1"/>
  <c r="B8486" i="1"/>
  <c r="B8067" i="1"/>
  <c r="B8068" i="1"/>
  <c r="B7649" i="1"/>
  <c r="B7650" i="1"/>
  <c r="B7231" i="1"/>
  <c r="B7232" i="1"/>
  <c r="B6813" i="1"/>
  <c r="B6814" i="1"/>
  <c r="B6395" i="1"/>
  <c r="B6396" i="1"/>
  <c r="B5977" i="1"/>
  <c r="B5978" i="1"/>
  <c r="B5559" i="1"/>
  <c r="B5560" i="1"/>
  <c r="B5141" i="1"/>
  <c r="B5142" i="1"/>
  <c r="B4723" i="1"/>
  <c r="B4724" i="1"/>
  <c r="B4305" i="1"/>
  <c r="B4306" i="1"/>
  <c r="B3887" i="1"/>
  <c r="B3888" i="1"/>
  <c r="B3469" i="1"/>
  <c r="B3470" i="1"/>
  <c r="B3051" i="1"/>
  <c r="B3052" i="1"/>
  <c r="B2633" i="1"/>
  <c r="B2634" i="1"/>
  <c r="B2215" i="1"/>
  <c r="B2216" i="1"/>
  <c r="B1797" i="1"/>
  <c r="B1798" i="1"/>
  <c r="B1379" i="1"/>
  <c r="B1380" i="1"/>
  <c r="B961" i="1"/>
  <c r="B962" i="1"/>
  <c r="B543" i="1"/>
  <c r="B544" i="1"/>
  <c r="B125" i="1"/>
  <c r="B126" i="1"/>
  <c r="B9319" i="1"/>
  <c r="B9320" i="1"/>
  <c r="B8901" i="1"/>
  <c r="B8902" i="1"/>
  <c r="B8483" i="1"/>
  <c r="B8484" i="1"/>
  <c r="B8065" i="1"/>
  <c r="B8066" i="1"/>
  <c r="B7647" i="1"/>
  <c r="B7648" i="1"/>
  <c r="B7229" i="1"/>
  <c r="B7230" i="1"/>
  <c r="B6811" i="1"/>
  <c r="B6812" i="1"/>
  <c r="B6393" i="1"/>
  <c r="B6394" i="1"/>
  <c r="B5975" i="1"/>
  <c r="B5976" i="1"/>
  <c r="B5557" i="1"/>
  <c r="B5558" i="1"/>
  <c r="B5139" i="1"/>
  <c r="B5140" i="1"/>
  <c r="B4721" i="1"/>
  <c r="B4722" i="1"/>
  <c r="B4303" i="1"/>
  <c r="B4304" i="1"/>
  <c r="B3885" i="1"/>
  <c r="B3886" i="1"/>
  <c r="B3467" i="1"/>
  <c r="B3468" i="1"/>
  <c r="B3049" i="1"/>
  <c r="B3050" i="1"/>
  <c r="B2631" i="1"/>
  <c r="B2632" i="1"/>
  <c r="B2213" i="1"/>
  <c r="B2214" i="1"/>
  <c r="B1795" i="1"/>
  <c r="B1796" i="1"/>
  <c r="B1377" i="1"/>
  <c r="B1378" i="1"/>
  <c r="B959" i="1"/>
  <c r="B960" i="1"/>
  <c r="B541" i="1"/>
  <c r="B542" i="1"/>
  <c r="B123" i="1"/>
  <c r="B124" i="1"/>
  <c r="B9317" i="1"/>
  <c r="B9318" i="1"/>
  <c r="B8899" i="1"/>
  <c r="B8900" i="1"/>
  <c r="B8481" i="1"/>
  <c r="B8482" i="1"/>
  <c r="B8063" i="1"/>
  <c r="B8064" i="1"/>
  <c r="B7645" i="1"/>
  <c r="B7646" i="1"/>
  <c r="B7227" i="1"/>
  <c r="B7228" i="1"/>
  <c r="B6809" i="1"/>
  <c r="B6810" i="1"/>
  <c r="B6391" i="1"/>
  <c r="B6392" i="1"/>
  <c r="B5973" i="1"/>
  <c r="B5974" i="1"/>
  <c r="B5555" i="1"/>
  <c r="B5556" i="1"/>
  <c r="B5137" i="1"/>
  <c r="B5138" i="1"/>
  <c r="B4719" i="1"/>
  <c r="B4720" i="1"/>
  <c r="B4301" i="1"/>
  <c r="B4302" i="1"/>
  <c r="B3883" i="1"/>
  <c r="B3884" i="1"/>
  <c r="B3465" i="1"/>
  <c r="B3466" i="1"/>
  <c r="B3047" i="1"/>
  <c r="B3048" i="1"/>
  <c r="B2629" i="1"/>
  <c r="B2630" i="1"/>
  <c r="B2211" i="1"/>
  <c r="B2212" i="1"/>
  <c r="B1793" i="1"/>
  <c r="B1794" i="1"/>
  <c r="B1375" i="1"/>
  <c r="B1376" i="1"/>
  <c r="B957" i="1"/>
  <c r="B958" i="1"/>
  <c r="B539" i="1"/>
  <c r="B540" i="1"/>
  <c r="B121" i="1"/>
  <c r="B122" i="1"/>
  <c r="B9315" i="1"/>
  <c r="B9316" i="1"/>
  <c r="B8897" i="1"/>
  <c r="B8898" i="1"/>
  <c r="B8479" i="1"/>
  <c r="B8480" i="1"/>
  <c r="B8061" i="1"/>
  <c r="B8062" i="1"/>
  <c r="B7643" i="1"/>
  <c r="B7644" i="1"/>
  <c r="B7225" i="1"/>
  <c r="B7226" i="1"/>
  <c r="B6807" i="1"/>
  <c r="B6808" i="1"/>
  <c r="B6389" i="1"/>
  <c r="B6390" i="1"/>
  <c r="B5971" i="1"/>
  <c r="B5972" i="1"/>
  <c r="B5553" i="1"/>
  <c r="B5554" i="1"/>
  <c r="B5135" i="1"/>
  <c r="B5136" i="1"/>
  <c r="B4717" i="1"/>
  <c r="B4718" i="1"/>
  <c r="B4299" i="1"/>
  <c r="B4300" i="1"/>
  <c r="B3881" i="1"/>
  <c r="B3882" i="1"/>
  <c r="B3463" i="1"/>
  <c r="B3464" i="1"/>
  <c r="B3045" i="1"/>
  <c r="B3046" i="1"/>
  <c r="B2627" i="1"/>
  <c r="B2628" i="1"/>
  <c r="B2209" i="1"/>
  <c r="B2210" i="1"/>
  <c r="B1791" i="1"/>
  <c r="B1792" i="1"/>
  <c r="B1373" i="1"/>
  <c r="B1374" i="1"/>
  <c r="B955" i="1"/>
  <c r="B956" i="1"/>
  <c r="B537" i="1"/>
  <c r="B538" i="1"/>
  <c r="B119" i="1"/>
  <c r="B120" i="1"/>
  <c r="B9313" i="1"/>
  <c r="B9314" i="1"/>
  <c r="B8895" i="1"/>
  <c r="B8896" i="1"/>
  <c r="B8477" i="1"/>
  <c r="B8478" i="1"/>
  <c r="B8059" i="1"/>
  <c r="B8060" i="1"/>
  <c r="B7641" i="1"/>
  <c r="B7642" i="1"/>
  <c r="B7223" i="1"/>
  <c r="B7224" i="1"/>
  <c r="B6805" i="1"/>
  <c r="B6806" i="1"/>
  <c r="B6387" i="1"/>
  <c r="B6388" i="1"/>
  <c r="B5969" i="1"/>
  <c r="B5970" i="1"/>
  <c r="B5551" i="1"/>
  <c r="B5552" i="1"/>
  <c r="B5133" i="1"/>
  <c r="B5134" i="1"/>
  <c r="B4715" i="1"/>
  <c r="B4716" i="1"/>
  <c r="B4297" i="1"/>
  <c r="B4298" i="1"/>
  <c r="B3879" i="1"/>
  <c r="B3880" i="1"/>
  <c r="B3461" i="1"/>
  <c r="B3462" i="1"/>
  <c r="B3043" i="1"/>
  <c r="B3044" i="1"/>
  <c r="B2625" i="1"/>
  <c r="B2626" i="1"/>
  <c r="B2207" i="1"/>
  <c r="B2208" i="1"/>
  <c r="B1789" i="1"/>
  <c r="B1790" i="1"/>
  <c r="B1371" i="1"/>
  <c r="B1372" i="1"/>
  <c r="B953" i="1"/>
  <c r="B954" i="1"/>
  <c r="B535" i="1"/>
  <c r="B536" i="1"/>
  <c r="B117" i="1"/>
  <c r="B118" i="1"/>
  <c r="B9311" i="1"/>
  <c r="B9312" i="1"/>
  <c r="B8893" i="1"/>
  <c r="B8894" i="1"/>
  <c r="B8475" i="1"/>
  <c r="B8476" i="1"/>
  <c r="B8057" i="1"/>
  <c r="B8058" i="1"/>
  <c r="B7639" i="1"/>
  <c r="B7640" i="1"/>
  <c r="B7221" i="1"/>
  <c r="B7222" i="1"/>
  <c r="B6803" i="1"/>
  <c r="B6804" i="1"/>
  <c r="B6385" i="1"/>
  <c r="B6386" i="1"/>
  <c r="B5967" i="1"/>
  <c r="B5968" i="1"/>
  <c r="B5549" i="1"/>
  <c r="B5550" i="1"/>
  <c r="B5131" i="1"/>
  <c r="B5132" i="1"/>
  <c r="B4713" i="1"/>
  <c r="B4714" i="1"/>
  <c r="B4295" i="1"/>
  <c r="B4296" i="1"/>
  <c r="B3877" i="1"/>
  <c r="B3878" i="1"/>
  <c r="B3459" i="1"/>
  <c r="B3460" i="1"/>
  <c r="B3041" i="1"/>
  <c r="B3042" i="1"/>
  <c r="B2623" i="1"/>
  <c r="B2624" i="1"/>
  <c r="B2205" i="1"/>
  <c r="B2206" i="1"/>
  <c r="B1787" i="1"/>
  <c r="B1788" i="1"/>
  <c r="B1369" i="1"/>
  <c r="B1370" i="1"/>
  <c r="B951" i="1"/>
  <c r="B952" i="1"/>
  <c r="B533" i="1"/>
  <c r="B534" i="1"/>
  <c r="B115" i="1"/>
  <c r="B116" i="1"/>
  <c r="B9309" i="1"/>
  <c r="B9310" i="1"/>
  <c r="B8891" i="1"/>
  <c r="B8892" i="1"/>
  <c r="B8473" i="1"/>
  <c r="B8474" i="1"/>
  <c r="B8055" i="1"/>
  <c r="B8056" i="1"/>
  <c r="B7637" i="1"/>
  <c r="B7638" i="1"/>
  <c r="B7219" i="1"/>
  <c r="B7220" i="1"/>
  <c r="B6801" i="1"/>
  <c r="B6802" i="1"/>
  <c r="B6383" i="1"/>
  <c r="B6384" i="1"/>
  <c r="B5965" i="1"/>
  <c r="B5966" i="1"/>
  <c r="B5547" i="1"/>
  <c r="B5548" i="1"/>
  <c r="B5129" i="1"/>
  <c r="B5130" i="1"/>
  <c r="B4711" i="1"/>
  <c r="B4712" i="1"/>
  <c r="B4293" i="1"/>
  <c r="B4294" i="1"/>
  <c r="B3875" i="1"/>
  <c r="B3876" i="1"/>
  <c r="B3457" i="1"/>
  <c r="B3458" i="1"/>
  <c r="B3039" i="1"/>
  <c r="B3040" i="1"/>
  <c r="B2621" i="1"/>
  <c r="B2622" i="1"/>
  <c r="B2203" i="1"/>
  <c r="B2204" i="1"/>
  <c r="B1785" i="1"/>
  <c r="B1786" i="1"/>
  <c r="B1367" i="1"/>
  <c r="B1368" i="1"/>
  <c r="B949" i="1"/>
  <c r="B950" i="1"/>
  <c r="B531" i="1"/>
  <c r="B532" i="1"/>
  <c r="B113" i="1"/>
  <c r="B114" i="1"/>
  <c r="B9307" i="1"/>
  <c r="B9308" i="1"/>
  <c r="B8889" i="1"/>
  <c r="B8890" i="1"/>
  <c r="B8471" i="1"/>
  <c r="B8472" i="1"/>
  <c r="B8053" i="1"/>
  <c r="B8054" i="1"/>
  <c r="B7635" i="1"/>
  <c r="B7636" i="1"/>
  <c r="B7217" i="1"/>
  <c r="B7218" i="1"/>
  <c r="B6799" i="1"/>
  <c r="B6800" i="1"/>
  <c r="B6381" i="1"/>
  <c r="B6382" i="1"/>
  <c r="B5963" i="1"/>
  <c r="B5964" i="1"/>
  <c r="B5545" i="1"/>
  <c r="B5546" i="1"/>
  <c r="B5127" i="1"/>
  <c r="B5128" i="1"/>
  <c r="B4709" i="1"/>
  <c r="B4710" i="1"/>
  <c r="B4291" i="1"/>
  <c r="B4292" i="1"/>
  <c r="B3873" i="1"/>
  <c r="B3874" i="1"/>
  <c r="B3455" i="1"/>
  <c r="B3456" i="1"/>
  <c r="B3037" i="1"/>
  <c r="B3038" i="1"/>
  <c r="B2619" i="1"/>
  <c r="B2620" i="1"/>
  <c r="B2201" i="1"/>
  <c r="B2202" i="1"/>
  <c r="B1783" i="1"/>
  <c r="B1784" i="1"/>
  <c r="B1365" i="1"/>
  <c r="B1366" i="1"/>
  <c r="B947" i="1"/>
  <c r="B948" i="1"/>
  <c r="B529" i="1"/>
  <c r="B530" i="1"/>
  <c r="B111" i="1"/>
  <c r="B112" i="1"/>
  <c r="B9305" i="1"/>
  <c r="B9306" i="1"/>
  <c r="B8887" i="1"/>
  <c r="B8888" i="1"/>
  <c r="B8469" i="1"/>
  <c r="B8470" i="1"/>
  <c r="B8051" i="1"/>
  <c r="B8052" i="1"/>
  <c r="B7633" i="1"/>
  <c r="B7634" i="1"/>
  <c r="B7215" i="1"/>
  <c r="B7216" i="1"/>
  <c r="B6797" i="1"/>
  <c r="B6798" i="1"/>
  <c r="B6379" i="1"/>
  <c r="B6380" i="1"/>
  <c r="B5961" i="1"/>
  <c r="B5962" i="1"/>
  <c r="B5543" i="1"/>
  <c r="B5544" i="1"/>
  <c r="B5125" i="1"/>
  <c r="B5126" i="1"/>
  <c r="B4707" i="1"/>
  <c r="B4708" i="1"/>
  <c r="B4289" i="1"/>
  <c r="B4290" i="1"/>
  <c r="B3871" i="1"/>
  <c r="B3872" i="1"/>
  <c r="B3453" i="1"/>
  <c r="B3454" i="1"/>
  <c r="B3035" i="1"/>
  <c r="B3036" i="1"/>
  <c r="B2617" i="1"/>
  <c r="B2618" i="1"/>
  <c r="B2199" i="1"/>
  <c r="B2200" i="1"/>
  <c r="B1781" i="1"/>
  <c r="B1782" i="1"/>
  <c r="B1363" i="1"/>
  <c r="B1364" i="1"/>
  <c r="B945" i="1"/>
  <c r="B946" i="1"/>
  <c r="B527" i="1"/>
  <c r="B528" i="1"/>
  <c r="B109" i="1"/>
  <c r="B110" i="1"/>
  <c r="B9303" i="1"/>
  <c r="B9304" i="1"/>
  <c r="B8885" i="1"/>
  <c r="B8886" i="1"/>
  <c r="B8467" i="1"/>
  <c r="B8468" i="1"/>
  <c r="B8049" i="1"/>
  <c r="B8050" i="1"/>
  <c r="B7631" i="1"/>
  <c r="B7632" i="1"/>
  <c r="B7213" i="1"/>
  <c r="B7214" i="1"/>
  <c r="B6795" i="1"/>
  <c r="B6796" i="1"/>
  <c r="B6377" i="1"/>
  <c r="B6378" i="1"/>
  <c r="B5959" i="1"/>
  <c r="B5960" i="1"/>
  <c r="B5541" i="1"/>
  <c r="B5542" i="1"/>
  <c r="B5123" i="1"/>
  <c r="B5124" i="1"/>
  <c r="B4705" i="1"/>
  <c r="B4706" i="1"/>
  <c r="B4287" i="1"/>
  <c r="B4288" i="1"/>
  <c r="B3869" i="1"/>
  <c r="B3870" i="1"/>
  <c r="B3451" i="1"/>
  <c r="B3452" i="1"/>
  <c r="B3033" i="1"/>
  <c r="B3034" i="1"/>
  <c r="B2615" i="1"/>
  <c r="B2616" i="1"/>
  <c r="B2197" i="1"/>
  <c r="B2198" i="1"/>
  <c r="B1779" i="1"/>
  <c r="B1780" i="1"/>
  <c r="B1361" i="1"/>
  <c r="B1362" i="1"/>
  <c r="B943" i="1"/>
  <c r="B944" i="1"/>
  <c r="B525" i="1"/>
  <c r="B526" i="1"/>
  <c r="B107" i="1"/>
  <c r="B108" i="1"/>
  <c r="B9301" i="1"/>
  <c r="B9302" i="1"/>
  <c r="B8883" i="1"/>
  <c r="B8884" i="1"/>
  <c r="B8465" i="1"/>
  <c r="B8466" i="1"/>
  <c r="B8047" i="1"/>
  <c r="B8048" i="1"/>
  <c r="B7629" i="1"/>
  <c r="B7630" i="1"/>
  <c r="B7211" i="1"/>
  <c r="B7212" i="1"/>
  <c r="B6793" i="1"/>
  <c r="B6794" i="1"/>
  <c r="B6375" i="1"/>
  <c r="B6376" i="1"/>
  <c r="B5957" i="1"/>
  <c r="B5958" i="1"/>
  <c r="B5539" i="1"/>
  <c r="B5540" i="1"/>
  <c r="B5121" i="1"/>
  <c r="B5122" i="1"/>
  <c r="B4703" i="1"/>
  <c r="B4704" i="1"/>
  <c r="B4285" i="1"/>
  <c r="B4286" i="1"/>
  <c r="B3867" i="1"/>
  <c r="B3868" i="1"/>
  <c r="B3449" i="1"/>
  <c r="B3450" i="1"/>
  <c r="B3031" i="1"/>
  <c r="B3032" i="1"/>
  <c r="B2613" i="1"/>
  <c r="B2614" i="1"/>
  <c r="B2195" i="1"/>
  <c r="B2196" i="1"/>
  <c r="B1777" i="1"/>
  <c r="B1778" i="1"/>
  <c r="B1359" i="1"/>
  <c r="B1360" i="1"/>
  <c r="B941" i="1"/>
  <c r="B942" i="1"/>
  <c r="B523" i="1"/>
  <c r="B524" i="1"/>
  <c r="B105" i="1"/>
  <c r="B106" i="1"/>
  <c r="B9299" i="1"/>
  <c r="B9300" i="1"/>
  <c r="B8881" i="1"/>
  <c r="B8882" i="1"/>
  <c r="B8463" i="1"/>
  <c r="B8464" i="1"/>
  <c r="B8045" i="1"/>
  <c r="B8046" i="1"/>
  <c r="B7627" i="1"/>
  <c r="B7628" i="1"/>
  <c r="B7209" i="1"/>
  <c r="B7210" i="1"/>
  <c r="B6791" i="1"/>
  <c r="B6792" i="1"/>
  <c r="B6373" i="1"/>
  <c r="B6374" i="1"/>
  <c r="B5955" i="1"/>
  <c r="B5956" i="1"/>
  <c r="B5537" i="1"/>
  <c r="B5538" i="1"/>
  <c r="B5119" i="1"/>
  <c r="B5120" i="1"/>
  <c r="B4701" i="1"/>
  <c r="B4702" i="1"/>
  <c r="B4283" i="1"/>
  <c r="B4284" i="1"/>
  <c r="B3865" i="1"/>
  <c r="B3866" i="1"/>
  <c r="B3447" i="1"/>
  <c r="B3448" i="1"/>
  <c r="B3029" i="1"/>
  <c r="B3030" i="1"/>
  <c r="B2611" i="1"/>
  <c r="B2612" i="1"/>
  <c r="B2193" i="1"/>
  <c r="B2194" i="1"/>
  <c r="B1775" i="1"/>
  <c r="B1776" i="1"/>
  <c r="B1357" i="1"/>
  <c r="B1358" i="1"/>
  <c r="B939" i="1"/>
  <c r="B940" i="1"/>
  <c r="B521" i="1"/>
  <c r="B522" i="1"/>
  <c r="B103" i="1"/>
  <c r="B104" i="1"/>
  <c r="B9297" i="1"/>
  <c r="B9298" i="1"/>
  <c r="B8879" i="1"/>
  <c r="B8880" i="1"/>
  <c r="B8461" i="1"/>
  <c r="B8462" i="1"/>
  <c r="B8043" i="1"/>
  <c r="B8044" i="1"/>
  <c r="B7625" i="1"/>
  <c r="B7626" i="1"/>
  <c r="B7207" i="1"/>
  <c r="B7208" i="1"/>
  <c r="B6789" i="1"/>
  <c r="B6790" i="1"/>
  <c r="B6371" i="1"/>
  <c r="B6372" i="1"/>
  <c r="B5953" i="1"/>
  <c r="B5954" i="1"/>
  <c r="B5535" i="1"/>
  <c r="B5536" i="1"/>
  <c r="B5117" i="1"/>
  <c r="B5118" i="1"/>
  <c r="B4699" i="1"/>
  <c r="B4700" i="1"/>
  <c r="B4281" i="1"/>
  <c r="B4282" i="1"/>
  <c r="B3863" i="1"/>
  <c r="B3864" i="1"/>
  <c r="B3445" i="1"/>
  <c r="B3446" i="1"/>
  <c r="B3027" i="1"/>
  <c r="B3028" i="1"/>
  <c r="B2609" i="1"/>
  <c r="B2610" i="1"/>
  <c r="B2191" i="1"/>
  <c r="B2192" i="1"/>
  <c r="B1773" i="1"/>
  <c r="B1774" i="1"/>
  <c r="B1355" i="1"/>
  <c r="B1356" i="1"/>
  <c r="B937" i="1"/>
  <c r="B938" i="1"/>
  <c r="B519" i="1"/>
  <c r="B520" i="1"/>
  <c r="B101" i="1"/>
  <c r="B102" i="1"/>
  <c r="B9295" i="1"/>
  <c r="B9296" i="1"/>
  <c r="B8877" i="1"/>
  <c r="B8878" i="1"/>
  <c r="B8459" i="1"/>
  <c r="B8460" i="1"/>
  <c r="B8041" i="1"/>
  <c r="B8042" i="1"/>
  <c r="B7623" i="1"/>
  <c r="B7624" i="1"/>
  <c r="B7205" i="1"/>
  <c r="B7206" i="1"/>
  <c r="B6787" i="1"/>
  <c r="B6788" i="1"/>
  <c r="B6369" i="1"/>
  <c r="B6370" i="1"/>
  <c r="B5951" i="1"/>
  <c r="B5952" i="1"/>
  <c r="B5533" i="1"/>
  <c r="B5534" i="1"/>
  <c r="B5115" i="1"/>
  <c r="B5116" i="1"/>
  <c r="B4697" i="1"/>
  <c r="B4698" i="1"/>
  <c r="B4279" i="1"/>
  <c r="B4280" i="1"/>
  <c r="B3861" i="1"/>
  <c r="B3862" i="1"/>
  <c r="B3443" i="1"/>
  <c r="B3444" i="1"/>
  <c r="B3025" i="1"/>
  <c r="B3026" i="1"/>
  <c r="B2607" i="1"/>
  <c r="B2608" i="1"/>
  <c r="B2189" i="1"/>
  <c r="B2190" i="1"/>
  <c r="B1771" i="1"/>
  <c r="B1772" i="1"/>
  <c r="B1353" i="1"/>
  <c r="B1354" i="1"/>
  <c r="B935" i="1"/>
  <c r="B936" i="1"/>
  <c r="B517" i="1"/>
  <c r="B518" i="1"/>
  <c r="B99" i="1"/>
  <c r="B100" i="1"/>
  <c r="B9293" i="1"/>
  <c r="B9294" i="1"/>
  <c r="B8875" i="1"/>
  <c r="B8876" i="1"/>
  <c r="B8457" i="1"/>
  <c r="B8458" i="1"/>
  <c r="B8039" i="1"/>
  <c r="B8040" i="1"/>
  <c r="B7621" i="1"/>
  <c r="B7622" i="1"/>
  <c r="B7203" i="1"/>
  <c r="B7204" i="1"/>
  <c r="B6785" i="1"/>
  <c r="B6786" i="1"/>
  <c r="B6367" i="1"/>
  <c r="B6368" i="1"/>
  <c r="B5949" i="1"/>
  <c r="B5950" i="1"/>
  <c r="B5531" i="1"/>
  <c r="B5532" i="1"/>
  <c r="B5113" i="1"/>
  <c r="B5114" i="1"/>
  <c r="B4695" i="1"/>
  <c r="B4696" i="1"/>
  <c r="B4277" i="1"/>
  <c r="B4278" i="1"/>
  <c r="B3859" i="1"/>
  <c r="B3860" i="1"/>
  <c r="B3441" i="1"/>
  <c r="B3442" i="1"/>
  <c r="B3023" i="1"/>
  <c r="B3024" i="1"/>
  <c r="B2605" i="1"/>
  <c r="B2606" i="1"/>
  <c r="B2187" i="1"/>
  <c r="B2188" i="1"/>
  <c r="B1769" i="1"/>
  <c r="B1770" i="1"/>
  <c r="B1351" i="1"/>
  <c r="B1352" i="1"/>
  <c r="B933" i="1"/>
  <c r="B934" i="1"/>
  <c r="B515" i="1"/>
  <c r="B516" i="1"/>
  <c r="B97" i="1"/>
  <c r="B98" i="1"/>
  <c r="B9291" i="1"/>
  <c r="B9292" i="1"/>
  <c r="B8873" i="1"/>
  <c r="B8874" i="1"/>
  <c r="B8455" i="1"/>
  <c r="B8456" i="1"/>
  <c r="B8037" i="1"/>
  <c r="B8038" i="1"/>
  <c r="B7619" i="1"/>
  <c r="B7620" i="1"/>
  <c r="B7201" i="1"/>
  <c r="B7202" i="1"/>
  <c r="B6783" i="1"/>
  <c r="B6784" i="1"/>
  <c r="B6365" i="1"/>
  <c r="B6366" i="1"/>
  <c r="B5947" i="1"/>
  <c r="B5948" i="1"/>
  <c r="B5529" i="1"/>
  <c r="B5530" i="1"/>
  <c r="B5111" i="1"/>
  <c r="B5112" i="1"/>
  <c r="B4693" i="1"/>
  <c r="B4694" i="1"/>
  <c r="B4275" i="1"/>
  <c r="B4276" i="1"/>
  <c r="B3857" i="1"/>
  <c r="B3858" i="1"/>
  <c r="B3439" i="1"/>
  <c r="B3440" i="1"/>
  <c r="B3021" i="1"/>
  <c r="B3022" i="1"/>
  <c r="B2603" i="1"/>
  <c r="B2604" i="1"/>
  <c r="B2185" i="1"/>
  <c r="B2186" i="1"/>
  <c r="B1767" i="1"/>
  <c r="B1768" i="1"/>
  <c r="B1349" i="1"/>
  <c r="B1350" i="1"/>
  <c r="B931" i="1"/>
  <c r="B932" i="1"/>
  <c r="B513" i="1"/>
  <c r="B514" i="1"/>
  <c r="B95" i="1"/>
  <c r="B96" i="1"/>
  <c r="B9289" i="1"/>
  <c r="B9290" i="1"/>
  <c r="B8871" i="1"/>
  <c r="B8872" i="1"/>
  <c r="B8453" i="1"/>
  <c r="B8454" i="1"/>
  <c r="B8035" i="1"/>
  <c r="B8036" i="1"/>
  <c r="B7617" i="1"/>
  <c r="B7618" i="1"/>
  <c r="B7199" i="1"/>
  <c r="B7200" i="1"/>
  <c r="B6781" i="1"/>
  <c r="B6782" i="1"/>
  <c r="B6363" i="1"/>
  <c r="B6364" i="1"/>
  <c r="B5945" i="1"/>
  <c r="B5946" i="1"/>
  <c r="B5527" i="1"/>
  <c r="B5528" i="1"/>
  <c r="B5109" i="1"/>
  <c r="B5110" i="1"/>
  <c r="B4691" i="1"/>
  <c r="B4692" i="1"/>
  <c r="B4273" i="1"/>
  <c r="B4274" i="1"/>
  <c r="B3855" i="1"/>
  <c r="B3856" i="1"/>
  <c r="B3437" i="1"/>
  <c r="B3438" i="1"/>
  <c r="B3019" i="1"/>
  <c r="B3020" i="1"/>
  <c r="B2601" i="1"/>
  <c r="B2602" i="1"/>
  <c r="B2183" i="1"/>
  <c r="B2184" i="1"/>
  <c r="B1765" i="1"/>
  <c r="B1766" i="1"/>
  <c r="B1347" i="1"/>
  <c r="B1348" i="1"/>
  <c r="B929" i="1"/>
  <c r="B930" i="1"/>
  <c r="B511" i="1"/>
  <c r="B512" i="1"/>
  <c r="B93" i="1"/>
  <c r="B94" i="1"/>
  <c r="B9287" i="1"/>
  <c r="B9288" i="1"/>
  <c r="B8869" i="1"/>
  <c r="B8870" i="1"/>
  <c r="B8451" i="1"/>
  <c r="B8452" i="1"/>
  <c r="B8033" i="1"/>
  <c r="B8034" i="1"/>
  <c r="B7615" i="1"/>
  <c r="B7616" i="1"/>
  <c r="B7197" i="1"/>
  <c r="B7198" i="1"/>
  <c r="B6779" i="1"/>
  <c r="B6780" i="1"/>
  <c r="B6361" i="1"/>
  <c r="B6362" i="1"/>
  <c r="B5943" i="1"/>
  <c r="B5944" i="1"/>
  <c r="B5525" i="1"/>
  <c r="B5526" i="1"/>
  <c r="B5107" i="1"/>
  <c r="B5108" i="1"/>
  <c r="B4689" i="1"/>
  <c r="B4690" i="1"/>
  <c r="B4271" i="1"/>
  <c r="B4272" i="1"/>
  <c r="B3853" i="1"/>
  <c r="B3854" i="1"/>
  <c r="B3435" i="1"/>
  <c r="B3436" i="1"/>
  <c r="B3017" i="1"/>
  <c r="B3018" i="1"/>
  <c r="B2599" i="1"/>
  <c r="B2600" i="1"/>
  <c r="B2181" i="1"/>
  <c r="B2182" i="1"/>
  <c r="B1763" i="1"/>
  <c r="B1764" i="1"/>
  <c r="B1345" i="1"/>
  <c r="B1346" i="1"/>
  <c r="B927" i="1"/>
  <c r="B928" i="1"/>
  <c r="B509" i="1"/>
  <c r="B510" i="1"/>
  <c r="B91" i="1"/>
  <c r="B92" i="1"/>
  <c r="B9285" i="1"/>
  <c r="B9286" i="1"/>
  <c r="B8867" i="1"/>
  <c r="B8868" i="1"/>
  <c r="B8449" i="1"/>
  <c r="B8450" i="1"/>
  <c r="B8031" i="1"/>
  <c r="B8032" i="1"/>
  <c r="B7613" i="1"/>
  <c r="B7614" i="1"/>
  <c r="B7195" i="1"/>
  <c r="B7196" i="1"/>
  <c r="B6777" i="1"/>
  <c r="B6778" i="1"/>
  <c r="B6359" i="1"/>
  <c r="B6360" i="1"/>
  <c r="B5941" i="1"/>
  <c r="B5942" i="1"/>
  <c r="B5523" i="1"/>
  <c r="B5524" i="1"/>
  <c r="B5105" i="1"/>
  <c r="B5106" i="1"/>
  <c r="B4687" i="1"/>
  <c r="B4688" i="1"/>
  <c r="B4269" i="1"/>
  <c r="B4270" i="1"/>
  <c r="B3851" i="1"/>
  <c r="B3852" i="1"/>
  <c r="B3433" i="1"/>
  <c r="B3434" i="1"/>
  <c r="B3015" i="1"/>
  <c r="B3016" i="1"/>
  <c r="B2597" i="1"/>
  <c r="B2598" i="1"/>
  <c r="B2179" i="1"/>
  <c r="B2180" i="1"/>
  <c r="B1761" i="1"/>
  <c r="B1762" i="1"/>
  <c r="B1343" i="1"/>
  <c r="B1344" i="1"/>
  <c r="B925" i="1"/>
  <c r="B926" i="1"/>
  <c r="B507" i="1"/>
  <c r="B508" i="1"/>
  <c r="B89" i="1"/>
  <c r="B90" i="1"/>
  <c r="B9283" i="1"/>
  <c r="B9284" i="1"/>
  <c r="B8865" i="1"/>
  <c r="B8866" i="1"/>
  <c r="B8447" i="1"/>
  <c r="B8448" i="1"/>
  <c r="B8029" i="1"/>
  <c r="B8030" i="1"/>
  <c r="B7611" i="1"/>
  <c r="B7612" i="1"/>
  <c r="B7193" i="1"/>
  <c r="B7194" i="1"/>
  <c r="B6775" i="1"/>
  <c r="B6776" i="1"/>
  <c r="B6357" i="1"/>
  <c r="B6358" i="1"/>
  <c r="B5939" i="1"/>
  <c r="B5940" i="1"/>
  <c r="B5521" i="1"/>
  <c r="B5522" i="1"/>
  <c r="B5103" i="1"/>
  <c r="B5104" i="1"/>
  <c r="B4685" i="1"/>
  <c r="B4686" i="1"/>
  <c r="B4267" i="1"/>
  <c r="B4268" i="1"/>
  <c r="B3849" i="1"/>
  <c r="B3850" i="1"/>
  <c r="B3431" i="1"/>
  <c r="B3432" i="1"/>
  <c r="B3013" i="1"/>
  <c r="B3014" i="1"/>
  <c r="B2595" i="1"/>
  <c r="B2596" i="1"/>
  <c r="B2177" i="1"/>
  <c r="B2178" i="1"/>
  <c r="B1759" i="1"/>
  <c r="B1760" i="1"/>
  <c r="B1341" i="1"/>
  <c r="B1342" i="1"/>
  <c r="B923" i="1"/>
  <c r="B924" i="1"/>
  <c r="B505" i="1"/>
  <c r="B506" i="1"/>
  <c r="B87" i="1"/>
  <c r="B88" i="1"/>
  <c r="B9281" i="1"/>
  <c r="B9282" i="1"/>
  <c r="B8863" i="1"/>
  <c r="B8864" i="1"/>
  <c r="B8445" i="1"/>
  <c r="B8446" i="1"/>
  <c r="B8027" i="1"/>
  <c r="B8028" i="1"/>
  <c r="B7609" i="1"/>
  <c r="B7610" i="1"/>
  <c r="B7191" i="1"/>
  <c r="B7192" i="1"/>
  <c r="B6773" i="1"/>
  <c r="B6774" i="1"/>
  <c r="B6355" i="1"/>
  <c r="B6356" i="1"/>
  <c r="B5937" i="1"/>
  <c r="B5938" i="1"/>
  <c r="B5519" i="1"/>
  <c r="B5520" i="1"/>
  <c r="B5101" i="1"/>
  <c r="B5102" i="1"/>
  <c r="B4683" i="1"/>
  <c r="B4684" i="1"/>
  <c r="B4265" i="1"/>
  <c r="B4266" i="1"/>
  <c r="B3847" i="1"/>
  <c r="B3848" i="1"/>
  <c r="B3429" i="1"/>
  <c r="B3430" i="1"/>
  <c r="B3011" i="1"/>
  <c r="B3012" i="1"/>
  <c r="B2593" i="1"/>
  <c r="B2594" i="1"/>
  <c r="B2175" i="1"/>
  <c r="B2176" i="1"/>
  <c r="B1757" i="1"/>
  <c r="B1758" i="1"/>
  <c r="B1339" i="1"/>
  <c r="B1340" i="1"/>
  <c r="B921" i="1"/>
  <c r="B922" i="1"/>
  <c r="B503" i="1"/>
  <c r="B504" i="1"/>
  <c r="B85" i="1"/>
  <c r="B86" i="1"/>
  <c r="B9279" i="1"/>
  <c r="B9280" i="1"/>
  <c r="B8861" i="1"/>
  <c r="B8862" i="1"/>
  <c r="B8443" i="1"/>
  <c r="B8444" i="1"/>
  <c r="B8025" i="1"/>
  <c r="B8026" i="1"/>
  <c r="B7607" i="1"/>
  <c r="B7608" i="1"/>
  <c r="B7189" i="1"/>
  <c r="B7190" i="1"/>
  <c r="B6771" i="1"/>
  <c r="B6772" i="1"/>
  <c r="B6353" i="1"/>
  <c r="B6354" i="1"/>
  <c r="B5935" i="1"/>
  <c r="B5936" i="1"/>
  <c r="B5517" i="1"/>
  <c r="B5518" i="1"/>
  <c r="B5099" i="1"/>
  <c r="B5100" i="1"/>
  <c r="B4681" i="1"/>
  <c r="B4682" i="1"/>
  <c r="B4263" i="1"/>
  <c r="B4264" i="1"/>
  <c r="B3845" i="1"/>
  <c r="B3846" i="1"/>
  <c r="B3427" i="1"/>
  <c r="B3428" i="1"/>
  <c r="B3009" i="1"/>
  <c r="B3010" i="1"/>
  <c r="B2591" i="1"/>
  <c r="B2592" i="1"/>
  <c r="B2173" i="1"/>
  <c r="B2174" i="1"/>
  <c r="B1755" i="1"/>
  <c r="B1756" i="1"/>
  <c r="B1337" i="1"/>
  <c r="B1338" i="1"/>
  <c r="B919" i="1"/>
  <c r="B920" i="1"/>
  <c r="B501" i="1"/>
  <c r="B502" i="1"/>
  <c r="B83" i="1"/>
  <c r="B84" i="1"/>
  <c r="B9277" i="1"/>
  <c r="B9278" i="1"/>
  <c r="B8859" i="1"/>
  <c r="B8860" i="1"/>
  <c r="B8441" i="1"/>
  <c r="B8442" i="1"/>
  <c r="B8023" i="1"/>
  <c r="B8024" i="1"/>
  <c r="B7605" i="1"/>
  <c r="B7606" i="1"/>
  <c r="B7187" i="1"/>
  <c r="B7188" i="1"/>
  <c r="B6769" i="1"/>
  <c r="B6770" i="1"/>
  <c r="B6351" i="1"/>
  <c r="B6352" i="1"/>
  <c r="B5933" i="1"/>
  <c r="B5934" i="1"/>
  <c r="B5515" i="1"/>
  <c r="B5516" i="1"/>
  <c r="B5097" i="1"/>
  <c r="B5098" i="1"/>
  <c r="B4679" i="1"/>
  <c r="B4680" i="1"/>
  <c r="B4261" i="1"/>
  <c r="B4262" i="1"/>
  <c r="B3843" i="1"/>
  <c r="B3844" i="1"/>
  <c r="B3425" i="1"/>
  <c r="B3426" i="1"/>
  <c r="B3007" i="1"/>
  <c r="B3008" i="1"/>
  <c r="B2589" i="1"/>
  <c r="B2590" i="1"/>
  <c r="B2171" i="1"/>
  <c r="B2172" i="1"/>
  <c r="B1753" i="1"/>
  <c r="B1754" i="1"/>
  <c r="B1335" i="1"/>
  <c r="B1336" i="1"/>
  <c r="B917" i="1"/>
  <c r="B918" i="1"/>
  <c r="B499" i="1"/>
  <c r="B500" i="1"/>
  <c r="B81" i="1"/>
  <c r="B82" i="1"/>
  <c r="B9275" i="1"/>
  <c r="B9276" i="1"/>
  <c r="B8857" i="1"/>
  <c r="B8858" i="1"/>
  <c r="B8439" i="1"/>
  <c r="B8440" i="1"/>
  <c r="B8021" i="1"/>
  <c r="B8022" i="1"/>
  <c r="B7603" i="1"/>
  <c r="B7604" i="1"/>
  <c r="B7185" i="1"/>
  <c r="B7186" i="1"/>
  <c r="B6767" i="1"/>
  <c r="B6768" i="1"/>
  <c r="B6349" i="1"/>
  <c r="B6350" i="1"/>
  <c r="B5931" i="1"/>
  <c r="B5932" i="1"/>
  <c r="B5513" i="1"/>
  <c r="B5514" i="1"/>
  <c r="B5095" i="1"/>
  <c r="B5096" i="1"/>
  <c r="B4677" i="1"/>
  <c r="B4678" i="1"/>
  <c r="B4259" i="1"/>
  <c r="B4260" i="1"/>
  <c r="B3841" i="1"/>
  <c r="B3842" i="1"/>
  <c r="B3423" i="1"/>
  <c r="B3424" i="1"/>
  <c r="B3005" i="1"/>
  <c r="B3006" i="1"/>
  <c r="B2587" i="1"/>
  <c r="B2588" i="1"/>
  <c r="B2169" i="1"/>
  <c r="B2170" i="1"/>
  <c r="B1751" i="1"/>
  <c r="B1752" i="1"/>
  <c r="B1333" i="1"/>
  <c r="B1334" i="1"/>
  <c r="B915" i="1"/>
  <c r="B916" i="1"/>
  <c r="B497" i="1"/>
  <c r="B498" i="1"/>
  <c r="B79" i="1"/>
  <c r="B80" i="1"/>
  <c r="B9273" i="1"/>
  <c r="B9274" i="1"/>
  <c r="B8855" i="1"/>
  <c r="B8856" i="1"/>
  <c r="B8437" i="1"/>
  <c r="B8438" i="1"/>
  <c r="B8019" i="1"/>
  <c r="B8020" i="1"/>
  <c r="B7601" i="1"/>
  <c r="B7602" i="1"/>
  <c r="B7183" i="1"/>
  <c r="B7184" i="1"/>
  <c r="B6765" i="1"/>
  <c r="B6766" i="1"/>
  <c r="B6347" i="1"/>
  <c r="B6348" i="1"/>
  <c r="B5929" i="1"/>
  <c r="B5930" i="1"/>
  <c r="B5511" i="1"/>
  <c r="B5512" i="1"/>
  <c r="B5093" i="1"/>
  <c r="B5094" i="1"/>
  <c r="B4675" i="1"/>
  <c r="B4676" i="1"/>
  <c r="B4257" i="1"/>
  <c r="B4258" i="1"/>
  <c r="B3839" i="1"/>
  <c r="B3840" i="1"/>
  <c r="B3421" i="1"/>
  <c r="B3422" i="1"/>
  <c r="B3003" i="1"/>
  <c r="B3004" i="1"/>
  <c r="B2585" i="1"/>
  <c r="B2586" i="1"/>
  <c r="B2167" i="1"/>
  <c r="B2168" i="1"/>
  <c r="B1749" i="1"/>
  <c r="B1750" i="1"/>
  <c r="B1331" i="1"/>
  <c r="B1332" i="1"/>
  <c r="B913" i="1"/>
  <c r="B914" i="1"/>
  <c r="B495" i="1"/>
  <c r="B496" i="1"/>
  <c r="B77" i="1"/>
  <c r="B78" i="1"/>
  <c r="B9271" i="1"/>
  <c r="B9272" i="1"/>
  <c r="B8853" i="1"/>
  <c r="B8854" i="1"/>
  <c r="B8435" i="1"/>
  <c r="B8436" i="1"/>
  <c r="B8017" i="1"/>
  <c r="B8018" i="1"/>
  <c r="B7599" i="1"/>
  <c r="B7600" i="1"/>
  <c r="B7181" i="1"/>
  <c r="B7182" i="1"/>
  <c r="B6763" i="1"/>
  <c r="B6764" i="1"/>
  <c r="B6345" i="1"/>
  <c r="B6346" i="1"/>
  <c r="B5927" i="1"/>
  <c r="B5928" i="1"/>
  <c r="B5509" i="1"/>
  <c r="B5510" i="1"/>
  <c r="B5091" i="1"/>
  <c r="B5092" i="1"/>
  <c r="B4673" i="1"/>
  <c r="B4674" i="1"/>
  <c r="B4255" i="1"/>
  <c r="B4256" i="1"/>
  <c r="B3837" i="1"/>
  <c r="B3838" i="1"/>
  <c r="B3419" i="1"/>
  <c r="B3420" i="1"/>
  <c r="B3001" i="1"/>
  <c r="B3002" i="1"/>
  <c r="B2583" i="1"/>
  <c r="B2584" i="1"/>
  <c r="B2165" i="1"/>
  <c r="B2166" i="1"/>
  <c r="B1747" i="1"/>
  <c r="B1748" i="1"/>
  <c r="B1329" i="1"/>
  <c r="B1330" i="1"/>
  <c r="B911" i="1"/>
  <c r="B912" i="1"/>
  <c r="B493" i="1"/>
  <c r="B494" i="1"/>
  <c r="B75" i="1"/>
  <c r="B76" i="1"/>
  <c r="B9269" i="1"/>
  <c r="B9270" i="1"/>
  <c r="B8851" i="1"/>
  <c r="B8852" i="1"/>
  <c r="B8433" i="1"/>
  <c r="B8434" i="1"/>
  <c r="B8015" i="1"/>
  <c r="B8016" i="1"/>
  <c r="B7597" i="1"/>
  <c r="B7598" i="1"/>
  <c r="B7179" i="1"/>
  <c r="B7180" i="1"/>
  <c r="B6761" i="1"/>
  <c r="B6762" i="1"/>
  <c r="B6343" i="1"/>
  <c r="B6344" i="1"/>
  <c r="B5925" i="1"/>
  <c r="B5926" i="1"/>
  <c r="B5507" i="1"/>
  <c r="B5508" i="1"/>
  <c r="B5089" i="1"/>
  <c r="B5090" i="1"/>
  <c r="B4671" i="1"/>
  <c r="B4672" i="1"/>
  <c r="B4253" i="1"/>
  <c r="B4254" i="1"/>
  <c r="B3835" i="1"/>
  <c r="B3836" i="1"/>
  <c r="B3417" i="1"/>
  <c r="B3418" i="1"/>
  <c r="B2999" i="1"/>
  <c r="B3000" i="1"/>
  <c r="B2581" i="1"/>
  <c r="B2582" i="1"/>
  <c r="B2163" i="1"/>
  <c r="B2164" i="1"/>
  <c r="B1745" i="1"/>
  <c r="B1746" i="1"/>
  <c r="B1327" i="1"/>
  <c r="B1328" i="1"/>
  <c r="B909" i="1"/>
  <c r="B910" i="1"/>
  <c r="B491" i="1"/>
  <c r="B492" i="1"/>
  <c r="B73" i="1"/>
  <c r="B74" i="1"/>
  <c r="B9267" i="1"/>
  <c r="B9268" i="1"/>
  <c r="B8849" i="1"/>
  <c r="B8850" i="1"/>
  <c r="B8431" i="1"/>
  <c r="B8432" i="1"/>
  <c r="B8013" i="1"/>
  <c r="B8014" i="1"/>
  <c r="B7595" i="1"/>
  <c r="B7596" i="1"/>
  <c r="B7177" i="1"/>
  <c r="B7178" i="1"/>
  <c r="B6759" i="1"/>
  <c r="B6760" i="1"/>
  <c r="B6341" i="1"/>
  <c r="B6342" i="1"/>
  <c r="B5923" i="1"/>
  <c r="B5924" i="1"/>
  <c r="B5505" i="1"/>
  <c r="B5506" i="1"/>
  <c r="B5087" i="1"/>
  <c r="B5088" i="1"/>
  <c r="B4669" i="1"/>
  <c r="B4670" i="1"/>
  <c r="B4251" i="1"/>
  <c r="B4252" i="1"/>
  <c r="B3833" i="1"/>
  <c r="B3834" i="1"/>
  <c r="B3415" i="1"/>
  <c r="B3416" i="1"/>
  <c r="B2997" i="1"/>
  <c r="B2998" i="1"/>
  <c r="B2579" i="1"/>
  <c r="B2580" i="1"/>
  <c r="B2161" i="1"/>
  <c r="B2162" i="1"/>
  <c r="B1743" i="1"/>
  <c r="B1744" i="1"/>
  <c r="B1325" i="1"/>
  <c r="B1326" i="1"/>
  <c r="B907" i="1"/>
  <c r="B908" i="1"/>
  <c r="B489" i="1"/>
  <c r="B490" i="1"/>
  <c r="B71" i="1"/>
  <c r="B72" i="1"/>
  <c r="B9265" i="1"/>
  <c r="B9266" i="1"/>
  <c r="B8847" i="1"/>
  <c r="B8848" i="1"/>
  <c r="B8429" i="1"/>
  <c r="B8430" i="1"/>
  <c r="B8011" i="1"/>
  <c r="B8012" i="1"/>
  <c r="B7593" i="1"/>
  <c r="B7594" i="1"/>
  <c r="B7175" i="1"/>
  <c r="B7176" i="1"/>
  <c r="B6757" i="1"/>
  <c r="B6758" i="1"/>
  <c r="B6339" i="1"/>
  <c r="B6340" i="1"/>
  <c r="B5921" i="1"/>
  <c r="B5922" i="1"/>
  <c r="B5503" i="1"/>
  <c r="B5504" i="1"/>
  <c r="B5085" i="1"/>
  <c r="B5086" i="1"/>
  <c r="B4667" i="1"/>
  <c r="B4668" i="1"/>
  <c r="B4249" i="1"/>
  <c r="B4250" i="1"/>
  <c r="B3831" i="1"/>
  <c r="B3832" i="1"/>
  <c r="B3413" i="1"/>
  <c r="B3414" i="1"/>
  <c r="B2995" i="1"/>
  <c r="B2996" i="1"/>
  <c r="B2577" i="1"/>
  <c r="B2578" i="1"/>
  <c r="B2159" i="1"/>
  <c r="B2160" i="1"/>
  <c r="B1741" i="1"/>
  <c r="B1742" i="1"/>
  <c r="B1323" i="1"/>
  <c r="B1324" i="1"/>
  <c r="B905" i="1"/>
  <c r="B906" i="1"/>
  <c r="B487" i="1"/>
  <c r="B488" i="1"/>
  <c r="B69" i="1"/>
  <c r="B70" i="1"/>
  <c r="B9263" i="1"/>
  <c r="B9264" i="1"/>
  <c r="B8845" i="1"/>
  <c r="B8846" i="1"/>
  <c r="B8427" i="1"/>
  <c r="B8428" i="1"/>
  <c r="B8009" i="1"/>
  <c r="B8010" i="1"/>
  <c r="B7591" i="1"/>
  <c r="B7592" i="1"/>
  <c r="B7173" i="1"/>
  <c r="B7174" i="1"/>
  <c r="B6755" i="1"/>
  <c r="B6756" i="1"/>
  <c r="B6337" i="1"/>
  <c r="B6338" i="1"/>
  <c r="B5919" i="1"/>
  <c r="B5920" i="1"/>
  <c r="B5501" i="1"/>
  <c r="B5502" i="1"/>
  <c r="B5083" i="1"/>
  <c r="B5084" i="1"/>
  <c r="B4665" i="1"/>
  <c r="B4666" i="1"/>
  <c r="B4247" i="1"/>
  <c r="B4248" i="1"/>
  <c r="B3829" i="1"/>
  <c r="B3830" i="1"/>
  <c r="B3411" i="1"/>
  <c r="B3412" i="1"/>
  <c r="B2993" i="1"/>
  <c r="B2994" i="1"/>
  <c r="B2575" i="1"/>
  <c r="B2576" i="1"/>
  <c r="B2157" i="1"/>
  <c r="B2158" i="1"/>
  <c r="B1739" i="1"/>
  <c r="B1740" i="1"/>
  <c r="B1321" i="1"/>
  <c r="B1322" i="1"/>
  <c r="B903" i="1"/>
  <c r="B904" i="1"/>
  <c r="B485" i="1"/>
  <c r="B486" i="1"/>
  <c r="B67" i="1"/>
  <c r="B68" i="1"/>
  <c r="B9261" i="1"/>
  <c r="B9262" i="1"/>
  <c r="B8843" i="1"/>
  <c r="B8844" i="1"/>
  <c r="B8425" i="1"/>
  <c r="B8426" i="1"/>
  <c r="B8007" i="1"/>
  <c r="B8008" i="1"/>
  <c r="B7589" i="1"/>
  <c r="B7590" i="1"/>
  <c r="B7171" i="1"/>
  <c r="B7172" i="1"/>
  <c r="B6753" i="1"/>
  <c r="B6754" i="1"/>
  <c r="B6335" i="1"/>
  <c r="B6336" i="1"/>
  <c r="B5917" i="1"/>
  <c r="B5918" i="1"/>
  <c r="B5499" i="1"/>
  <c r="B5500" i="1"/>
  <c r="B5081" i="1"/>
  <c r="B5082" i="1"/>
  <c r="B4663" i="1"/>
  <c r="B4664" i="1"/>
  <c r="B4245" i="1"/>
  <c r="B4246" i="1"/>
  <c r="B3827" i="1"/>
  <c r="B3828" i="1"/>
  <c r="B3409" i="1"/>
  <c r="B3410" i="1"/>
  <c r="B2991" i="1"/>
  <c r="B2992" i="1"/>
  <c r="B2573" i="1"/>
  <c r="B2574" i="1"/>
  <c r="B2155" i="1"/>
  <c r="B2156" i="1"/>
  <c r="B1737" i="1"/>
  <c r="B1738" i="1"/>
  <c r="B1319" i="1"/>
  <c r="B1320" i="1"/>
  <c r="B901" i="1"/>
  <c r="B902" i="1"/>
  <c r="B483" i="1"/>
  <c r="B484" i="1"/>
  <c r="B65" i="1"/>
  <c r="B66" i="1"/>
  <c r="B9259" i="1"/>
  <c r="B9260" i="1"/>
  <c r="B8841" i="1"/>
  <c r="B8842" i="1"/>
  <c r="B8423" i="1"/>
  <c r="B8424" i="1"/>
  <c r="B8005" i="1"/>
  <c r="B8006" i="1"/>
  <c r="B7587" i="1"/>
  <c r="B7588" i="1"/>
  <c r="B7169" i="1"/>
  <c r="B7170" i="1"/>
  <c r="B6751" i="1"/>
  <c r="B6752" i="1"/>
  <c r="B6333" i="1"/>
  <c r="B6334" i="1"/>
  <c r="B5915" i="1"/>
  <c r="B5916" i="1"/>
  <c r="B5497" i="1"/>
  <c r="B5498" i="1"/>
  <c r="B5079" i="1"/>
  <c r="B5080" i="1"/>
  <c r="B4661" i="1"/>
  <c r="B4662" i="1"/>
  <c r="B4243" i="1"/>
  <c r="B4244" i="1"/>
  <c r="B3825" i="1"/>
  <c r="B3826" i="1"/>
  <c r="B3407" i="1"/>
  <c r="B3408" i="1"/>
  <c r="B2989" i="1"/>
  <c r="B2990" i="1"/>
  <c r="B2571" i="1"/>
  <c r="B2572" i="1"/>
  <c r="B2153" i="1"/>
  <c r="B2154" i="1"/>
  <c r="B1735" i="1"/>
  <c r="B1736" i="1"/>
  <c r="B1317" i="1"/>
  <c r="B1318" i="1"/>
  <c r="B899" i="1"/>
  <c r="B900" i="1"/>
  <c r="B481" i="1"/>
  <c r="B482" i="1"/>
  <c r="B63" i="1"/>
  <c r="B64" i="1"/>
  <c r="B9257" i="1"/>
  <c r="B9258" i="1"/>
  <c r="B8839" i="1"/>
  <c r="B8840" i="1"/>
  <c r="B8421" i="1"/>
  <c r="B8422" i="1"/>
  <c r="B8003" i="1"/>
  <c r="B8004" i="1"/>
  <c r="B7585" i="1"/>
  <c r="B7586" i="1"/>
  <c r="B7167" i="1"/>
  <c r="B7168" i="1"/>
  <c r="B6749" i="1"/>
  <c r="B6750" i="1"/>
  <c r="B6331" i="1"/>
  <c r="B6332" i="1"/>
  <c r="B5913" i="1"/>
  <c r="B5914" i="1"/>
  <c r="B5495" i="1"/>
  <c r="B5496" i="1"/>
  <c r="B5077" i="1"/>
  <c r="B5078" i="1"/>
  <c r="B4659" i="1"/>
  <c r="B4660" i="1"/>
  <c r="B4241" i="1"/>
  <c r="B4242" i="1"/>
  <c r="B3823" i="1"/>
  <c r="B3824" i="1"/>
  <c r="B3405" i="1"/>
  <c r="B3406" i="1"/>
  <c r="B2987" i="1"/>
  <c r="B2988" i="1"/>
  <c r="B2569" i="1"/>
  <c r="B2570" i="1"/>
  <c r="B2151" i="1"/>
  <c r="B2152" i="1"/>
  <c r="B1733" i="1"/>
  <c r="B1734" i="1"/>
  <c r="B1315" i="1"/>
  <c r="B1316" i="1"/>
  <c r="B897" i="1"/>
  <c r="B898" i="1"/>
  <c r="B479" i="1"/>
  <c r="B480" i="1"/>
  <c r="B61" i="1"/>
  <c r="B62" i="1"/>
  <c r="B9255" i="1"/>
  <c r="B9256" i="1"/>
  <c r="B8837" i="1"/>
  <c r="B8838" i="1"/>
  <c r="B8419" i="1"/>
  <c r="B8420" i="1"/>
  <c r="B8001" i="1"/>
  <c r="B8002" i="1"/>
  <c r="B7583" i="1"/>
  <c r="B7584" i="1"/>
  <c r="B7165" i="1"/>
  <c r="B7166" i="1"/>
  <c r="B6747" i="1"/>
  <c r="B6748" i="1"/>
  <c r="B6329" i="1"/>
  <c r="B6330" i="1"/>
  <c r="B5911" i="1"/>
  <c r="B5912" i="1"/>
  <c r="B5493" i="1"/>
  <c r="B5494" i="1"/>
  <c r="B5075" i="1"/>
  <c r="B5076" i="1"/>
  <c r="B4657" i="1"/>
  <c r="B4658" i="1"/>
  <c r="B4239" i="1"/>
  <c r="B4240" i="1"/>
  <c r="B3821" i="1"/>
  <c r="B3822" i="1"/>
  <c r="B3403" i="1"/>
  <c r="B3404" i="1"/>
  <c r="B2985" i="1"/>
  <c r="B2986" i="1"/>
  <c r="B2567" i="1"/>
  <c r="B2568" i="1"/>
  <c r="B2149" i="1"/>
  <c r="B2150" i="1"/>
  <c r="B1731" i="1"/>
  <c r="B1732" i="1"/>
  <c r="B1313" i="1"/>
  <c r="B1314" i="1"/>
  <c r="B895" i="1"/>
  <c r="B896" i="1"/>
  <c r="B477" i="1"/>
  <c r="B478" i="1"/>
  <c r="B59" i="1"/>
  <c r="B60" i="1"/>
  <c r="B9253" i="1"/>
  <c r="B9254" i="1"/>
  <c r="B8835" i="1"/>
  <c r="B8836" i="1"/>
  <c r="B8417" i="1"/>
  <c r="B8418" i="1"/>
  <c r="B7999" i="1"/>
  <c r="B8000" i="1"/>
  <c r="B7581" i="1"/>
  <c r="B7582" i="1"/>
  <c r="B7163" i="1"/>
  <c r="B7164" i="1"/>
  <c r="B6745" i="1"/>
  <c r="B6746" i="1"/>
  <c r="B6327" i="1"/>
  <c r="B6328" i="1"/>
  <c r="B5909" i="1"/>
  <c r="B5910" i="1"/>
  <c r="B5491" i="1"/>
  <c r="B5492" i="1"/>
  <c r="B5073" i="1"/>
  <c r="B5074" i="1"/>
  <c r="B4655" i="1"/>
  <c r="B4656" i="1"/>
  <c r="B4237" i="1"/>
  <c r="B4238" i="1"/>
  <c r="B3819" i="1"/>
  <c r="B3820" i="1"/>
  <c r="B3401" i="1"/>
  <c r="B3402" i="1"/>
  <c r="B2983" i="1"/>
  <c r="B2984" i="1"/>
  <c r="B2565" i="1"/>
  <c r="B2566" i="1"/>
  <c r="B2147" i="1"/>
  <c r="B2148" i="1"/>
  <c r="B1729" i="1"/>
  <c r="B1730" i="1"/>
  <c r="B1311" i="1"/>
  <c r="B1312" i="1"/>
  <c r="B893" i="1"/>
  <c r="B894" i="1"/>
  <c r="B475" i="1"/>
  <c r="B476" i="1"/>
  <c r="B57" i="1"/>
  <c r="B58" i="1"/>
  <c r="B9251" i="1"/>
  <c r="B9252" i="1"/>
  <c r="B8833" i="1"/>
  <c r="B8834" i="1"/>
  <c r="B8415" i="1"/>
  <c r="B8416" i="1"/>
  <c r="B7997" i="1"/>
  <c r="B7998" i="1"/>
  <c r="B7579" i="1"/>
  <c r="B7580" i="1"/>
  <c r="B7161" i="1"/>
  <c r="B7162" i="1"/>
  <c r="B6743" i="1"/>
  <c r="B6744" i="1"/>
  <c r="B6325" i="1"/>
  <c r="B6326" i="1"/>
  <c r="B5907" i="1"/>
  <c r="B5908" i="1"/>
  <c r="B5489" i="1"/>
  <c r="B5490" i="1"/>
  <c r="B5071" i="1"/>
  <c r="B5072" i="1"/>
  <c r="B4653" i="1"/>
  <c r="B4654" i="1"/>
  <c r="B4235" i="1"/>
  <c r="B4236" i="1"/>
  <c r="B3817" i="1"/>
  <c r="B3818" i="1"/>
  <c r="B3399" i="1"/>
  <c r="B3400" i="1"/>
  <c r="B2981" i="1"/>
  <c r="B2982" i="1"/>
  <c r="B2563" i="1"/>
  <c r="B2564" i="1"/>
  <c r="B2145" i="1"/>
  <c r="B2146" i="1"/>
  <c r="B1727" i="1"/>
  <c r="B1728" i="1"/>
  <c r="B1309" i="1"/>
  <c r="B1310" i="1"/>
  <c r="B891" i="1"/>
  <c r="B892" i="1"/>
  <c r="B473" i="1"/>
  <c r="B474" i="1"/>
  <c r="B55" i="1"/>
  <c r="B56" i="1"/>
  <c r="B9249" i="1"/>
  <c r="B9250" i="1"/>
  <c r="B8831" i="1"/>
  <c r="B8832" i="1"/>
  <c r="B8413" i="1"/>
  <c r="B8414" i="1"/>
  <c r="B7995" i="1"/>
  <c r="B7996" i="1"/>
  <c r="B7577" i="1"/>
  <c r="B7578" i="1"/>
  <c r="B7159" i="1"/>
  <c r="B7160" i="1"/>
  <c r="B6741" i="1"/>
  <c r="B6742" i="1"/>
  <c r="B6323" i="1"/>
  <c r="B6324" i="1"/>
  <c r="B5905" i="1"/>
  <c r="B5906" i="1"/>
  <c r="B5487" i="1"/>
  <c r="B5488" i="1"/>
  <c r="B5069" i="1"/>
  <c r="B5070" i="1"/>
  <c r="B4651" i="1"/>
  <c r="B4652" i="1"/>
  <c r="B4233" i="1"/>
  <c r="B4234" i="1"/>
  <c r="B3815" i="1"/>
  <c r="B3816" i="1"/>
  <c r="B3397" i="1"/>
  <c r="B3398" i="1"/>
  <c r="B2979" i="1"/>
  <c r="B2980" i="1"/>
  <c r="B2561" i="1"/>
  <c r="B2562" i="1"/>
  <c r="B2143" i="1"/>
  <c r="B2144" i="1"/>
  <c r="B1725" i="1"/>
  <c r="B1726" i="1"/>
  <c r="B1307" i="1"/>
  <c r="B1308" i="1"/>
  <c r="B889" i="1"/>
  <c r="B890" i="1"/>
  <c r="B471" i="1"/>
  <c r="B472" i="1"/>
  <c r="B53" i="1"/>
  <c r="B54" i="1"/>
  <c r="B9247" i="1"/>
  <c r="B9248" i="1"/>
  <c r="B8829" i="1"/>
  <c r="B8830" i="1"/>
  <c r="B8411" i="1"/>
  <c r="B8412" i="1"/>
  <c r="B7993" i="1"/>
  <c r="B7994" i="1"/>
  <c r="B7575" i="1"/>
  <c r="B7576" i="1"/>
  <c r="B7157" i="1"/>
  <c r="B7158" i="1"/>
  <c r="B6739" i="1"/>
  <c r="B6740" i="1"/>
  <c r="B6321" i="1"/>
  <c r="B6322" i="1"/>
  <c r="B5903" i="1"/>
  <c r="B5904" i="1"/>
  <c r="B5485" i="1"/>
  <c r="B5486" i="1"/>
  <c r="B5067" i="1"/>
  <c r="B5068" i="1"/>
  <c r="B4649" i="1"/>
  <c r="B4650" i="1"/>
  <c r="B4231" i="1"/>
  <c r="B4232" i="1"/>
  <c r="B3813" i="1"/>
  <c r="B3814" i="1"/>
  <c r="B3395" i="1"/>
  <c r="B3396" i="1"/>
  <c r="B2977" i="1"/>
  <c r="B2978" i="1"/>
  <c r="B2559" i="1"/>
  <c r="B2560" i="1"/>
  <c r="B2141" i="1"/>
  <c r="B2142" i="1"/>
  <c r="B1723" i="1"/>
  <c r="B1724" i="1"/>
  <c r="B1305" i="1"/>
  <c r="B1306" i="1"/>
  <c r="B887" i="1"/>
  <c r="B888" i="1"/>
  <c r="B469" i="1"/>
  <c r="B470" i="1"/>
  <c r="B51" i="1"/>
  <c r="B52" i="1"/>
  <c r="B9245" i="1"/>
  <c r="B9246" i="1"/>
  <c r="B8827" i="1"/>
  <c r="B8828" i="1"/>
  <c r="B8409" i="1"/>
  <c r="B8410" i="1"/>
  <c r="B7991" i="1"/>
  <c r="B7992" i="1"/>
  <c r="B7573" i="1"/>
  <c r="B7574" i="1"/>
  <c r="B7155" i="1"/>
  <c r="B7156" i="1"/>
  <c r="B6737" i="1"/>
  <c r="B6738" i="1"/>
  <c r="B6319" i="1"/>
  <c r="B6320" i="1"/>
  <c r="B5901" i="1"/>
  <c r="B5902" i="1"/>
  <c r="B5483" i="1"/>
  <c r="B5484" i="1"/>
  <c r="B5065" i="1"/>
  <c r="B5066" i="1"/>
  <c r="B4647" i="1"/>
  <c r="B4648" i="1"/>
  <c r="B4229" i="1"/>
  <c r="B4230" i="1"/>
  <c r="B3811" i="1"/>
  <c r="B3812" i="1"/>
  <c r="B3393" i="1"/>
  <c r="B3394" i="1"/>
  <c r="B2975" i="1"/>
  <c r="B2976" i="1"/>
  <c r="B2557" i="1"/>
  <c r="B2558" i="1"/>
  <c r="B2139" i="1"/>
  <c r="B2140" i="1"/>
  <c r="B1721" i="1"/>
  <c r="B1722" i="1"/>
  <c r="B1303" i="1"/>
  <c r="B1304" i="1"/>
  <c r="B885" i="1"/>
  <c r="B886" i="1"/>
  <c r="B467" i="1"/>
  <c r="B468" i="1"/>
  <c r="B49" i="1"/>
  <c r="B50" i="1"/>
  <c r="B9243" i="1"/>
  <c r="B9244" i="1"/>
  <c r="B8825" i="1"/>
  <c r="B8826" i="1"/>
  <c r="B8407" i="1"/>
  <c r="B8408" i="1"/>
  <c r="B7989" i="1"/>
  <c r="B7990" i="1"/>
  <c r="B7571" i="1"/>
  <c r="B7572" i="1"/>
  <c r="B7153" i="1"/>
  <c r="B7154" i="1"/>
  <c r="B6735" i="1"/>
  <c r="B6736" i="1"/>
  <c r="B6317" i="1"/>
  <c r="B6318" i="1"/>
  <c r="B5899" i="1"/>
  <c r="B5900" i="1"/>
  <c r="B5481" i="1"/>
  <c r="B5482" i="1"/>
  <c r="B5063" i="1"/>
  <c r="B5064" i="1"/>
  <c r="B4645" i="1"/>
  <c r="B4646" i="1"/>
  <c r="B4227" i="1"/>
  <c r="B4228" i="1"/>
  <c r="B3809" i="1"/>
  <c r="B3810" i="1"/>
  <c r="B3391" i="1"/>
  <c r="B3392" i="1"/>
  <c r="B2973" i="1"/>
  <c r="B2974" i="1"/>
  <c r="B2555" i="1"/>
  <c r="B2556" i="1"/>
  <c r="B2137" i="1"/>
  <c r="B2138" i="1"/>
  <c r="B1719" i="1"/>
  <c r="B1720" i="1"/>
  <c r="B1301" i="1"/>
  <c r="B1302" i="1"/>
  <c r="B883" i="1"/>
  <c r="B884" i="1"/>
  <c r="B465" i="1"/>
  <c r="B466" i="1"/>
  <c r="B47" i="1"/>
  <c r="B48" i="1"/>
  <c r="B9241" i="1"/>
  <c r="B9242" i="1"/>
  <c r="B8823" i="1"/>
  <c r="B8824" i="1"/>
  <c r="B8405" i="1"/>
  <c r="B8406" i="1"/>
  <c r="B7987" i="1"/>
  <c r="B7988" i="1"/>
  <c r="B7569" i="1"/>
  <c r="B7570" i="1"/>
  <c r="B7151" i="1"/>
  <c r="B7152" i="1"/>
  <c r="B6733" i="1"/>
  <c r="B6734" i="1"/>
  <c r="B6315" i="1"/>
  <c r="B6316" i="1"/>
  <c r="B5897" i="1"/>
  <c r="B5898" i="1"/>
  <c r="B5479" i="1"/>
  <c r="B5480" i="1"/>
  <c r="B5061" i="1"/>
  <c r="B5062" i="1"/>
  <c r="B4643" i="1"/>
  <c r="B4644" i="1"/>
  <c r="B4225" i="1"/>
  <c r="B4226" i="1"/>
  <c r="B3807" i="1"/>
  <c r="B3808" i="1"/>
  <c r="B3389" i="1"/>
  <c r="B3390" i="1"/>
  <c r="B2971" i="1"/>
  <c r="B2972" i="1"/>
  <c r="B2553" i="1"/>
  <c r="B2554" i="1"/>
  <c r="B2135" i="1"/>
  <c r="B2136" i="1"/>
  <c r="B1717" i="1"/>
  <c r="B1718" i="1"/>
  <c r="B1299" i="1"/>
  <c r="B1300" i="1"/>
  <c r="B881" i="1"/>
  <c r="B882" i="1"/>
  <c r="B463" i="1"/>
  <c r="B464" i="1"/>
  <c r="B45" i="1"/>
  <c r="B46" i="1"/>
  <c r="B9239" i="1"/>
  <c r="B9240" i="1"/>
  <c r="B8821" i="1"/>
  <c r="B8822" i="1"/>
  <c r="B8403" i="1"/>
  <c r="B8404" i="1"/>
  <c r="B7985" i="1"/>
  <c r="B7986" i="1"/>
  <c r="B7567" i="1"/>
  <c r="B7568" i="1"/>
  <c r="B7149" i="1"/>
  <c r="B7150" i="1"/>
  <c r="B6731" i="1"/>
  <c r="B6732" i="1"/>
  <c r="B6313" i="1"/>
  <c r="B6314" i="1"/>
  <c r="B5895" i="1"/>
  <c r="B5896" i="1"/>
  <c r="B5477" i="1"/>
  <c r="B5478" i="1"/>
  <c r="B5059" i="1"/>
  <c r="B5060" i="1"/>
  <c r="B4641" i="1"/>
  <c r="B4642" i="1"/>
  <c r="B4223" i="1"/>
  <c r="B4224" i="1"/>
  <c r="B3805" i="1"/>
  <c r="B3806" i="1"/>
  <c r="B3387" i="1"/>
  <c r="B3388" i="1"/>
  <c r="B2969" i="1"/>
  <c r="B2970" i="1"/>
  <c r="B2551" i="1"/>
  <c r="B2552" i="1"/>
  <c r="B2133" i="1"/>
  <c r="B2134" i="1"/>
  <c r="B1715" i="1"/>
  <c r="B1716" i="1"/>
  <c r="B1297" i="1"/>
  <c r="B1298" i="1"/>
  <c r="B879" i="1"/>
  <c r="B880" i="1"/>
  <c r="B461" i="1"/>
  <c r="B462" i="1"/>
  <c r="B43" i="1"/>
  <c r="B44" i="1"/>
  <c r="B9237" i="1"/>
  <c r="B9238" i="1"/>
  <c r="B8819" i="1"/>
  <c r="B8820" i="1"/>
  <c r="B8401" i="1"/>
  <c r="B8402" i="1"/>
  <c r="B7983" i="1"/>
  <c r="B7984" i="1"/>
  <c r="B7565" i="1"/>
  <c r="B7566" i="1"/>
  <c r="B7147" i="1"/>
  <c r="B7148" i="1"/>
  <c r="B6729" i="1"/>
  <c r="B6730" i="1"/>
  <c r="B6311" i="1"/>
  <c r="B6312" i="1"/>
  <c r="B5893" i="1"/>
  <c r="B5894" i="1"/>
  <c r="B5475" i="1"/>
  <c r="B5476" i="1"/>
  <c r="B5057" i="1"/>
  <c r="B5058" i="1"/>
  <c r="B4639" i="1"/>
  <c r="B4640" i="1"/>
  <c r="B4221" i="1"/>
  <c r="B4222" i="1"/>
  <c r="B3803" i="1"/>
  <c r="B3804" i="1"/>
  <c r="B3385" i="1"/>
  <c r="B3386" i="1"/>
  <c r="B2967" i="1"/>
  <c r="B2968" i="1"/>
  <c r="B2549" i="1"/>
  <c r="B2550" i="1"/>
  <c r="B2131" i="1"/>
  <c r="B2132" i="1"/>
  <c r="B1713" i="1"/>
  <c r="B1714" i="1"/>
  <c r="B1295" i="1"/>
  <c r="B1296" i="1"/>
  <c r="B877" i="1"/>
  <c r="B878" i="1"/>
  <c r="B459" i="1"/>
  <c r="B460" i="1"/>
  <c r="B41" i="1"/>
  <c r="B42" i="1"/>
  <c r="B9235" i="1"/>
  <c r="B9236" i="1"/>
  <c r="B8817" i="1"/>
  <c r="B8818" i="1"/>
  <c r="B8399" i="1"/>
  <c r="B8400" i="1"/>
  <c r="B7981" i="1"/>
  <c r="B7982" i="1"/>
  <c r="B7563" i="1"/>
  <c r="B7564" i="1"/>
  <c r="B7145" i="1"/>
  <c r="B7146" i="1"/>
  <c r="B6727" i="1"/>
  <c r="B6728" i="1"/>
  <c r="B6309" i="1"/>
  <c r="B6310" i="1"/>
  <c r="B5891" i="1"/>
  <c r="B5892" i="1"/>
  <c r="B5473" i="1"/>
  <c r="B5474" i="1"/>
  <c r="B5055" i="1"/>
  <c r="B5056" i="1"/>
  <c r="B4637" i="1"/>
  <c r="B4638" i="1"/>
  <c r="B4219" i="1"/>
  <c r="B4220" i="1"/>
  <c r="B3801" i="1"/>
  <c r="B3802" i="1"/>
  <c r="B3383" i="1"/>
  <c r="B3384" i="1"/>
  <c r="B2965" i="1"/>
  <c r="B2966" i="1"/>
  <c r="B2547" i="1"/>
  <c r="B2548" i="1"/>
  <c r="B2129" i="1"/>
  <c r="B2130" i="1"/>
  <c r="B1711" i="1"/>
  <c r="B1712" i="1"/>
  <c r="B1293" i="1"/>
  <c r="B1294" i="1"/>
  <c r="B875" i="1"/>
  <c r="B876" i="1"/>
  <c r="B457" i="1"/>
  <c r="B458" i="1"/>
  <c r="B39" i="1"/>
  <c r="B40" i="1"/>
  <c r="B9233" i="1"/>
  <c r="B9234" i="1"/>
  <c r="B8815" i="1"/>
  <c r="B8816" i="1"/>
  <c r="B8397" i="1"/>
  <c r="B8398" i="1"/>
  <c r="B7979" i="1"/>
  <c r="B7980" i="1"/>
  <c r="B7561" i="1"/>
  <c r="B7562" i="1"/>
  <c r="B7143" i="1"/>
  <c r="B7144" i="1"/>
  <c r="B6725" i="1"/>
  <c r="B6726" i="1"/>
  <c r="B6307" i="1"/>
  <c r="B6308" i="1"/>
  <c r="B5889" i="1"/>
  <c r="B5890" i="1"/>
  <c r="B5471" i="1"/>
  <c r="B5472" i="1"/>
  <c r="B5053" i="1"/>
  <c r="B5054" i="1"/>
  <c r="B4635" i="1"/>
  <c r="B4636" i="1"/>
  <c r="B4217" i="1"/>
  <c r="B4218" i="1"/>
  <c r="B3799" i="1"/>
  <c r="B3800" i="1"/>
  <c r="B3381" i="1"/>
  <c r="B3382" i="1"/>
  <c r="B2963" i="1"/>
  <c r="B2964" i="1"/>
  <c r="B2545" i="1"/>
  <c r="B2546" i="1"/>
  <c r="B2127" i="1"/>
  <c r="B2128" i="1"/>
  <c r="B1709" i="1"/>
  <c r="B1710" i="1"/>
  <c r="B1291" i="1"/>
  <c r="B1292" i="1"/>
  <c r="B873" i="1"/>
  <c r="B874" i="1"/>
  <c r="B455" i="1"/>
  <c r="B456" i="1"/>
  <c r="B37" i="1"/>
  <c r="B38" i="1"/>
  <c r="B9231" i="1"/>
  <c r="B9232" i="1"/>
  <c r="B8813" i="1"/>
  <c r="B8814" i="1"/>
  <c r="B8395" i="1"/>
  <c r="B8396" i="1"/>
  <c r="B7977" i="1"/>
  <c r="B7978" i="1"/>
  <c r="B7559" i="1"/>
  <c r="B7560" i="1"/>
  <c r="B7141" i="1"/>
  <c r="B7142" i="1"/>
  <c r="B6723" i="1"/>
  <c r="B6724" i="1"/>
  <c r="B6305" i="1"/>
  <c r="B6306" i="1"/>
  <c r="B5887" i="1"/>
  <c r="B5888" i="1"/>
  <c r="B5469" i="1"/>
  <c r="B5470" i="1"/>
  <c r="B5051" i="1"/>
  <c r="B5052" i="1"/>
  <c r="B4633" i="1"/>
  <c r="B4634" i="1"/>
  <c r="B4215" i="1"/>
  <c r="B4216" i="1"/>
  <c r="B3797" i="1"/>
  <c r="B3798" i="1"/>
  <c r="B3379" i="1"/>
  <c r="B3380" i="1"/>
  <c r="B2961" i="1"/>
  <c r="B2962" i="1"/>
  <c r="B2543" i="1"/>
  <c r="B2544" i="1"/>
  <c r="B2125" i="1"/>
  <c r="B2126" i="1"/>
  <c r="B1707" i="1"/>
  <c r="B1708" i="1"/>
  <c r="B1289" i="1"/>
  <c r="B1290" i="1"/>
  <c r="B871" i="1"/>
  <c r="B872" i="1"/>
  <c r="B453" i="1"/>
  <c r="B454" i="1"/>
  <c r="B35" i="1"/>
  <c r="B36" i="1"/>
  <c r="B9229" i="1"/>
  <c r="B9230" i="1"/>
  <c r="B8811" i="1"/>
  <c r="B8812" i="1"/>
  <c r="B8393" i="1"/>
  <c r="B8394" i="1"/>
  <c r="B7975" i="1"/>
  <c r="B7976" i="1"/>
  <c r="B7557" i="1"/>
  <c r="B7558" i="1"/>
  <c r="B7139" i="1"/>
  <c r="B7140" i="1"/>
  <c r="B6721" i="1"/>
  <c r="B6722" i="1"/>
  <c r="B6303" i="1"/>
  <c r="B6304" i="1"/>
  <c r="B5885" i="1"/>
  <c r="B5886" i="1"/>
  <c r="B5467" i="1"/>
  <c r="B5468" i="1"/>
  <c r="B5049" i="1"/>
  <c r="B5050" i="1"/>
  <c r="B4631" i="1"/>
  <c r="B4632" i="1"/>
  <c r="B4213" i="1"/>
  <c r="B4214" i="1"/>
  <c r="B3795" i="1"/>
  <c r="B3796" i="1"/>
  <c r="B3377" i="1"/>
  <c r="B3378" i="1"/>
  <c r="B2959" i="1"/>
  <c r="B2960" i="1"/>
  <c r="B2541" i="1"/>
  <c r="B2542" i="1"/>
  <c r="B2123" i="1"/>
  <c r="B2124" i="1"/>
  <c r="B1705" i="1"/>
  <c r="B1706" i="1"/>
  <c r="B1287" i="1"/>
  <c r="B1288" i="1"/>
  <c r="B869" i="1"/>
  <c r="B870" i="1"/>
  <c r="B451" i="1"/>
  <c r="B452" i="1"/>
  <c r="B33" i="1"/>
  <c r="B34" i="1"/>
  <c r="B9227" i="1"/>
  <c r="B9228" i="1"/>
  <c r="B8809" i="1"/>
  <c r="B8810" i="1"/>
  <c r="B8391" i="1"/>
  <c r="B8392" i="1"/>
  <c r="B7973" i="1"/>
  <c r="B7974" i="1"/>
  <c r="B7555" i="1"/>
  <c r="B7556" i="1"/>
  <c r="B7137" i="1"/>
  <c r="B7138" i="1"/>
  <c r="B6719" i="1"/>
  <c r="B6720" i="1"/>
  <c r="B6301" i="1"/>
  <c r="B6302" i="1"/>
  <c r="B5883" i="1"/>
  <c r="B5884" i="1"/>
  <c r="B5465" i="1"/>
  <c r="B5466" i="1"/>
  <c r="B5047" i="1"/>
  <c r="B5048" i="1"/>
  <c r="B4629" i="1"/>
  <c r="B4630" i="1"/>
  <c r="B4211" i="1"/>
  <c r="B4212" i="1"/>
  <c r="B3793" i="1"/>
  <c r="B3794" i="1"/>
  <c r="B3375" i="1"/>
  <c r="B3376" i="1"/>
  <c r="B2957" i="1"/>
  <c r="B2958" i="1"/>
  <c r="B2539" i="1"/>
  <c r="B2540" i="1"/>
  <c r="B2121" i="1"/>
  <c r="B2122" i="1"/>
  <c r="B1703" i="1"/>
  <c r="B1704" i="1"/>
  <c r="B1285" i="1"/>
  <c r="B1286" i="1"/>
  <c r="B867" i="1"/>
  <c r="B868" i="1"/>
  <c r="B449" i="1"/>
  <c r="B450" i="1"/>
  <c r="B31" i="1"/>
  <c r="B32" i="1"/>
  <c r="B9225" i="1"/>
  <c r="B9226" i="1"/>
  <c r="B8807" i="1"/>
  <c r="B8808" i="1"/>
  <c r="B8389" i="1"/>
  <c r="B8390" i="1"/>
  <c r="B7971" i="1"/>
  <c r="B7972" i="1"/>
  <c r="B7553" i="1"/>
  <c r="B7554" i="1"/>
  <c r="B7135" i="1"/>
  <c r="B7136" i="1"/>
  <c r="B6717" i="1"/>
  <c r="B6718" i="1"/>
  <c r="B6299" i="1"/>
  <c r="B6300" i="1"/>
  <c r="B5881" i="1"/>
  <c r="B5882" i="1"/>
  <c r="B5463" i="1"/>
  <c r="B5464" i="1"/>
  <c r="B5045" i="1"/>
  <c r="B5046" i="1"/>
  <c r="B4627" i="1"/>
  <c r="B4628" i="1"/>
  <c r="B4209" i="1"/>
  <c r="B4210" i="1"/>
  <c r="B3791" i="1"/>
  <c r="B3792" i="1"/>
  <c r="B3373" i="1"/>
  <c r="B3374" i="1"/>
  <c r="B2955" i="1"/>
  <c r="B2956" i="1"/>
  <c r="B2537" i="1"/>
  <c r="B2538" i="1"/>
  <c r="B2119" i="1"/>
  <c r="B2120" i="1"/>
  <c r="B1701" i="1"/>
  <c r="B1702" i="1"/>
  <c r="B1283" i="1"/>
  <c r="B1284" i="1"/>
  <c r="B865" i="1"/>
  <c r="B866" i="1"/>
  <c r="B447" i="1"/>
  <c r="B448" i="1"/>
  <c r="B29" i="1"/>
  <c r="B30" i="1"/>
  <c r="B9223" i="1"/>
  <c r="B9224" i="1"/>
  <c r="B8805" i="1"/>
  <c r="B8806" i="1"/>
  <c r="B8387" i="1"/>
  <c r="B8388" i="1"/>
  <c r="B7969" i="1"/>
  <c r="B7970" i="1"/>
  <c r="B7551" i="1"/>
  <c r="B7552" i="1"/>
  <c r="B7133" i="1"/>
  <c r="B7134" i="1"/>
  <c r="B6715" i="1"/>
  <c r="B6716" i="1"/>
  <c r="B6297" i="1"/>
  <c r="B6298" i="1"/>
  <c r="B5879" i="1"/>
  <c r="B5880" i="1"/>
  <c r="B5461" i="1"/>
  <c r="B5462" i="1"/>
  <c r="B5043" i="1"/>
  <c r="B5044" i="1"/>
  <c r="B4625" i="1"/>
  <c r="B4626" i="1"/>
  <c r="B4207" i="1"/>
  <c r="B4208" i="1"/>
  <c r="B3789" i="1"/>
  <c r="B3790" i="1"/>
  <c r="B3371" i="1"/>
  <c r="B3372" i="1"/>
  <c r="B2953" i="1"/>
  <c r="B2954" i="1"/>
  <c r="B2535" i="1"/>
  <c r="B2536" i="1"/>
  <c r="B2117" i="1"/>
  <c r="B2118" i="1"/>
  <c r="B1699" i="1"/>
  <c r="B1700" i="1"/>
  <c r="B1281" i="1"/>
  <c r="B1282" i="1"/>
  <c r="B863" i="1"/>
  <c r="B864" i="1"/>
  <c r="B445" i="1"/>
  <c r="B446" i="1"/>
  <c r="B27" i="1"/>
  <c r="B28" i="1"/>
  <c r="B9221" i="1"/>
  <c r="B9222" i="1"/>
  <c r="B8803" i="1"/>
  <c r="B8804" i="1"/>
  <c r="B8385" i="1"/>
  <c r="B8386" i="1"/>
  <c r="B7967" i="1"/>
  <c r="B7968" i="1"/>
  <c r="B7549" i="1"/>
  <c r="B7550" i="1"/>
  <c r="B7131" i="1"/>
  <c r="B7132" i="1"/>
  <c r="B6713" i="1"/>
  <c r="B6714" i="1"/>
  <c r="B6295" i="1"/>
  <c r="B6296" i="1"/>
  <c r="B5877" i="1"/>
  <c r="B5878" i="1"/>
  <c r="B5459" i="1"/>
  <c r="B5460" i="1"/>
  <c r="B5041" i="1"/>
  <c r="B5042" i="1"/>
  <c r="B4623" i="1"/>
  <c r="B4624" i="1"/>
  <c r="B4205" i="1"/>
  <c r="B4206" i="1"/>
  <c r="B3787" i="1"/>
  <c r="B3788" i="1"/>
  <c r="B3369" i="1"/>
  <c r="B3370" i="1"/>
  <c r="B2951" i="1"/>
  <c r="B2952" i="1"/>
  <c r="B2533" i="1"/>
  <c r="B2534" i="1"/>
  <c r="B2115" i="1"/>
  <c r="B2116" i="1"/>
  <c r="B1697" i="1"/>
  <c r="B1698" i="1"/>
  <c r="B1279" i="1"/>
  <c r="B1280" i="1"/>
  <c r="B861" i="1"/>
  <c r="B862" i="1"/>
  <c r="B443" i="1"/>
  <c r="B444" i="1"/>
  <c r="B25" i="1"/>
  <c r="B26" i="1"/>
  <c r="B9219" i="1"/>
  <c r="B9220" i="1"/>
  <c r="B8801" i="1"/>
  <c r="B8802" i="1"/>
  <c r="B8383" i="1"/>
  <c r="B8384" i="1"/>
  <c r="B7965" i="1"/>
  <c r="B7966" i="1"/>
  <c r="B7547" i="1"/>
  <c r="B7548" i="1"/>
  <c r="B7129" i="1"/>
  <c r="B7130" i="1"/>
  <c r="B6711" i="1"/>
  <c r="B6712" i="1"/>
  <c r="B6293" i="1"/>
  <c r="B6294" i="1"/>
  <c r="B5875" i="1"/>
  <c r="B5876" i="1"/>
  <c r="B5457" i="1"/>
  <c r="B5458" i="1"/>
  <c r="B5039" i="1"/>
  <c r="B5040" i="1"/>
  <c r="B4621" i="1"/>
  <c r="B4622" i="1"/>
  <c r="B4203" i="1"/>
  <c r="B4204" i="1"/>
  <c r="B3785" i="1"/>
  <c r="B3786" i="1"/>
  <c r="B3367" i="1"/>
  <c r="B3368" i="1"/>
  <c r="B2949" i="1"/>
  <c r="B2950" i="1"/>
  <c r="B2531" i="1"/>
  <c r="B2532" i="1"/>
  <c r="B2113" i="1"/>
  <c r="B2114" i="1"/>
  <c r="B1695" i="1"/>
  <c r="B1696" i="1"/>
  <c r="B1277" i="1"/>
  <c r="B1278" i="1"/>
  <c r="B859" i="1"/>
  <c r="B860" i="1"/>
  <c r="B441" i="1"/>
  <c r="B442" i="1"/>
  <c r="B23" i="1"/>
  <c r="B24" i="1"/>
  <c r="B9217" i="1"/>
  <c r="B9218" i="1"/>
  <c r="B8799" i="1"/>
  <c r="B8800" i="1"/>
  <c r="B8381" i="1"/>
  <c r="B8382" i="1"/>
  <c r="B7963" i="1"/>
  <c r="B7964" i="1"/>
  <c r="B7545" i="1"/>
  <c r="B7546" i="1"/>
  <c r="B7127" i="1"/>
  <c r="B7128" i="1"/>
  <c r="B6709" i="1"/>
  <c r="B6710" i="1"/>
  <c r="B6291" i="1"/>
  <c r="B6292" i="1"/>
  <c r="B5873" i="1"/>
  <c r="B5874" i="1"/>
  <c r="B5455" i="1"/>
  <c r="B5456" i="1"/>
  <c r="B5037" i="1"/>
  <c r="B5038" i="1"/>
  <c r="B4619" i="1"/>
  <c r="B4620" i="1"/>
  <c r="B4201" i="1"/>
  <c r="B4202" i="1"/>
  <c r="B3783" i="1"/>
  <c r="B3784" i="1"/>
  <c r="B3365" i="1"/>
  <c r="B3366" i="1"/>
  <c r="B2947" i="1"/>
  <c r="B2948" i="1"/>
  <c r="B2529" i="1"/>
  <c r="B2530" i="1"/>
  <c r="B2111" i="1"/>
  <c r="B2112" i="1"/>
  <c r="B1693" i="1"/>
  <c r="B1694" i="1"/>
  <c r="B1275" i="1"/>
  <c r="B1276" i="1"/>
  <c r="B857" i="1"/>
  <c r="B858" i="1"/>
  <c r="B439" i="1"/>
  <c r="B440" i="1"/>
  <c r="B21" i="1"/>
  <c r="B22" i="1"/>
  <c r="B9215" i="1"/>
  <c r="B9216" i="1"/>
  <c r="B8797" i="1"/>
  <c r="B8798" i="1"/>
  <c r="B8379" i="1"/>
  <c r="B8380" i="1"/>
  <c r="B7961" i="1"/>
  <c r="B7962" i="1"/>
  <c r="B7543" i="1"/>
  <c r="B7544" i="1"/>
  <c r="B7125" i="1"/>
  <c r="B7126" i="1"/>
  <c r="B6707" i="1"/>
  <c r="B6708" i="1"/>
  <c r="B6289" i="1"/>
  <c r="B6290" i="1"/>
  <c r="B5871" i="1"/>
  <c r="B5872" i="1"/>
  <c r="B5453" i="1"/>
  <c r="B5454" i="1"/>
  <c r="B5035" i="1"/>
  <c r="B5036" i="1"/>
  <c r="B4617" i="1"/>
  <c r="B4618" i="1"/>
  <c r="B4199" i="1"/>
  <c r="B4200" i="1"/>
  <c r="B3781" i="1"/>
  <c r="B3782" i="1"/>
  <c r="B3363" i="1"/>
  <c r="B3364" i="1"/>
  <c r="B2945" i="1"/>
  <c r="B2946" i="1"/>
  <c r="B2527" i="1"/>
  <c r="B2528" i="1"/>
  <c r="B2109" i="1"/>
  <c r="B2110" i="1"/>
  <c r="B1691" i="1"/>
  <c r="B1692" i="1"/>
  <c r="B1273" i="1"/>
  <c r="B1274" i="1"/>
  <c r="B855" i="1"/>
  <c r="B856" i="1"/>
  <c r="B437" i="1"/>
  <c r="B438" i="1"/>
  <c r="B19" i="1"/>
  <c r="B20" i="1"/>
  <c r="B9213" i="1"/>
  <c r="B9214" i="1"/>
  <c r="B8795" i="1"/>
  <c r="B8796" i="1"/>
  <c r="B8377" i="1"/>
  <c r="B8378" i="1"/>
  <c r="B7959" i="1"/>
  <c r="B7960" i="1"/>
  <c r="B7541" i="1"/>
  <c r="B7542" i="1"/>
  <c r="B7123" i="1"/>
  <c r="B7124" i="1"/>
  <c r="B6705" i="1"/>
  <c r="B6706" i="1"/>
  <c r="B6287" i="1"/>
  <c r="B6288" i="1"/>
  <c r="B5869" i="1"/>
  <c r="B5870" i="1"/>
  <c r="B5451" i="1"/>
  <c r="B5452" i="1"/>
  <c r="B5033" i="1"/>
  <c r="B5034" i="1"/>
  <c r="B4615" i="1"/>
  <c r="B4616" i="1"/>
  <c r="B4197" i="1"/>
  <c r="B4198" i="1"/>
  <c r="B3779" i="1"/>
  <c r="B3780" i="1"/>
  <c r="B3361" i="1"/>
  <c r="B3362" i="1"/>
  <c r="B2943" i="1"/>
  <c r="B2944" i="1"/>
  <c r="B2525" i="1"/>
  <c r="B2526" i="1"/>
  <c r="B2107" i="1"/>
  <c r="B2108" i="1"/>
  <c r="B1689" i="1"/>
  <c r="B1690" i="1"/>
  <c r="B1271" i="1"/>
  <c r="B1272" i="1"/>
  <c r="B853" i="1"/>
  <c r="B854" i="1"/>
  <c r="B435" i="1"/>
  <c r="B436" i="1"/>
  <c r="B17" i="1"/>
  <c r="B18" i="1"/>
  <c r="B9211" i="1"/>
  <c r="B9212" i="1"/>
  <c r="B8793" i="1"/>
  <c r="B8794" i="1"/>
  <c r="B8375" i="1"/>
  <c r="B8376" i="1"/>
  <c r="B7957" i="1"/>
  <c r="B7958" i="1"/>
  <c r="B7539" i="1"/>
  <c r="B7540" i="1"/>
  <c r="B7121" i="1"/>
  <c r="B7122" i="1"/>
  <c r="B6703" i="1"/>
  <c r="B6704" i="1"/>
  <c r="B6285" i="1"/>
  <c r="B6286" i="1"/>
  <c r="B5867" i="1"/>
  <c r="B5868" i="1"/>
  <c r="B5449" i="1"/>
  <c r="B5450" i="1"/>
  <c r="B5031" i="1"/>
  <c r="B5032" i="1"/>
  <c r="B4613" i="1"/>
  <c r="B4614" i="1"/>
  <c r="B4195" i="1"/>
  <c r="B4196" i="1"/>
  <c r="B3777" i="1"/>
  <c r="B3778" i="1"/>
  <c r="B3359" i="1"/>
  <c r="B3360" i="1"/>
  <c r="B2941" i="1"/>
  <c r="B2942" i="1"/>
  <c r="B2523" i="1"/>
  <c r="B2524" i="1"/>
  <c r="B2105" i="1"/>
  <c r="B2106" i="1"/>
  <c r="B1687" i="1"/>
  <c r="B1688" i="1"/>
  <c r="B1269" i="1"/>
  <c r="B1270" i="1"/>
  <c r="B851" i="1"/>
  <c r="B852" i="1"/>
  <c r="B433" i="1"/>
  <c r="B434" i="1"/>
  <c r="B15" i="1"/>
  <c r="B16" i="1"/>
  <c r="B9209" i="1"/>
  <c r="B9210" i="1"/>
  <c r="B8791" i="1"/>
  <c r="B8792" i="1"/>
  <c r="B8373" i="1"/>
  <c r="B8374" i="1"/>
  <c r="B7955" i="1"/>
  <c r="B7956" i="1"/>
  <c r="B7537" i="1"/>
  <c r="B7538" i="1"/>
  <c r="B7119" i="1"/>
  <c r="B7120" i="1"/>
  <c r="B6701" i="1"/>
  <c r="B6702" i="1"/>
  <c r="B6283" i="1"/>
  <c r="B6284" i="1"/>
  <c r="B5865" i="1"/>
  <c r="B5866" i="1"/>
  <c r="B5447" i="1"/>
  <c r="B5448" i="1"/>
  <c r="B5029" i="1"/>
  <c r="B5030" i="1"/>
  <c r="B4611" i="1"/>
  <c r="B4612" i="1"/>
  <c r="B4193" i="1"/>
  <c r="B4194" i="1"/>
  <c r="B3775" i="1"/>
  <c r="B3776" i="1"/>
  <c r="B3357" i="1"/>
  <c r="B3358" i="1"/>
  <c r="B2939" i="1"/>
  <c r="B2940" i="1"/>
  <c r="B2521" i="1"/>
  <c r="B2522" i="1"/>
  <c r="B2103" i="1"/>
  <c r="B2104" i="1"/>
  <c r="B1685" i="1"/>
  <c r="B1686" i="1"/>
  <c r="B1267" i="1"/>
  <c r="B1268" i="1"/>
  <c r="B849" i="1"/>
  <c r="B850" i="1"/>
  <c r="B431" i="1"/>
  <c r="B432" i="1"/>
  <c r="B13" i="1"/>
  <c r="B14" i="1"/>
  <c r="B9207" i="1"/>
  <c r="B9208" i="1"/>
  <c r="B8789" i="1"/>
  <c r="B8790" i="1"/>
  <c r="B8371" i="1"/>
  <c r="B8372" i="1"/>
  <c r="B7953" i="1"/>
  <c r="B7954" i="1"/>
  <c r="B7535" i="1"/>
  <c r="B7536" i="1"/>
  <c r="B7117" i="1"/>
  <c r="B7118" i="1"/>
  <c r="B6699" i="1"/>
  <c r="B6700" i="1"/>
  <c r="B6281" i="1"/>
  <c r="B6282" i="1"/>
  <c r="B5863" i="1"/>
  <c r="B5864" i="1"/>
  <c r="B5445" i="1"/>
  <c r="B5446" i="1"/>
  <c r="B5027" i="1"/>
  <c r="B5028" i="1"/>
  <c r="B4609" i="1"/>
  <c r="B4610" i="1"/>
  <c r="B4191" i="1"/>
  <c r="B4192" i="1"/>
  <c r="B3773" i="1"/>
  <c r="B3774" i="1"/>
  <c r="B3355" i="1"/>
  <c r="B3356" i="1"/>
  <c r="B2937" i="1"/>
  <c r="B2938" i="1"/>
  <c r="B2519" i="1"/>
  <c r="B2520" i="1"/>
  <c r="B2101" i="1"/>
  <c r="B2102" i="1"/>
  <c r="B1683" i="1"/>
  <c r="B1684" i="1"/>
  <c r="B1265" i="1"/>
  <c r="B1266" i="1"/>
  <c r="B847" i="1"/>
  <c r="B848" i="1"/>
  <c r="B429" i="1"/>
  <c r="B430" i="1"/>
  <c r="B11" i="1"/>
  <c r="B12" i="1"/>
  <c r="B9205" i="1"/>
  <c r="B9206" i="1"/>
  <c r="B8787" i="1"/>
  <c r="B8788" i="1"/>
  <c r="B8369" i="1"/>
  <c r="B8370" i="1"/>
  <c r="B7951" i="1"/>
  <c r="B7952" i="1"/>
  <c r="B7533" i="1"/>
  <c r="B7534" i="1"/>
  <c r="B7115" i="1"/>
  <c r="B7116" i="1"/>
  <c r="B6697" i="1"/>
  <c r="B6698" i="1"/>
  <c r="B6279" i="1"/>
  <c r="B6280" i="1"/>
  <c r="B5861" i="1"/>
  <c r="B5862" i="1"/>
  <c r="B5443" i="1"/>
  <c r="B5444" i="1"/>
  <c r="B5025" i="1"/>
  <c r="B5026" i="1"/>
  <c r="B4607" i="1"/>
  <c r="B4608" i="1"/>
  <c r="B4189" i="1"/>
  <c r="B4190" i="1"/>
  <c r="B3771" i="1"/>
  <c r="B3772" i="1"/>
  <c r="B3353" i="1"/>
  <c r="B3354" i="1"/>
  <c r="B2935" i="1"/>
  <c r="B2936" i="1"/>
  <c r="B2517" i="1"/>
  <c r="B2518" i="1"/>
  <c r="B2099" i="1"/>
  <c r="B2100" i="1"/>
  <c r="B1681" i="1"/>
  <c r="B1682" i="1"/>
  <c r="B1263" i="1"/>
  <c r="B1264" i="1"/>
  <c r="B845" i="1"/>
  <c r="B846" i="1"/>
  <c r="B427" i="1"/>
  <c r="B428" i="1"/>
  <c r="B9" i="1"/>
  <c r="B10" i="1"/>
  <c r="C9620" i="1"/>
  <c r="C9618" i="1"/>
  <c r="C9616" i="1"/>
  <c r="C9614" i="1"/>
  <c r="C9612" i="1"/>
  <c r="C9610" i="1"/>
  <c r="C9608" i="1"/>
  <c r="C9606" i="1"/>
  <c r="C9604" i="1"/>
  <c r="C9602" i="1"/>
  <c r="C9600" i="1"/>
  <c r="C9598" i="1"/>
  <c r="C9596" i="1"/>
  <c r="C9594" i="1"/>
  <c r="C9592" i="1"/>
  <c r="C9590" i="1"/>
  <c r="C9588" i="1"/>
  <c r="C9586" i="1"/>
  <c r="C9584" i="1"/>
  <c r="C9582" i="1"/>
  <c r="C9580" i="1"/>
  <c r="C9578" i="1"/>
  <c r="C9576" i="1"/>
  <c r="C9574" i="1"/>
  <c r="C9572" i="1"/>
  <c r="C9570" i="1"/>
  <c r="C9568" i="1"/>
  <c r="C9566" i="1"/>
  <c r="C9564" i="1"/>
  <c r="C9562" i="1"/>
  <c r="C9560" i="1"/>
  <c r="C9558" i="1"/>
  <c r="C9556" i="1"/>
  <c r="C9554" i="1"/>
  <c r="C9552" i="1"/>
  <c r="C9550" i="1"/>
  <c r="C9548" i="1"/>
  <c r="C9546" i="1"/>
  <c r="C9544" i="1"/>
  <c r="C9542" i="1"/>
  <c r="C9540" i="1"/>
  <c r="C9538" i="1"/>
  <c r="C9536" i="1"/>
  <c r="C9534" i="1"/>
  <c r="C9532" i="1"/>
  <c r="C9530" i="1"/>
  <c r="C9528" i="1"/>
  <c r="C9526" i="1"/>
  <c r="C9524" i="1"/>
  <c r="C9522" i="1"/>
  <c r="C9520" i="1"/>
  <c r="C9518" i="1"/>
  <c r="C9516" i="1"/>
  <c r="C9514" i="1"/>
  <c r="C9512" i="1"/>
  <c r="C9510" i="1"/>
  <c r="C9508" i="1"/>
  <c r="C9506" i="1"/>
  <c r="C9504" i="1"/>
  <c r="C9502" i="1"/>
  <c r="C9500" i="1"/>
  <c r="C9498" i="1"/>
  <c r="C9496" i="1"/>
  <c r="C9494" i="1"/>
  <c r="C9492" i="1"/>
  <c r="C9490" i="1"/>
  <c r="C9488" i="1"/>
  <c r="C9486" i="1"/>
  <c r="C9484" i="1"/>
  <c r="C9482" i="1"/>
  <c r="C9480" i="1"/>
  <c r="C9478" i="1"/>
  <c r="C9476" i="1"/>
  <c r="C9474" i="1"/>
  <c r="C9472" i="1"/>
  <c r="C9470" i="1"/>
  <c r="C9468" i="1"/>
  <c r="C9466" i="1"/>
  <c r="C9464" i="1"/>
  <c r="C9462" i="1"/>
  <c r="C9460" i="1"/>
  <c r="C9458" i="1"/>
  <c r="C9456" i="1"/>
  <c r="C9454" i="1"/>
  <c r="C9452" i="1"/>
  <c r="C9450" i="1"/>
  <c r="C9448" i="1"/>
  <c r="C9446" i="1"/>
  <c r="C9444" i="1"/>
  <c r="C9442" i="1"/>
  <c r="C9440" i="1"/>
  <c r="C9438" i="1"/>
  <c r="C9436" i="1"/>
  <c r="C9434" i="1"/>
  <c r="C9432" i="1"/>
  <c r="C9430" i="1"/>
  <c r="C9428" i="1"/>
  <c r="C9426" i="1"/>
  <c r="C9424" i="1"/>
  <c r="C9422" i="1"/>
  <c r="C9420" i="1"/>
  <c r="C9418" i="1"/>
  <c r="C9416" i="1"/>
  <c r="C9414" i="1"/>
  <c r="C9412" i="1"/>
  <c r="C9410" i="1"/>
  <c r="C9408" i="1"/>
  <c r="C9406" i="1"/>
  <c r="C9404" i="1"/>
  <c r="C9402" i="1"/>
  <c r="C9400" i="1"/>
  <c r="C9398" i="1"/>
  <c r="C9396" i="1"/>
  <c r="C9394" i="1"/>
  <c r="C9392" i="1"/>
  <c r="C9390" i="1"/>
  <c r="C9388" i="1"/>
  <c r="C9386" i="1"/>
  <c r="C9384" i="1"/>
  <c r="C9382" i="1"/>
  <c r="C9380" i="1"/>
  <c r="C9378" i="1"/>
  <c r="C9376" i="1"/>
  <c r="C9374" i="1"/>
  <c r="C9372" i="1"/>
  <c r="C9370" i="1"/>
  <c r="C9368" i="1"/>
  <c r="C9366" i="1"/>
  <c r="C9364" i="1"/>
  <c r="C9362" i="1"/>
  <c r="C9360" i="1"/>
  <c r="C9358" i="1"/>
  <c r="C9356" i="1"/>
  <c r="C9354" i="1"/>
  <c r="C9352" i="1"/>
  <c r="C9350" i="1"/>
  <c r="C9348" i="1"/>
  <c r="C9346" i="1"/>
  <c r="C9344" i="1"/>
  <c r="C9342" i="1"/>
  <c r="C9340" i="1"/>
  <c r="C9338" i="1"/>
  <c r="C9336" i="1"/>
  <c r="C9334" i="1"/>
  <c r="C9332" i="1"/>
  <c r="C9330" i="1"/>
  <c r="C9328" i="1"/>
  <c r="C9326" i="1"/>
  <c r="C9324" i="1"/>
  <c r="C9322" i="1"/>
  <c r="C9320" i="1"/>
  <c r="C9318" i="1"/>
  <c r="C9316" i="1"/>
  <c r="C9314" i="1"/>
  <c r="C9312" i="1"/>
  <c r="C9310" i="1"/>
  <c r="C9308" i="1"/>
  <c r="C9306" i="1"/>
  <c r="C9304" i="1"/>
  <c r="C9302" i="1"/>
  <c r="C9300" i="1"/>
  <c r="C9298" i="1"/>
  <c r="C9296" i="1"/>
  <c r="C9294" i="1"/>
  <c r="C9292" i="1"/>
  <c r="C9290" i="1"/>
  <c r="C9288" i="1"/>
  <c r="C9286" i="1"/>
  <c r="C9284" i="1"/>
  <c r="C9282" i="1"/>
  <c r="C9280" i="1"/>
  <c r="C9278" i="1"/>
  <c r="C9276" i="1"/>
  <c r="C9274" i="1"/>
  <c r="C9272" i="1"/>
  <c r="C9270" i="1"/>
  <c r="C9268" i="1"/>
  <c r="C9266" i="1"/>
  <c r="C9264" i="1"/>
  <c r="C9262" i="1"/>
  <c r="C9260" i="1"/>
  <c r="C9258" i="1"/>
  <c r="C9256" i="1"/>
  <c r="C9254" i="1"/>
  <c r="C9252" i="1"/>
  <c r="C9250" i="1"/>
  <c r="C9248" i="1"/>
  <c r="C9246" i="1"/>
  <c r="C9244" i="1"/>
  <c r="C9242" i="1"/>
  <c r="C9240" i="1"/>
  <c r="C9238" i="1"/>
  <c r="C9236" i="1"/>
  <c r="C9234" i="1"/>
  <c r="C9232" i="1"/>
  <c r="C9230" i="1"/>
  <c r="C9228" i="1"/>
  <c r="C9226" i="1"/>
  <c r="C9224" i="1"/>
  <c r="C9222" i="1"/>
  <c r="C9220" i="1"/>
  <c r="C9218" i="1"/>
  <c r="C9216" i="1"/>
  <c r="C9214" i="1"/>
  <c r="C9212" i="1"/>
  <c r="C9210" i="1"/>
  <c r="C9208" i="1"/>
  <c r="C9206" i="1"/>
  <c r="C9204" i="1"/>
  <c r="C9202" i="1"/>
  <c r="C9200" i="1"/>
  <c r="C9198" i="1"/>
  <c r="C9196" i="1"/>
  <c r="C9194" i="1"/>
  <c r="C9192" i="1"/>
  <c r="C9190" i="1"/>
  <c r="C9188" i="1"/>
  <c r="C9186" i="1"/>
  <c r="C9184" i="1"/>
  <c r="C9182" i="1"/>
  <c r="C9180" i="1"/>
  <c r="C9178" i="1"/>
  <c r="C9176" i="1"/>
  <c r="C9174" i="1"/>
  <c r="C9172" i="1"/>
  <c r="C9170" i="1"/>
  <c r="C9168" i="1"/>
  <c r="C9166" i="1"/>
  <c r="C9164" i="1"/>
  <c r="C9162" i="1"/>
  <c r="C9160" i="1"/>
  <c r="C9158" i="1"/>
  <c r="C9156" i="1"/>
  <c r="C9154" i="1"/>
  <c r="C9152" i="1"/>
  <c r="C9150" i="1"/>
  <c r="C9148" i="1"/>
  <c r="C9146" i="1"/>
  <c r="C9144" i="1"/>
  <c r="C9142" i="1"/>
  <c r="C9140" i="1"/>
  <c r="C9138" i="1"/>
  <c r="C9136" i="1"/>
  <c r="C9134" i="1"/>
  <c r="C9132" i="1"/>
  <c r="C9130" i="1"/>
  <c r="C9128" i="1"/>
  <c r="C9126" i="1"/>
  <c r="C9124" i="1"/>
  <c r="C9122" i="1"/>
  <c r="C9120" i="1"/>
  <c r="C9118" i="1"/>
  <c r="C9116" i="1"/>
  <c r="C9114" i="1"/>
  <c r="C9112" i="1"/>
  <c r="C9110" i="1"/>
  <c r="C9108" i="1"/>
  <c r="C9106" i="1"/>
  <c r="C9104" i="1"/>
  <c r="C9102" i="1"/>
  <c r="C9100" i="1"/>
  <c r="C9098" i="1"/>
  <c r="C9096" i="1"/>
  <c r="C9094" i="1"/>
  <c r="C9092" i="1"/>
  <c r="C9090" i="1"/>
  <c r="C9088" i="1"/>
  <c r="C9086" i="1"/>
  <c r="C9084" i="1"/>
  <c r="C9082" i="1"/>
  <c r="C9080" i="1"/>
  <c r="C9078" i="1"/>
  <c r="C9076" i="1"/>
  <c r="C9074" i="1"/>
  <c r="C9072" i="1"/>
  <c r="C9070" i="1"/>
  <c r="C9068" i="1"/>
  <c r="C9066" i="1"/>
  <c r="C9064" i="1"/>
  <c r="C9062" i="1"/>
  <c r="C9060" i="1"/>
  <c r="C9058" i="1"/>
  <c r="C9056" i="1"/>
  <c r="C9054" i="1"/>
  <c r="C9052" i="1"/>
  <c r="C9050" i="1"/>
  <c r="C9048" i="1"/>
  <c r="C9046" i="1"/>
  <c r="C9044" i="1"/>
  <c r="C9042" i="1"/>
  <c r="C9040" i="1"/>
  <c r="C9038" i="1"/>
  <c r="C9036" i="1"/>
  <c r="C9034" i="1"/>
  <c r="C9032" i="1"/>
  <c r="C9030" i="1"/>
  <c r="C9028" i="1"/>
  <c r="C9026" i="1"/>
  <c r="C9024" i="1"/>
  <c r="C9022" i="1"/>
  <c r="C9020" i="1"/>
  <c r="C9018" i="1"/>
  <c r="C9016" i="1"/>
  <c r="C9014" i="1"/>
  <c r="C9012" i="1"/>
  <c r="C9010" i="1"/>
  <c r="C9008" i="1"/>
  <c r="C9006" i="1"/>
  <c r="C9004" i="1"/>
  <c r="C9002" i="1"/>
  <c r="C9000" i="1"/>
  <c r="C8998" i="1"/>
  <c r="C8996" i="1"/>
  <c r="C8994" i="1"/>
  <c r="C8992" i="1"/>
  <c r="C8990" i="1"/>
  <c r="C8988" i="1"/>
  <c r="C8986" i="1"/>
  <c r="C8984" i="1"/>
  <c r="C8982" i="1"/>
  <c r="C8980" i="1"/>
  <c r="C8978" i="1"/>
  <c r="C8976" i="1"/>
  <c r="C8974" i="1"/>
  <c r="C8972" i="1"/>
  <c r="C8970" i="1"/>
  <c r="C8968" i="1"/>
  <c r="C8966" i="1"/>
  <c r="C8964" i="1"/>
  <c r="C8962" i="1"/>
  <c r="C8960" i="1"/>
  <c r="C8958" i="1"/>
  <c r="C8956" i="1"/>
  <c r="C8954" i="1"/>
  <c r="C8952" i="1"/>
  <c r="C8950" i="1"/>
  <c r="C8948" i="1"/>
  <c r="C8946" i="1"/>
  <c r="C8944" i="1"/>
  <c r="C8942" i="1"/>
  <c r="C8940" i="1"/>
  <c r="C8938" i="1"/>
  <c r="C8936" i="1"/>
  <c r="C8934" i="1"/>
  <c r="C8932" i="1"/>
  <c r="C8930" i="1"/>
  <c r="C8928" i="1"/>
  <c r="C8926" i="1"/>
  <c r="C8924" i="1"/>
  <c r="C8922" i="1"/>
  <c r="C8920" i="1"/>
  <c r="C8918" i="1"/>
  <c r="C8916" i="1"/>
  <c r="C8914" i="1"/>
  <c r="C8912" i="1"/>
  <c r="C8910" i="1"/>
  <c r="C8908" i="1"/>
  <c r="C8906" i="1"/>
  <c r="C8904" i="1"/>
  <c r="C8902" i="1"/>
  <c r="C8900" i="1"/>
  <c r="C8898" i="1"/>
  <c r="C8896" i="1"/>
  <c r="C8894" i="1"/>
  <c r="C8892" i="1"/>
  <c r="C8890" i="1"/>
  <c r="C8888" i="1"/>
  <c r="C8886" i="1"/>
  <c r="C8884" i="1"/>
  <c r="C8882" i="1"/>
  <c r="C8880" i="1"/>
  <c r="C8878" i="1"/>
  <c r="C8876" i="1"/>
  <c r="C8874" i="1"/>
  <c r="C8872" i="1"/>
  <c r="C8870" i="1"/>
  <c r="C8868" i="1"/>
  <c r="C8866" i="1"/>
  <c r="C8864" i="1"/>
  <c r="C8862" i="1"/>
  <c r="C8860" i="1"/>
  <c r="C8858" i="1"/>
  <c r="C8856" i="1"/>
  <c r="C8854" i="1"/>
  <c r="C8852" i="1"/>
  <c r="C8850" i="1"/>
  <c r="C8848" i="1"/>
  <c r="C8846" i="1"/>
  <c r="C8844" i="1"/>
  <c r="C8842" i="1"/>
  <c r="C8840" i="1"/>
  <c r="C8838" i="1"/>
  <c r="C8836" i="1"/>
  <c r="C8834" i="1"/>
  <c r="C8832" i="1"/>
  <c r="C8830" i="1"/>
  <c r="C8828" i="1"/>
  <c r="C8826" i="1"/>
  <c r="C8824" i="1"/>
  <c r="C8822" i="1"/>
  <c r="C8820" i="1"/>
  <c r="C8818" i="1"/>
  <c r="C8816" i="1"/>
  <c r="C8814" i="1"/>
  <c r="C8812" i="1"/>
  <c r="C8810" i="1"/>
  <c r="C8808" i="1"/>
  <c r="C8806" i="1"/>
  <c r="C8804" i="1"/>
  <c r="C8802" i="1"/>
  <c r="C8800" i="1"/>
  <c r="C8798" i="1"/>
  <c r="C8796" i="1"/>
  <c r="C8794" i="1"/>
  <c r="C8792" i="1"/>
  <c r="C8790" i="1"/>
  <c r="C8788" i="1"/>
  <c r="C8786" i="1"/>
  <c r="C8784" i="1"/>
  <c r="C8782" i="1"/>
  <c r="C8780" i="1"/>
  <c r="C8778" i="1"/>
  <c r="C8776" i="1"/>
  <c r="C8774" i="1"/>
  <c r="C8772" i="1"/>
  <c r="C8770" i="1"/>
  <c r="C8768" i="1"/>
  <c r="C8766" i="1"/>
  <c r="C8764" i="1"/>
  <c r="C8762" i="1"/>
  <c r="C8760" i="1"/>
  <c r="C8758" i="1"/>
  <c r="C8756" i="1"/>
  <c r="C8754" i="1"/>
  <c r="C8752" i="1"/>
  <c r="C8750" i="1"/>
  <c r="C8748" i="1"/>
  <c r="C8746" i="1"/>
  <c r="C8744" i="1"/>
  <c r="C8742" i="1"/>
  <c r="C8740" i="1"/>
  <c r="C8738" i="1"/>
  <c r="C8736" i="1"/>
  <c r="C8734" i="1"/>
  <c r="C8732" i="1"/>
  <c r="C8730" i="1"/>
  <c r="C8728" i="1"/>
  <c r="C8726" i="1"/>
  <c r="C8724" i="1"/>
  <c r="C8722" i="1"/>
  <c r="C8720" i="1"/>
  <c r="C8718" i="1"/>
  <c r="C8716" i="1"/>
  <c r="C8714" i="1"/>
  <c r="C8712" i="1"/>
  <c r="C8710" i="1"/>
  <c r="C8708" i="1"/>
  <c r="C8706" i="1"/>
  <c r="C8704" i="1"/>
  <c r="C8702" i="1"/>
  <c r="C8700" i="1"/>
  <c r="C8698" i="1"/>
  <c r="C8696" i="1"/>
  <c r="C8694" i="1"/>
  <c r="C8692" i="1"/>
  <c r="C8690" i="1"/>
  <c r="C8688" i="1"/>
  <c r="C8686" i="1"/>
  <c r="C8684" i="1"/>
  <c r="C8682" i="1"/>
  <c r="C8680" i="1"/>
  <c r="C8678" i="1"/>
  <c r="C8676" i="1"/>
  <c r="C8674" i="1"/>
  <c r="C8672" i="1"/>
  <c r="C8670" i="1"/>
  <c r="C8668" i="1"/>
  <c r="C8666" i="1"/>
  <c r="C8664" i="1"/>
  <c r="C8662" i="1"/>
  <c r="C8660" i="1"/>
  <c r="C8658" i="1"/>
  <c r="C8656" i="1"/>
  <c r="C8654" i="1"/>
  <c r="C8652" i="1"/>
  <c r="C8650" i="1"/>
  <c r="C8648" i="1"/>
  <c r="C8646" i="1"/>
  <c r="C8644" i="1"/>
  <c r="C8642" i="1"/>
  <c r="C8640" i="1"/>
  <c r="C8638" i="1"/>
  <c r="C8636" i="1"/>
  <c r="C8634" i="1"/>
  <c r="C8632" i="1"/>
  <c r="C8630" i="1"/>
  <c r="C8628" i="1"/>
  <c r="C8626" i="1"/>
  <c r="C8624" i="1"/>
  <c r="C8622" i="1"/>
  <c r="C8620" i="1"/>
  <c r="C8618" i="1"/>
  <c r="C8616" i="1"/>
  <c r="C8614" i="1"/>
  <c r="C8612" i="1"/>
  <c r="C8610" i="1"/>
  <c r="C8608" i="1"/>
  <c r="C8606" i="1"/>
  <c r="C8604" i="1"/>
  <c r="C8602" i="1"/>
  <c r="C8600" i="1"/>
  <c r="C8598" i="1"/>
  <c r="C8596" i="1"/>
  <c r="C8594" i="1"/>
  <c r="C8592" i="1"/>
  <c r="C8590" i="1"/>
  <c r="C8588" i="1"/>
  <c r="C8586" i="1"/>
  <c r="C8584" i="1"/>
  <c r="C8582" i="1"/>
  <c r="C8580" i="1"/>
  <c r="C8578" i="1"/>
  <c r="C8576" i="1"/>
  <c r="C8574" i="1"/>
  <c r="C8572" i="1"/>
  <c r="C8570" i="1"/>
  <c r="C8568" i="1"/>
  <c r="C8566" i="1"/>
  <c r="C8564" i="1"/>
  <c r="C8562" i="1"/>
  <c r="C8560" i="1"/>
  <c r="C8558" i="1"/>
  <c r="C8556" i="1"/>
  <c r="C8554" i="1"/>
  <c r="C8552" i="1"/>
  <c r="C8550" i="1"/>
  <c r="C8548" i="1"/>
  <c r="C8546" i="1"/>
  <c r="C8544" i="1"/>
  <c r="C8542" i="1"/>
  <c r="C8540" i="1"/>
  <c r="C8538" i="1"/>
  <c r="C8536" i="1"/>
  <c r="C8534" i="1"/>
  <c r="C8532" i="1"/>
  <c r="C8530" i="1"/>
  <c r="C8528" i="1"/>
  <c r="C8526" i="1"/>
  <c r="C8524" i="1"/>
  <c r="C8522" i="1"/>
  <c r="C8520" i="1"/>
  <c r="C8518" i="1"/>
  <c r="C8516" i="1"/>
  <c r="C8514" i="1"/>
  <c r="C8512" i="1"/>
  <c r="C8510" i="1"/>
  <c r="C8508" i="1"/>
  <c r="C8506" i="1"/>
  <c r="C8504" i="1"/>
  <c r="C8502" i="1"/>
  <c r="C8500" i="1"/>
  <c r="C8498" i="1"/>
  <c r="C8496" i="1"/>
  <c r="C8494" i="1"/>
  <c r="C8492" i="1"/>
  <c r="C8490" i="1"/>
  <c r="C8488" i="1"/>
  <c r="C8486" i="1"/>
  <c r="C8484" i="1"/>
  <c r="C8482" i="1"/>
  <c r="C8480" i="1"/>
  <c r="C8478" i="1"/>
  <c r="C8476" i="1"/>
  <c r="C8474" i="1"/>
  <c r="C8472" i="1"/>
  <c r="C8470" i="1"/>
  <c r="C8468" i="1"/>
  <c r="C8466" i="1"/>
  <c r="C8464" i="1"/>
  <c r="C8462" i="1"/>
  <c r="C8460" i="1"/>
  <c r="C8458" i="1"/>
  <c r="C8456" i="1"/>
  <c r="C8454" i="1"/>
  <c r="C8452" i="1"/>
  <c r="C8450" i="1"/>
  <c r="C8448" i="1"/>
  <c r="C8446" i="1"/>
  <c r="C8444" i="1"/>
  <c r="C8442" i="1"/>
  <c r="C8440" i="1"/>
  <c r="C8438" i="1"/>
  <c r="C8436" i="1"/>
  <c r="C8434" i="1"/>
  <c r="C8432" i="1"/>
  <c r="C8430" i="1"/>
  <c r="C8428" i="1"/>
  <c r="C8426" i="1"/>
  <c r="C8424" i="1"/>
  <c r="C8422" i="1"/>
  <c r="C8420" i="1"/>
  <c r="C8418" i="1"/>
  <c r="C8416" i="1"/>
  <c r="C8414" i="1"/>
  <c r="C8412" i="1"/>
  <c r="C8410" i="1"/>
  <c r="C8408" i="1"/>
  <c r="C8406" i="1"/>
  <c r="C8404" i="1"/>
  <c r="C8402" i="1"/>
  <c r="C8400" i="1"/>
  <c r="C8398" i="1"/>
  <c r="C8396" i="1"/>
  <c r="C8394" i="1"/>
  <c r="C8392" i="1"/>
  <c r="C8390" i="1"/>
  <c r="C8388" i="1"/>
  <c r="C8386" i="1"/>
  <c r="C8384" i="1"/>
  <c r="C8382" i="1"/>
  <c r="C8380" i="1"/>
  <c r="C8378" i="1"/>
  <c r="C8376" i="1"/>
  <c r="C8374" i="1"/>
  <c r="C8372" i="1"/>
  <c r="C8370" i="1"/>
  <c r="C8368" i="1"/>
  <c r="C8366" i="1"/>
  <c r="C8364" i="1"/>
  <c r="C8362" i="1"/>
  <c r="C8360" i="1"/>
  <c r="C8358" i="1"/>
  <c r="C8356" i="1"/>
  <c r="C8354" i="1"/>
  <c r="C8352" i="1"/>
  <c r="C8350" i="1"/>
  <c r="C8348" i="1"/>
  <c r="C8346" i="1"/>
  <c r="C8344" i="1"/>
  <c r="C8342" i="1"/>
  <c r="C8340" i="1"/>
  <c r="C8338" i="1"/>
  <c r="C8336" i="1"/>
  <c r="C8334" i="1"/>
  <c r="C8332" i="1"/>
  <c r="C8330" i="1"/>
  <c r="C8328" i="1"/>
  <c r="C8326" i="1"/>
  <c r="C8324" i="1"/>
  <c r="C8322" i="1"/>
  <c r="C8320" i="1"/>
  <c r="C8318" i="1"/>
  <c r="C8316" i="1"/>
  <c r="C8314" i="1"/>
  <c r="C8312" i="1"/>
  <c r="C8310" i="1"/>
  <c r="C8308" i="1"/>
  <c r="C8306" i="1"/>
  <c r="C8304" i="1"/>
  <c r="C8302" i="1"/>
  <c r="C8300" i="1"/>
  <c r="C8298" i="1"/>
  <c r="C8296" i="1"/>
  <c r="C8294" i="1"/>
  <c r="C8292" i="1"/>
  <c r="C8290" i="1"/>
  <c r="C8288" i="1"/>
  <c r="C8286" i="1"/>
  <c r="C8284" i="1"/>
  <c r="C8282" i="1"/>
  <c r="C8280" i="1"/>
  <c r="C8278" i="1"/>
  <c r="C8276" i="1"/>
  <c r="C8274" i="1"/>
  <c r="C8272" i="1"/>
  <c r="C8270" i="1"/>
  <c r="C8268" i="1"/>
  <c r="C8266" i="1"/>
  <c r="C8264" i="1"/>
  <c r="C8262" i="1"/>
  <c r="C8260" i="1"/>
  <c r="C8258" i="1"/>
  <c r="C8256" i="1"/>
  <c r="C8254" i="1"/>
  <c r="C8252" i="1"/>
  <c r="C8250" i="1"/>
  <c r="C8248" i="1"/>
  <c r="C8246" i="1"/>
  <c r="C8244" i="1"/>
  <c r="C8242" i="1"/>
  <c r="C8240" i="1"/>
  <c r="C8238" i="1"/>
  <c r="C8236" i="1"/>
  <c r="C8234" i="1"/>
  <c r="C8232" i="1"/>
  <c r="C8230" i="1"/>
  <c r="C8228" i="1"/>
  <c r="C8226" i="1"/>
  <c r="C8224" i="1"/>
  <c r="C8222" i="1"/>
  <c r="C8220" i="1"/>
  <c r="C8218" i="1"/>
  <c r="C8216" i="1"/>
  <c r="C8214" i="1"/>
  <c r="C8212" i="1"/>
  <c r="C8210" i="1"/>
  <c r="C8208" i="1"/>
  <c r="C8206" i="1"/>
  <c r="C8204" i="1"/>
  <c r="C8202" i="1"/>
  <c r="C8200" i="1"/>
  <c r="C8198" i="1"/>
  <c r="C8196" i="1"/>
  <c r="C8194" i="1"/>
  <c r="C8192" i="1"/>
  <c r="C8190" i="1"/>
  <c r="C8188" i="1"/>
  <c r="C8186" i="1"/>
  <c r="C8184" i="1"/>
  <c r="C8182" i="1"/>
  <c r="C8180" i="1"/>
  <c r="C8178" i="1"/>
  <c r="C8176" i="1"/>
  <c r="C8174" i="1"/>
  <c r="C8172" i="1"/>
  <c r="C8170" i="1"/>
  <c r="C8168" i="1"/>
  <c r="C8166" i="1"/>
  <c r="C8164" i="1"/>
  <c r="C8162" i="1"/>
  <c r="C8160" i="1"/>
  <c r="C8158" i="1"/>
  <c r="C8156" i="1"/>
  <c r="C8154" i="1"/>
  <c r="C8152" i="1"/>
  <c r="C8150" i="1"/>
  <c r="C8148" i="1"/>
  <c r="C8146" i="1"/>
  <c r="C8144" i="1"/>
  <c r="C8142" i="1"/>
  <c r="C8140" i="1"/>
  <c r="C8138" i="1"/>
  <c r="C8136" i="1"/>
  <c r="C8134" i="1"/>
  <c r="C8132" i="1"/>
  <c r="C8130" i="1"/>
  <c r="C8128" i="1"/>
  <c r="C8126" i="1"/>
  <c r="C8124" i="1"/>
  <c r="C8122" i="1"/>
  <c r="C8120" i="1"/>
  <c r="C8118" i="1"/>
  <c r="C8116" i="1"/>
  <c r="C8114" i="1"/>
  <c r="C8112" i="1"/>
  <c r="C8110" i="1"/>
  <c r="C8108" i="1"/>
  <c r="C8106" i="1"/>
  <c r="C8104" i="1"/>
  <c r="C8102" i="1"/>
  <c r="C8100" i="1"/>
  <c r="C8098" i="1"/>
  <c r="C8096" i="1"/>
  <c r="C8094" i="1"/>
  <c r="C8092" i="1"/>
  <c r="C8090" i="1"/>
  <c r="C8088" i="1"/>
  <c r="C8086" i="1"/>
  <c r="C8084" i="1"/>
  <c r="C8082" i="1"/>
  <c r="C8080" i="1"/>
  <c r="C8078" i="1"/>
  <c r="C8076" i="1"/>
  <c r="C8074" i="1"/>
  <c r="C8072" i="1"/>
  <c r="C8070" i="1"/>
  <c r="C8068" i="1"/>
  <c r="C8066" i="1"/>
  <c r="C8064" i="1"/>
  <c r="C8062" i="1"/>
  <c r="C8060" i="1"/>
  <c r="C8058" i="1"/>
  <c r="C8056" i="1"/>
  <c r="C8054" i="1"/>
  <c r="C8052" i="1"/>
  <c r="C8050" i="1"/>
  <c r="C8048" i="1"/>
  <c r="C8046" i="1"/>
  <c r="C8044" i="1"/>
  <c r="C8042" i="1"/>
  <c r="C8040" i="1"/>
  <c r="C8038" i="1"/>
  <c r="C8036" i="1"/>
  <c r="C8034" i="1"/>
  <c r="C8032" i="1"/>
  <c r="C8030" i="1"/>
  <c r="C8028" i="1"/>
  <c r="C8026" i="1"/>
  <c r="C8024" i="1"/>
  <c r="C8022" i="1"/>
  <c r="C8020" i="1"/>
  <c r="C8018" i="1"/>
  <c r="C8016" i="1"/>
  <c r="C8014" i="1"/>
  <c r="C8012" i="1"/>
  <c r="C8010" i="1"/>
  <c r="C8008" i="1"/>
  <c r="C8006" i="1"/>
  <c r="C8004" i="1"/>
  <c r="C8002" i="1"/>
  <c r="C8000" i="1"/>
  <c r="C7998" i="1"/>
  <c r="C7996" i="1"/>
  <c r="C7994" i="1"/>
  <c r="C7992" i="1"/>
  <c r="C7990" i="1"/>
  <c r="C7988" i="1"/>
  <c r="C7986" i="1"/>
  <c r="C7984" i="1"/>
  <c r="C7982" i="1"/>
  <c r="C7980" i="1"/>
  <c r="C7978" i="1"/>
  <c r="C7976" i="1"/>
  <c r="C7974" i="1"/>
  <c r="C7972" i="1"/>
  <c r="C7970" i="1"/>
  <c r="C7968" i="1"/>
  <c r="C7966" i="1"/>
  <c r="C7964" i="1"/>
  <c r="C7962" i="1"/>
  <c r="C7960" i="1"/>
  <c r="C7958" i="1"/>
  <c r="C7956" i="1"/>
  <c r="C7954" i="1"/>
  <c r="C7952" i="1"/>
  <c r="C7950" i="1"/>
  <c r="C7948" i="1"/>
  <c r="C7946" i="1"/>
  <c r="C7944" i="1"/>
  <c r="C7942" i="1"/>
  <c r="C7940" i="1"/>
  <c r="C7938" i="1"/>
  <c r="C7936" i="1"/>
  <c r="C7934" i="1"/>
  <c r="C7932" i="1"/>
  <c r="C7930" i="1"/>
  <c r="C7928" i="1"/>
  <c r="C7926" i="1"/>
  <c r="C7924" i="1"/>
  <c r="C7922" i="1"/>
  <c r="C7920" i="1"/>
  <c r="C7918" i="1"/>
  <c r="C7916" i="1"/>
  <c r="C7914" i="1"/>
  <c r="C7912" i="1"/>
  <c r="C7910" i="1"/>
  <c r="C7908" i="1"/>
  <c r="C7906" i="1"/>
  <c r="C7904" i="1"/>
  <c r="C7902" i="1"/>
  <c r="C7900" i="1"/>
  <c r="C7898" i="1"/>
  <c r="C7896" i="1"/>
  <c r="C7894" i="1"/>
  <c r="C7892" i="1"/>
  <c r="C7890" i="1"/>
  <c r="C7888" i="1"/>
  <c r="C7886" i="1"/>
  <c r="C7884" i="1"/>
  <c r="C7882" i="1"/>
  <c r="C7880" i="1"/>
  <c r="C7878" i="1"/>
  <c r="C7876" i="1"/>
  <c r="C7874" i="1"/>
  <c r="C7872" i="1"/>
  <c r="C7870" i="1"/>
  <c r="C7868" i="1"/>
  <c r="C7866" i="1"/>
  <c r="C7864" i="1"/>
  <c r="C7862" i="1"/>
  <c r="C7860" i="1"/>
  <c r="C7858" i="1"/>
  <c r="C7856" i="1"/>
  <c r="C7854" i="1"/>
  <c r="C7852" i="1"/>
  <c r="C7850" i="1"/>
  <c r="C7848" i="1"/>
  <c r="C7846" i="1"/>
  <c r="C7844" i="1"/>
  <c r="C7842" i="1"/>
  <c r="C7840" i="1"/>
  <c r="C7838" i="1"/>
  <c r="C7836" i="1"/>
  <c r="C7834" i="1"/>
  <c r="C7832" i="1"/>
  <c r="C7830" i="1"/>
  <c r="C7828" i="1"/>
  <c r="C7826" i="1"/>
  <c r="C7824" i="1"/>
  <c r="C7822" i="1"/>
  <c r="C7820" i="1"/>
  <c r="C7818" i="1"/>
  <c r="C7816" i="1"/>
  <c r="C7814" i="1"/>
  <c r="C7812" i="1"/>
  <c r="C7810" i="1"/>
  <c r="C7808" i="1"/>
  <c r="C7806" i="1"/>
  <c r="C7804" i="1"/>
  <c r="C7802" i="1"/>
  <c r="C7800" i="1"/>
  <c r="C7798" i="1"/>
  <c r="C7796" i="1"/>
  <c r="C7794" i="1"/>
  <c r="C7792" i="1"/>
  <c r="C7790" i="1"/>
  <c r="C7788" i="1"/>
  <c r="C7786" i="1"/>
  <c r="C7784" i="1"/>
  <c r="C7782" i="1"/>
  <c r="C7780" i="1"/>
  <c r="C7778" i="1"/>
  <c r="C7776" i="1"/>
  <c r="C7774" i="1"/>
  <c r="C7772" i="1"/>
  <c r="C7770" i="1"/>
  <c r="C7768" i="1"/>
  <c r="C7766" i="1"/>
  <c r="C7764" i="1"/>
  <c r="C7762" i="1"/>
  <c r="C7760" i="1"/>
  <c r="C7758" i="1"/>
  <c r="C7756" i="1"/>
  <c r="C7754" i="1"/>
  <c r="C7752" i="1"/>
  <c r="C7750" i="1"/>
  <c r="C7748" i="1"/>
  <c r="C7746" i="1"/>
  <c r="C7744" i="1"/>
  <c r="C7742" i="1"/>
  <c r="C7740" i="1"/>
  <c r="C7738" i="1"/>
  <c r="C7736" i="1"/>
  <c r="C7734" i="1"/>
  <c r="C7732" i="1"/>
  <c r="C7730" i="1"/>
  <c r="C7728" i="1"/>
  <c r="C7726" i="1"/>
  <c r="C7724" i="1"/>
  <c r="C7722" i="1"/>
  <c r="C7720" i="1"/>
  <c r="C7718" i="1"/>
  <c r="C7716" i="1"/>
  <c r="C7714" i="1"/>
  <c r="C7712" i="1"/>
  <c r="C7710" i="1"/>
  <c r="C7708" i="1"/>
  <c r="C7706" i="1"/>
  <c r="C7704" i="1"/>
  <c r="C7702" i="1"/>
  <c r="C7700" i="1"/>
  <c r="C7698" i="1"/>
  <c r="C7696" i="1"/>
  <c r="C7694" i="1"/>
  <c r="C7692" i="1"/>
  <c r="C7690" i="1"/>
  <c r="C7688" i="1"/>
  <c r="C7686" i="1"/>
  <c r="C7684" i="1"/>
  <c r="C7682" i="1"/>
  <c r="C7680" i="1"/>
  <c r="C7678" i="1"/>
  <c r="C7676" i="1"/>
  <c r="C7674" i="1"/>
  <c r="C7672" i="1"/>
  <c r="C7670" i="1"/>
  <c r="C7668" i="1"/>
  <c r="C7666" i="1"/>
  <c r="C7664" i="1"/>
  <c r="C7662" i="1"/>
  <c r="C7660" i="1"/>
  <c r="C7658" i="1"/>
  <c r="C7656" i="1"/>
  <c r="C7654" i="1"/>
  <c r="C7652" i="1"/>
  <c r="C7650" i="1"/>
  <c r="C7648" i="1"/>
  <c r="C7646" i="1"/>
  <c r="C7644" i="1"/>
  <c r="C7642" i="1"/>
  <c r="C7640" i="1"/>
  <c r="C7638" i="1"/>
  <c r="C7636" i="1"/>
  <c r="C7634" i="1"/>
  <c r="C7632" i="1"/>
  <c r="C7630" i="1"/>
  <c r="C7628" i="1"/>
  <c r="C7626" i="1"/>
  <c r="C7624" i="1"/>
  <c r="C7622" i="1"/>
  <c r="C7620" i="1"/>
  <c r="C7618" i="1"/>
  <c r="C7616" i="1"/>
  <c r="C7614" i="1"/>
  <c r="C7612" i="1"/>
  <c r="C7610" i="1"/>
  <c r="C7608" i="1"/>
  <c r="C7606" i="1"/>
  <c r="C7604" i="1"/>
  <c r="C7602" i="1"/>
  <c r="C7600" i="1"/>
  <c r="C7598" i="1"/>
  <c r="C7596" i="1"/>
  <c r="C7594" i="1"/>
  <c r="C7592" i="1"/>
  <c r="C7590" i="1"/>
  <c r="C7588" i="1"/>
  <c r="C7586" i="1"/>
  <c r="C7584" i="1"/>
  <c r="C7582" i="1"/>
  <c r="C7580" i="1"/>
  <c r="C7578" i="1"/>
  <c r="C7576" i="1"/>
  <c r="C7574" i="1"/>
  <c r="C7572" i="1"/>
  <c r="C7570" i="1"/>
  <c r="C7568" i="1"/>
  <c r="C7566" i="1"/>
  <c r="C7564" i="1"/>
  <c r="C7562" i="1"/>
  <c r="C7560" i="1"/>
  <c r="C7558" i="1"/>
  <c r="C7556" i="1"/>
  <c r="C7554" i="1"/>
  <c r="C7552" i="1"/>
  <c r="C7550" i="1"/>
  <c r="C7548" i="1"/>
  <c r="C7546" i="1"/>
  <c r="C7544" i="1"/>
  <c r="C7542" i="1"/>
  <c r="C7540" i="1"/>
  <c r="C7538" i="1"/>
  <c r="C7536" i="1"/>
  <c r="C7534" i="1"/>
  <c r="C7532" i="1"/>
  <c r="C7530" i="1"/>
  <c r="C7528" i="1"/>
  <c r="C7526" i="1"/>
  <c r="C7524" i="1"/>
  <c r="C7522" i="1"/>
  <c r="C7520" i="1"/>
  <c r="C7518" i="1"/>
  <c r="C7516" i="1"/>
  <c r="C7514" i="1"/>
  <c r="C7512" i="1"/>
  <c r="C7510" i="1"/>
  <c r="C7508" i="1"/>
  <c r="C7506" i="1"/>
  <c r="C7504" i="1"/>
  <c r="C7502" i="1"/>
  <c r="C7500" i="1"/>
  <c r="C7498" i="1"/>
  <c r="C7496" i="1"/>
  <c r="C7494" i="1"/>
  <c r="C7492" i="1"/>
  <c r="C7490" i="1"/>
  <c r="C7488" i="1"/>
  <c r="C7486" i="1"/>
  <c r="C7484" i="1"/>
  <c r="C7482" i="1"/>
  <c r="C7480" i="1"/>
  <c r="C7478" i="1"/>
  <c r="C7476" i="1"/>
  <c r="C7474" i="1"/>
  <c r="C7472" i="1"/>
  <c r="C7470" i="1"/>
  <c r="C7468" i="1"/>
  <c r="C7466" i="1"/>
  <c r="C7464" i="1"/>
  <c r="C7462" i="1"/>
  <c r="C7460" i="1"/>
  <c r="C7458" i="1"/>
  <c r="C7456" i="1"/>
  <c r="C7454" i="1"/>
  <c r="C7452" i="1"/>
  <c r="C7450" i="1"/>
  <c r="C7448" i="1"/>
  <c r="C7446" i="1"/>
  <c r="C7444" i="1"/>
  <c r="C7442" i="1"/>
  <c r="C7440" i="1"/>
  <c r="C7438" i="1"/>
  <c r="C7436" i="1"/>
  <c r="C7434" i="1"/>
  <c r="C7432" i="1"/>
  <c r="C7430" i="1"/>
  <c r="C7428" i="1"/>
  <c r="C7426" i="1"/>
  <c r="C7424" i="1"/>
  <c r="C7422" i="1"/>
  <c r="C7420" i="1"/>
  <c r="C7418" i="1"/>
  <c r="C7416" i="1"/>
  <c r="C7414" i="1"/>
  <c r="C7412" i="1"/>
  <c r="C7410" i="1"/>
  <c r="C7408" i="1"/>
  <c r="C7406" i="1"/>
  <c r="C7404" i="1"/>
  <c r="C7402" i="1"/>
  <c r="C7400" i="1"/>
  <c r="C7398" i="1"/>
  <c r="C7396" i="1"/>
  <c r="C7394" i="1"/>
  <c r="C7392" i="1"/>
  <c r="C7390" i="1"/>
  <c r="C7388" i="1"/>
  <c r="C7386" i="1"/>
  <c r="C7384" i="1"/>
  <c r="C7382" i="1"/>
  <c r="C7380" i="1"/>
  <c r="C7378" i="1"/>
  <c r="C7376" i="1"/>
  <c r="C7374" i="1"/>
  <c r="C7372" i="1"/>
  <c r="C7370" i="1"/>
  <c r="C7368" i="1"/>
  <c r="C7366" i="1"/>
  <c r="C7364" i="1"/>
  <c r="C7362" i="1"/>
  <c r="C7360" i="1"/>
  <c r="C7358" i="1"/>
  <c r="C7356" i="1"/>
  <c r="C7354" i="1"/>
  <c r="C7352" i="1"/>
  <c r="C7350" i="1"/>
  <c r="C7348" i="1"/>
  <c r="C7346" i="1"/>
  <c r="C7344" i="1"/>
  <c r="C7342" i="1"/>
  <c r="C7340" i="1"/>
  <c r="C7338" i="1"/>
  <c r="C7336" i="1"/>
  <c r="C7334" i="1"/>
  <c r="C7332" i="1"/>
  <c r="C7330" i="1"/>
  <c r="C7328" i="1"/>
  <c r="C7326" i="1"/>
  <c r="C7324" i="1"/>
  <c r="C7322" i="1"/>
  <c r="C7320" i="1"/>
  <c r="C7318" i="1"/>
  <c r="C7316" i="1"/>
  <c r="C7314" i="1"/>
  <c r="C7312" i="1"/>
  <c r="C7310" i="1"/>
  <c r="C7308" i="1"/>
  <c r="C7306" i="1"/>
  <c r="C7304" i="1"/>
  <c r="C7302" i="1"/>
  <c r="C7300" i="1"/>
  <c r="C7298" i="1"/>
  <c r="C7296" i="1"/>
  <c r="C7294" i="1"/>
  <c r="C7292" i="1"/>
  <c r="C7290" i="1"/>
  <c r="C7288" i="1"/>
  <c r="C7286" i="1"/>
  <c r="C7284" i="1"/>
  <c r="C7282" i="1"/>
  <c r="C7280" i="1"/>
  <c r="C7278" i="1"/>
  <c r="C7276" i="1"/>
  <c r="C7274" i="1"/>
  <c r="C7272" i="1"/>
  <c r="C7270" i="1"/>
  <c r="C7268" i="1"/>
  <c r="C7266" i="1"/>
  <c r="C7264" i="1"/>
  <c r="C7262" i="1"/>
  <c r="C7260" i="1"/>
  <c r="C7258" i="1"/>
  <c r="C7256" i="1"/>
  <c r="C7254" i="1"/>
  <c r="C7252" i="1"/>
  <c r="C7250" i="1"/>
  <c r="C7248" i="1"/>
  <c r="C7246" i="1"/>
  <c r="C7244" i="1"/>
  <c r="C7242" i="1"/>
  <c r="C7240" i="1"/>
  <c r="C7238" i="1"/>
  <c r="C7236" i="1"/>
  <c r="C7234" i="1"/>
  <c r="C7232" i="1"/>
  <c r="C7230" i="1"/>
  <c r="C7228" i="1"/>
  <c r="C7226" i="1"/>
  <c r="C7224" i="1"/>
  <c r="C7222" i="1"/>
  <c r="C7220" i="1"/>
  <c r="C7218" i="1"/>
  <c r="C7216" i="1"/>
  <c r="C7214" i="1"/>
  <c r="C7212" i="1"/>
  <c r="C7210" i="1"/>
  <c r="C7208" i="1"/>
  <c r="C7206" i="1"/>
  <c r="C7204" i="1"/>
  <c r="C7202" i="1"/>
  <c r="C7200" i="1"/>
  <c r="C7198" i="1"/>
  <c r="C7196" i="1"/>
  <c r="C7194" i="1"/>
  <c r="C7192" i="1"/>
  <c r="C7190" i="1"/>
  <c r="C7188" i="1"/>
  <c r="C7186" i="1"/>
  <c r="C7184" i="1"/>
  <c r="C7182" i="1"/>
  <c r="C7180" i="1"/>
  <c r="C7178" i="1"/>
  <c r="C7176" i="1"/>
  <c r="C7174" i="1"/>
  <c r="C7172" i="1"/>
  <c r="C7170" i="1"/>
  <c r="C7168" i="1"/>
  <c r="C7166" i="1"/>
  <c r="C7164" i="1"/>
  <c r="C7162" i="1"/>
  <c r="C7160" i="1"/>
  <c r="C7158" i="1"/>
  <c r="C7156" i="1"/>
  <c r="C7154" i="1"/>
  <c r="C7152" i="1"/>
  <c r="C7150" i="1"/>
  <c r="C7148" i="1"/>
  <c r="C7146" i="1"/>
  <c r="C7144" i="1"/>
  <c r="C7142" i="1"/>
  <c r="C7140" i="1"/>
  <c r="C7138" i="1"/>
  <c r="C7136" i="1"/>
  <c r="C7134" i="1"/>
  <c r="C7132" i="1"/>
  <c r="C7130" i="1"/>
  <c r="C7128" i="1"/>
  <c r="C7126" i="1"/>
  <c r="C7124" i="1"/>
  <c r="C7122" i="1"/>
  <c r="C7120" i="1"/>
  <c r="C7118" i="1"/>
  <c r="C7116" i="1"/>
  <c r="C7114" i="1"/>
  <c r="C7112" i="1"/>
  <c r="C7110" i="1"/>
  <c r="C7108" i="1"/>
  <c r="C7106" i="1"/>
  <c r="C7104" i="1"/>
  <c r="C7102" i="1"/>
  <c r="C7100" i="1"/>
  <c r="C7098" i="1"/>
  <c r="C7096" i="1"/>
  <c r="C7094" i="1"/>
  <c r="C7092" i="1"/>
  <c r="C7090" i="1"/>
  <c r="C7088" i="1"/>
  <c r="C7086" i="1"/>
  <c r="C7084" i="1"/>
  <c r="C7082" i="1"/>
  <c r="C7080" i="1"/>
  <c r="C7078" i="1"/>
  <c r="C7076" i="1"/>
  <c r="C7074" i="1"/>
  <c r="C7072" i="1"/>
  <c r="C7070" i="1"/>
  <c r="C7068" i="1"/>
  <c r="C7066" i="1"/>
  <c r="C7064" i="1"/>
  <c r="C7062" i="1"/>
  <c r="C7060" i="1"/>
  <c r="C7058" i="1"/>
  <c r="C7056" i="1"/>
  <c r="C7054" i="1"/>
  <c r="C7052" i="1"/>
  <c r="C7050" i="1"/>
  <c r="C7048" i="1"/>
  <c r="C7046" i="1"/>
  <c r="C7044" i="1"/>
  <c r="C7042" i="1"/>
  <c r="C7040" i="1"/>
  <c r="C7038" i="1"/>
  <c r="C7036" i="1"/>
  <c r="C7034" i="1"/>
  <c r="C7032" i="1"/>
  <c r="C7030" i="1"/>
  <c r="C7028" i="1"/>
  <c r="C7026" i="1"/>
  <c r="C7024" i="1"/>
  <c r="C7022" i="1"/>
  <c r="C7020" i="1"/>
  <c r="C7018" i="1"/>
  <c r="C7016" i="1"/>
  <c r="C7014" i="1"/>
  <c r="C7012" i="1"/>
  <c r="C7010" i="1"/>
  <c r="C7008" i="1"/>
  <c r="C7006" i="1"/>
  <c r="C7004" i="1"/>
  <c r="C7002" i="1"/>
  <c r="C7000" i="1"/>
  <c r="C6998" i="1"/>
  <c r="C6996" i="1"/>
  <c r="C6994" i="1"/>
  <c r="C6992" i="1"/>
  <c r="C6990" i="1"/>
  <c r="C6988" i="1"/>
  <c r="C6986" i="1"/>
  <c r="C6984" i="1"/>
  <c r="C6982" i="1"/>
  <c r="C6980" i="1"/>
  <c r="C6978" i="1"/>
  <c r="C6976" i="1"/>
  <c r="C6974" i="1"/>
  <c r="C6972" i="1"/>
  <c r="C6970" i="1"/>
  <c r="C6968" i="1"/>
  <c r="C6966" i="1"/>
  <c r="C6964" i="1"/>
  <c r="C6962" i="1"/>
  <c r="C6960" i="1"/>
  <c r="C6958" i="1"/>
  <c r="C6956" i="1"/>
  <c r="C6954" i="1"/>
  <c r="C6952" i="1"/>
  <c r="C6950" i="1"/>
  <c r="C6948" i="1"/>
  <c r="C6946" i="1"/>
  <c r="C6944" i="1"/>
  <c r="C6942" i="1"/>
  <c r="C6940" i="1"/>
  <c r="C6938" i="1"/>
  <c r="C6936" i="1"/>
  <c r="C6934" i="1"/>
  <c r="C6932" i="1"/>
  <c r="C6930" i="1"/>
  <c r="C6928" i="1"/>
  <c r="C6926" i="1"/>
  <c r="C6924" i="1"/>
  <c r="C6922" i="1"/>
  <c r="C6920" i="1"/>
  <c r="C6918" i="1"/>
  <c r="C6916" i="1"/>
  <c r="C6914" i="1"/>
  <c r="C6912" i="1"/>
  <c r="C6910" i="1"/>
  <c r="C6908" i="1"/>
  <c r="C6906" i="1"/>
  <c r="C6904" i="1"/>
  <c r="C6902" i="1"/>
  <c r="C6900" i="1"/>
  <c r="C6898" i="1"/>
  <c r="C6896" i="1"/>
  <c r="C6894" i="1"/>
  <c r="C6892" i="1"/>
  <c r="C6890" i="1"/>
  <c r="C6888" i="1"/>
  <c r="C6886" i="1"/>
  <c r="C6884" i="1"/>
  <c r="C6882" i="1"/>
  <c r="C6880" i="1"/>
  <c r="C6878" i="1"/>
  <c r="C6876" i="1"/>
  <c r="C6874" i="1"/>
  <c r="C6872" i="1"/>
  <c r="C6870" i="1"/>
  <c r="C6868" i="1"/>
  <c r="C6866" i="1"/>
  <c r="C6864" i="1"/>
  <c r="C6862" i="1"/>
  <c r="C6860" i="1"/>
  <c r="C6858" i="1"/>
  <c r="C6856" i="1"/>
  <c r="C6854" i="1"/>
  <c r="C6852" i="1"/>
  <c r="C6850" i="1"/>
  <c r="C6848" i="1"/>
  <c r="C6846" i="1"/>
  <c r="C6844" i="1"/>
  <c r="C6842" i="1"/>
  <c r="C6840" i="1"/>
  <c r="C6838" i="1"/>
  <c r="C6836" i="1"/>
  <c r="C6834" i="1"/>
  <c r="C6832" i="1"/>
  <c r="C6830" i="1"/>
  <c r="C6828" i="1"/>
  <c r="C6826" i="1"/>
  <c r="C6824" i="1"/>
  <c r="C6822" i="1"/>
  <c r="C6820" i="1"/>
  <c r="C6818" i="1"/>
  <c r="C6816" i="1"/>
  <c r="C6814" i="1"/>
  <c r="C6812" i="1"/>
  <c r="C6810" i="1"/>
  <c r="C6808" i="1"/>
  <c r="C6806" i="1"/>
  <c r="C6804" i="1"/>
  <c r="C6802" i="1"/>
  <c r="C6800" i="1"/>
  <c r="C6798" i="1"/>
  <c r="C6796" i="1"/>
  <c r="C6794" i="1"/>
  <c r="C6792" i="1"/>
  <c r="C6790" i="1"/>
  <c r="C6788" i="1"/>
  <c r="C6786" i="1"/>
  <c r="C6784" i="1"/>
  <c r="C6782" i="1"/>
  <c r="C6780" i="1"/>
  <c r="C6778" i="1"/>
  <c r="C6776" i="1"/>
  <c r="C6774" i="1"/>
  <c r="C6772" i="1"/>
  <c r="C6770" i="1"/>
  <c r="C6768" i="1"/>
  <c r="C6766" i="1"/>
  <c r="C6764" i="1"/>
  <c r="C6762" i="1"/>
  <c r="C6760" i="1"/>
  <c r="C6758" i="1"/>
  <c r="C6756" i="1"/>
  <c r="C6754" i="1"/>
  <c r="C6752" i="1"/>
  <c r="C6750" i="1"/>
  <c r="C6748" i="1"/>
  <c r="C6746" i="1"/>
  <c r="C6744" i="1"/>
  <c r="C6742" i="1"/>
  <c r="C6740" i="1"/>
  <c r="C6738" i="1"/>
  <c r="C6736" i="1"/>
  <c r="C6734" i="1"/>
  <c r="C6732" i="1"/>
  <c r="C6730" i="1"/>
  <c r="C6728" i="1"/>
  <c r="C6726" i="1"/>
  <c r="C6724" i="1"/>
  <c r="C6722" i="1"/>
  <c r="C6720" i="1"/>
  <c r="C6718" i="1"/>
  <c r="C6716" i="1"/>
  <c r="C6714" i="1"/>
  <c r="C6712" i="1"/>
  <c r="C6710" i="1"/>
  <c r="C6708" i="1"/>
  <c r="C6706" i="1"/>
  <c r="C6704" i="1"/>
  <c r="C6702" i="1"/>
  <c r="C6700" i="1"/>
  <c r="C6698" i="1"/>
  <c r="C6696" i="1"/>
  <c r="C6694" i="1"/>
  <c r="C6692" i="1"/>
  <c r="C6690" i="1"/>
  <c r="C6688" i="1"/>
  <c r="C6686" i="1"/>
  <c r="C6684" i="1"/>
  <c r="C6682" i="1"/>
  <c r="C6680" i="1"/>
  <c r="C6678" i="1"/>
  <c r="C6676" i="1"/>
  <c r="C6674" i="1"/>
  <c r="C6672" i="1"/>
  <c r="C6670" i="1"/>
  <c r="C6668" i="1"/>
  <c r="C6666" i="1"/>
  <c r="C6664" i="1"/>
  <c r="C6662" i="1"/>
  <c r="C6660" i="1"/>
  <c r="C6658" i="1"/>
  <c r="C6656" i="1"/>
  <c r="C6654" i="1"/>
  <c r="C6652" i="1"/>
  <c r="C6650" i="1"/>
  <c r="C6648" i="1"/>
  <c r="C6646" i="1"/>
  <c r="C6644" i="1"/>
  <c r="C6642" i="1"/>
  <c r="C6640" i="1"/>
  <c r="C6638" i="1"/>
  <c r="C6636" i="1"/>
  <c r="C6634" i="1"/>
  <c r="C6632" i="1"/>
  <c r="C6630" i="1"/>
  <c r="C6628" i="1"/>
  <c r="C6626" i="1"/>
  <c r="C6624" i="1"/>
  <c r="C6622" i="1"/>
  <c r="C6620" i="1"/>
  <c r="C6618" i="1"/>
  <c r="C6616" i="1"/>
  <c r="C6614" i="1"/>
  <c r="C6612" i="1"/>
  <c r="C6610" i="1"/>
  <c r="C6608" i="1"/>
  <c r="C6606" i="1"/>
  <c r="C6604" i="1"/>
  <c r="C6602" i="1"/>
  <c r="C6600" i="1"/>
  <c r="C6598" i="1"/>
  <c r="C6596" i="1"/>
  <c r="C6594" i="1"/>
  <c r="C6592" i="1"/>
  <c r="C6590" i="1"/>
  <c r="C6588" i="1"/>
  <c r="C6586" i="1"/>
  <c r="C6584" i="1"/>
  <c r="C6582" i="1"/>
  <c r="C6580" i="1"/>
  <c r="C6578" i="1"/>
  <c r="C6576" i="1"/>
  <c r="C6574" i="1"/>
  <c r="C6572" i="1"/>
  <c r="C6570" i="1"/>
  <c r="C6568" i="1"/>
  <c r="C6566" i="1"/>
  <c r="C6564" i="1"/>
  <c r="C6562" i="1"/>
  <c r="C6560" i="1"/>
  <c r="C6558" i="1"/>
  <c r="C6556" i="1"/>
  <c r="C6554" i="1"/>
  <c r="C6552" i="1"/>
  <c r="C6550" i="1"/>
  <c r="C6548" i="1"/>
  <c r="C6546" i="1"/>
  <c r="C6544" i="1"/>
  <c r="C6542" i="1"/>
  <c r="C6540" i="1"/>
  <c r="C6538" i="1"/>
  <c r="C6536" i="1"/>
  <c r="C6534" i="1"/>
  <c r="C6532" i="1"/>
  <c r="C6530" i="1"/>
  <c r="C6528" i="1"/>
  <c r="C6526" i="1"/>
  <c r="C6524" i="1"/>
  <c r="C6522" i="1"/>
  <c r="C6520" i="1"/>
  <c r="C6518" i="1"/>
  <c r="C6516" i="1"/>
  <c r="C6514" i="1"/>
  <c r="C6512" i="1"/>
  <c r="C6510" i="1"/>
  <c r="C6508" i="1"/>
  <c r="C6506" i="1"/>
  <c r="C6504" i="1"/>
  <c r="C6502" i="1"/>
  <c r="C6500" i="1"/>
  <c r="C6498" i="1"/>
  <c r="C6496" i="1"/>
  <c r="C6494" i="1"/>
  <c r="C6492" i="1"/>
  <c r="C6490" i="1"/>
  <c r="C6488" i="1"/>
  <c r="C6486" i="1"/>
  <c r="C6484" i="1"/>
  <c r="C6482" i="1"/>
  <c r="C6480" i="1"/>
  <c r="C6478" i="1"/>
  <c r="C6476" i="1"/>
  <c r="C6474" i="1"/>
  <c r="C6472" i="1"/>
  <c r="C6470" i="1"/>
  <c r="C6468" i="1"/>
  <c r="C6466" i="1"/>
  <c r="C6464" i="1"/>
  <c r="C6462" i="1"/>
  <c r="C6460" i="1"/>
  <c r="C6458" i="1"/>
  <c r="C6456" i="1"/>
  <c r="C6454" i="1"/>
  <c r="C6452" i="1"/>
  <c r="C6450" i="1"/>
  <c r="C6448" i="1"/>
  <c r="C6446" i="1"/>
  <c r="C6444" i="1"/>
  <c r="C6442" i="1"/>
  <c r="C6440" i="1"/>
  <c r="C6438" i="1"/>
  <c r="C6436" i="1"/>
  <c r="C6434" i="1"/>
  <c r="C6432" i="1"/>
  <c r="C6430" i="1"/>
  <c r="C6428" i="1"/>
  <c r="C6426" i="1"/>
  <c r="C6424" i="1"/>
  <c r="C6422" i="1"/>
  <c r="C6420" i="1"/>
  <c r="C6418" i="1"/>
  <c r="C6416" i="1"/>
  <c r="C6414" i="1"/>
  <c r="C6412" i="1"/>
  <c r="C6410" i="1"/>
  <c r="C6408" i="1"/>
  <c r="C6406" i="1"/>
  <c r="C6404" i="1"/>
  <c r="C6402" i="1"/>
  <c r="C6400" i="1"/>
  <c r="C6398" i="1"/>
  <c r="C6396" i="1"/>
  <c r="C6394" i="1"/>
  <c r="C6392" i="1"/>
  <c r="C6390" i="1"/>
  <c r="C6388" i="1"/>
  <c r="C6386" i="1"/>
  <c r="C6384" i="1"/>
  <c r="C6382" i="1"/>
  <c r="C6380" i="1"/>
  <c r="C6378" i="1"/>
  <c r="C6376" i="1"/>
  <c r="C6374" i="1"/>
  <c r="C6372" i="1"/>
  <c r="C6370" i="1"/>
  <c r="C6368" i="1"/>
  <c r="C6366" i="1"/>
  <c r="C6364" i="1"/>
  <c r="C6362" i="1"/>
  <c r="C6360" i="1"/>
  <c r="C6358" i="1"/>
  <c r="C6356" i="1"/>
  <c r="C6354" i="1"/>
  <c r="C6352" i="1"/>
  <c r="C6350" i="1"/>
  <c r="C6348" i="1"/>
  <c r="C6346" i="1"/>
  <c r="C6344" i="1"/>
  <c r="C6342" i="1"/>
  <c r="C6340" i="1"/>
  <c r="C6338" i="1"/>
  <c r="C6336" i="1"/>
  <c r="C6334" i="1"/>
  <c r="C6332" i="1"/>
  <c r="C6330" i="1"/>
  <c r="C6328" i="1"/>
  <c r="C6326" i="1"/>
  <c r="C6324" i="1"/>
  <c r="C6322" i="1"/>
  <c r="C6320" i="1"/>
  <c r="C6318" i="1"/>
  <c r="C6316" i="1"/>
  <c r="C6314" i="1"/>
  <c r="C6312" i="1"/>
  <c r="C6310" i="1"/>
  <c r="C6308" i="1"/>
  <c r="C6306" i="1"/>
  <c r="C6304" i="1"/>
  <c r="C6302" i="1"/>
  <c r="C6300" i="1"/>
  <c r="C6298" i="1"/>
  <c r="C6296" i="1"/>
  <c r="C6294" i="1"/>
  <c r="C6292" i="1"/>
  <c r="C6290" i="1"/>
  <c r="C6288" i="1"/>
  <c r="C6286" i="1"/>
  <c r="C6284" i="1"/>
  <c r="C6282" i="1"/>
  <c r="C6280" i="1"/>
  <c r="C6278" i="1"/>
  <c r="C6276" i="1"/>
  <c r="C6274" i="1"/>
  <c r="C6272" i="1"/>
  <c r="C6270" i="1"/>
  <c r="C6268" i="1"/>
  <c r="C6266" i="1"/>
  <c r="C6264" i="1"/>
  <c r="C6262" i="1"/>
  <c r="C6260" i="1"/>
  <c r="C6258" i="1"/>
  <c r="C6256" i="1"/>
  <c r="C6254" i="1"/>
  <c r="C6252" i="1"/>
  <c r="C6250" i="1"/>
  <c r="C6248" i="1"/>
  <c r="C6246" i="1"/>
  <c r="C6244" i="1"/>
  <c r="C6242" i="1"/>
  <c r="C6240" i="1"/>
  <c r="C6238" i="1"/>
  <c r="C6236" i="1"/>
  <c r="C6234" i="1"/>
  <c r="C6232" i="1"/>
  <c r="C6230" i="1"/>
  <c r="C6228" i="1"/>
  <c r="C6226" i="1"/>
  <c r="C6224" i="1"/>
  <c r="C6222" i="1"/>
  <c r="C6220" i="1"/>
  <c r="C6218" i="1"/>
  <c r="C6216" i="1"/>
  <c r="C6214" i="1"/>
  <c r="C6212" i="1"/>
  <c r="C6210" i="1"/>
  <c r="C6208" i="1"/>
  <c r="C6206" i="1"/>
  <c r="C6204" i="1"/>
  <c r="C6202" i="1"/>
  <c r="C6200" i="1"/>
  <c r="C6198" i="1"/>
  <c r="C6196" i="1"/>
  <c r="C6194" i="1"/>
  <c r="C6192" i="1"/>
  <c r="C6190" i="1"/>
  <c r="C6188" i="1"/>
  <c r="C6186" i="1"/>
  <c r="C6184" i="1"/>
  <c r="C6182" i="1"/>
  <c r="C6180" i="1"/>
  <c r="C6178" i="1"/>
  <c r="C6176" i="1"/>
  <c r="C6174" i="1"/>
  <c r="C6172" i="1"/>
  <c r="C6170" i="1"/>
  <c r="C6168" i="1"/>
  <c r="C6166" i="1"/>
  <c r="C6164" i="1"/>
  <c r="C6162" i="1"/>
  <c r="C6160" i="1"/>
  <c r="C6158" i="1"/>
  <c r="C6156" i="1"/>
  <c r="C6154" i="1"/>
  <c r="C6152" i="1"/>
  <c r="C6150" i="1"/>
  <c r="C6148" i="1"/>
  <c r="C6146" i="1"/>
  <c r="C6144" i="1"/>
  <c r="C6142" i="1"/>
  <c r="C6140" i="1"/>
  <c r="C6138" i="1"/>
  <c r="C6136" i="1"/>
  <c r="C6134" i="1"/>
  <c r="C6132" i="1"/>
  <c r="C6130" i="1"/>
  <c r="C6128" i="1"/>
  <c r="C6126" i="1"/>
  <c r="C6124" i="1"/>
  <c r="C6122" i="1"/>
  <c r="C6120" i="1"/>
  <c r="C6118" i="1"/>
  <c r="C6116" i="1"/>
  <c r="C6114" i="1"/>
  <c r="C6112" i="1"/>
  <c r="C6110" i="1"/>
  <c r="C6108" i="1"/>
  <c r="C6106" i="1"/>
  <c r="C6104" i="1"/>
  <c r="C6102" i="1"/>
  <c r="C6100" i="1"/>
  <c r="C6098" i="1"/>
  <c r="C6096" i="1"/>
  <c r="C6094" i="1"/>
  <c r="C6092" i="1"/>
  <c r="C6090" i="1"/>
  <c r="C6088" i="1"/>
  <c r="C6086" i="1"/>
  <c r="C6084" i="1"/>
  <c r="C6082" i="1"/>
  <c r="C6080" i="1"/>
  <c r="C6078" i="1"/>
  <c r="C6076" i="1"/>
  <c r="C6074" i="1"/>
  <c r="C6072" i="1"/>
  <c r="C6070" i="1"/>
  <c r="C6068" i="1"/>
  <c r="C6066" i="1"/>
  <c r="C6064" i="1"/>
  <c r="C6062" i="1"/>
  <c r="C6060" i="1"/>
  <c r="C6058" i="1"/>
  <c r="C6056" i="1"/>
  <c r="C6054" i="1"/>
  <c r="C6052" i="1"/>
  <c r="C6050" i="1"/>
  <c r="C6048" i="1"/>
  <c r="C6046" i="1"/>
  <c r="C6044" i="1"/>
  <c r="C6042" i="1"/>
  <c r="C6040" i="1"/>
  <c r="C6038" i="1"/>
  <c r="C6036" i="1"/>
  <c r="C6034" i="1"/>
  <c r="C6032" i="1"/>
  <c r="C6030" i="1"/>
  <c r="C6028" i="1"/>
  <c r="C6026" i="1"/>
  <c r="C6024" i="1"/>
  <c r="C6022" i="1"/>
  <c r="C6020" i="1"/>
  <c r="C6018" i="1"/>
  <c r="C6016" i="1"/>
  <c r="C6014" i="1"/>
  <c r="C6012" i="1"/>
  <c r="C6010" i="1"/>
  <c r="C6008" i="1"/>
  <c r="C6006" i="1"/>
  <c r="C6004" i="1"/>
  <c r="C6002" i="1"/>
  <c r="C6000" i="1"/>
  <c r="C5998" i="1"/>
  <c r="C5996" i="1"/>
  <c r="C5994" i="1"/>
  <c r="C5992" i="1"/>
  <c r="C5990" i="1"/>
  <c r="C5988" i="1"/>
  <c r="C5986" i="1"/>
  <c r="C5984" i="1"/>
  <c r="C5982" i="1"/>
  <c r="C5980" i="1"/>
  <c r="C5978" i="1"/>
  <c r="C5976" i="1"/>
  <c r="C5974" i="1"/>
  <c r="C5972" i="1"/>
  <c r="C5970" i="1"/>
  <c r="C5968" i="1"/>
  <c r="C5966" i="1"/>
  <c r="C5964" i="1"/>
  <c r="C5962" i="1"/>
  <c r="C5960" i="1"/>
  <c r="C5958" i="1"/>
  <c r="C5956" i="1"/>
  <c r="C5954" i="1"/>
  <c r="C5952" i="1"/>
  <c r="C5950" i="1"/>
  <c r="C5948" i="1"/>
  <c r="C5946" i="1"/>
  <c r="C5944" i="1"/>
  <c r="C5942" i="1"/>
  <c r="C5940" i="1"/>
  <c r="C5938" i="1"/>
  <c r="C5936" i="1"/>
  <c r="C5934" i="1"/>
  <c r="C5932" i="1"/>
  <c r="C5930" i="1"/>
  <c r="C5928" i="1"/>
  <c r="C5926" i="1"/>
  <c r="C5924" i="1"/>
  <c r="C5922" i="1"/>
  <c r="C5920" i="1"/>
  <c r="C5918" i="1"/>
  <c r="C5916" i="1"/>
  <c r="C5914" i="1"/>
  <c r="C5912" i="1"/>
  <c r="C5910" i="1"/>
  <c r="C5908" i="1"/>
  <c r="C5906" i="1"/>
  <c r="C5904" i="1"/>
  <c r="C5902" i="1"/>
  <c r="C5900" i="1"/>
  <c r="C5898" i="1"/>
  <c r="C5896" i="1"/>
  <c r="C5894" i="1"/>
  <c r="C5892" i="1"/>
  <c r="C5890" i="1"/>
  <c r="C5888" i="1"/>
  <c r="C5886" i="1"/>
  <c r="C5884" i="1"/>
  <c r="C5882" i="1"/>
  <c r="C5880" i="1"/>
  <c r="C5878" i="1"/>
  <c r="C5876" i="1"/>
  <c r="C5874" i="1"/>
  <c r="C5872" i="1"/>
  <c r="C5870" i="1"/>
  <c r="C5868" i="1"/>
  <c r="C5866" i="1"/>
  <c r="C5864" i="1"/>
  <c r="C5862" i="1"/>
  <c r="C5860" i="1"/>
  <c r="C5858" i="1"/>
  <c r="C5856" i="1"/>
  <c r="C5854" i="1"/>
  <c r="C5852" i="1"/>
  <c r="C5850" i="1"/>
  <c r="C5848" i="1"/>
  <c r="C5846" i="1"/>
  <c r="C5844" i="1"/>
  <c r="C5842" i="1"/>
  <c r="C5840" i="1"/>
  <c r="C5838" i="1"/>
  <c r="C5836" i="1"/>
  <c r="C5834" i="1"/>
  <c r="C5832" i="1"/>
  <c r="C5830" i="1"/>
  <c r="C5828" i="1"/>
  <c r="C5826" i="1"/>
  <c r="C5824" i="1"/>
  <c r="C5822" i="1"/>
  <c r="C5820" i="1"/>
  <c r="C5818" i="1"/>
  <c r="C5816" i="1"/>
  <c r="C5814" i="1"/>
  <c r="C5812" i="1"/>
  <c r="C5810" i="1"/>
  <c r="C5808" i="1"/>
  <c r="C5806" i="1"/>
  <c r="C5804" i="1"/>
  <c r="C5802" i="1"/>
  <c r="C5800" i="1"/>
  <c r="C5798" i="1"/>
  <c r="C5796" i="1"/>
  <c r="C5794" i="1"/>
  <c r="C5792" i="1"/>
  <c r="C5790" i="1"/>
  <c r="C5788" i="1"/>
  <c r="C5786" i="1"/>
  <c r="C5784" i="1"/>
  <c r="C5782" i="1"/>
  <c r="C5780" i="1"/>
  <c r="C5778" i="1"/>
  <c r="C5776" i="1"/>
  <c r="C5774" i="1"/>
  <c r="C5772" i="1"/>
  <c r="C5770" i="1"/>
  <c r="C5768" i="1"/>
  <c r="C5766" i="1"/>
  <c r="C5764" i="1"/>
  <c r="C5762" i="1"/>
  <c r="C5760" i="1"/>
  <c r="C5758" i="1"/>
  <c r="C5756" i="1"/>
  <c r="C5754" i="1"/>
  <c r="C5752" i="1"/>
  <c r="C5750" i="1"/>
  <c r="C5748" i="1"/>
  <c r="C5746" i="1"/>
  <c r="C5744" i="1"/>
  <c r="C5742" i="1"/>
  <c r="C5740" i="1"/>
  <c r="C5738" i="1"/>
  <c r="C5736" i="1"/>
  <c r="C5734" i="1"/>
  <c r="C5732" i="1"/>
  <c r="C5730" i="1"/>
  <c r="C5728" i="1"/>
  <c r="C5726" i="1"/>
  <c r="C5724" i="1"/>
  <c r="C5722" i="1"/>
  <c r="C5720" i="1"/>
  <c r="C5718" i="1"/>
  <c r="C5716" i="1"/>
  <c r="C5714" i="1"/>
  <c r="C5712" i="1"/>
  <c r="C5710" i="1"/>
  <c r="C5708" i="1"/>
  <c r="C5706" i="1"/>
  <c r="C5704" i="1"/>
  <c r="C5702" i="1"/>
  <c r="C5700" i="1"/>
  <c r="C5698" i="1"/>
  <c r="C5696" i="1"/>
  <c r="C5694" i="1"/>
  <c r="C5692" i="1"/>
  <c r="C5690" i="1"/>
  <c r="C5688" i="1"/>
  <c r="C5686" i="1"/>
  <c r="C5684" i="1"/>
  <c r="C5682" i="1"/>
  <c r="C5680" i="1"/>
  <c r="C5678" i="1"/>
  <c r="C5676" i="1"/>
  <c r="C5674" i="1"/>
  <c r="C5672" i="1"/>
  <c r="C5670" i="1"/>
  <c r="C5668" i="1"/>
  <c r="C5666" i="1"/>
  <c r="C5664" i="1"/>
  <c r="C5662" i="1"/>
  <c r="C5660" i="1"/>
  <c r="C5658" i="1"/>
  <c r="C5656" i="1"/>
  <c r="C5654" i="1"/>
  <c r="C5652" i="1"/>
  <c r="C5650" i="1"/>
  <c r="C5648" i="1"/>
  <c r="C5646" i="1"/>
  <c r="C5644" i="1"/>
  <c r="C5642" i="1"/>
  <c r="C5640" i="1"/>
  <c r="C5638" i="1"/>
  <c r="C5636" i="1"/>
  <c r="C5634" i="1"/>
  <c r="C5632" i="1"/>
  <c r="C5630" i="1"/>
  <c r="C5628" i="1"/>
  <c r="C5626" i="1"/>
  <c r="C5624" i="1"/>
  <c r="C5622" i="1"/>
  <c r="C5620" i="1"/>
  <c r="C5618" i="1"/>
  <c r="C5616" i="1"/>
  <c r="C5614" i="1"/>
  <c r="C5612" i="1"/>
  <c r="C5610" i="1"/>
  <c r="C5608" i="1"/>
  <c r="C5606" i="1"/>
  <c r="C5604" i="1"/>
  <c r="C5602" i="1"/>
  <c r="C5600" i="1"/>
  <c r="C5598" i="1"/>
  <c r="C5596" i="1"/>
  <c r="C5594" i="1"/>
  <c r="C5592" i="1"/>
  <c r="C5590" i="1"/>
  <c r="C5588" i="1"/>
  <c r="C5586" i="1"/>
  <c r="C5584" i="1"/>
  <c r="C5582" i="1"/>
  <c r="C5580" i="1"/>
  <c r="C5578" i="1"/>
  <c r="C5576" i="1"/>
  <c r="C5574" i="1"/>
  <c r="C5572" i="1"/>
  <c r="C5570" i="1"/>
  <c r="C5568" i="1"/>
  <c r="C5566" i="1"/>
  <c r="C5564" i="1"/>
  <c r="C5562" i="1"/>
  <c r="C5560" i="1"/>
  <c r="C5558" i="1"/>
  <c r="C5556" i="1"/>
  <c r="C5554" i="1"/>
  <c r="C5552" i="1"/>
  <c r="C5550" i="1"/>
  <c r="C5548" i="1"/>
  <c r="C5546" i="1"/>
  <c r="C5544" i="1"/>
  <c r="C5542" i="1"/>
  <c r="C5540" i="1"/>
  <c r="C5538" i="1"/>
  <c r="C5536" i="1"/>
  <c r="C5534" i="1"/>
  <c r="C5532" i="1"/>
  <c r="C5530" i="1"/>
  <c r="C5528" i="1"/>
  <c r="C5526" i="1"/>
  <c r="C5524" i="1"/>
  <c r="C5522" i="1"/>
  <c r="C5520" i="1"/>
  <c r="C5518" i="1"/>
  <c r="C5516" i="1"/>
  <c r="C5514" i="1"/>
  <c r="C5512" i="1"/>
  <c r="C5510" i="1"/>
  <c r="C5508" i="1"/>
  <c r="C5506" i="1"/>
  <c r="C5504" i="1"/>
  <c r="C5502" i="1"/>
  <c r="C5500" i="1"/>
  <c r="C5498" i="1"/>
  <c r="C5496" i="1"/>
  <c r="C5494" i="1"/>
  <c r="C5492" i="1"/>
  <c r="C5490" i="1"/>
  <c r="C5488" i="1"/>
  <c r="C5486" i="1"/>
  <c r="C5484" i="1"/>
  <c r="C5482" i="1"/>
  <c r="C5480" i="1"/>
  <c r="C5478" i="1"/>
  <c r="C5476" i="1"/>
  <c r="C5474" i="1"/>
  <c r="C5472" i="1"/>
  <c r="C5470" i="1"/>
  <c r="C5468" i="1"/>
  <c r="C5466" i="1"/>
  <c r="C5464" i="1"/>
  <c r="C5462" i="1"/>
  <c r="C5460" i="1"/>
  <c r="C5458" i="1"/>
  <c r="C5456" i="1"/>
  <c r="C5454" i="1"/>
  <c r="C5452" i="1"/>
  <c r="C5450" i="1"/>
  <c r="C5448" i="1"/>
  <c r="C5446" i="1"/>
  <c r="C5444" i="1"/>
  <c r="C5442" i="1"/>
  <c r="C5440" i="1"/>
  <c r="C5438" i="1"/>
  <c r="C5436" i="1"/>
  <c r="C5434" i="1"/>
  <c r="C5432" i="1"/>
  <c r="C5430" i="1"/>
  <c r="C5428" i="1"/>
  <c r="C5426" i="1"/>
  <c r="C5424" i="1"/>
  <c r="C5422" i="1"/>
  <c r="C5420" i="1"/>
  <c r="C5418" i="1"/>
  <c r="C5416" i="1"/>
  <c r="C5414" i="1"/>
  <c r="C5412" i="1"/>
  <c r="C5410" i="1"/>
  <c r="C5408" i="1"/>
  <c r="C5406" i="1"/>
  <c r="C5404" i="1"/>
  <c r="C5402" i="1"/>
  <c r="C5400" i="1"/>
  <c r="C5398" i="1"/>
  <c r="C5396" i="1"/>
  <c r="C5394" i="1"/>
  <c r="C5392" i="1"/>
  <c r="C5390" i="1"/>
  <c r="C5388" i="1"/>
  <c r="C5386" i="1"/>
  <c r="C5384" i="1"/>
  <c r="C5382" i="1"/>
  <c r="C5380" i="1"/>
  <c r="C5378" i="1"/>
  <c r="C5376" i="1"/>
  <c r="C5374" i="1"/>
  <c r="C5372" i="1"/>
  <c r="C5370" i="1"/>
  <c r="C5368" i="1"/>
  <c r="C5366" i="1"/>
  <c r="C5364" i="1"/>
  <c r="C5362" i="1"/>
  <c r="C5360" i="1"/>
  <c r="C5358" i="1"/>
  <c r="C5356" i="1"/>
  <c r="C5354" i="1"/>
  <c r="C5352" i="1"/>
  <c r="C5350" i="1"/>
  <c r="C5348" i="1"/>
  <c r="C5346" i="1"/>
  <c r="C5344" i="1"/>
  <c r="C5342" i="1"/>
  <c r="C5340" i="1"/>
  <c r="C5338" i="1"/>
  <c r="C5336" i="1"/>
  <c r="C5334" i="1"/>
  <c r="C5332" i="1"/>
  <c r="C5330" i="1"/>
  <c r="C5328" i="1"/>
  <c r="C5326" i="1"/>
  <c r="C5324" i="1"/>
  <c r="C5322" i="1"/>
  <c r="C5320" i="1"/>
  <c r="C5318" i="1"/>
  <c r="C5316" i="1"/>
  <c r="C5314" i="1"/>
  <c r="C5312" i="1"/>
  <c r="C5310" i="1"/>
  <c r="C5308" i="1"/>
  <c r="C5306" i="1"/>
  <c r="C5304" i="1"/>
  <c r="C5302" i="1"/>
  <c r="C5300" i="1"/>
  <c r="C5298" i="1"/>
  <c r="C5296" i="1"/>
  <c r="C5294" i="1"/>
  <c r="C5292" i="1"/>
  <c r="C5290" i="1"/>
  <c r="C5288" i="1"/>
  <c r="C5286" i="1"/>
  <c r="C5284" i="1"/>
  <c r="C5282" i="1"/>
  <c r="C5280" i="1"/>
  <c r="C5278" i="1"/>
  <c r="C5276" i="1"/>
  <c r="C5274" i="1"/>
  <c r="C5272" i="1"/>
  <c r="C5270" i="1"/>
  <c r="C5268" i="1"/>
  <c r="C5266" i="1"/>
  <c r="C5264" i="1"/>
  <c r="C5262" i="1"/>
  <c r="C5260" i="1"/>
  <c r="C5258" i="1"/>
  <c r="C5256" i="1"/>
  <c r="C5254" i="1"/>
  <c r="C5252" i="1"/>
  <c r="C5250" i="1"/>
  <c r="C5248" i="1"/>
  <c r="C5246" i="1"/>
  <c r="C5244" i="1"/>
  <c r="C5242" i="1"/>
  <c r="C5240" i="1"/>
  <c r="C5238" i="1"/>
  <c r="C5236" i="1"/>
  <c r="C5234" i="1"/>
  <c r="C5232" i="1"/>
  <c r="C5230" i="1"/>
  <c r="C5228" i="1"/>
  <c r="C5226" i="1"/>
  <c r="C5224" i="1"/>
  <c r="C5222" i="1"/>
  <c r="C5220" i="1"/>
  <c r="C5218" i="1"/>
  <c r="C5216" i="1"/>
  <c r="C5214" i="1"/>
  <c r="C5212" i="1"/>
  <c r="C5210" i="1"/>
  <c r="C5208" i="1"/>
  <c r="C5206" i="1"/>
  <c r="C5204" i="1"/>
  <c r="C5202" i="1"/>
  <c r="C5200" i="1"/>
  <c r="C5198" i="1"/>
  <c r="C5196" i="1"/>
  <c r="C5194" i="1"/>
  <c r="C5192" i="1"/>
  <c r="C5190" i="1"/>
  <c r="C5188" i="1"/>
  <c r="C5186" i="1"/>
  <c r="C5184" i="1"/>
  <c r="C5182" i="1"/>
  <c r="C5180" i="1"/>
  <c r="C5178" i="1"/>
  <c r="C5176" i="1"/>
  <c r="C5174" i="1"/>
  <c r="C5172" i="1"/>
  <c r="C5170" i="1"/>
  <c r="C5168" i="1"/>
  <c r="C5166" i="1"/>
  <c r="C5164" i="1"/>
  <c r="C5162" i="1"/>
  <c r="C5160" i="1"/>
  <c r="C5158" i="1"/>
  <c r="C5156" i="1"/>
  <c r="C5154" i="1"/>
  <c r="C5152" i="1"/>
  <c r="C5150" i="1"/>
  <c r="C5148" i="1"/>
  <c r="C5146" i="1"/>
  <c r="C5144" i="1"/>
  <c r="C5142" i="1"/>
  <c r="C5140" i="1"/>
  <c r="C5138" i="1"/>
  <c r="C5136" i="1"/>
  <c r="C5134" i="1"/>
  <c r="C5132" i="1"/>
  <c r="C5130" i="1"/>
  <c r="C5128" i="1"/>
  <c r="C5126" i="1"/>
  <c r="C5124" i="1"/>
  <c r="C5122" i="1"/>
  <c r="C5120" i="1"/>
  <c r="C5118" i="1"/>
  <c r="C5116" i="1"/>
  <c r="C5114" i="1"/>
  <c r="C5112" i="1"/>
  <c r="C5110" i="1"/>
  <c r="C5108" i="1"/>
  <c r="C5106" i="1"/>
  <c r="C5104" i="1"/>
  <c r="C5102" i="1"/>
  <c r="C5100" i="1"/>
  <c r="C5098" i="1"/>
  <c r="C5096" i="1"/>
  <c r="C5094" i="1"/>
  <c r="C5092" i="1"/>
  <c r="C5090" i="1"/>
  <c r="C5088" i="1"/>
  <c r="C5086" i="1"/>
  <c r="C5084" i="1"/>
  <c r="C5082" i="1"/>
  <c r="C5080" i="1"/>
  <c r="C5078" i="1"/>
  <c r="C5076" i="1"/>
  <c r="C5074" i="1"/>
  <c r="C5072" i="1"/>
  <c r="C5070" i="1"/>
  <c r="C5068" i="1"/>
  <c r="C5066" i="1"/>
  <c r="C5064" i="1"/>
  <c r="C5062" i="1"/>
  <c r="C5060" i="1"/>
  <c r="C5058" i="1"/>
  <c r="C5056" i="1"/>
  <c r="C5054" i="1"/>
  <c r="C5052" i="1"/>
  <c r="C5050" i="1"/>
  <c r="C5048" i="1"/>
  <c r="C5046" i="1"/>
  <c r="C5044" i="1"/>
  <c r="C5042" i="1"/>
  <c r="C5040" i="1"/>
  <c r="C5038" i="1"/>
  <c r="C5036" i="1"/>
  <c r="C5034" i="1"/>
  <c r="C5032" i="1"/>
  <c r="C5030" i="1"/>
  <c r="C5028" i="1"/>
  <c r="C5026" i="1"/>
  <c r="C5024" i="1"/>
  <c r="C5022" i="1"/>
  <c r="C5020" i="1"/>
  <c r="C5018" i="1"/>
  <c r="C5016" i="1"/>
  <c r="C5014" i="1"/>
  <c r="C5012" i="1"/>
  <c r="C5010" i="1"/>
  <c r="C5008" i="1"/>
  <c r="C5006" i="1"/>
  <c r="C5004" i="1"/>
  <c r="C5002" i="1"/>
  <c r="C5000" i="1"/>
  <c r="C4998" i="1"/>
  <c r="C4996" i="1"/>
  <c r="C4994" i="1"/>
  <c r="C4992" i="1"/>
  <c r="C4990" i="1"/>
  <c r="C4988" i="1"/>
  <c r="C4986" i="1"/>
  <c r="C4984" i="1"/>
  <c r="C4982" i="1"/>
  <c r="C4980" i="1"/>
  <c r="C4978" i="1"/>
  <c r="C4976" i="1"/>
  <c r="C4974" i="1"/>
  <c r="C4972" i="1"/>
  <c r="C4970" i="1"/>
  <c r="C4968" i="1"/>
  <c r="C4966" i="1"/>
  <c r="C4964" i="1"/>
  <c r="C4962" i="1"/>
  <c r="C4960" i="1"/>
  <c r="C4958" i="1"/>
  <c r="C4956" i="1"/>
  <c r="C4954" i="1"/>
  <c r="C4952" i="1"/>
  <c r="C4950" i="1"/>
  <c r="C4948" i="1"/>
  <c r="C4946" i="1"/>
  <c r="C4944" i="1"/>
  <c r="C4942" i="1"/>
  <c r="C4940" i="1"/>
  <c r="C4938" i="1"/>
  <c r="C4936" i="1"/>
  <c r="C4934" i="1"/>
  <c r="C4932" i="1"/>
  <c r="C4930" i="1"/>
  <c r="C4928" i="1"/>
  <c r="C4926" i="1"/>
  <c r="C4924" i="1"/>
  <c r="C4922" i="1"/>
  <c r="C4920" i="1"/>
  <c r="C4918" i="1"/>
  <c r="C4916" i="1"/>
  <c r="C4914" i="1"/>
  <c r="C4912" i="1"/>
  <c r="C4910" i="1"/>
  <c r="C4908" i="1"/>
  <c r="C4906" i="1"/>
  <c r="C4904" i="1"/>
  <c r="C4902" i="1"/>
  <c r="C4900" i="1"/>
  <c r="C4898" i="1"/>
  <c r="C4896" i="1"/>
  <c r="C4894" i="1"/>
  <c r="C4892" i="1"/>
  <c r="C4890" i="1"/>
  <c r="C4888" i="1"/>
  <c r="C4886" i="1"/>
  <c r="C4884" i="1"/>
  <c r="C4882" i="1"/>
  <c r="C4880" i="1"/>
  <c r="C4878" i="1"/>
  <c r="C4876" i="1"/>
  <c r="C4874" i="1"/>
  <c r="C4872" i="1"/>
  <c r="C4870" i="1"/>
  <c r="C4868" i="1"/>
  <c r="C4866" i="1"/>
  <c r="C4864" i="1"/>
  <c r="C4862" i="1"/>
  <c r="C4860" i="1"/>
  <c r="C4858" i="1"/>
  <c r="C4856" i="1"/>
  <c r="C4854" i="1"/>
  <c r="C4852" i="1"/>
  <c r="C4850" i="1"/>
  <c r="C4848" i="1"/>
  <c r="C4846" i="1"/>
  <c r="C4844" i="1"/>
  <c r="C4842" i="1"/>
  <c r="C4840" i="1"/>
  <c r="C4838" i="1"/>
  <c r="C4836" i="1"/>
  <c r="C4834" i="1"/>
  <c r="C4832" i="1"/>
  <c r="C4830" i="1"/>
  <c r="C4828" i="1"/>
  <c r="C4826" i="1"/>
  <c r="C4824" i="1"/>
  <c r="C4822" i="1"/>
  <c r="C4820" i="1"/>
  <c r="C4818" i="1"/>
  <c r="C4816" i="1"/>
  <c r="C4814" i="1"/>
  <c r="C4812" i="1"/>
  <c r="C4810" i="1"/>
  <c r="C4808" i="1"/>
  <c r="C4806" i="1"/>
  <c r="C4804" i="1"/>
  <c r="C4802" i="1"/>
  <c r="C4800" i="1"/>
  <c r="C4798" i="1"/>
  <c r="C4796" i="1"/>
  <c r="C4794" i="1"/>
  <c r="C4792" i="1"/>
  <c r="C4790" i="1"/>
  <c r="C4788" i="1"/>
  <c r="C4786" i="1"/>
  <c r="C4784" i="1"/>
  <c r="C4782" i="1"/>
  <c r="C4780" i="1"/>
  <c r="C4778" i="1"/>
  <c r="C4776" i="1"/>
  <c r="C4774" i="1"/>
  <c r="C4772" i="1"/>
  <c r="C4770" i="1"/>
  <c r="C4768" i="1"/>
  <c r="C4766" i="1"/>
  <c r="C4764" i="1"/>
  <c r="C4762" i="1"/>
  <c r="C4760" i="1"/>
  <c r="C4758" i="1"/>
  <c r="C4756" i="1"/>
  <c r="C4754" i="1"/>
  <c r="C4752" i="1"/>
  <c r="C4750" i="1"/>
  <c r="C4748" i="1"/>
  <c r="C4746" i="1"/>
  <c r="C4744" i="1"/>
  <c r="C4742" i="1"/>
  <c r="C4740" i="1"/>
  <c r="C4738" i="1"/>
  <c r="C4736" i="1"/>
  <c r="C4734" i="1"/>
  <c r="C4732" i="1"/>
  <c r="C4730" i="1"/>
  <c r="C4728" i="1"/>
  <c r="C4726" i="1"/>
  <c r="C4724" i="1"/>
  <c r="C4722" i="1"/>
  <c r="C4720" i="1"/>
  <c r="C4718" i="1"/>
  <c r="C4716" i="1"/>
  <c r="C4714" i="1"/>
  <c r="C4712" i="1"/>
  <c r="C4710" i="1"/>
  <c r="C4708" i="1"/>
  <c r="C4706" i="1"/>
  <c r="C4704" i="1"/>
  <c r="C4702" i="1"/>
  <c r="C4700" i="1"/>
  <c r="C4698" i="1"/>
  <c r="C4696" i="1"/>
  <c r="C4694" i="1"/>
  <c r="C4692" i="1"/>
  <c r="C4690" i="1"/>
  <c r="C4688" i="1"/>
  <c r="C4686" i="1"/>
  <c r="C4684" i="1"/>
  <c r="C4682" i="1"/>
  <c r="C4680" i="1"/>
  <c r="C4678" i="1"/>
  <c r="C4676" i="1"/>
  <c r="C4674" i="1"/>
  <c r="C4672" i="1"/>
  <c r="C4670" i="1"/>
  <c r="C4668" i="1"/>
  <c r="C4666" i="1"/>
  <c r="C4664" i="1"/>
  <c r="C4662" i="1"/>
  <c r="C4660" i="1"/>
  <c r="C4658" i="1"/>
  <c r="C4656" i="1"/>
  <c r="C4654" i="1"/>
  <c r="C4652" i="1"/>
  <c r="C4650" i="1"/>
  <c r="C4648" i="1"/>
  <c r="C4646" i="1"/>
  <c r="C4644" i="1"/>
  <c r="C4642" i="1"/>
  <c r="C4640" i="1"/>
  <c r="C4638" i="1"/>
  <c r="C4636" i="1"/>
  <c r="C4634" i="1"/>
  <c r="C4632" i="1"/>
  <c r="C4630" i="1"/>
  <c r="C4628" i="1"/>
  <c r="C4626" i="1"/>
  <c r="C4624" i="1"/>
  <c r="C4622" i="1"/>
  <c r="C4620" i="1"/>
  <c r="C4618" i="1"/>
  <c r="C4616" i="1"/>
  <c r="C4614" i="1"/>
  <c r="C4612" i="1"/>
  <c r="C4610" i="1"/>
  <c r="C4608" i="1"/>
  <c r="C4606" i="1"/>
  <c r="C4604" i="1"/>
  <c r="C4602" i="1"/>
  <c r="C4600" i="1"/>
  <c r="C4598" i="1"/>
  <c r="C4596" i="1"/>
  <c r="C4594" i="1"/>
  <c r="C4592" i="1"/>
  <c r="C4590" i="1"/>
  <c r="C4588" i="1"/>
  <c r="C4586" i="1"/>
  <c r="C4584" i="1"/>
  <c r="C4582" i="1"/>
  <c r="C4580" i="1"/>
  <c r="C4578" i="1"/>
  <c r="C4576" i="1"/>
  <c r="C4574" i="1"/>
  <c r="C4572" i="1"/>
  <c r="C4570" i="1"/>
  <c r="C4568" i="1"/>
  <c r="C4566" i="1"/>
  <c r="C4564" i="1"/>
  <c r="C4562" i="1"/>
  <c r="C4560" i="1"/>
  <c r="C4558" i="1"/>
  <c r="C4556" i="1"/>
  <c r="C4554" i="1"/>
  <c r="C4552" i="1"/>
  <c r="C4550" i="1"/>
  <c r="C4548" i="1"/>
  <c r="C4546" i="1"/>
  <c r="C4544" i="1"/>
  <c r="C4542" i="1"/>
  <c r="C4540" i="1"/>
  <c r="C4538" i="1"/>
  <c r="C4536" i="1"/>
  <c r="C4534" i="1"/>
  <c r="C4532" i="1"/>
  <c r="C4530" i="1"/>
  <c r="C4528" i="1"/>
  <c r="C4526" i="1"/>
  <c r="C4524" i="1"/>
  <c r="C4522" i="1"/>
  <c r="C4520" i="1"/>
  <c r="C4518" i="1"/>
  <c r="C4516" i="1"/>
  <c r="C4514" i="1"/>
  <c r="C4512" i="1"/>
  <c r="C4510" i="1"/>
  <c r="C4508" i="1"/>
  <c r="C4506" i="1"/>
  <c r="C4504" i="1"/>
  <c r="C4502" i="1"/>
  <c r="C4500" i="1"/>
  <c r="C4498" i="1"/>
  <c r="C4496" i="1"/>
  <c r="C4494" i="1"/>
  <c r="C4492" i="1"/>
  <c r="C4490" i="1"/>
  <c r="C4488" i="1"/>
  <c r="C4486" i="1"/>
  <c r="C4484" i="1"/>
  <c r="C4482" i="1"/>
  <c r="C4480" i="1"/>
  <c r="C4478" i="1"/>
  <c r="C4476" i="1"/>
  <c r="C4474" i="1"/>
  <c r="C4472" i="1"/>
  <c r="C4470" i="1"/>
  <c r="C4468" i="1"/>
  <c r="C4466" i="1"/>
  <c r="C4464" i="1"/>
  <c r="C4462" i="1"/>
  <c r="C4460" i="1"/>
  <c r="C4458" i="1"/>
  <c r="C4456" i="1"/>
  <c r="C4454" i="1"/>
  <c r="C4452" i="1"/>
  <c r="C4450" i="1"/>
  <c r="C4448" i="1"/>
  <c r="C4446" i="1"/>
  <c r="C4444" i="1"/>
  <c r="C4442" i="1"/>
  <c r="C4440" i="1"/>
  <c r="C4438" i="1"/>
  <c r="C4436" i="1"/>
  <c r="C4434" i="1"/>
  <c r="C4432" i="1"/>
  <c r="C4430" i="1"/>
  <c r="C4428" i="1"/>
  <c r="C4426" i="1"/>
  <c r="C4424" i="1"/>
  <c r="C4422" i="1"/>
  <c r="C4420" i="1"/>
  <c r="C4418" i="1"/>
  <c r="C4416" i="1"/>
  <c r="C4414" i="1"/>
  <c r="C4412" i="1"/>
  <c r="C4410" i="1"/>
  <c r="C4408" i="1"/>
  <c r="C4406" i="1"/>
  <c r="C4404" i="1"/>
  <c r="C4402" i="1"/>
  <c r="C4400" i="1"/>
  <c r="C4398" i="1"/>
  <c r="C4396" i="1"/>
  <c r="C4394" i="1"/>
  <c r="C4392" i="1"/>
  <c r="C4390" i="1"/>
  <c r="C4388" i="1"/>
  <c r="C4386" i="1"/>
  <c r="C4384" i="1"/>
  <c r="C4382" i="1"/>
  <c r="C4380" i="1"/>
  <c r="C4378" i="1"/>
  <c r="C4376" i="1"/>
  <c r="C4374" i="1"/>
  <c r="C4372" i="1"/>
  <c r="C4370" i="1"/>
  <c r="C4368" i="1"/>
  <c r="C4366" i="1"/>
  <c r="C4364" i="1"/>
  <c r="C4362" i="1"/>
  <c r="C4360" i="1"/>
  <c r="C4358" i="1"/>
  <c r="C4356" i="1"/>
  <c r="C4354" i="1"/>
  <c r="C4352" i="1"/>
  <c r="C4350" i="1"/>
  <c r="C4348" i="1"/>
  <c r="C4346" i="1"/>
  <c r="C4344" i="1"/>
  <c r="C4342" i="1"/>
  <c r="C4340" i="1"/>
  <c r="C4338" i="1"/>
  <c r="C4336" i="1"/>
  <c r="C4334" i="1"/>
  <c r="C4332" i="1"/>
  <c r="C4330" i="1"/>
  <c r="C4328" i="1"/>
  <c r="C4326" i="1"/>
  <c r="C4324" i="1"/>
  <c r="C4322" i="1"/>
  <c r="C4320" i="1"/>
  <c r="C4318" i="1"/>
  <c r="C4316" i="1"/>
  <c r="C4314" i="1"/>
  <c r="C4312" i="1"/>
  <c r="C4310" i="1"/>
  <c r="C4308" i="1"/>
  <c r="C4306" i="1"/>
  <c r="C4304" i="1"/>
  <c r="C4302" i="1"/>
  <c r="C4300" i="1"/>
  <c r="C4298" i="1"/>
  <c r="C4296" i="1"/>
  <c r="C4294" i="1"/>
  <c r="C4292" i="1"/>
  <c r="C4290" i="1"/>
  <c r="C4288" i="1"/>
  <c r="C4286" i="1"/>
  <c r="C4284" i="1"/>
  <c r="C4282" i="1"/>
  <c r="C4280" i="1"/>
  <c r="C4278" i="1"/>
  <c r="C4276" i="1"/>
  <c r="C4274" i="1"/>
  <c r="C4272" i="1"/>
  <c r="C4270" i="1"/>
  <c r="C4268" i="1"/>
  <c r="C4266" i="1"/>
  <c r="C4264" i="1"/>
  <c r="C4262" i="1"/>
  <c r="C4260" i="1"/>
  <c r="C4258" i="1"/>
  <c r="C4256" i="1"/>
  <c r="C4254" i="1"/>
  <c r="C4252" i="1"/>
  <c r="C4250" i="1"/>
  <c r="C4248" i="1"/>
  <c r="C4246" i="1"/>
  <c r="C4244" i="1"/>
  <c r="C4242" i="1"/>
  <c r="C4240" i="1"/>
  <c r="C4238" i="1"/>
  <c r="C4236" i="1"/>
  <c r="C4234" i="1"/>
  <c r="C4232" i="1"/>
  <c r="C4230" i="1"/>
  <c r="C4228" i="1"/>
  <c r="C4226" i="1"/>
  <c r="C4224" i="1"/>
  <c r="C4222" i="1"/>
  <c r="C4220" i="1"/>
  <c r="C4218" i="1"/>
  <c r="C4216" i="1"/>
  <c r="C4214" i="1"/>
  <c r="C4212" i="1"/>
  <c r="C4210" i="1"/>
  <c r="C4208" i="1"/>
  <c r="C4206" i="1"/>
  <c r="C4204" i="1"/>
  <c r="C4202" i="1"/>
  <c r="C4200" i="1"/>
  <c r="C4198" i="1"/>
  <c r="C4196" i="1"/>
  <c r="C4194" i="1"/>
  <c r="C4192" i="1"/>
  <c r="C4190" i="1"/>
  <c r="C4188" i="1"/>
  <c r="C4186" i="1"/>
  <c r="C4184" i="1"/>
  <c r="C4182" i="1"/>
  <c r="C4180" i="1"/>
  <c r="C4178" i="1"/>
  <c r="C4176" i="1"/>
  <c r="C4174" i="1"/>
  <c r="C4172" i="1"/>
  <c r="C4170" i="1"/>
  <c r="C4168" i="1"/>
  <c r="C4166" i="1"/>
  <c r="C4164" i="1"/>
  <c r="C4162" i="1"/>
  <c r="C4160" i="1"/>
  <c r="C4158" i="1"/>
  <c r="C4156" i="1"/>
  <c r="C4154" i="1"/>
  <c r="C4152" i="1"/>
  <c r="C4150" i="1"/>
  <c r="C4148" i="1"/>
  <c r="C4146" i="1"/>
  <c r="C4144" i="1"/>
  <c r="C4142" i="1"/>
  <c r="C4140" i="1"/>
  <c r="C4138" i="1"/>
  <c r="C4136" i="1"/>
  <c r="C4134" i="1"/>
  <c r="C4132" i="1"/>
  <c r="C4130" i="1"/>
  <c r="C4128" i="1"/>
  <c r="C4126" i="1"/>
  <c r="C4124" i="1"/>
  <c r="C4122" i="1"/>
  <c r="C4120" i="1"/>
  <c r="C4118" i="1"/>
  <c r="C4116" i="1"/>
  <c r="C4114" i="1"/>
  <c r="C4112" i="1"/>
  <c r="C4110" i="1"/>
  <c r="C4108" i="1"/>
  <c r="C4106" i="1"/>
  <c r="C4104" i="1"/>
  <c r="C4102" i="1"/>
  <c r="C4100" i="1"/>
  <c r="C4098" i="1"/>
  <c r="C4096" i="1"/>
  <c r="C4094" i="1"/>
  <c r="C4092" i="1"/>
  <c r="C4090" i="1"/>
  <c r="C4088" i="1"/>
  <c r="C4086" i="1"/>
  <c r="C4084" i="1"/>
  <c r="C4082" i="1"/>
  <c r="C4080" i="1"/>
  <c r="C4078" i="1"/>
  <c r="C4076" i="1"/>
  <c r="C4074" i="1"/>
  <c r="C4072" i="1"/>
  <c r="C4070" i="1"/>
  <c r="C4068" i="1"/>
  <c r="C4066" i="1"/>
  <c r="C4064" i="1"/>
  <c r="C4062" i="1"/>
  <c r="C4060" i="1"/>
  <c r="C4058" i="1"/>
  <c r="C4056" i="1"/>
  <c r="C4054" i="1"/>
  <c r="C4052" i="1"/>
  <c r="C4050" i="1"/>
  <c r="C4048" i="1"/>
  <c r="C4046" i="1"/>
  <c r="C4044" i="1"/>
  <c r="C4042" i="1"/>
  <c r="C4040" i="1"/>
  <c r="C4038" i="1"/>
  <c r="C4036" i="1"/>
  <c r="C4034" i="1"/>
  <c r="C4032" i="1"/>
  <c r="C4030" i="1"/>
  <c r="C4028" i="1"/>
  <c r="C4026" i="1"/>
  <c r="C4024" i="1"/>
  <c r="C4022" i="1"/>
  <c r="C4020" i="1"/>
  <c r="C4018" i="1"/>
  <c r="C4016" i="1"/>
  <c r="C4014" i="1"/>
  <c r="C4012" i="1"/>
  <c r="C4010" i="1"/>
  <c r="C4008" i="1"/>
  <c r="C4006" i="1"/>
  <c r="C4004" i="1"/>
  <c r="C4002" i="1"/>
  <c r="C4000" i="1"/>
  <c r="C3998" i="1"/>
  <c r="C3996" i="1"/>
  <c r="C3994" i="1"/>
  <c r="C3992" i="1"/>
  <c r="C3990" i="1"/>
  <c r="C3988" i="1"/>
  <c r="C3986" i="1"/>
  <c r="C3984" i="1"/>
  <c r="C3982" i="1"/>
  <c r="C3980" i="1"/>
  <c r="C3978" i="1"/>
  <c r="C3976" i="1"/>
  <c r="C3974" i="1"/>
  <c r="C3972" i="1"/>
  <c r="C3970" i="1"/>
  <c r="C3968" i="1"/>
  <c r="C3966" i="1"/>
  <c r="C3964" i="1"/>
  <c r="C3962" i="1"/>
  <c r="C3960" i="1"/>
  <c r="C3958" i="1"/>
  <c r="C3956" i="1"/>
  <c r="C3954" i="1"/>
  <c r="C3952" i="1"/>
  <c r="C3950" i="1"/>
  <c r="C3948" i="1"/>
  <c r="C3946" i="1"/>
  <c r="C3944" i="1"/>
  <c r="C3942" i="1"/>
  <c r="C3940" i="1"/>
  <c r="C3938" i="1"/>
  <c r="C3936" i="1"/>
  <c r="C3934" i="1"/>
  <c r="C3932" i="1"/>
  <c r="C3930" i="1"/>
  <c r="C3928" i="1"/>
  <c r="C3926" i="1"/>
  <c r="C3924" i="1"/>
  <c r="C3922" i="1"/>
  <c r="C3920" i="1"/>
  <c r="C3918" i="1"/>
  <c r="C3916" i="1"/>
  <c r="C3914" i="1"/>
  <c r="C3912" i="1"/>
  <c r="C3910" i="1"/>
  <c r="C3908" i="1"/>
  <c r="C3906" i="1"/>
  <c r="C3904" i="1"/>
  <c r="C3902" i="1"/>
  <c r="C3900" i="1"/>
  <c r="C3898" i="1"/>
  <c r="C3896" i="1"/>
  <c r="C3894" i="1"/>
  <c r="C3892" i="1"/>
  <c r="C3890" i="1"/>
  <c r="C3888" i="1"/>
  <c r="C3886" i="1"/>
  <c r="C3884" i="1"/>
  <c r="C3882" i="1"/>
  <c r="C3880" i="1"/>
  <c r="C3878" i="1"/>
  <c r="C3876" i="1"/>
  <c r="C3874" i="1"/>
  <c r="C3872" i="1"/>
  <c r="C3870" i="1"/>
  <c r="C3868" i="1"/>
  <c r="C3866" i="1"/>
  <c r="C3864" i="1"/>
  <c r="C3862" i="1"/>
  <c r="C3860" i="1"/>
  <c r="C3858" i="1"/>
  <c r="C3856" i="1"/>
  <c r="C3854" i="1"/>
  <c r="C3852" i="1"/>
  <c r="C3850" i="1"/>
  <c r="C3848" i="1"/>
  <c r="C3846" i="1"/>
  <c r="C3844" i="1"/>
  <c r="C3842" i="1"/>
  <c r="C3840" i="1"/>
  <c r="C3838" i="1"/>
  <c r="C3836" i="1"/>
  <c r="C3834" i="1"/>
  <c r="C3832" i="1"/>
  <c r="C3830" i="1"/>
  <c r="C3828" i="1"/>
  <c r="C3826" i="1"/>
  <c r="C3824" i="1"/>
  <c r="C3822" i="1"/>
  <c r="C3820" i="1"/>
  <c r="C3818" i="1"/>
  <c r="C3816" i="1"/>
  <c r="C3814" i="1"/>
  <c r="C3812" i="1"/>
  <c r="C3810" i="1"/>
  <c r="C3808" i="1"/>
  <c r="C3806" i="1"/>
  <c r="C3804" i="1"/>
  <c r="C3802" i="1"/>
  <c r="C3800" i="1"/>
  <c r="C3798" i="1"/>
  <c r="C3796" i="1"/>
  <c r="C3794" i="1"/>
  <c r="C3792" i="1"/>
  <c r="C3790" i="1"/>
  <c r="C3788" i="1"/>
  <c r="C3786" i="1"/>
  <c r="C3784" i="1"/>
  <c r="C3782" i="1"/>
  <c r="C3780" i="1"/>
  <c r="C3778" i="1"/>
  <c r="C3776" i="1"/>
  <c r="C3774" i="1"/>
  <c r="C3772" i="1"/>
  <c r="C3770" i="1"/>
  <c r="C3768" i="1"/>
  <c r="C3766" i="1"/>
  <c r="C3764" i="1"/>
  <c r="C3762" i="1"/>
  <c r="C3760" i="1"/>
  <c r="C3758" i="1"/>
  <c r="C3756" i="1"/>
  <c r="C3754" i="1"/>
  <c r="C3752" i="1"/>
  <c r="C3750" i="1"/>
  <c r="C3748" i="1"/>
  <c r="C3746" i="1"/>
  <c r="C3744" i="1"/>
  <c r="C3742" i="1"/>
  <c r="C3740" i="1"/>
  <c r="C3738" i="1"/>
  <c r="C3736" i="1"/>
  <c r="C3734" i="1"/>
  <c r="C3732" i="1"/>
  <c r="C3730" i="1"/>
  <c r="C3728" i="1"/>
  <c r="C3726" i="1"/>
  <c r="C3724" i="1"/>
  <c r="C3722" i="1"/>
  <c r="C3720" i="1"/>
  <c r="C3718" i="1"/>
  <c r="C3716" i="1"/>
  <c r="C3714" i="1"/>
  <c r="C3712" i="1"/>
  <c r="C3710" i="1"/>
  <c r="C3708" i="1"/>
  <c r="C3706" i="1"/>
  <c r="C3704" i="1"/>
  <c r="C3702" i="1"/>
  <c r="C3700" i="1"/>
  <c r="C3698" i="1"/>
  <c r="C3696" i="1"/>
  <c r="C3694" i="1"/>
  <c r="C3692" i="1"/>
  <c r="C3690" i="1"/>
  <c r="C3688" i="1"/>
  <c r="C3686" i="1"/>
  <c r="C3684" i="1"/>
  <c r="C3682" i="1"/>
  <c r="C3680" i="1"/>
  <c r="C3678" i="1"/>
  <c r="C3676" i="1"/>
  <c r="C3674" i="1"/>
  <c r="C3672" i="1"/>
  <c r="C3670" i="1"/>
  <c r="C3668" i="1"/>
  <c r="C3666" i="1"/>
  <c r="C3664" i="1"/>
  <c r="C3662" i="1"/>
  <c r="C3660" i="1"/>
  <c r="C3658" i="1"/>
  <c r="C3656" i="1"/>
  <c r="C3654" i="1"/>
  <c r="C3652" i="1"/>
  <c r="C3650" i="1"/>
  <c r="C3648" i="1"/>
  <c r="C3646" i="1"/>
  <c r="C3644" i="1"/>
  <c r="C3642" i="1"/>
  <c r="C3640" i="1"/>
  <c r="C3638" i="1"/>
  <c r="C3636" i="1"/>
  <c r="C3634" i="1"/>
  <c r="C3632" i="1"/>
  <c r="C3630" i="1"/>
  <c r="C3628" i="1"/>
  <c r="C3626" i="1"/>
  <c r="C3624" i="1"/>
  <c r="C3622" i="1"/>
  <c r="C3620" i="1"/>
  <c r="C3618" i="1"/>
  <c r="C3616" i="1"/>
  <c r="C3614" i="1"/>
  <c r="C3612" i="1"/>
  <c r="C3610" i="1"/>
  <c r="C3608" i="1"/>
  <c r="C3606" i="1"/>
  <c r="C3604" i="1"/>
  <c r="C3602" i="1"/>
  <c r="C3600" i="1"/>
  <c r="C3598" i="1"/>
  <c r="C3596" i="1"/>
  <c r="C3594" i="1"/>
  <c r="C3592" i="1"/>
  <c r="C3590" i="1"/>
  <c r="C3588" i="1"/>
  <c r="C3586" i="1"/>
  <c r="C3584" i="1"/>
  <c r="C3582" i="1"/>
  <c r="C3580" i="1"/>
  <c r="C3578" i="1"/>
  <c r="C3576" i="1"/>
  <c r="C3574" i="1"/>
  <c r="C3572" i="1"/>
  <c r="C3570" i="1"/>
  <c r="C3568" i="1"/>
  <c r="C3566" i="1"/>
  <c r="C3564" i="1"/>
  <c r="C3562" i="1"/>
  <c r="C3560" i="1"/>
  <c r="C3558" i="1"/>
  <c r="C3556" i="1"/>
  <c r="C3554" i="1"/>
  <c r="C3552" i="1"/>
  <c r="C3550" i="1"/>
  <c r="C3548" i="1"/>
  <c r="C3546" i="1"/>
  <c r="C3544" i="1"/>
  <c r="C3542" i="1"/>
  <c r="C3540" i="1"/>
  <c r="C3538" i="1"/>
  <c r="C3536" i="1"/>
  <c r="C3534" i="1"/>
  <c r="C3532" i="1"/>
  <c r="C3530" i="1"/>
  <c r="C3528" i="1"/>
  <c r="C3526" i="1"/>
  <c r="C3524" i="1"/>
  <c r="C3522" i="1"/>
  <c r="C3520" i="1"/>
  <c r="C3518" i="1"/>
  <c r="C3516" i="1"/>
  <c r="C3514" i="1"/>
  <c r="C3512" i="1"/>
  <c r="C3510" i="1"/>
  <c r="C3508" i="1"/>
  <c r="C3506" i="1"/>
  <c r="C3504" i="1"/>
  <c r="C3502" i="1"/>
  <c r="C3500" i="1"/>
  <c r="C3498" i="1"/>
  <c r="C3496" i="1"/>
  <c r="C3494" i="1"/>
  <c r="C3492" i="1"/>
  <c r="C3490" i="1"/>
  <c r="C3488" i="1"/>
  <c r="C3486" i="1"/>
  <c r="C3484" i="1"/>
  <c r="C3482" i="1"/>
  <c r="C3480" i="1"/>
  <c r="C3478" i="1"/>
  <c r="C3476" i="1"/>
  <c r="C3474" i="1"/>
  <c r="C3472" i="1"/>
  <c r="C3470" i="1"/>
  <c r="C3468" i="1"/>
  <c r="C3466" i="1"/>
  <c r="C3464" i="1"/>
  <c r="C3462" i="1"/>
  <c r="C3460" i="1"/>
  <c r="C3458" i="1"/>
  <c r="C3456" i="1"/>
  <c r="C3454" i="1"/>
  <c r="C3452" i="1"/>
  <c r="C3450" i="1"/>
  <c r="C3448" i="1"/>
  <c r="C3446" i="1"/>
  <c r="C3444" i="1"/>
  <c r="C3442" i="1"/>
  <c r="C3440" i="1"/>
  <c r="C3438" i="1"/>
  <c r="C3436" i="1"/>
  <c r="C3434" i="1"/>
  <c r="C3432" i="1"/>
  <c r="C3430" i="1"/>
  <c r="C3428" i="1"/>
  <c r="C3426" i="1"/>
  <c r="C3424" i="1"/>
  <c r="C3422" i="1"/>
  <c r="C3420" i="1"/>
  <c r="C3418" i="1"/>
  <c r="C3416" i="1"/>
  <c r="C3414" i="1"/>
  <c r="C3412" i="1"/>
  <c r="C3410" i="1"/>
  <c r="C3408" i="1"/>
  <c r="C3406" i="1"/>
  <c r="C3404" i="1"/>
  <c r="C3402" i="1"/>
  <c r="C3400" i="1"/>
  <c r="C3398" i="1"/>
  <c r="C3396" i="1"/>
  <c r="C3394" i="1"/>
  <c r="C3392" i="1"/>
  <c r="C3390" i="1"/>
  <c r="C3388" i="1"/>
  <c r="C3386" i="1"/>
  <c r="C3384" i="1"/>
  <c r="C3382" i="1"/>
  <c r="C3380" i="1"/>
  <c r="C3378" i="1"/>
  <c r="C3376" i="1"/>
  <c r="C3374" i="1"/>
  <c r="C3372" i="1"/>
  <c r="C3370" i="1"/>
  <c r="C3368" i="1"/>
  <c r="C3366" i="1"/>
  <c r="C3364" i="1"/>
  <c r="C3362" i="1"/>
  <c r="C3360" i="1"/>
  <c r="C3358" i="1"/>
  <c r="C3356" i="1"/>
  <c r="C3354" i="1"/>
  <c r="C3352" i="1"/>
  <c r="C3350" i="1"/>
  <c r="C3348" i="1"/>
  <c r="C3346" i="1"/>
  <c r="C3344" i="1"/>
  <c r="C3342" i="1"/>
  <c r="C3340" i="1"/>
  <c r="C3338" i="1"/>
  <c r="C3336" i="1"/>
  <c r="C3334" i="1"/>
  <c r="C3332" i="1"/>
  <c r="C3330" i="1"/>
  <c r="C3328" i="1"/>
  <c r="C3326" i="1"/>
  <c r="C3324" i="1"/>
  <c r="C3322" i="1"/>
  <c r="C3320" i="1"/>
  <c r="C3318" i="1"/>
  <c r="C3316" i="1"/>
  <c r="C3314" i="1"/>
  <c r="C3312" i="1"/>
  <c r="C3310" i="1"/>
  <c r="C3308" i="1"/>
  <c r="C3306" i="1"/>
  <c r="C3304" i="1"/>
  <c r="C3302" i="1"/>
  <c r="C3300" i="1"/>
  <c r="C3298" i="1"/>
  <c r="C3296" i="1"/>
  <c r="C3294" i="1"/>
  <c r="C3292" i="1"/>
  <c r="C3290" i="1"/>
  <c r="C3288" i="1"/>
  <c r="C3286" i="1"/>
  <c r="C3284" i="1"/>
  <c r="C3282" i="1"/>
  <c r="C3280" i="1"/>
  <c r="C3278" i="1"/>
  <c r="C3276" i="1"/>
  <c r="C3274" i="1"/>
  <c r="C3272" i="1"/>
  <c r="C3270" i="1"/>
  <c r="C3268" i="1"/>
  <c r="C3266" i="1"/>
  <c r="C3264" i="1"/>
  <c r="C3262" i="1"/>
  <c r="C3260" i="1"/>
  <c r="C3258" i="1"/>
  <c r="C3256" i="1"/>
  <c r="C3254" i="1"/>
  <c r="C3252" i="1"/>
  <c r="C3250" i="1"/>
  <c r="C3248" i="1"/>
  <c r="C3246" i="1"/>
  <c r="C3244" i="1"/>
  <c r="C3242" i="1"/>
  <c r="C3240" i="1"/>
  <c r="C3238" i="1"/>
  <c r="C3236" i="1"/>
  <c r="C3234" i="1"/>
  <c r="C3232" i="1"/>
  <c r="C3230" i="1"/>
  <c r="C3228" i="1"/>
  <c r="C3226" i="1"/>
  <c r="C3224" i="1"/>
  <c r="C3222" i="1"/>
  <c r="C3220" i="1"/>
  <c r="C3218" i="1"/>
  <c r="C3216" i="1"/>
  <c r="C3214" i="1"/>
  <c r="C3212" i="1"/>
  <c r="C3210" i="1"/>
  <c r="C3208" i="1"/>
  <c r="C3206" i="1"/>
  <c r="C3204" i="1"/>
  <c r="C3202" i="1"/>
  <c r="C3200" i="1"/>
  <c r="C3198" i="1"/>
  <c r="C3196" i="1"/>
  <c r="C3194" i="1"/>
  <c r="C3192" i="1"/>
  <c r="C3190" i="1"/>
  <c r="C3188" i="1"/>
  <c r="C3186" i="1"/>
  <c r="C3184" i="1"/>
  <c r="C3182" i="1"/>
  <c r="C3180" i="1"/>
  <c r="C3178" i="1"/>
  <c r="C3176" i="1"/>
  <c r="C3174" i="1"/>
  <c r="C3172" i="1"/>
  <c r="C3170" i="1"/>
  <c r="C3168" i="1"/>
  <c r="C3166" i="1"/>
  <c r="C3164" i="1"/>
  <c r="C3162" i="1"/>
  <c r="C3160" i="1"/>
  <c r="C3158" i="1"/>
  <c r="C3156" i="1"/>
  <c r="C3154" i="1"/>
  <c r="C3152" i="1"/>
  <c r="C3150" i="1"/>
  <c r="C3148" i="1"/>
  <c r="C3146" i="1"/>
  <c r="C3144" i="1"/>
  <c r="C3142" i="1"/>
  <c r="C3140" i="1"/>
  <c r="C3138" i="1"/>
  <c r="C3136" i="1"/>
  <c r="C3134" i="1"/>
  <c r="C3132" i="1"/>
  <c r="C3130" i="1"/>
  <c r="C3128" i="1"/>
  <c r="C3126" i="1"/>
  <c r="C3124" i="1"/>
  <c r="C3122" i="1"/>
  <c r="C3120" i="1"/>
  <c r="C3118" i="1"/>
  <c r="C3116" i="1"/>
  <c r="C3114" i="1"/>
  <c r="C3112" i="1"/>
  <c r="C3110" i="1"/>
  <c r="C3108" i="1"/>
  <c r="C3106" i="1"/>
  <c r="C3104" i="1"/>
  <c r="C3102" i="1"/>
  <c r="C3100" i="1"/>
  <c r="C3098" i="1"/>
  <c r="C3096" i="1"/>
  <c r="C3094" i="1"/>
  <c r="C3092" i="1"/>
  <c r="C3090" i="1"/>
  <c r="C3088" i="1"/>
  <c r="C3086" i="1"/>
  <c r="C3084" i="1"/>
  <c r="C3082" i="1"/>
  <c r="C3080" i="1"/>
  <c r="C3078" i="1"/>
  <c r="C3076" i="1"/>
  <c r="C3074" i="1"/>
  <c r="C3072" i="1"/>
  <c r="C3070" i="1"/>
  <c r="C3068" i="1"/>
  <c r="C3066" i="1"/>
  <c r="C3064" i="1"/>
  <c r="C3062" i="1"/>
  <c r="C3060" i="1"/>
  <c r="C3058" i="1"/>
  <c r="C3056" i="1"/>
  <c r="C3054" i="1"/>
  <c r="C3052" i="1"/>
  <c r="C3050" i="1"/>
  <c r="C3048" i="1"/>
  <c r="C3046" i="1"/>
  <c r="C3044" i="1"/>
  <c r="C3042" i="1"/>
  <c r="C3040" i="1"/>
  <c r="C3038" i="1"/>
  <c r="C3036" i="1"/>
  <c r="C3034" i="1"/>
  <c r="C3032" i="1"/>
  <c r="C3030" i="1"/>
  <c r="C3028" i="1"/>
  <c r="C3026" i="1"/>
  <c r="C3024" i="1"/>
  <c r="C3022" i="1"/>
  <c r="C3020" i="1"/>
  <c r="C3018" i="1"/>
  <c r="C3016" i="1"/>
  <c r="C3014" i="1"/>
  <c r="C3012" i="1"/>
  <c r="C3010" i="1"/>
  <c r="C3008" i="1"/>
  <c r="C3006" i="1"/>
  <c r="C3004" i="1"/>
  <c r="C3002" i="1"/>
  <c r="C3000" i="1"/>
  <c r="C2998" i="1"/>
  <c r="C2996" i="1"/>
  <c r="C2994" i="1"/>
  <c r="C2992" i="1"/>
  <c r="C2990" i="1"/>
  <c r="C2988" i="1"/>
  <c r="C2986" i="1"/>
  <c r="C2984" i="1"/>
  <c r="C2982" i="1"/>
  <c r="C2980" i="1"/>
  <c r="C2978" i="1"/>
  <c r="C2976" i="1"/>
  <c r="C2974" i="1"/>
  <c r="C2972" i="1"/>
  <c r="C2970" i="1"/>
  <c r="C2968" i="1"/>
  <c r="C2966" i="1"/>
  <c r="C2964" i="1"/>
  <c r="C2962" i="1"/>
  <c r="C2960" i="1"/>
  <c r="C2958" i="1"/>
  <c r="C2956" i="1"/>
  <c r="C2954" i="1"/>
  <c r="C2952" i="1"/>
  <c r="C2950" i="1"/>
  <c r="C2948" i="1"/>
  <c r="C2946" i="1"/>
  <c r="C2944" i="1"/>
  <c r="C2942" i="1"/>
  <c r="C2940" i="1"/>
  <c r="C2938" i="1"/>
  <c r="C2936" i="1"/>
  <c r="C2934" i="1"/>
  <c r="C2932" i="1"/>
  <c r="C2930" i="1"/>
  <c r="C2928" i="1"/>
  <c r="C2926" i="1"/>
  <c r="C2924" i="1"/>
  <c r="C2922" i="1"/>
  <c r="C2920" i="1"/>
  <c r="C2918" i="1"/>
  <c r="C2916" i="1"/>
  <c r="C2914" i="1"/>
  <c r="C2912" i="1"/>
  <c r="C2910" i="1"/>
  <c r="C2908" i="1"/>
  <c r="C2906" i="1"/>
  <c r="C2904" i="1"/>
  <c r="C2902" i="1"/>
  <c r="C2900" i="1"/>
  <c r="C2898" i="1"/>
  <c r="C2896" i="1"/>
  <c r="C2894" i="1"/>
  <c r="C2892" i="1"/>
  <c r="C2890" i="1"/>
  <c r="C2888" i="1"/>
  <c r="C2886" i="1"/>
  <c r="C2884" i="1"/>
  <c r="C2882" i="1"/>
  <c r="C2880" i="1"/>
  <c r="C2878" i="1"/>
  <c r="C2876" i="1"/>
  <c r="C2874" i="1"/>
  <c r="C2872" i="1"/>
  <c r="C2870" i="1"/>
  <c r="C2868" i="1"/>
  <c r="C2866" i="1"/>
  <c r="C2864" i="1"/>
  <c r="C2862" i="1"/>
  <c r="C2860" i="1"/>
  <c r="C2858" i="1"/>
  <c r="C2856" i="1"/>
  <c r="C2854" i="1"/>
  <c r="C2852" i="1"/>
  <c r="C2850" i="1"/>
  <c r="C2848" i="1"/>
  <c r="C2846" i="1"/>
  <c r="C2844" i="1"/>
  <c r="C2842" i="1"/>
  <c r="C2840" i="1"/>
  <c r="C2838" i="1"/>
  <c r="C2836" i="1"/>
  <c r="C2834" i="1"/>
  <c r="C2832" i="1"/>
  <c r="C2830" i="1"/>
  <c r="C2828" i="1"/>
  <c r="C2826" i="1"/>
  <c r="C2824" i="1"/>
  <c r="C2822" i="1"/>
  <c r="C2820" i="1"/>
  <c r="C2818" i="1"/>
  <c r="C2816" i="1"/>
  <c r="C2814" i="1"/>
  <c r="C2812" i="1"/>
  <c r="C2810" i="1"/>
  <c r="C2808" i="1"/>
  <c r="C2806" i="1"/>
  <c r="C2804" i="1"/>
  <c r="C2802" i="1"/>
  <c r="C2800" i="1"/>
  <c r="C2798" i="1"/>
  <c r="C2796" i="1"/>
  <c r="C2794" i="1"/>
  <c r="C2792" i="1"/>
  <c r="C2790" i="1"/>
  <c r="C2788" i="1"/>
  <c r="C2786" i="1"/>
  <c r="C2784" i="1"/>
  <c r="C2782" i="1"/>
  <c r="C2780" i="1"/>
  <c r="C2778" i="1"/>
  <c r="C2776" i="1"/>
  <c r="C2774" i="1"/>
  <c r="C2772" i="1"/>
  <c r="C2770" i="1"/>
  <c r="C2768" i="1"/>
  <c r="C2766" i="1"/>
  <c r="C2764" i="1"/>
  <c r="C2762" i="1"/>
  <c r="C2760" i="1"/>
  <c r="C2758" i="1"/>
  <c r="C2756" i="1"/>
  <c r="C2754" i="1"/>
  <c r="C2752" i="1"/>
  <c r="C2750" i="1"/>
  <c r="C2748" i="1"/>
  <c r="C2746" i="1"/>
  <c r="C2744" i="1"/>
  <c r="C2742" i="1"/>
  <c r="C2740" i="1"/>
  <c r="C2738" i="1"/>
  <c r="C2736" i="1"/>
  <c r="C2734" i="1"/>
  <c r="C2732" i="1"/>
  <c r="C2730" i="1"/>
  <c r="C2728" i="1"/>
  <c r="C2726" i="1"/>
  <c r="C2724" i="1"/>
  <c r="C2722" i="1"/>
  <c r="C2720" i="1"/>
  <c r="C2718" i="1"/>
  <c r="C2716" i="1"/>
  <c r="C2714" i="1"/>
  <c r="C2712" i="1"/>
  <c r="C2710" i="1"/>
  <c r="C2708" i="1"/>
  <c r="C2706" i="1"/>
  <c r="C2704" i="1"/>
  <c r="C2702" i="1"/>
  <c r="C2700" i="1"/>
  <c r="C2698" i="1"/>
  <c r="C2696" i="1"/>
  <c r="C2694" i="1"/>
  <c r="C2692" i="1"/>
  <c r="C2690" i="1"/>
  <c r="C2688" i="1"/>
  <c r="C2686" i="1"/>
  <c r="C2684" i="1"/>
  <c r="C2682" i="1"/>
  <c r="C2680" i="1"/>
  <c r="C2678" i="1"/>
  <c r="C2676" i="1"/>
  <c r="C2674" i="1"/>
  <c r="C2672" i="1"/>
  <c r="C2670" i="1"/>
  <c r="C2668" i="1"/>
  <c r="C2666" i="1"/>
  <c r="C2664" i="1"/>
  <c r="C2662" i="1"/>
  <c r="C2660" i="1"/>
  <c r="C2658" i="1"/>
  <c r="C2656" i="1"/>
  <c r="C2654" i="1"/>
  <c r="C2652" i="1"/>
  <c r="C2650" i="1"/>
  <c r="C2648" i="1"/>
  <c r="C2646" i="1"/>
  <c r="C2644" i="1"/>
  <c r="C2642" i="1"/>
  <c r="C2640" i="1"/>
  <c r="C2638" i="1"/>
  <c r="C2636" i="1"/>
  <c r="C2634" i="1"/>
  <c r="C2632" i="1"/>
  <c r="C2630" i="1"/>
  <c r="C2628" i="1"/>
  <c r="C2626" i="1"/>
  <c r="C2624" i="1"/>
  <c r="C2622" i="1"/>
  <c r="C2620" i="1"/>
  <c r="C2618" i="1"/>
  <c r="C2616" i="1"/>
  <c r="C2614" i="1"/>
  <c r="C2612" i="1"/>
  <c r="C2610" i="1"/>
  <c r="C2608" i="1"/>
  <c r="C2606" i="1"/>
  <c r="C2604" i="1"/>
  <c r="C2602" i="1"/>
  <c r="C2600" i="1"/>
  <c r="C2598" i="1"/>
  <c r="C2596" i="1"/>
  <c r="C2594" i="1"/>
  <c r="C2592" i="1"/>
  <c r="C2590" i="1"/>
  <c r="C2588" i="1"/>
  <c r="C2586" i="1"/>
  <c r="C2584" i="1"/>
  <c r="C2582" i="1"/>
  <c r="C2580" i="1"/>
  <c r="C2578" i="1"/>
  <c r="C2576" i="1"/>
  <c r="C2574" i="1"/>
  <c r="C2572" i="1"/>
  <c r="C2570" i="1"/>
  <c r="C2568" i="1"/>
  <c r="C2566" i="1"/>
  <c r="C2564" i="1"/>
  <c r="C2562" i="1"/>
  <c r="C2560" i="1"/>
  <c r="C2558" i="1"/>
  <c r="C2556" i="1"/>
  <c r="C2554" i="1"/>
  <c r="C2552" i="1"/>
  <c r="C2550" i="1"/>
  <c r="C2548" i="1"/>
  <c r="C2546" i="1"/>
  <c r="C2544" i="1"/>
  <c r="C2542" i="1"/>
  <c r="C2540" i="1"/>
  <c r="C2538" i="1"/>
  <c r="C2536" i="1"/>
  <c r="C2534" i="1"/>
  <c r="C2532" i="1"/>
  <c r="C2530" i="1"/>
  <c r="C2528" i="1"/>
  <c r="C2526" i="1"/>
  <c r="C2524" i="1"/>
  <c r="C2522" i="1"/>
  <c r="C2520" i="1"/>
  <c r="C2518" i="1"/>
  <c r="C2516" i="1"/>
  <c r="C2514" i="1"/>
  <c r="C2512" i="1"/>
  <c r="C2510" i="1"/>
  <c r="C2508" i="1"/>
  <c r="C2506" i="1"/>
  <c r="C2504" i="1"/>
  <c r="C2502" i="1"/>
  <c r="C2500" i="1"/>
  <c r="C2498" i="1"/>
  <c r="C2496" i="1"/>
  <c r="C2494" i="1"/>
  <c r="C2492" i="1"/>
  <c r="C2490" i="1"/>
  <c r="C2488" i="1"/>
  <c r="C2486" i="1"/>
  <c r="C2484" i="1"/>
  <c r="C2482" i="1"/>
  <c r="C2480" i="1"/>
  <c r="C2478" i="1"/>
  <c r="C2476" i="1"/>
  <c r="C2474" i="1"/>
  <c r="C2472" i="1"/>
  <c r="C2470" i="1"/>
  <c r="C2468" i="1"/>
  <c r="C2466" i="1"/>
  <c r="C2464" i="1"/>
  <c r="C2462" i="1"/>
  <c r="C2460" i="1"/>
  <c r="C2458" i="1"/>
  <c r="C2456" i="1"/>
  <c r="C2454" i="1"/>
  <c r="C2452" i="1"/>
  <c r="C2450" i="1"/>
  <c r="C2448" i="1"/>
  <c r="C2446" i="1"/>
  <c r="C2444" i="1"/>
  <c r="C2442" i="1"/>
  <c r="C2440" i="1"/>
  <c r="C2438" i="1"/>
  <c r="C2436" i="1"/>
  <c r="C2434" i="1"/>
  <c r="C2432" i="1"/>
  <c r="C2430" i="1"/>
  <c r="C2428" i="1"/>
  <c r="C2426" i="1"/>
  <c r="C2424" i="1"/>
  <c r="C2422" i="1"/>
  <c r="C2420" i="1"/>
  <c r="C2418" i="1"/>
  <c r="C2416" i="1"/>
  <c r="C2414" i="1"/>
  <c r="C2412" i="1"/>
  <c r="C2410" i="1"/>
  <c r="C2408" i="1"/>
  <c r="C2406" i="1"/>
  <c r="C2404" i="1"/>
  <c r="C2402" i="1"/>
  <c r="C2400" i="1"/>
  <c r="C2398" i="1"/>
  <c r="C2396" i="1"/>
  <c r="C2394" i="1"/>
  <c r="C2392" i="1"/>
  <c r="C2390" i="1"/>
  <c r="C2388" i="1"/>
  <c r="C2386" i="1"/>
  <c r="C2384" i="1"/>
  <c r="C2382" i="1"/>
  <c r="C2380" i="1"/>
  <c r="C2378" i="1"/>
  <c r="C2376" i="1"/>
  <c r="C2374" i="1"/>
  <c r="C2372" i="1"/>
  <c r="C2370" i="1"/>
  <c r="C2368" i="1"/>
  <c r="C2366" i="1"/>
  <c r="C2364" i="1"/>
  <c r="C2362" i="1"/>
  <c r="C2360" i="1"/>
  <c r="C2358" i="1"/>
  <c r="C2356" i="1"/>
  <c r="C2354" i="1"/>
  <c r="C2352" i="1"/>
  <c r="C2350" i="1"/>
  <c r="C2348" i="1"/>
  <c r="C2346" i="1"/>
  <c r="C2344" i="1"/>
  <c r="C2342" i="1"/>
  <c r="C2340" i="1"/>
  <c r="C2338" i="1"/>
  <c r="C2336" i="1"/>
  <c r="C2334" i="1"/>
  <c r="C2332" i="1"/>
  <c r="C2330" i="1"/>
  <c r="C2328" i="1"/>
  <c r="C2326" i="1"/>
  <c r="C2324" i="1"/>
  <c r="C2322" i="1"/>
  <c r="C2320" i="1"/>
  <c r="C2318" i="1"/>
  <c r="C2316" i="1"/>
  <c r="C2314" i="1"/>
  <c r="C2312" i="1"/>
  <c r="C2310" i="1"/>
  <c r="C2308" i="1"/>
  <c r="C2306" i="1"/>
  <c r="C2304" i="1"/>
  <c r="C2302" i="1"/>
  <c r="C2300" i="1"/>
  <c r="C2298" i="1"/>
  <c r="C2296" i="1"/>
  <c r="C2294" i="1"/>
  <c r="C2292" i="1"/>
  <c r="C2290" i="1"/>
  <c r="C2288" i="1"/>
  <c r="C2286" i="1"/>
  <c r="C2284" i="1"/>
  <c r="C2282" i="1"/>
  <c r="C2280" i="1"/>
  <c r="C2278" i="1"/>
  <c r="C2276" i="1"/>
  <c r="C2274" i="1"/>
  <c r="C2272" i="1"/>
  <c r="C2270" i="1"/>
  <c r="C2268" i="1"/>
  <c r="C2266" i="1"/>
  <c r="C2264" i="1"/>
  <c r="C2262" i="1"/>
  <c r="C2260" i="1"/>
  <c r="C2258" i="1"/>
  <c r="C2256" i="1"/>
  <c r="C2254" i="1"/>
  <c r="C2252" i="1"/>
  <c r="C2250" i="1"/>
  <c r="C2248" i="1"/>
  <c r="C2246" i="1"/>
  <c r="C2244" i="1"/>
  <c r="C2242" i="1"/>
  <c r="C2240" i="1"/>
  <c r="C2238" i="1"/>
  <c r="C2236" i="1"/>
  <c r="C2234" i="1"/>
  <c r="C2232" i="1"/>
  <c r="C2230" i="1"/>
  <c r="C2228" i="1"/>
  <c r="C2226" i="1"/>
  <c r="C2224" i="1"/>
  <c r="C2222" i="1"/>
  <c r="C2220" i="1"/>
  <c r="C2218" i="1"/>
  <c r="C2216" i="1"/>
  <c r="C2214" i="1"/>
  <c r="C2212" i="1"/>
  <c r="C2210" i="1"/>
  <c r="C2208" i="1"/>
  <c r="C2206" i="1"/>
  <c r="C2204" i="1"/>
  <c r="C2202" i="1"/>
  <c r="C2200" i="1"/>
  <c r="C2198" i="1"/>
  <c r="C2196" i="1"/>
  <c r="C2194" i="1"/>
  <c r="C2192" i="1"/>
  <c r="C2190" i="1"/>
  <c r="C2188" i="1"/>
  <c r="C2186" i="1"/>
  <c r="C2184" i="1"/>
  <c r="C2182" i="1"/>
  <c r="C2180" i="1"/>
  <c r="C2178" i="1"/>
  <c r="C2176" i="1"/>
  <c r="C2174" i="1"/>
  <c r="C2172" i="1"/>
  <c r="C2170" i="1"/>
  <c r="C2168" i="1"/>
  <c r="C2166" i="1"/>
  <c r="C2164" i="1"/>
  <c r="C2162" i="1"/>
  <c r="C2160" i="1"/>
  <c r="C2158" i="1"/>
  <c r="C2156" i="1"/>
  <c r="C2154" i="1"/>
  <c r="C2152" i="1"/>
  <c r="C2150" i="1"/>
  <c r="C2148" i="1"/>
  <c r="C2146" i="1"/>
  <c r="C2144" i="1"/>
  <c r="C2142" i="1"/>
  <c r="C2140" i="1"/>
  <c r="C2138" i="1"/>
  <c r="C2136" i="1"/>
  <c r="C2134" i="1"/>
  <c r="C2132" i="1"/>
  <c r="C2130" i="1"/>
  <c r="C2128" i="1"/>
  <c r="C2126" i="1"/>
  <c r="C2124" i="1"/>
  <c r="C2122" i="1"/>
  <c r="C2120" i="1"/>
  <c r="C2118" i="1"/>
  <c r="C2116" i="1"/>
  <c r="C2114" i="1"/>
  <c r="C2112" i="1"/>
  <c r="C2110" i="1"/>
  <c r="C2108" i="1"/>
  <c r="C2106" i="1"/>
  <c r="C2104" i="1"/>
  <c r="C2102" i="1"/>
  <c r="C2100" i="1"/>
  <c r="C2098" i="1"/>
  <c r="C2096" i="1"/>
  <c r="C2094" i="1"/>
  <c r="C2092" i="1"/>
  <c r="C2090" i="1"/>
  <c r="C2088" i="1"/>
  <c r="C2086" i="1"/>
  <c r="C2084" i="1"/>
  <c r="C2082" i="1"/>
  <c r="C2080" i="1"/>
  <c r="C2078" i="1"/>
  <c r="C2076" i="1"/>
  <c r="C2074" i="1"/>
  <c r="C2072" i="1"/>
  <c r="C2070" i="1"/>
  <c r="C2068" i="1"/>
  <c r="C2066" i="1"/>
  <c r="C2064" i="1"/>
  <c r="C2062" i="1"/>
  <c r="C2060" i="1"/>
  <c r="C2058" i="1"/>
  <c r="C2056" i="1"/>
  <c r="C2054" i="1"/>
  <c r="C2052" i="1"/>
  <c r="C2050" i="1"/>
  <c r="C2048" i="1"/>
  <c r="C2046" i="1"/>
  <c r="C2044" i="1"/>
  <c r="C2042" i="1"/>
  <c r="C2040" i="1"/>
  <c r="C2038" i="1"/>
  <c r="C2036" i="1"/>
  <c r="C2034" i="1"/>
  <c r="C2032" i="1"/>
  <c r="C2030" i="1"/>
  <c r="C2028" i="1"/>
  <c r="C2026" i="1"/>
  <c r="C2024" i="1"/>
  <c r="C2022" i="1"/>
  <c r="C2020" i="1"/>
  <c r="C2018" i="1"/>
  <c r="C2016" i="1"/>
  <c r="C2014" i="1"/>
  <c r="C2012" i="1"/>
  <c r="C2010" i="1"/>
  <c r="C2008" i="1"/>
  <c r="C2006" i="1"/>
  <c r="C2004" i="1"/>
  <c r="C2002" i="1"/>
  <c r="C2000" i="1"/>
  <c r="C1998" i="1"/>
  <c r="C1996" i="1"/>
  <c r="C1994" i="1"/>
  <c r="C1992" i="1"/>
  <c r="C1990" i="1"/>
  <c r="C1988" i="1"/>
  <c r="C1986" i="1"/>
  <c r="C1984" i="1"/>
  <c r="C1982" i="1"/>
  <c r="C1980" i="1"/>
  <c r="C1978" i="1"/>
  <c r="C1976" i="1"/>
  <c r="C1974" i="1"/>
  <c r="C1972" i="1"/>
  <c r="C1970" i="1"/>
  <c r="C1968" i="1"/>
  <c r="C1966" i="1"/>
  <c r="C1964" i="1"/>
  <c r="C1962" i="1"/>
  <c r="C1960" i="1"/>
  <c r="C1958" i="1"/>
  <c r="C1956" i="1"/>
  <c r="C1954" i="1"/>
  <c r="C1952" i="1"/>
  <c r="C1950" i="1"/>
  <c r="C1948" i="1"/>
  <c r="C1946" i="1"/>
  <c r="C1944" i="1"/>
  <c r="C1942" i="1"/>
  <c r="C1940" i="1"/>
  <c r="C1938" i="1"/>
  <c r="C1936" i="1"/>
  <c r="C1934" i="1"/>
  <c r="C1932" i="1"/>
  <c r="C1930" i="1"/>
  <c r="C1928" i="1"/>
  <c r="C1926" i="1"/>
  <c r="C1924" i="1"/>
  <c r="C1922" i="1"/>
  <c r="C1920" i="1"/>
  <c r="C1918" i="1"/>
  <c r="C1916" i="1"/>
  <c r="C1914" i="1"/>
  <c r="C1912" i="1"/>
  <c r="C1910" i="1"/>
  <c r="C1908" i="1"/>
  <c r="C1906" i="1"/>
  <c r="C1904" i="1"/>
  <c r="C1902" i="1"/>
  <c r="C1900" i="1"/>
  <c r="C1898" i="1"/>
  <c r="C1896" i="1"/>
  <c r="C1894" i="1"/>
  <c r="C1892" i="1"/>
  <c r="C1890" i="1"/>
  <c r="C1888" i="1"/>
  <c r="C1886" i="1"/>
  <c r="C1884" i="1"/>
  <c r="C1882" i="1"/>
  <c r="C1880" i="1"/>
  <c r="C1878" i="1"/>
  <c r="C1876" i="1"/>
  <c r="C1874" i="1"/>
  <c r="C1872" i="1"/>
  <c r="C1870" i="1"/>
  <c r="C1868" i="1"/>
  <c r="C1866" i="1"/>
  <c r="C1864" i="1"/>
  <c r="C1862" i="1"/>
  <c r="C1860" i="1"/>
  <c r="C1858" i="1"/>
  <c r="C1856" i="1"/>
  <c r="C1854" i="1"/>
  <c r="C1852" i="1"/>
  <c r="C1850" i="1"/>
  <c r="C1848" i="1"/>
  <c r="C1846" i="1"/>
  <c r="C1844" i="1"/>
  <c r="C1842" i="1"/>
  <c r="C1840" i="1"/>
  <c r="C1838" i="1"/>
  <c r="C1836" i="1"/>
  <c r="C1834" i="1"/>
  <c r="C1832" i="1"/>
  <c r="C1830" i="1"/>
  <c r="C1828" i="1"/>
  <c r="C1826" i="1"/>
  <c r="C1824" i="1"/>
  <c r="C1822" i="1"/>
  <c r="C1820" i="1"/>
  <c r="C1818" i="1"/>
  <c r="C1816" i="1"/>
  <c r="C1814" i="1"/>
  <c r="C1812" i="1"/>
  <c r="C1810" i="1"/>
  <c r="C1808" i="1"/>
  <c r="C1806" i="1"/>
  <c r="C1804" i="1"/>
  <c r="C1802" i="1"/>
  <c r="C1800" i="1"/>
  <c r="C1798" i="1"/>
  <c r="C1796" i="1"/>
  <c r="C1794" i="1"/>
  <c r="C1792" i="1"/>
  <c r="C1790" i="1"/>
  <c r="C1788" i="1"/>
  <c r="C1786" i="1"/>
  <c r="C1784" i="1"/>
  <c r="C1782" i="1"/>
  <c r="C1780" i="1"/>
  <c r="C1778" i="1"/>
  <c r="C1776" i="1"/>
  <c r="C1774" i="1"/>
  <c r="C1772" i="1"/>
  <c r="C1770" i="1"/>
  <c r="C1768" i="1"/>
  <c r="C1766" i="1"/>
  <c r="C1764" i="1"/>
  <c r="C1762" i="1"/>
  <c r="C1760" i="1"/>
  <c r="C1758" i="1"/>
  <c r="C1756" i="1"/>
  <c r="C1754" i="1"/>
  <c r="C1752" i="1"/>
  <c r="C1750" i="1"/>
  <c r="C1748" i="1"/>
  <c r="C1746" i="1"/>
  <c r="C1744" i="1"/>
  <c r="C1742" i="1"/>
  <c r="C1740" i="1"/>
  <c r="C1738" i="1"/>
  <c r="C1736" i="1"/>
  <c r="C1734" i="1"/>
  <c r="C1732" i="1"/>
  <c r="C1730" i="1"/>
  <c r="C1728" i="1"/>
  <c r="C1726" i="1"/>
  <c r="C1724" i="1"/>
  <c r="C1722" i="1"/>
  <c r="C1720" i="1"/>
  <c r="C1718" i="1"/>
  <c r="C1716" i="1"/>
  <c r="C1714" i="1"/>
  <c r="C1712" i="1"/>
  <c r="C1710" i="1"/>
  <c r="C1708" i="1"/>
  <c r="C1706" i="1"/>
  <c r="C1704" i="1"/>
  <c r="C1702" i="1"/>
  <c r="C1700" i="1"/>
  <c r="C1698" i="1"/>
  <c r="C1696" i="1"/>
  <c r="C1694" i="1"/>
  <c r="C1692" i="1"/>
  <c r="C1690" i="1"/>
  <c r="C1688" i="1"/>
  <c r="C1686" i="1"/>
  <c r="C1684" i="1"/>
  <c r="C1682" i="1"/>
  <c r="C1680" i="1"/>
  <c r="C1678" i="1"/>
  <c r="C1676" i="1"/>
  <c r="C1674" i="1"/>
  <c r="C1672" i="1"/>
  <c r="C1670" i="1"/>
  <c r="C1668" i="1"/>
  <c r="C1666" i="1"/>
  <c r="C1664" i="1"/>
  <c r="C1662" i="1"/>
  <c r="C1660" i="1"/>
  <c r="C1658" i="1"/>
  <c r="C1656" i="1"/>
  <c r="C1654" i="1"/>
  <c r="C1652" i="1"/>
  <c r="C1650" i="1"/>
  <c r="C1648" i="1"/>
  <c r="C1646" i="1"/>
  <c r="C1644" i="1"/>
  <c r="C1642" i="1"/>
  <c r="C1640" i="1"/>
  <c r="C1638" i="1"/>
  <c r="C1636" i="1"/>
  <c r="C1634" i="1"/>
  <c r="C1632" i="1"/>
  <c r="C1630" i="1"/>
  <c r="C1628" i="1"/>
  <c r="C1626" i="1"/>
  <c r="C1624" i="1"/>
  <c r="C1622" i="1"/>
  <c r="C1620" i="1"/>
  <c r="C1618" i="1"/>
  <c r="C1616" i="1"/>
  <c r="C1614" i="1"/>
  <c r="C1612" i="1"/>
  <c r="C1610" i="1"/>
  <c r="C1608" i="1"/>
  <c r="C1606" i="1"/>
  <c r="C1604" i="1"/>
  <c r="C1602" i="1"/>
  <c r="C1600" i="1"/>
  <c r="C1598" i="1"/>
  <c r="C1596" i="1"/>
  <c r="C1594" i="1"/>
  <c r="C1592" i="1"/>
  <c r="C1590" i="1"/>
  <c r="C1588" i="1"/>
  <c r="C1586" i="1"/>
  <c r="C1584" i="1"/>
  <c r="C1582" i="1"/>
  <c r="C1580" i="1"/>
  <c r="C1578" i="1"/>
  <c r="C1576" i="1"/>
  <c r="C1574" i="1"/>
  <c r="C1572" i="1"/>
  <c r="C1570" i="1"/>
  <c r="C1568" i="1"/>
  <c r="C1566" i="1"/>
  <c r="C1564" i="1"/>
  <c r="C1562" i="1"/>
  <c r="C1560" i="1"/>
  <c r="C1558" i="1"/>
  <c r="C1556" i="1"/>
  <c r="C1554" i="1"/>
  <c r="C1552" i="1"/>
  <c r="C1550" i="1"/>
  <c r="C1548" i="1"/>
  <c r="C1546" i="1"/>
  <c r="C1544" i="1"/>
  <c r="C1542" i="1"/>
  <c r="C1540" i="1"/>
  <c r="C1538" i="1"/>
  <c r="C1536" i="1"/>
  <c r="C1534" i="1"/>
  <c r="C1532" i="1"/>
  <c r="C1530" i="1"/>
  <c r="C1528" i="1"/>
  <c r="C1526" i="1"/>
  <c r="C1524" i="1"/>
  <c r="C1522" i="1"/>
  <c r="C1520" i="1"/>
  <c r="C1518" i="1"/>
  <c r="C1516" i="1"/>
  <c r="C1514" i="1"/>
  <c r="C1512" i="1"/>
  <c r="C1510" i="1"/>
  <c r="C1508" i="1"/>
  <c r="C1506" i="1"/>
  <c r="C1504" i="1"/>
  <c r="C1502" i="1"/>
  <c r="C1500" i="1"/>
  <c r="C1498" i="1"/>
  <c r="C1496" i="1"/>
  <c r="C1494" i="1"/>
  <c r="C1492" i="1"/>
  <c r="C1490" i="1"/>
  <c r="C1488" i="1"/>
  <c r="C1486" i="1"/>
  <c r="C1484" i="1"/>
  <c r="C1482" i="1"/>
  <c r="C1480" i="1"/>
  <c r="C1478" i="1"/>
  <c r="C1476" i="1"/>
  <c r="C1474" i="1"/>
  <c r="C1472" i="1"/>
  <c r="C1470" i="1"/>
  <c r="C1468" i="1"/>
  <c r="C1466" i="1"/>
  <c r="C1464" i="1"/>
  <c r="C1462" i="1"/>
  <c r="C1460" i="1"/>
  <c r="C1458" i="1"/>
  <c r="C1456" i="1"/>
  <c r="C1454" i="1"/>
  <c r="C1452" i="1"/>
  <c r="C1450" i="1"/>
  <c r="C1448" i="1"/>
  <c r="C1446" i="1"/>
  <c r="C1444" i="1"/>
  <c r="C1442" i="1"/>
  <c r="C1440" i="1"/>
  <c r="C1438" i="1"/>
  <c r="C1436" i="1"/>
  <c r="C1434" i="1"/>
  <c r="C1432" i="1"/>
  <c r="C1430" i="1"/>
  <c r="C1428" i="1"/>
  <c r="C1426" i="1"/>
  <c r="C1424" i="1"/>
  <c r="C1422" i="1"/>
  <c r="C1420" i="1"/>
  <c r="C1418" i="1"/>
  <c r="C1416" i="1"/>
  <c r="C1414" i="1"/>
  <c r="C1412" i="1"/>
  <c r="C1410" i="1"/>
  <c r="C1408" i="1"/>
  <c r="C1406" i="1"/>
  <c r="C1404" i="1"/>
  <c r="C1402" i="1"/>
  <c r="C1400" i="1"/>
  <c r="C1398" i="1"/>
  <c r="C1396" i="1"/>
  <c r="C1394" i="1"/>
  <c r="C1392" i="1"/>
  <c r="C1390" i="1"/>
  <c r="C1388" i="1"/>
  <c r="C1386" i="1"/>
  <c r="C1384" i="1"/>
  <c r="C1382" i="1"/>
  <c r="C1380" i="1"/>
  <c r="C1378" i="1"/>
  <c r="C1376" i="1"/>
  <c r="C1374" i="1"/>
  <c r="C1372" i="1"/>
  <c r="C1370" i="1"/>
  <c r="C1368" i="1"/>
  <c r="C1366" i="1"/>
  <c r="C1364" i="1"/>
  <c r="C1362" i="1"/>
  <c r="C1360" i="1"/>
  <c r="C1358" i="1"/>
  <c r="C1356" i="1"/>
  <c r="C1354" i="1"/>
  <c r="C1352" i="1"/>
  <c r="C1350" i="1"/>
  <c r="C1348" i="1"/>
  <c r="C1346" i="1"/>
  <c r="C1344" i="1"/>
  <c r="C1342" i="1"/>
  <c r="C1340" i="1"/>
  <c r="C1338" i="1"/>
  <c r="C1336" i="1"/>
  <c r="C1334" i="1"/>
  <c r="C1332" i="1"/>
  <c r="C1330" i="1"/>
  <c r="C1328" i="1"/>
  <c r="C1326" i="1"/>
  <c r="C1324" i="1"/>
  <c r="C1322" i="1"/>
  <c r="C1320" i="1"/>
  <c r="C1318" i="1"/>
  <c r="C1316" i="1"/>
  <c r="C1314" i="1"/>
  <c r="C1312" i="1"/>
  <c r="C1310" i="1"/>
  <c r="C1308" i="1"/>
  <c r="C1306" i="1"/>
  <c r="C1304" i="1"/>
  <c r="C1302" i="1"/>
  <c r="C1300" i="1"/>
  <c r="C1298" i="1"/>
  <c r="C1296" i="1"/>
  <c r="C1294" i="1"/>
  <c r="C1292" i="1"/>
  <c r="C1290" i="1"/>
  <c r="C1288" i="1"/>
  <c r="C1286" i="1"/>
  <c r="C1284" i="1"/>
  <c r="C1282" i="1"/>
  <c r="C1280" i="1"/>
  <c r="C1278" i="1"/>
  <c r="C1276" i="1"/>
  <c r="C1274" i="1"/>
  <c r="C1272" i="1"/>
  <c r="C1270" i="1"/>
  <c r="C1268" i="1"/>
  <c r="C1266" i="1"/>
  <c r="C1264" i="1"/>
  <c r="C1262" i="1"/>
  <c r="C1260" i="1"/>
  <c r="C1258" i="1"/>
  <c r="C1256" i="1"/>
  <c r="C1254" i="1"/>
  <c r="C1252" i="1"/>
  <c r="C1250" i="1"/>
  <c r="C1248" i="1"/>
  <c r="C1246" i="1"/>
  <c r="C1244" i="1"/>
  <c r="C1242" i="1"/>
  <c r="C1240" i="1"/>
  <c r="C1238" i="1"/>
  <c r="C1236" i="1"/>
  <c r="C1234" i="1"/>
  <c r="C1232" i="1"/>
  <c r="C1230" i="1"/>
  <c r="C1228" i="1"/>
  <c r="C1226" i="1"/>
  <c r="C1224" i="1"/>
  <c r="C1222" i="1"/>
  <c r="C1220" i="1"/>
  <c r="C1218" i="1"/>
  <c r="C1216" i="1"/>
  <c r="C1214" i="1"/>
  <c r="C1212" i="1"/>
  <c r="C1210" i="1"/>
  <c r="C1208" i="1"/>
  <c r="C1206" i="1"/>
  <c r="C1204" i="1"/>
  <c r="C1202" i="1"/>
  <c r="C1200" i="1"/>
  <c r="C1198" i="1"/>
  <c r="C1196" i="1"/>
  <c r="C1194" i="1"/>
  <c r="C1192" i="1"/>
  <c r="C1190" i="1"/>
  <c r="C1188" i="1"/>
  <c r="C1186" i="1"/>
  <c r="C1184" i="1"/>
  <c r="C1182" i="1"/>
  <c r="C1180" i="1"/>
  <c r="C1178" i="1"/>
  <c r="C1176" i="1"/>
  <c r="C1174" i="1"/>
  <c r="C1172" i="1"/>
  <c r="C1170" i="1"/>
  <c r="C1168" i="1"/>
  <c r="C1166" i="1"/>
  <c r="C1164" i="1"/>
  <c r="C1162" i="1"/>
  <c r="C1160" i="1"/>
  <c r="C1158" i="1"/>
  <c r="C1156" i="1"/>
  <c r="C1154" i="1"/>
  <c r="C1152" i="1"/>
  <c r="C1150" i="1"/>
  <c r="C1148" i="1"/>
  <c r="C1146" i="1"/>
  <c r="C1144" i="1"/>
  <c r="C1142" i="1"/>
  <c r="C1140" i="1"/>
  <c r="C1138" i="1"/>
  <c r="C1136" i="1"/>
  <c r="C1134" i="1"/>
  <c r="C1132" i="1"/>
  <c r="C1130" i="1"/>
  <c r="C1128" i="1"/>
  <c r="C1126" i="1"/>
  <c r="C1124" i="1"/>
  <c r="C1122" i="1"/>
  <c r="C1120" i="1"/>
  <c r="C1118" i="1"/>
  <c r="C1116" i="1"/>
  <c r="C1114" i="1"/>
  <c r="C1112" i="1"/>
  <c r="C1110" i="1"/>
  <c r="C1108" i="1"/>
  <c r="C1106" i="1"/>
  <c r="C1104" i="1"/>
  <c r="C1102" i="1"/>
  <c r="C1100" i="1"/>
  <c r="C1098" i="1"/>
  <c r="C1096" i="1"/>
  <c r="C1094" i="1"/>
  <c r="C1092" i="1"/>
  <c r="C1090" i="1"/>
  <c r="C1088" i="1"/>
  <c r="C1086" i="1"/>
  <c r="C1084" i="1"/>
  <c r="C1082" i="1"/>
  <c r="C1080" i="1"/>
  <c r="C1078" i="1"/>
  <c r="C1076" i="1"/>
  <c r="C1074" i="1"/>
  <c r="C1072" i="1"/>
  <c r="C1070" i="1"/>
  <c r="C1068" i="1"/>
  <c r="C1066" i="1"/>
  <c r="C1064" i="1"/>
  <c r="C1062" i="1"/>
  <c r="C1060" i="1"/>
  <c r="C1058" i="1"/>
  <c r="C1056" i="1"/>
  <c r="C1054" i="1"/>
  <c r="C1052" i="1"/>
  <c r="C1050" i="1"/>
  <c r="C1048" i="1"/>
  <c r="C1046" i="1"/>
  <c r="C1044" i="1"/>
  <c r="C1042" i="1"/>
  <c r="C1040" i="1"/>
  <c r="C1038" i="1"/>
  <c r="C1036" i="1"/>
  <c r="C1034" i="1"/>
  <c r="C1032" i="1"/>
  <c r="C1030" i="1"/>
  <c r="C1028" i="1"/>
  <c r="C1026" i="1"/>
  <c r="C1024" i="1"/>
  <c r="C1022" i="1"/>
  <c r="C1020" i="1"/>
  <c r="C1018" i="1"/>
  <c r="C1016" i="1"/>
  <c r="C1014" i="1"/>
  <c r="C1012" i="1"/>
  <c r="C1010" i="1"/>
  <c r="C1008" i="1"/>
  <c r="C1006" i="1"/>
  <c r="C1004" i="1"/>
  <c r="C1002" i="1"/>
  <c r="C1000" i="1"/>
  <c r="C998" i="1"/>
  <c r="C996" i="1"/>
  <c r="C994" i="1"/>
  <c r="C992" i="1"/>
  <c r="C990" i="1"/>
  <c r="C988" i="1"/>
  <c r="C986" i="1"/>
  <c r="C984" i="1"/>
  <c r="C982" i="1"/>
  <c r="C980" i="1"/>
  <c r="C978" i="1"/>
  <c r="C976" i="1"/>
  <c r="C974" i="1"/>
  <c r="C972" i="1"/>
  <c r="C970" i="1"/>
  <c r="C968" i="1"/>
  <c r="C966" i="1"/>
  <c r="C964" i="1"/>
  <c r="C962" i="1"/>
  <c r="C960" i="1"/>
  <c r="C958" i="1"/>
  <c r="C956" i="1"/>
  <c r="C954" i="1"/>
  <c r="C952" i="1"/>
  <c r="C950" i="1"/>
  <c r="C948" i="1"/>
  <c r="C946" i="1"/>
  <c r="C944" i="1"/>
  <c r="C942" i="1"/>
  <c r="C940" i="1"/>
  <c r="C938" i="1"/>
  <c r="C936" i="1"/>
  <c r="C934" i="1"/>
  <c r="C932" i="1"/>
  <c r="C930" i="1"/>
  <c r="C928" i="1"/>
  <c r="C926" i="1"/>
  <c r="C924" i="1"/>
  <c r="C922" i="1"/>
  <c r="C920" i="1"/>
  <c r="C918" i="1"/>
  <c r="C916" i="1"/>
  <c r="C914" i="1"/>
  <c r="C912" i="1"/>
  <c r="C910" i="1"/>
  <c r="C908" i="1"/>
  <c r="C906" i="1"/>
  <c r="C904" i="1"/>
  <c r="C902" i="1"/>
  <c r="C900" i="1"/>
  <c r="C898" i="1"/>
  <c r="C896" i="1"/>
  <c r="C894" i="1"/>
  <c r="C892" i="1"/>
  <c r="C890" i="1"/>
  <c r="C888" i="1"/>
  <c r="C886" i="1"/>
  <c r="C884" i="1"/>
  <c r="C882" i="1"/>
  <c r="C880" i="1"/>
  <c r="C878" i="1"/>
  <c r="C876" i="1"/>
  <c r="C874" i="1"/>
  <c r="C872" i="1"/>
  <c r="C870" i="1"/>
  <c r="C868" i="1"/>
  <c r="C866" i="1"/>
  <c r="C864" i="1"/>
  <c r="C862" i="1"/>
  <c r="C860" i="1"/>
  <c r="C858" i="1"/>
  <c r="C856" i="1"/>
  <c r="C854" i="1"/>
  <c r="C852" i="1"/>
  <c r="C850" i="1"/>
  <c r="C848" i="1"/>
  <c r="C846" i="1"/>
  <c r="C844" i="1"/>
  <c r="C842" i="1"/>
  <c r="C840" i="1"/>
  <c r="C838" i="1"/>
  <c r="C836" i="1"/>
  <c r="C834" i="1"/>
  <c r="C832" i="1"/>
  <c r="C830" i="1"/>
  <c r="C828" i="1"/>
  <c r="C826" i="1"/>
  <c r="C824" i="1"/>
  <c r="C822" i="1"/>
  <c r="C820" i="1"/>
  <c r="C818" i="1"/>
  <c r="C816" i="1"/>
  <c r="C814" i="1"/>
  <c r="C812" i="1"/>
  <c r="C810" i="1"/>
  <c r="C808" i="1"/>
  <c r="C806" i="1"/>
  <c r="C804" i="1"/>
  <c r="C802" i="1"/>
  <c r="C800" i="1"/>
  <c r="C798" i="1"/>
  <c r="C796" i="1"/>
  <c r="C794" i="1"/>
  <c r="C792" i="1"/>
  <c r="C790" i="1"/>
  <c r="C788" i="1"/>
  <c r="C786" i="1"/>
  <c r="C784" i="1"/>
  <c r="C782" i="1"/>
  <c r="C780" i="1"/>
  <c r="C778" i="1"/>
  <c r="C776" i="1"/>
  <c r="C774" i="1"/>
  <c r="C772" i="1"/>
  <c r="C770" i="1"/>
  <c r="C768" i="1"/>
  <c r="C766" i="1"/>
  <c r="C764" i="1"/>
  <c r="C762" i="1"/>
  <c r="C760" i="1"/>
  <c r="C758" i="1"/>
  <c r="C756" i="1"/>
  <c r="C754" i="1"/>
  <c r="C752" i="1"/>
  <c r="C750" i="1"/>
  <c r="C748" i="1"/>
  <c r="C746" i="1"/>
  <c r="C744" i="1"/>
  <c r="C742" i="1"/>
  <c r="C740" i="1"/>
  <c r="C738" i="1"/>
  <c r="C736" i="1"/>
  <c r="C734" i="1"/>
  <c r="C732" i="1"/>
  <c r="C730" i="1"/>
  <c r="C728" i="1"/>
  <c r="C726" i="1"/>
  <c r="C724" i="1"/>
  <c r="C722" i="1"/>
  <c r="C720" i="1"/>
  <c r="C718" i="1"/>
  <c r="C716" i="1"/>
  <c r="C714" i="1"/>
  <c r="C712" i="1"/>
  <c r="C710" i="1"/>
  <c r="C708" i="1"/>
  <c r="C706" i="1"/>
  <c r="C704" i="1"/>
  <c r="C702" i="1"/>
  <c r="C700" i="1"/>
  <c r="C698" i="1"/>
  <c r="C696" i="1"/>
  <c r="C694" i="1"/>
  <c r="C692" i="1"/>
  <c r="C690" i="1"/>
  <c r="C688" i="1"/>
  <c r="C686" i="1"/>
  <c r="C684" i="1"/>
  <c r="C682" i="1"/>
  <c r="C680" i="1"/>
  <c r="C678" i="1"/>
  <c r="C676" i="1"/>
  <c r="C674" i="1"/>
  <c r="C672" i="1"/>
  <c r="C670" i="1"/>
  <c r="C668" i="1"/>
  <c r="C666" i="1"/>
  <c r="C664" i="1"/>
  <c r="C662" i="1"/>
  <c r="C660" i="1"/>
  <c r="C658" i="1"/>
  <c r="C656" i="1"/>
  <c r="C654" i="1"/>
  <c r="C652" i="1"/>
  <c r="C650" i="1"/>
  <c r="C648" i="1"/>
  <c r="C646" i="1"/>
  <c r="C644" i="1"/>
  <c r="C642" i="1"/>
  <c r="C640" i="1"/>
  <c r="C638" i="1"/>
  <c r="C636" i="1"/>
  <c r="C634" i="1"/>
  <c r="C632" i="1"/>
  <c r="C630" i="1"/>
  <c r="C628" i="1"/>
  <c r="C626" i="1"/>
  <c r="C624" i="1"/>
  <c r="C622" i="1"/>
  <c r="C620" i="1"/>
  <c r="C618" i="1"/>
  <c r="C616" i="1"/>
  <c r="C614" i="1"/>
  <c r="C612" i="1"/>
  <c r="C610" i="1"/>
  <c r="C608" i="1"/>
  <c r="C606" i="1"/>
  <c r="C604" i="1"/>
  <c r="C602" i="1"/>
  <c r="C600" i="1"/>
  <c r="C598" i="1"/>
  <c r="C596" i="1"/>
  <c r="C594" i="1"/>
  <c r="C592" i="1"/>
  <c r="C590" i="1"/>
  <c r="C588" i="1"/>
  <c r="C586" i="1"/>
  <c r="C584" i="1"/>
  <c r="C582" i="1"/>
  <c r="C580" i="1"/>
  <c r="C578" i="1"/>
  <c r="C576" i="1"/>
  <c r="C574" i="1"/>
  <c r="C572" i="1"/>
  <c r="C570" i="1"/>
  <c r="C568" i="1"/>
  <c r="C566" i="1"/>
  <c r="C564" i="1"/>
  <c r="C562" i="1"/>
  <c r="C560" i="1"/>
  <c r="C558" i="1"/>
  <c r="C556" i="1"/>
  <c r="C554" i="1"/>
  <c r="C552" i="1"/>
  <c r="C550" i="1"/>
  <c r="C548" i="1"/>
  <c r="C546" i="1"/>
  <c r="C544" i="1"/>
  <c r="C542" i="1"/>
  <c r="C540" i="1"/>
  <c r="C538" i="1"/>
  <c r="C536" i="1"/>
  <c r="C534" i="1"/>
  <c r="C532" i="1"/>
  <c r="C530" i="1"/>
  <c r="C528" i="1"/>
  <c r="C526" i="1"/>
  <c r="C524" i="1"/>
  <c r="C522" i="1"/>
  <c r="C520" i="1"/>
  <c r="C518" i="1"/>
  <c r="C516" i="1"/>
  <c r="C514" i="1"/>
  <c r="C512" i="1"/>
  <c r="C510" i="1"/>
  <c r="C508" i="1"/>
  <c r="C506" i="1"/>
  <c r="C504" i="1"/>
  <c r="C502" i="1"/>
  <c r="C500" i="1"/>
  <c r="C498" i="1"/>
  <c r="C496" i="1"/>
  <c r="C494" i="1"/>
  <c r="C492" i="1"/>
  <c r="C490" i="1"/>
  <c r="C488" i="1"/>
  <c r="C486" i="1"/>
  <c r="C484" i="1"/>
  <c r="C482" i="1"/>
  <c r="C480" i="1"/>
  <c r="C478" i="1"/>
  <c r="C476" i="1"/>
  <c r="C474" i="1"/>
  <c r="C472" i="1"/>
  <c r="C470" i="1"/>
  <c r="C468" i="1"/>
  <c r="C466" i="1"/>
  <c r="C464" i="1"/>
  <c r="C462" i="1"/>
  <c r="C460" i="1"/>
  <c r="C458" i="1"/>
  <c r="C456" i="1"/>
  <c r="C454" i="1"/>
  <c r="C452" i="1"/>
  <c r="C450" i="1"/>
  <c r="C448" i="1"/>
  <c r="C446" i="1"/>
  <c r="C444" i="1"/>
  <c r="C442" i="1"/>
  <c r="C440" i="1"/>
  <c r="C438" i="1"/>
  <c r="C436" i="1"/>
  <c r="C434" i="1"/>
  <c r="C432" i="1"/>
  <c r="C430" i="1"/>
  <c r="C428" i="1"/>
  <c r="C426" i="1"/>
  <c r="C424" i="1"/>
  <c r="C422" i="1"/>
  <c r="C420" i="1"/>
  <c r="C418" i="1"/>
  <c r="C416" i="1"/>
  <c r="C414" i="1"/>
  <c r="C412" i="1"/>
  <c r="C410" i="1"/>
  <c r="C408" i="1"/>
  <c r="C406" i="1"/>
  <c r="C404" i="1"/>
  <c r="C402" i="1"/>
  <c r="C400" i="1"/>
  <c r="C398" i="1"/>
  <c r="C396" i="1"/>
  <c r="C394" i="1"/>
  <c r="C392" i="1"/>
  <c r="C390" i="1"/>
  <c r="C388" i="1"/>
  <c r="C386" i="1"/>
  <c r="C384" i="1"/>
  <c r="C382" i="1"/>
  <c r="C380" i="1"/>
  <c r="C378" i="1"/>
  <c r="C376" i="1"/>
  <c r="C374" i="1"/>
  <c r="C372" i="1"/>
  <c r="C370" i="1"/>
  <c r="C368" i="1"/>
  <c r="C366" i="1"/>
  <c r="C364" i="1"/>
  <c r="C362" i="1"/>
  <c r="C360" i="1"/>
  <c r="C358" i="1"/>
  <c r="C356" i="1"/>
  <c r="C354" i="1"/>
  <c r="C352" i="1"/>
  <c r="C350" i="1"/>
  <c r="C348" i="1"/>
  <c r="C346" i="1"/>
  <c r="C344" i="1"/>
  <c r="C342" i="1"/>
  <c r="C340" i="1"/>
  <c r="C338" i="1"/>
  <c r="C336" i="1"/>
  <c r="C334" i="1"/>
  <c r="C332" i="1"/>
  <c r="C330" i="1"/>
  <c r="C328" i="1"/>
  <c r="C326" i="1"/>
  <c r="C324" i="1"/>
  <c r="C322" i="1"/>
  <c r="C320" i="1"/>
  <c r="C318" i="1"/>
  <c r="C316" i="1"/>
  <c r="C314" i="1"/>
  <c r="C312" i="1"/>
  <c r="C310" i="1"/>
  <c r="C308" i="1"/>
  <c r="C306" i="1"/>
  <c r="C304" i="1"/>
  <c r="C302" i="1"/>
  <c r="C300" i="1"/>
  <c r="C298" i="1"/>
  <c r="C296" i="1"/>
  <c r="C294" i="1"/>
  <c r="C292" i="1"/>
  <c r="C290" i="1"/>
  <c r="C288" i="1"/>
  <c r="C286" i="1"/>
  <c r="C284" i="1"/>
  <c r="C282" i="1"/>
  <c r="C280" i="1"/>
  <c r="C278" i="1"/>
  <c r="C276" i="1"/>
  <c r="C274" i="1"/>
  <c r="C272" i="1"/>
  <c r="C270" i="1"/>
  <c r="C268" i="1"/>
  <c r="C266" i="1"/>
  <c r="C264" i="1"/>
  <c r="C262" i="1"/>
  <c r="C260" i="1"/>
  <c r="C258" i="1"/>
  <c r="C256" i="1"/>
  <c r="C254" i="1"/>
  <c r="C252" i="1"/>
  <c r="C250" i="1"/>
  <c r="C248" i="1"/>
  <c r="C246" i="1"/>
  <c r="C244" i="1"/>
  <c r="C242" i="1"/>
  <c r="C240" i="1"/>
  <c r="C238" i="1"/>
  <c r="C236" i="1"/>
  <c r="C234" i="1"/>
  <c r="C232" i="1"/>
  <c r="C230" i="1"/>
  <c r="C228" i="1"/>
  <c r="C226" i="1"/>
  <c r="C224" i="1"/>
  <c r="C222" i="1"/>
  <c r="C220" i="1"/>
  <c r="C218" i="1"/>
  <c r="C216" i="1"/>
  <c r="C214" i="1"/>
  <c r="C212" i="1"/>
  <c r="C210" i="1"/>
  <c r="C208" i="1"/>
  <c r="C206" i="1"/>
  <c r="C204" i="1"/>
  <c r="C202" i="1"/>
  <c r="C200" i="1"/>
  <c r="C198" i="1"/>
  <c r="C196" i="1"/>
  <c r="C194" i="1"/>
  <c r="C192" i="1"/>
  <c r="C190" i="1"/>
  <c r="C188" i="1"/>
  <c r="C186" i="1"/>
  <c r="C184" i="1"/>
  <c r="C182" i="1"/>
  <c r="C180" i="1"/>
  <c r="C178" i="1"/>
  <c r="C176" i="1"/>
  <c r="C174" i="1"/>
  <c r="C172" i="1"/>
  <c r="C170" i="1"/>
  <c r="C168" i="1"/>
  <c r="C166" i="1"/>
  <c r="C164" i="1"/>
  <c r="C162" i="1"/>
  <c r="C160" i="1"/>
  <c r="C158" i="1"/>
  <c r="C156" i="1"/>
  <c r="C154" i="1"/>
  <c r="C152" i="1"/>
  <c r="C150" i="1"/>
  <c r="C148" i="1"/>
  <c r="C146" i="1"/>
  <c r="C144" i="1"/>
  <c r="C142" i="1"/>
  <c r="C140" i="1"/>
  <c r="C138" i="1"/>
  <c r="C136" i="1"/>
  <c r="C134" i="1"/>
  <c r="C132" i="1"/>
  <c r="C130" i="1"/>
  <c r="C128" i="1"/>
  <c r="C126" i="1"/>
  <c r="C124" i="1"/>
  <c r="C122" i="1"/>
  <c r="C120" i="1"/>
  <c r="C118" i="1"/>
  <c r="C116" i="1"/>
  <c r="C114" i="1"/>
  <c r="C112" i="1"/>
  <c r="C110" i="1"/>
  <c r="C108" i="1"/>
  <c r="C106" i="1"/>
  <c r="C104" i="1"/>
  <c r="C102" i="1"/>
  <c r="C100" i="1"/>
  <c r="C98" i="1"/>
  <c r="C96" i="1"/>
  <c r="C94" i="1"/>
  <c r="C92" i="1"/>
  <c r="C90" i="1"/>
  <c r="C88" i="1"/>
  <c r="C86" i="1"/>
  <c r="C84" i="1"/>
  <c r="C82" i="1"/>
  <c r="C80" i="1"/>
  <c r="C78" i="1"/>
  <c r="C76" i="1"/>
  <c r="C74" i="1"/>
  <c r="C72" i="1"/>
  <c r="C70" i="1"/>
  <c r="C68" i="1"/>
  <c r="C66" i="1"/>
  <c r="C64" i="1"/>
  <c r="C62" i="1"/>
  <c r="C60" i="1"/>
  <c r="C58" i="1"/>
  <c r="C56" i="1"/>
  <c r="C54" i="1"/>
  <c r="C52" i="1"/>
  <c r="C50" i="1"/>
  <c r="C48" i="1"/>
  <c r="C46" i="1"/>
  <c r="C44" i="1"/>
  <c r="C42" i="1"/>
  <c r="C40" i="1"/>
  <c r="C38" i="1"/>
  <c r="C36" i="1"/>
  <c r="C34" i="1"/>
  <c r="C32" i="1"/>
  <c r="C30" i="1"/>
  <c r="C28" i="1"/>
  <c r="C26" i="1"/>
  <c r="C24" i="1"/>
  <c r="C22" i="1"/>
  <c r="C20" i="1"/>
  <c r="C18" i="1"/>
  <c r="C16" i="1"/>
  <c r="C14" i="1"/>
  <c r="C12" i="1"/>
  <c r="C10" i="1"/>
  <c r="C8" i="1"/>
  <c r="C9619" i="1"/>
  <c r="C9617" i="1"/>
  <c r="C9615" i="1"/>
  <c r="C9613" i="1"/>
  <c r="C9611" i="1"/>
  <c r="C9609" i="1"/>
  <c r="C9607" i="1"/>
  <c r="C9605" i="1"/>
  <c r="C9603" i="1"/>
  <c r="C9601" i="1"/>
  <c r="C9599" i="1"/>
  <c r="C9597" i="1"/>
  <c r="C9595" i="1"/>
  <c r="C9593" i="1"/>
  <c r="C9591" i="1"/>
  <c r="C9589" i="1"/>
  <c r="C9587" i="1"/>
  <c r="C9585" i="1"/>
  <c r="C9583" i="1"/>
  <c r="C9581" i="1"/>
  <c r="C9579" i="1"/>
  <c r="C9577" i="1"/>
  <c r="C9575" i="1"/>
  <c r="C9573" i="1"/>
  <c r="C9571" i="1"/>
  <c r="C9569" i="1"/>
  <c r="C9567" i="1"/>
  <c r="C9565" i="1"/>
  <c r="C9563" i="1"/>
  <c r="C9561" i="1"/>
  <c r="C9559" i="1"/>
  <c r="C9557" i="1"/>
  <c r="C9555" i="1"/>
  <c r="C9553" i="1"/>
  <c r="C9551" i="1"/>
  <c r="C9549" i="1"/>
  <c r="C9547" i="1"/>
  <c r="C9545" i="1"/>
  <c r="C9543" i="1"/>
  <c r="C9541" i="1"/>
  <c r="C9539" i="1"/>
  <c r="C9537" i="1"/>
  <c r="C9535" i="1"/>
  <c r="C9533" i="1"/>
  <c r="C9531" i="1"/>
  <c r="C9529" i="1"/>
  <c r="C9527" i="1"/>
  <c r="C9525" i="1"/>
  <c r="C9523" i="1"/>
  <c r="C9521" i="1"/>
  <c r="C9519" i="1"/>
  <c r="C9517" i="1"/>
  <c r="C9515" i="1"/>
  <c r="C9513" i="1"/>
  <c r="C9511" i="1"/>
  <c r="C9509" i="1"/>
  <c r="C9507" i="1"/>
  <c r="C9505" i="1"/>
  <c r="C9503" i="1"/>
  <c r="C9501" i="1"/>
  <c r="C9499" i="1"/>
  <c r="C9497" i="1"/>
  <c r="C9495" i="1"/>
  <c r="C9493" i="1"/>
  <c r="C9491" i="1"/>
  <c r="C9489" i="1"/>
  <c r="C9487" i="1"/>
  <c r="C9485" i="1"/>
  <c r="C9483" i="1"/>
  <c r="C9481" i="1"/>
  <c r="C9479" i="1"/>
  <c r="C9477" i="1"/>
  <c r="C9475" i="1"/>
  <c r="C9473" i="1"/>
  <c r="C9471" i="1"/>
  <c r="C9469" i="1"/>
  <c r="C9467" i="1"/>
  <c r="C9465" i="1"/>
  <c r="C9463" i="1"/>
  <c r="C9461" i="1"/>
  <c r="C9459" i="1"/>
  <c r="C9457" i="1"/>
  <c r="C9455" i="1"/>
  <c r="C9453" i="1"/>
  <c r="C9451" i="1"/>
  <c r="C9449" i="1"/>
  <c r="C9447" i="1"/>
  <c r="C9445" i="1"/>
  <c r="C9443" i="1"/>
  <c r="C9441" i="1"/>
  <c r="C9439" i="1"/>
  <c r="C9437" i="1"/>
  <c r="C9435" i="1"/>
  <c r="C9433" i="1"/>
  <c r="C9431" i="1"/>
  <c r="C9429" i="1"/>
  <c r="C9427" i="1"/>
  <c r="C9425" i="1"/>
  <c r="C9423" i="1"/>
  <c r="C9421" i="1"/>
  <c r="C9419" i="1"/>
  <c r="C9417" i="1"/>
  <c r="C9415" i="1"/>
  <c r="C9413" i="1"/>
  <c r="C9411" i="1"/>
  <c r="C9409" i="1"/>
  <c r="C9407" i="1"/>
  <c r="C9405" i="1"/>
  <c r="C9403" i="1"/>
  <c r="C9401" i="1"/>
  <c r="C9399" i="1"/>
  <c r="C9397" i="1"/>
  <c r="C9395" i="1"/>
  <c r="C9393" i="1"/>
  <c r="C9391" i="1"/>
  <c r="C9389" i="1"/>
  <c r="C9387" i="1"/>
  <c r="C9385" i="1"/>
  <c r="C9383" i="1"/>
  <c r="C9381" i="1"/>
  <c r="C9379" i="1"/>
  <c r="C9377" i="1"/>
  <c r="C9375" i="1"/>
  <c r="C9373" i="1"/>
  <c r="C9371" i="1"/>
  <c r="C9369" i="1"/>
  <c r="C9367" i="1"/>
  <c r="C9365" i="1"/>
  <c r="C9363" i="1"/>
  <c r="C9361" i="1"/>
  <c r="C9359" i="1"/>
  <c r="C9357" i="1"/>
  <c r="C9355" i="1"/>
  <c r="C9353" i="1"/>
  <c r="C9351" i="1"/>
  <c r="C9349" i="1"/>
  <c r="C9347" i="1"/>
  <c r="C9345" i="1"/>
  <c r="C9343" i="1"/>
  <c r="C9341" i="1"/>
  <c r="C9339" i="1"/>
  <c r="C9337" i="1"/>
  <c r="C9335" i="1"/>
  <c r="C9333" i="1"/>
  <c r="C9331" i="1"/>
  <c r="C9329" i="1"/>
  <c r="C9327" i="1"/>
  <c r="C9325" i="1"/>
  <c r="C9323" i="1"/>
  <c r="C9321" i="1"/>
  <c r="C9319" i="1"/>
  <c r="C9317" i="1"/>
  <c r="C9315" i="1"/>
  <c r="C9313" i="1"/>
  <c r="C9311" i="1"/>
  <c r="C9309" i="1"/>
  <c r="C9307" i="1"/>
  <c r="C9305" i="1"/>
  <c r="C9303" i="1"/>
  <c r="C9301" i="1"/>
  <c r="C9299" i="1"/>
  <c r="C9297" i="1"/>
  <c r="C9295" i="1"/>
  <c r="C9293" i="1"/>
  <c r="C9291" i="1"/>
  <c r="C9289" i="1"/>
  <c r="C9287" i="1"/>
  <c r="C9285" i="1"/>
  <c r="C9283" i="1"/>
  <c r="C9281" i="1"/>
  <c r="C9279" i="1"/>
  <c r="C9277" i="1"/>
  <c r="C9275" i="1"/>
  <c r="C9273" i="1"/>
  <c r="C9271" i="1"/>
  <c r="C9269" i="1"/>
  <c r="C9267" i="1"/>
  <c r="C9265" i="1"/>
  <c r="C9263" i="1"/>
  <c r="C9261" i="1"/>
  <c r="C9259" i="1"/>
  <c r="C9257" i="1"/>
  <c r="C9255" i="1"/>
  <c r="C9253" i="1"/>
  <c r="C9251" i="1"/>
  <c r="C9249" i="1"/>
  <c r="C9247" i="1"/>
  <c r="C9245" i="1"/>
  <c r="C9243" i="1"/>
  <c r="C9241" i="1"/>
  <c r="C9239" i="1"/>
  <c r="C9237" i="1"/>
  <c r="C9235" i="1"/>
  <c r="C9233" i="1"/>
  <c r="C9231" i="1"/>
  <c r="C9229" i="1"/>
  <c r="C9227" i="1"/>
  <c r="C9225" i="1"/>
  <c r="C9223" i="1"/>
  <c r="C9221" i="1"/>
  <c r="C9219" i="1"/>
  <c r="C9217" i="1"/>
  <c r="C9215" i="1"/>
  <c r="C9213" i="1"/>
  <c r="C9211" i="1"/>
  <c r="C9209" i="1"/>
  <c r="C9207" i="1"/>
  <c r="C9205" i="1"/>
  <c r="C9203" i="1"/>
  <c r="C9201" i="1"/>
  <c r="C9199" i="1"/>
  <c r="C9197" i="1"/>
  <c r="C9195" i="1"/>
  <c r="C9193" i="1"/>
  <c r="C9191" i="1"/>
  <c r="C9189" i="1"/>
  <c r="C9187" i="1"/>
  <c r="C9185" i="1"/>
  <c r="C9183" i="1"/>
  <c r="C9181" i="1"/>
  <c r="C9179" i="1"/>
  <c r="C9177" i="1"/>
  <c r="C9175" i="1"/>
  <c r="C9173" i="1"/>
  <c r="C9171" i="1"/>
  <c r="C9169" i="1"/>
  <c r="C9167" i="1"/>
  <c r="C9165" i="1"/>
  <c r="C9163" i="1"/>
  <c r="C9161" i="1"/>
  <c r="C9159" i="1"/>
  <c r="C9157" i="1"/>
  <c r="C9155" i="1"/>
  <c r="C9153" i="1"/>
  <c r="C9151" i="1"/>
  <c r="C9149" i="1"/>
  <c r="C9147" i="1"/>
  <c r="C9145" i="1"/>
  <c r="C9143" i="1"/>
  <c r="C9141" i="1"/>
  <c r="C9139" i="1"/>
  <c r="C9137" i="1"/>
  <c r="C9135" i="1"/>
  <c r="C9133" i="1"/>
  <c r="C9131" i="1"/>
  <c r="C9129" i="1"/>
  <c r="C9127" i="1"/>
  <c r="C9125" i="1"/>
  <c r="C9123" i="1"/>
  <c r="C9121" i="1"/>
  <c r="C9119" i="1"/>
  <c r="C9117" i="1"/>
  <c r="C9115" i="1"/>
  <c r="C9113" i="1"/>
  <c r="C9111" i="1"/>
  <c r="C9109" i="1"/>
  <c r="C9107" i="1"/>
  <c r="C9105" i="1"/>
  <c r="C9103" i="1"/>
  <c r="C9101" i="1"/>
  <c r="C9099" i="1"/>
  <c r="C9097" i="1"/>
  <c r="C9095" i="1"/>
  <c r="C9093" i="1"/>
  <c r="C9091" i="1"/>
  <c r="C9089" i="1"/>
  <c r="C9087" i="1"/>
  <c r="C9085" i="1"/>
  <c r="C9083" i="1"/>
  <c r="C9081" i="1"/>
  <c r="C9079" i="1"/>
  <c r="C9077" i="1"/>
  <c r="C9075" i="1"/>
  <c r="C9073" i="1"/>
  <c r="C9071" i="1"/>
  <c r="C9069" i="1"/>
  <c r="C9067" i="1"/>
  <c r="C9065" i="1"/>
  <c r="C9063" i="1"/>
  <c r="C9061" i="1"/>
  <c r="C9059" i="1"/>
  <c r="C9057" i="1"/>
  <c r="C9055" i="1"/>
  <c r="C9053" i="1"/>
  <c r="C9051" i="1"/>
  <c r="C9049" i="1"/>
  <c r="C9047" i="1"/>
  <c r="C9045" i="1"/>
  <c r="C9043" i="1"/>
  <c r="C9041" i="1"/>
  <c r="C9039" i="1"/>
  <c r="C9037" i="1"/>
  <c r="C9035" i="1"/>
  <c r="C9033" i="1"/>
  <c r="C9031" i="1"/>
  <c r="C9029" i="1"/>
  <c r="C9027" i="1"/>
  <c r="C9025" i="1"/>
  <c r="C9023" i="1"/>
  <c r="C9021" i="1"/>
  <c r="C9019" i="1"/>
  <c r="C9017" i="1"/>
  <c r="C9015" i="1"/>
  <c r="C9013" i="1"/>
  <c r="C9011" i="1"/>
  <c r="C9009" i="1"/>
  <c r="C9007" i="1"/>
  <c r="C9005" i="1"/>
  <c r="C9003" i="1"/>
  <c r="C9001" i="1"/>
  <c r="C8999" i="1"/>
  <c r="C8997" i="1"/>
  <c r="C8995" i="1"/>
  <c r="C8993" i="1"/>
  <c r="C8991" i="1"/>
  <c r="C8989" i="1"/>
  <c r="C8987" i="1"/>
  <c r="C8985" i="1"/>
  <c r="C8983" i="1"/>
  <c r="C8981" i="1"/>
  <c r="C8979" i="1"/>
  <c r="C8977" i="1"/>
  <c r="C8975" i="1"/>
  <c r="C8973" i="1"/>
  <c r="C8971" i="1"/>
  <c r="C8969" i="1"/>
  <c r="C8967" i="1"/>
  <c r="C8965" i="1"/>
  <c r="C8963" i="1"/>
  <c r="C8961" i="1"/>
  <c r="C8959" i="1"/>
  <c r="C8957" i="1"/>
  <c r="C8955" i="1"/>
  <c r="C8953" i="1"/>
  <c r="C8951" i="1"/>
  <c r="C8949" i="1"/>
  <c r="C8947" i="1"/>
  <c r="C8945" i="1"/>
  <c r="C8943" i="1"/>
  <c r="C8941" i="1"/>
  <c r="C8939" i="1"/>
  <c r="C8937" i="1"/>
  <c r="C8935" i="1"/>
  <c r="C8933" i="1"/>
  <c r="C8931" i="1"/>
  <c r="C8929" i="1"/>
  <c r="C8927" i="1"/>
  <c r="C8925" i="1"/>
  <c r="C8923" i="1"/>
  <c r="C8921" i="1"/>
  <c r="C8919" i="1"/>
  <c r="C8917" i="1"/>
  <c r="C8915" i="1"/>
  <c r="C8913" i="1"/>
  <c r="C8911" i="1"/>
  <c r="C8909" i="1"/>
  <c r="C8907" i="1"/>
  <c r="C8905" i="1"/>
  <c r="C8903" i="1"/>
  <c r="C8901" i="1"/>
  <c r="C8899" i="1"/>
  <c r="C8897" i="1"/>
  <c r="C8895" i="1"/>
  <c r="C8893" i="1"/>
  <c r="C8891" i="1"/>
  <c r="C8889" i="1"/>
  <c r="C8887" i="1"/>
  <c r="C8885" i="1"/>
  <c r="C8883" i="1"/>
  <c r="C8881" i="1"/>
  <c r="C8879" i="1"/>
  <c r="C8877" i="1"/>
  <c r="C8875" i="1"/>
  <c r="C8873" i="1"/>
  <c r="C8871" i="1"/>
  <c r="C8869" i="1"/>
  <c r="C8867" i="1"/>
  <c r="C8865" i="1"/>
  <c r="C8863" i="1"/>
  <c r="C8861" i="1"/>
  <c r="C8859" i="1"/>
  <c r="C8857" i="1"/>
  <c r="C8855" i="1"/>
  <c r="C8853" i="1"/>
  <c r="C8851" i="1"/>
  <c r="C8849" i="1"/>
  <c r="C8847" i="1"/>
  <c r="C8845" i="1"/>
  <c r="C8843" i="1"/>
  <c r="C8841" i="1"/>
  <c r="C8839" i="1"/>
  <c r="C8837" i="1"/>
  <c r="C8835" i="1"/>
  <c r="C8833" i="1"/>
  <c r="C8831" i="1"/>
  <c r="C8829" i="1"/>
  <c r="C8827" i="1"/>
  <c r="C8825" i="1"/>
  <c r="C8823" i="1"/>
  <c r="C8821" i="1"/>
  <c r="C8819" i="1"/>
  <c r="C8817" i="1"/>
  <c r="C8815" i="1"/>
  <c r="C8813" i="1"/>
  <c r="C8811" i="1"/>
  <c r="C8809" i="1"/>
  <c r="C8807" i="1"/>
  <c r="C8805" i="1"/>
  <c r="C8803" i="1"/>
  <c r="C8801" i="1"/>
  <c r="C8799" i="1"/>
  <c r="C8797" i="1"/>
  <c r="C8795" i="1"/>
  <c r="C8793" i="1"/>
  <c r="C8791" i="1"/>
  <c r="C8789" i="1"/>
  <c r="C8787" i="1"/>
  <c r="C8785" i="1"/>
  <c r="C8783" i="1"/>
  <c r="C8781" i="1"/>
  <c r="C8779" i="1"/>
  <c r="C8777" i="1"/>
  <c r="C8775" i="1"/>
  <c r="C8773" i="1"/>
  <c r="C8771" i="1"/>
  <c r="C8769" i="1"/>
  <c r="C8767" i="1"/>
  <c r="C8765" i="1"/>
  <c r="C8763" i="1"/>
  <c r="C8761" i="1"/>
  <c r="C8759" i="1"/>
  <c r="C8757" i="1"/>
  <c r="C8755" i="1"/>
  <c r="C8753" i="1"/>
  <c r="C8751" i="1"/>
  <c r="C8749" i="1"/>
  <c r="C8747" i="1"/>
  <c r="C8745" i="1"/>
  <c r="C8743" i="1"/>
  <c r="C8741" i="1"/>
  <c r="C8739" i="1"/>
  <c r="C8737" i="1"/>
  <c r="C8735" i="1"/>
  <c r="C8733" i="1"/>
  <c r="C8731" i="1"/>
  <c r="C8729" i="1"/>
  <c r="C8727" i="1"/>
  <c r="C8725" i="1"/>
  <c r="C8723" i="1"/>
  <c r="C8721" i="1"/>
  <c r="C8719" i="1"/>
  <c r="C8717" i="1"/>
  <c r="C8715" i="1"/>
  <c r="C8713" i="1"/>
  <c r="C8711" i="1"/>
  <c r="C8709" i="1"/>
  <c r="C8707" i="1"/>
  <c r="C8705" i="1"/>
  <c r="C8703" i="1"/>
  <c r="C8701" i="1"/>
  <c r="C8699" i="1"/>
  <c r="C8697" i="1"/>
  <c r="C8695" i="1"/>
  <c r="C8693" i="1"/>
  <c r="C8691" i="1"/>
  <c r="C8689" i="1"/>
  <c r="C8687" i="1"/>
  <c r="C8685" i="1"/>
  <c r="C8683" i="1"/>
  <c r="C8681" i="1"/>
  <c r="C8679" i="1"/>
  <c r="C8677" i="1"/>
  <c r="C8675" i="1"/>
  <c r="C8673" i="1"/>
  <c r="C8671" i="1"/>
  <c r="C8669" i="1"/>
  <c r="C8667" i="1"/>
  <c r="C8665" i="1"/>
  <c r="C8663" i="1"/>
  <c r="C8661" i="1"/>
  <c r="C8659" i="1"/>
  <c r="C8657" i="1"/>
  <c r="C8655" i="1"/>
  <c r="C8653" i="1"/>
  <c r="C8651" i="1"/>
  <c r="C8649" i="1"/>
  <c r="C8647" i="1"/>
  <c r="C8645" i="1"/>
  <c r="C8643" i="1"/>
  <c r="C8641" i="1"/>
  <c r="C8639" i="1"/>
  <c r="C8637" i="1"/>
  <c r="C8635" i="1"/>
  <c r="C8633" i="1"/>
  <c r="C8631" i="1"/>
  <c r="C8629" i="1"/>
  <c r="C8627" i="1"/>
  <c r="C8625" i="1"/>
  <c r="C8623" i="1"/>
  <c r="C8621" i="1"/>
  <c r="C8619" i="1"/>
  <c r="C8617" i="1"/>
  <c r="C8615" i="1"/>
  <c r="C8613" i="1"/>
  <c r="C8611" i="1"/>
  <c r="C8609" i="1"/>
  <c r="C8607" i="1"/>
  <c r="C8605" i="1"/>
  <c r="C8603" i="1"/>
  <c r="C8601" i="1"/>
  <c r="C8599" i="1"/>
  <c r="C8597" i="1"/>
  <c r="C8595" i="1"/>
  <c r="C8593" i="1"/>
  <c r="C8591" i="1"/>
  <c r="C8589" i="1"/>
  <c r="C8587" i="1"/>
  <c r="C8585" i="1"/>
  <c r="C8583" i="1"/>
  <c r="C8581" i="1"/>
  <c r="C8579" i="1"/>
  <c r="C8577" i="1"/>
  <c r="C8575" i="1"/>
  <c r="C8573" i="1"/>
  <c r="C8571" i="1"/>
  <c r="C8569" i="1"/>
  <c r="C8567" i="1"/>
  <c r="C8565" i="1"/>
  <c r="C8563" i="1"/>
  <c r="C8561" i="1"/>
  <c r="C8559" i="1"/>
  <c r="C8557" i="1"/>
  <c r="C8555" i="1"/>
  <c r="C8553" i="1"/>
  <c r="C8551" i="1"/>
  <c r="C8549" i="1"/>
  <c r="C8547" i="1"/>
  <c r="C8545" i="1"/>
  <c r="C8543" i="1"/>
  <c r="C8541" i="1"/>
  <c r="C8539" i="1"/>
  <c r="C8537" i="1"/>
  <c r="C8535" i="1"/>
  <c r="C8533" i="1"/>
  <c r="C8531" i="1"/>
  <c r="C8529" i="1"/>
  <c r="C8527" i="1"/>
  <c r="C8525" i="1"/>
  <c r="C8523" i="1"/>
  <c r="C8521" i="1"/>
  <c r="C8519" i="1"/>
  <c r="C8517" i="1"/>
  <c r="C8515" i="1"/>
  <c r="C8513" i="1"/>
  <c r="C8511" i="1"/>
  <c r="C8509" i="1"/>
  <c r="C8507" i="1"/>
  <c r="C8505" i="1"/>
  <c r="C8503" i="1"/>
  <c r="C8501" i="1"/>
  <c r="C8499" i="1"/>
  <c r="C8497" i="1"/>
  <c r="C8495" i="1"/>
  <c r="C8493" i="1"/>
  <c r="C8491" i="1"/>
  <c r="C8489" i="1"/>
  <c r="C8487" i="1"/>
  <c r="C8485" i="1"/>
  <c r="C8483" i="1"/>
  <c r="C8481" i="1"/>
  <c r="C8479" i="1"/>
  <c r="C8477" i="1"/>
  <c r="C8475" i="1"/>
  <c r="C8473" i="1"/>
  <c r="C8471" i="1"/>
  <c r="C8469" i="1"/>
  <c r="C8467" i="1"/>
  <c r="C8465" i="1"/>
  <c r="C8463" i="1"/>
  <c r="C8461" i="1"/>
  <c r="C8459" i="1"/>
  <c r="C8457" i="1"/>
  <c r="C8455" i="1"/>
  <c r="C8453" i="1"/>
  <c r="C8451" i="1"/>
  <c r="C8449" i="1"/>
  <c r="C8447" i="1"/>
  <c r="C8445" i="1"/>
  <c r="C8443" i="1"/>
  <c r="C8441" i="1"/>
  <c r="C8439" i="1"/>
  <c r="C8437" i="1"/>
  <c r="C8435" i="1"/>
  <c r="C8433" i="1"/>
  <c r="C8431" i="1"/>
  <c r="C8429" i="1"/>
  <c r="C8427" i="1"/>
  <c r="C8425" i="1"/>
  <c r="C8423" i="1"/>
  <c r="C8421" i="1"/>
  <c r="C8419" i="1"/>
  <c r="C8417" i="1"/>
  <c r="C8415" i="1"/>
  <c r="C8413" i="1"/>
  <c r="C8411" i="1"/>
  <c r="C8409" i="1"/>
  <c r="C8407" i="1"/>
  <c r="C8405" i="1"/>
  <c r="C8403" i="1"/>
  <c r="C8401" i="1"/>
  <c r="C8399" i="1"/>
  <c r="C8397" i="1"/>
  <c r="C8395" i="1"/>
  <c r="C8393" i="1"/>
  <c r="C8391" i="1"/>
  <c r="C8389" i="1"/>
  <c r="C8387" i="1"/>
  <c r="C8385" i="1"/>
  <c r="C8383" i="1"/>
  <c r="C8381" i="1"/>
  <c r="C8379" i="1"/>
  <c r="C8377" i="1"/>
  <c r="C8375" i="1"/>
  <c r="C8373" i="1"/>
  <c r="C8371" i="1"/>
  <c r="C8369" i="1"/>
  <c r="C8367" i="1"/>
  <c r="C8365" i="1"/>
  <c r="C8363" i="1"/>
  <c r="C8361" i="1"/>
  <c r="C8359" i="1"/>
  <c r="C8357" i="1"/>
  <c r="C8355" i="1"/>
  <c r="C8353" i="1"/>
  <c r="C8351" i="1"/>
  <c r="C8349" i="1"/>
  <c r="C8347" i="1"/>
  <c r="C8345" i="1"/>
  <c r="C8343" i="1"/>
  <c r="C8341" i="1"/>
  <c r="C8339" i="1"/>
  <c r="C8337" i="1"/>
  <c r="C8335" i="1"/>
  <c r="C8333" i="1"/>
  <c r="C8331" i="1"/>
  <c r="C8329" i="1"/>
  <c r="C8327" i="1"/>
  <c r="C8325" i="1"/>
  <c r="C8323" i="1"/>
  <c r="C8321" i="1"/>
  <c r="C8319" i="1"/>
  <c r="C8317" i="1"/>
  <c r="C8315" i="1"/>
  <c r="C8313" i="1"/>
  <c r="C8311" i="1"/>
  <c r="C8309" i="1"/>
  <c r="C8307" i="1"/>
  <c r="C8305" i="1"/>
  <c r="C8303" i="1"/>
  <c r="C8301" i="1"/>
  <c r="C8299" i="1"/>
  <c r="C8297" i="1"/>
  <c r="C8295" i="1"/>
  <c r="C8293" i="1"/>
  <c r="C8291" i="1"/>
  <c r="C8289" i="1"/>
  <c r="C8287" i="1"/>
  <c r="C8285" i="1"/>
  <c r="C8283" i="1"/>
  <c r="C8281" i="1"/>
  <c r="C8279" i="1"/>
  <c r="C8277" i="1"/>
  <c r="C8275" i="1"/>
  <c r="C8273" i="1"/>
  <c r="C8271" i="1"/>
  <c r="C8269" i="1"/>
  <c r="C8267" i="1"/>
  <c r="C8265" i="1"/>
  <c r="C8263" i="1"/>
  <c r="C8261" i="1"/>
  <c r="C8259" i="1"/>
  <c r="C8257" i="1"/>
  <c r="C8255" i="1"/>
  <c r="C8253" i="1"/>
  <c r="C8251" i="1"/>
  <c r="C8249" i="1"/>
  <c r="C8247" i="1"/>
  <c r="C8245" i="1"/>
  <c r="C8243" i="1"/>
  <c r="C8241" i="1"/>
  <c r="C8239" i="1"/>
  <c r="C8237" i="1"/>
  <c r="C8235" i="1"/>
  <c r="C8233" i="1"/>
  <c r="C8231" i="1"/>
  <c r="C8229" i="1"/>
  <c r="C8227" i="1"/>
  <c r="C8225" i="1"/>
  <c r="C8223" i="1"/>
  <c r="C8221" i="1"/>
  <c r="C8219" i="1"/>
  <c r="C8217" i="1"/>
  <c r="C8215" i="1"/>
  <c r="C8213" i="1"/>
  <c r="C8211" i="1"/>
  <c r="C8209" i="1"/>
  <c r="C8207" i="1"/>
  <c r="C8205" i="1"/>
  <c r="C8203" i="1"/>
  <c r="C8201" i="1"/>
  <c r="C8199" i="1"/>
  <c r="C8197" i="1"/>
  <c r="C8195" i="1"/>
  <c r="C8193" i="1"/>
  <c r="C8191" i="1"/>
  <c r="C8189" i="1"/>
  <c r="C8187" i="1"/>
  <c r="C8185" i="1"/>
  <c r="C8183" i="1"/>
  <c r="C8181" i="1"/>
  <c r="C8179" i="1"/>
  <c r="C8177" i="1"/>
  <c r="C8175" i="1"/>
  <c r="C8173" i="1"/>
  <c r="C8171" i="1"/>
  <c r="C8169" i="1"/>
  <c r="C8167" i="1"/>
  <c r="C8165" i="1"/>
  <c r="C8163" i="1"/>
  <c r="C8161" i="1"/>
  <c r="C8159" i="1"/>
  <c r="C8157" i="1"/>
  <c r="C8155" i="1"/>
  <c r="C8153" i="1"/>
  <c r="C8151" i="1"/>
  <c r="C8149" i="1"/>
  <c r="C8147" i="1"/>
  <c r="C8145" i="1"/>
  <c r="C8143" i="1"/>
  <c r="C8141" i="1"/>
  <c r="C8139" i="1"/>
  <c r="C8137" i="1"/>
  <c r="C8135" i="1"/>
  <c r="C8133" i="1"/>
  <c r="C8131" i="1"/>
  <c r="C8129" i="1"/>
  <c r="C8127" i="1"/>
  <c r="C8125" i="1"/>
  <c r="C8123" i="1"/>
  <c r="C8121" i="1"/>
  <c r="C8119" i="1"/>
  <c r="C8117" i="1"/>
  <c r="C8115" i="1"/>
  <c r="C8113" i="1"/>
  <c r="C8111" i="1"/>
  <c r="C8109" i="1"/>
  <c r="C8107" i="1"/>
  <c r="C8105" i="1"/>
  <c r="C8103" i="1"/>
  <c r="C8101" i="1"/>
  <c r="C8099" i="1"/>
  <c r="C8097" i="1"/>
  <c r="C8095" i="1"/>
  <c r="C8093" i="1"/>
  <c r="C8091" i="1"/>
  <c r="C8089" i="1"/>
  <c r="C8087" i="1"/>
  <c r="C8085" i="1"/>
  <c r="C8083" i="1"/>
  <c r="C8081" i="1"/>
  <c r="C8079" i="1"/>
  <c r="C8077" i="1"/>
  <c r="C8075" i="1"/>
  <c r="C8073" i="1"/>
  <c r="C8071" i="1"/>
  <c r="C8069" i="1"/>
  <c r="C8067" i="1"/>
  <c r="C8065" i="1"/>
  <c r="C8063" i="1"/>
  <c r="C8061" i="1"/>
  <c r="C8059" i="1"/>
  <c r="C8057" i="1"/>
  <c r="C8055" i="1"/>
  <c r="C8053" i="1"/>
  <c r="C8051" i="1"/>
  <c r="C8049" i="1"/>
  <c r="C8047" i="1"/>
  <c r="C8045" i="1"/>
  <c r="C8043" i="1"/>
  <c r="C8041" i="1"/>
  <c r="C8039" i="1"/>
  <c r="C8037" i="1"/>
  <c r="C8035" i="1"/>
  <c r="C8033" i="1"/>
  <c r="C8031" i="1"/>
  <c r="C8029" i="1"/>
  <c r="C8027" i="1"/>
  <c r="C8025" i="1"/>
  <c r="C8023" i="1"/>
  <c r="C8021" i="1"/>
  <c r="C8019" i="1"/>
  <c r="C8017" i="1"/>
  <c r="C8015" i="1"/>
  <c r="C8013" i="1"/>
  <c r="C8011" i="1"/>
  <c r="C8009" i="1"/>
  <c r="C8007" i="1"/>
  <c r="C8005" i="1"/>
  <c r="C8003" i="1"/>
  <c r="C8001" i="1"/>
  <c r="C7999" i="1"/>
  <c r="C7997" i="1"/>
  <c r="C7995" i="1"/>
  <c r="C7993" i="1"/>
  <c r="C7991" i="1"/>
  <c r="C7989" i="1"/>
  <c r="C7987" i="1"/>
  <c r="C7985" i="1"/>
  <c r="C7983" i="1"/>
  <c r="C7981" i="1"/>
  <c r="C7979" i="1"/>
  <c r="C7977" i="1"/>
  <c r="C7975" i="1"/>
  <c r="C7973" i="1"/>
  <c r="C7971" i="1"/>
  <c r="C7969" i="1"/>
  <c r="C7967" i="1"/>
  <c r="C7965" i="1"/>
  <c r="C7963" i="1"/>
  <c r="C7961" i="1"/>
  <c r="C7959" i="1"/>
  <c r="C7957" i="1"/>
  <c r="C7955" i="1"/>
  <c r="C7953" i="1"/>
  <c r="C7951" i="1"/>
  <c r="C7949" i="1"/>
  <c r="C7947" i="1"/>
  <c r="C7945" i="1"/>
  <c r="C7943" i="1"/>
  <c r="C7941" i="1"/>
  <c r="C7939" i="1"/>
  <c r="C7937" i="1"/>
  <c r="C7935" i="1"/>
  <c r="C7933" i="1"/>
  <c r="C7931" i="1"/>
  <c r="C7929" i="1"/>
  <c r="C7927" i="1"/>
  <c r="C7925" i="1"/>
  <c r="C7923" i="1"/>
  <c r="C7921" i="1"/>
  <c r="C7919" i="1"/>
  <c r="C7917" i="1"/>
  <c r="C7915" i="1"/>
  <c r="C7913" i="1"/>
  <c r="C7911" i="1"/>
  <c r="C7909" i="1"/>
  <c r="C7907" i="1"/>
  <c r="C7905" i="1"/>
  <c r="C7903" i="1"/>
  <c r="C7901" i="1"/>
  <c r="C7899" i="1"/>
  <c r="C7897" i="1"/>
  <c r="C7895" i="1"/>
  <c r="C7893" i="1"/>
  <c r="C7891" i="1"/>
  <c r="C7889" i="1"/>
  <c r="C7887" i="1"/>
  <c r="C7885" i="1"/>
  <c r="C7883" i="1"/>
  <c r="C7881" i="1"/>
  <c r="C7879" i="1"/>
  <c r="C7877" i="1"/>
  <c r="C7875" i="1"/>
  <c r="C7873" i="1"/>
  <c r="C7871" i="1"/>
  <c r="C7869" i="1"/>
  <c r="C7867" i="1"/>
  <c r="C7865" i="1"/>
  <c r="C7863" i="1"/>
  <c r="C7861" i="1"/>
  <c r="C7859" i="1"/>
  <c r="C7857" i="1"/>
  <c r="C7855" i="1"/>
  <c r="C7853" i="1"/>
  <c r="C7851" i="1"/>
  <c r="C7849" i="1"/>
  <c r="C7847" i="1"/>
  <c r="C7845" i="1"/>
  <c r="C7843" i="1"/>
  <c r="C7841" i="1"/>
  <c r="C7839" i="1"/>
  <c r="C7837" i="1"/>
  <c r="C7835" i="1"/>
  <c r="C7833" i="1"/>
  <c r="C7831" i="1"/>
  <c r="C7829" i="1"/>
  <c r="C7827" i="1"/>
  <c r="C7825" i="1"/>
  <c r="C7823" i="1"/>
  <c r="C7821" i="1"/>
  <c r="C7819" i="1"/>
  <c r="C7817" i="1"/>
  <c r="C7815" i="1"/>
  <c r="C7813" i="1"/>
  <c r="C7811" i="1"/>
  <c r="C7809" i="1"/>
  <c r="C7807" i="1"/>
  <c r="C7805" i="1"/>
  <c r="C7803" i="1"/>
  <c r="C7801" i="1"/>
  <c r="C7799" i="1"/>
  <c r="C7797" i="1"/>
  <c r="C7795" i="1"/>
  <c r="C7793" i="1"/>
  <c r="C7791" i="1"/>
  <c r="C7789" i="1"/>
  <c r="C7787" i="1"/>
  <c r="C7785" i="1"/>
  <c r="C7783" i="1"/>
  <c r="C7781" i="1"/>
  <c r="C7779" i="1"/>
  <c r="C7777" i="1"/>
  <c r="C7775" i="1"/>
  <c r="C7773" i="1"/>
  <c r="C7771" i="1"/>
  <c r="C7769" i="1"/>
  <c r="C7767" i="1"/>
  <c r="C7765" i="1"/>
  <c r="C7763" i="1"/>
  <c r="C7761" i="1"/>
  <c r="C7759" i="1"/>
  <c r="C7757" i="1"/>
  <c r="C7755" i="1"/>
  <c r="C7753" i="1"/>
  <c r="C7751" i="1"/>
  <c r="C7749" i="1"/>
  <c r="C7747" i="1"/>
  <c r="C7745" i="1"/>
  <c r="C7743" i="1"/>
  <c r="C7741" i="1"/>
  <c r="C7739" i="1"/>
  <c r="C7737" i="1"/>
  <c r="C7735" i="1"/>
  <c r="C7733" i="1"/>
  <c r="C7731" i="1"/>
  <c r="C7729" i="1"/>
  <c r="C7727" i="1"/>
  <c r="C7725" i="1"/>
  <c r="C7723" i="1"/>
  <c r="C7721" i="1"/>
  <c r="C7719" i="1"/>
  <c r="C7717" i="1"/>
  <c r="C7715" i="1"/>
  <c r="C7713" i="1"/>
  <c r="C7711" i="1"/>
  <c r="C7709" i="1"/>
  <c r="C7707" i="1"/>
  <c r="C7705" i="1"/>
  <c r="C7703" i="1"/>
  <c r="C7701" i="1"/>
  <c r="C7699" i="1"/>
  <c r="C7697" i="1"/>
  <c r="C7695" i="1"/>
  <c r="C7693" i="1"/>
  <c r="C7691" i="1"/>
  <c r="C7689" i="1"/>
  <c r="C7687" i="1"/>
  <c r="C7685" i="1"/>
  <c r="C7683" i="1"/>
  <c r="C7681" i="1"/>
  <c r="C7679" i="1"/>
  <c r="C7677" i="1"/>
  <c r="C7675" i="1"/>
  <c r="C7673" i="1"/>
  <c r="C7671" i="1"/>
  <c r="C7669" i="1"/>
  <c r="C7667" i="1"/>
  <c r="C7665" i="1"/>
  <c r="C7663" i="1"/>
  <c r="C7661" i="1"/>
  <c r="C7659" i="1"/>
  <c r="C7657" i="1"/>
  <c r="C7655" i="1"/>
  <c r="C7653" i="1"/>
  <c r="C7651" i="1"/>
  <c r="C7649" i="1"/>
  <c r="C7647" i="1"/>
  <c r="C7645" i="1"/>
  <c r="C7643" i="1"/>
  <c r="C7641" i="1"/>
  <c r="C7639" i="1"/>
  <c r="C7637" i="1"/>
  <c r="C7635" i="1"/>
  <c r="C7633" i="1"/>
  <c r="C7631" i="1"/>
  <c r="C7629" i="1"/>
  <c r="C7627" i="1"/>
  <c r="C7625" i="1"/>
  <c r="C7623" i="1"/>
  <c r="C7621" i="1"/>
  <c r="C7619" i="1"/>
  <c r="C7617" i="1"/>
  <c r="C7615" i="1"/>
  <c r="C7613" i="1"/>
  <c r="C7611" i="1"/>
  <c r="C7609" i="1"/>
  <c r="C7607" i="1"/>
  <c r="C7605" i="1"/>
  <c r="C7603" i="1"/>
  <c r="C7601" i="1"/>
  <c r="C7599" i="1"/>
  <c r="C7597" i="1"/>
  <c r="C7595" i="1"/>
  <c r="C7593" i="1"/>
  <c r="C7591" i="1"/>
  <c r="C7589" i="1"/>
  <c r="C7587" i="1"/>
  <c r="C7585" i="1"/>
  <c r="C7583" i="1"/>
  <c r="C7581" i="1"/>
  <c r="C7579" i="1"/>
  <c r="C7577" i="1"/>
  <c r="C7575" i="1"/>
  <c r="C7573" i="1"/>
  <c r="C7571" i="1"/>
  <c r="C7569" i="1"/>
  <c r="C7567" i="1"/>
  <c r="C7565" i="1"/>
  <c r="C7563" i="1"/>
  <c r="C7561" i="1"/>
  <c r="C7559" i="1"/>
  <c r="C7557" i="1"/>
  <c r="C7555" i="1"/>
  <c r="C7553" i="1"/>
  <c r="C7551" i="1"/>
  <c r="C7549" i="1"/>
  <c r="C7547" i="1"/>
  <c r="C7545" i="1"/>
  <c r="C7543" i="1"/>
  <c r="C7541" i="1"/>
  <c r="C7539" i="1"/>
  <c r="C7537" i="1"/>
  <c r="C7535" i="1"/>
  <c r="C7533" i="1"/>
  <c r="C7531" i="1"/>
  <c r="C7529" i="1"/>
  <c r="C7527" i="1"/>
  <c r="C7525" i="1"/>
  <c r="C7523" i="1"/>
  <c r="C7521" i="1"/>
  <c r="C7519" i="1"/>
  <c r="C7517" i="1"/>
  <c r="C7515" i="1"/>
  <c r="C7513" i="1"/>
  <c r="C7511" i="1"/>
  <c r="C7509" i="1"/>
  <c r="C7507" i="1"/>
  <c r="C7505" i="1"/>
  <c r="C7503" i="1"/>
  <c r="C7501" i="1"/>
  <c r="C7499" i="1"/>
  <c r="C7497" i="1"/>
  <c r="C7495" i="1"/>
  <c r="C7493" i="1"/>
  <c r="C7491" i="1"/>
  <c r="C7489" i="1"/>
  <c r="C7487" i="1"/>
  <c r="C7485" i="1"/>
  <c r="C7483" i="1"/>
  <c r="C7481" i="1"/>
  <c r="C7479" i="1"/>
  <c r="C7477" i="1"/>
  <c r="C7475" i="1"/>
  <c r="C7473" i="1"/>
  <c r="C7471" i="1"/>
  <c r="C7469" i="1"/>
  <c r="C7467" i="1"/>
  <c r="C7465" i="1"/>
  <c r="C7463" i="1"/>
  <c r="C7461" i="1"/>
  <c r="C7459" i="1"/>
  <c r="C7457" i="1"/>
  <c r="C7455" i="1"/>
  <c r="C7453" i="1"/>
  <c r="C7451" i="1"/>
  <c r="C7449" i="1"/>
  <c r="C7447" i="1"/>
  <c r="C7445" i="1"/>
  <c r="C7443" i="1"/>
  <c r="C7441" i="1"/>
  <c r="C7439" i="1"/>
  <c r="C7437" i="1"/>
  <c r="C7435" i="1"/>
  <c r="C7433" i="1"/>
  <c r="C7431" i="1"/>
  <c r="C7429" i="1"/>
  <c r="C7427" i="1"/>
  <c r="C7425" i="1"/>
  <c r="C7423" i="1"/>
  <c r="C7421" i="1"/>
  <c r="C7419" i="1"/>
  <c r="C7417" i="1"/>
  <c r="C7415" i="1"/>
  <c r="C7413" i="1"/>
  <c r="C7411" i="1"/>
  <c r="C7409" i="1"/>
  <c r="C7407" i="1"/>
  <c r="C7405" i="1"/>
  <c r="C7403" i="1"/>
  <c r="C7401" i="1"/>
  <c r="C7399" i="1"/>
  <c r="C7397" i="1"/>
  <c r="C7395" i="1"/>
  <c r="C7393" i="1"/>
  <c r="C7391" i="1"/>
  <c r="C7389" i="1"/>
  <c r="C7387" i="1"/>
  <c r="C7385" i="1"/>
  <c r="C7383" i="1"/>
  <c r="C7381" i="1"/>
  <c r="C7379" i="1"/>
  <c r="C7377" i="1"/>
  <c r="C7375" i="1"/>
  <c r="C7373" i="1"/>
  <c r="C7371" i="1"/>
  <c r="C7369" i="1"/>
  <c r="C7367" i="1"/>
  <c r="C7365" i="1"/>
  <c r="C7363" i="1"/>
  <c r="C7361" i="1"/>
  <c r="C7359" i="1"/>
  <c r="C7357" i="1"/>
  <c r="C7355" i="1"/>
  <c r="C7353" i="1"/>
  <c r="C7351" i="1"/>
  <c r="C7349" i="1"/>
  <c r="C7347" i="1"/>
  <c r="C7345" i="1"/>
  <c r="C7343" i="1"/>
  <c r="C7341" i="1"/>
  <c r="C7339" i="1"/>
  <c r="C7337" i="1"/>
  <c r="C7335" i="1"/>
  <c r="C7333" i="1"/>
  <c r="C7331" i="1"/>
  <c r="C7329" i="1"/>
  <c r="C7327" i="1"/>
  <c r="C7325" i="1"/>
  <c r="C7323" i="1"/>
  <c r="C7321" i="1"/>
  <c r="C7319" i="1"/>
  <c r="C7317" i="1"/>
  <c r="C7315" i="1"/>
  <c r="C7313" i="1"/>
  <c r="C7311" i="1"/>
  <c r="C7309" i="1"/>
  <c r="C7307" i="1"/>
  <c r="C7305" i="1"/>
  <c r="C7303" i="1"/>
  <c r="C7301" i="1"/>
  <c r="C7299" i="1"/>
  <c r="C7297" i="1"/>
  <c r="C7295" i="1"/>
  <c r="C7293" i="1"/>
  <c r="C7291" i="1"/>
  <c r="C7289" i="1"/>
  <c r="C7287" i="1"/>
  <c r="C7285" i="1"/>
  <c r="C7283" i="1"/>
  <c r="C7281" i="1"/>
  <c r="C7279" i="1"/>
  <c r="C7277" i="1"/>
  <c r="C7275" i="1"/>
  <c r="C7273" i="1"/>
  <c r="C7271" i="1"/>
  <c r="C7269" i="1"/>
  <c r="C7267" i="1"/>
  <c r="C7265" i="1"/>
  <c r="C7263" i="1"/>
  <c r="C7261" i="1"/>
  <c r="C7259" i="1"/>
  <c r="C7257" i="1"/>
  <c r="C7255" i="1"/>
  <c r="C7253" i="1"/>
  <c r="C7251" i="1"/>
  <c r="C7249" i="1"/>
  <c r="C7247" i="1"/>
  <c r="C7245" i="1"/>
  <c r="C7243" i="1"/>
  <c r="C7241" i="1"/>
  <c r="C7239" i="1"/>
  <c r="C7237" i="1"/>
  <c r="C7235" i="1"/>
  <c r="C7233" i="1"/>
  <c r="C7231" i="1"/>
  <c r="C7229" i="1"/>
  <c r="C7227" i="1"/>
  <c r="C7225" i="1"/>
  <c r="C7223" i="1"/>
  <c r="C7221" i="1"/>
  <c r="C7219" i="1"/>
  <c r="C7217" i="1"/>
  <c r="C7215" i="1"/>
  <c r="C7213" i="1"/>
  <c r="C7211" i="1"/>
  <c r="C7209" i="1"/>
  <c r="C7207" i="1"/>
  <c r="C7205" i="1"/>
  <c r="C7203" i="1"/>
  <c r="C7201" i="1"/>
  <c r="C7199" i="1"/>
  <c r="C7197" i="1"/>
  <c r="C7195" i="1"/>
  <c r="C7193" i="1"/>
  <c r="C7191" i="1"/>
  <c r="C7189" i="1"/>
  <c r="C7187" i="1"/>
  <c r="C7185" i="1"/>
  <c r="C7183" i="1"/>
  <c r="C7181" i="1"/>
  <c r="C7179" i="1"/>
  <c r="C7177" i="1"/>
  <c r="C7175" i="1"/>
  <c r="C7173" i="1"/>
  <c r="C7171" i="1"/>
  <c r="C7169" i="1"/>
  <c r="C7167" i="1"/>
  <c r="C7165" i="1"/>
  <c r="C7163" i="1"/>
  <c r="C7161" i="1"/>
  <c r="C7159" i="1"/>
  <c r="C7157" i="1"/>
  <c r="C7155" i="1"/>
  <c r="C7153" i="1"/>
  <c r="C7151" i="1"/>
  <c r="C7149" i="1"/>
  <c r="C7147" i="1"/>
  <c r="C7145" i="1"/>
  <c r="C7143" i="1"/>
  <c r="C7141" i="1"/>
  <c r="C7139" i="1"/>
  <c r="C7137" i="1"/>
  <c r="C7135" i="1"/>
  <c r="C7133" i="1"/>
  <c r="C7131" i="1"/>
  <c r="C7129" i="1"/>
  <c r="C7127" i="1"/>
  <c r="C7125" i="1"/>
  <c r="C7123" i="1"/>
  <c r="C7121" i="1"/>
  <c r="C7119" i="1"/>
  <c r="C7117" i="1"/>
  <c r="C7115" i="1"/>
  <c r="C7113" i="1"/>
  <c r="C7111" i="1"/>
  <c r="C7109" i="1"/>
  <c r="C7107" i="1"/>
  <c r="C7105" i="1"/>
  <c r="C7103" i="1"/>
  <c r="C7101" i="1"/>
  <c r="C7099" i="1"/>
  <c r="C7097" i="1"/>
  <c r="C7095" i="1"/>
  <c r="C7093" i="1"/>
  <c r="C7091" i="1"/>
  <c r="C7089" i="1"/>
  <c r="C7087" i="1"/>
  <c r="C7085" i="1"/>
  <c r="C7083" i="1"/>
  <c r="C7081" i="1"/>
  <c r="C7079" i="1"/>
  <c r="C7077" i="1"/>
  <c r="C7075" i="1"/>
  <c r="C7073" i="1"/>
  <c r="C7071" i="1"/>
  <c r="C7069" i="1"/>
  <c r="C7067" i="1"/>
  <c r="C7065" i="1"/>
  <c r="C7063" i="1"/>
  <c r="C7061" i="1"/>
  <c r="C7059" i="1"/>
  <c r="C7057" i="1"/>
  <c r="C7055" i="1"/>
  <c r="C7053" i="1"/>
  <c r="C7051" i="1"/>
  <c r="C7049" i="1"/>
  <c r="C7047" i="1"/>
  <c r="C7045" i="1"/>
  <c r="C7043" i="1"/>
  <c r="C7041" i="1"/>
  <c r="C7039" i="1"/>
  <c r="C7037" i="1"/>
  <c r="C7035" i="1"/>
  <c r="C7033" i="1"/>
  <c r="C7031" i="1"/>
  <c r="C7029" i="1"/>
  <c r="C7027" i="1"/>
  <c r="C7025" i="1"/>
  <c r="C7023" i="1"/>
  <c r="C7021" i="1"/>
  <c r="C7019" i="1"/>
  <c r="C7017" i="1"/>
  <c r="C7015" i="1"/>
  <c r="C7013" i="1"/>
  <c r="C7011" i="1"/>
  <c r="C7009" i="1"/>
  <c r="C7007" i="1"/>
  <c r="C7005" i="1"/>
  <c r="C7003" i="1"/>
  <c r="C7001" i="1"/>
  <c r="C6999" i="1"/>
  <c r="C6997" i="1"/>
  <c r="C6995" i="1"/>
  <c r="C6993" i="1"/>
  <c r="C6991" i="1"/>
  <c r="C6989" i="1"/>
  <c r="C6987" i="1"/>
  <c r="C6985" i="1"/>
  <c r="C6983" i="1"/>
  <c r="C6981" i="1"/>
  <c r="C6979" i="1"/>
  <c r="C6977" i="1"/>
  <c r="C6975" i="1"/>
  <c r="C6973" i="1"/>
  <c r="C6971" i="1"/>
  <c r="C6969" i="1"/>
  <c r="C6967" i="1"/>
  <c r="C6965" i="1"/>
  <c r="C6963" i="1"/>
  <c r="C6961" i="1"/>
  <c r="C6959" i="1"/>
  <c r="C6957" i="1"/>
  <c r="C6955" i="1"/>
  <c r="C6953" i="1"/>
  <c r="C6951" i="1"/>
  <c r="C6949" i="1"/>
  <c r="C6947" i="1"/>
  <c r="C6945" i="1"/>
  <c r="C6943" i="1"/>
  <c r="C6941" i="1"/>
  <c r="C6939" i="1"/>
  <c r="C6937" i="1"/>
  <c r="C6935" i="1"/>
  <c r="C6933" i="1"/>
  <c r="C6931" i="1"/>
  <c r="C6929" i="1"/>
  <c r="C6927" i="1"/>
  <c r="C6925" i="1"/>
  <c r="C6923" i="1"/>
  <c r="C6921" i="1"/>
  <c r="C6919" i="1"/>
  <c r="C6917" i="1"/>
  <c r="C6915" i="1"/>
  <c r="C6913" i="1"/>
  <c r="C6911" i="1"/>
  <c r="C6909" i="1"/>
  <c r="C6907" i="1"/>
  <c r="C6905" i="1"/>
  <c r="C6903" i="1"/>
  <c r="C6901" i="1"/>
  <c r="C6899" i="1"/>
  <c r="C6897" i="1"/>
  <c r="C6895" i="1"/>
  <c r="C6893" i="1"/>
  <c r="C6891" i="1"/>
  <c r="C6889" i="1"/>
  <c r="C6887" i="1"/>
  <c r="C6885" i="1"/>
  <c r="C6883" i="1"/>
  <c r="C6881" i="1"/>
  <c r="C6879" i="1"/>
  <c r="C6877" i="1"/>
  <c r="C6875" i="1"/>
  <c r="C6873" i="1"/>
  <c r="C6871" i="1"/>
  <c r="C6869" i="1"/>
  <c r="C6867" i="1"/>
  <c r="C6865" i="1"/>
  <c r="C6863" i="1"/>
  <c r="C6861" i="1"/>
  <c r="C6859" i="1"/>
  <c r="C6857" i="1"/>
  <c r="C6855" i="1"/>
  <c r="C6853" i="1"/>
  <c r="C6851" i="1"/>
  <c r="C6849" i="1"/>
  <c r="C6847" i="1"/>
  <c r="C6845" i="1"/>
  <c r="C6843" i="1"/>
  <c r="C6841" i="1"/>
  <c r="C6839" i="1"/>
  <c r="C6837" i="1"/>
  <c r="C6835" i="1"/>
  <c r="C6833" i="1"/>
  <c r="C6831" i="1"/>
  <c r="C6829" i="1"/>
  <c r="C6827" i="1"/>
  <c r="C6825" i="1"/>
  <c r="C6823" i="1"/>
  <c r="C6821" i="1"/>
  <c r="C6819" i="1"/>
  <c r="C6817" i="1"/>
  <c r="C6815" i="1"/>
  <c r="C6813" i="1"/>
  <c r="C6811" i="1"/>
  <c r="C6809" i="1"/>
  <c r="C6807" i="1"/>
  <c r="C6805" i="1"/>
  <c r="C6803" i="1"/>
  <c r="C6801" i="1"/>
  <c r="C6799" i="1"/>
  <c r="C6797" i="1"/>
  <c r="C6795" i="1"/>
  <c r="C6793" i="1"/>
  <c r="C6791" i="1"/>
  <c r="C6789" i="1"/>
  <c r="C6787" i="1"/>
  <c r="C6785" i="1"/>
  <c r="C6783" i="1"/>
  <c r="C6781" i="1"/>
  <c r="C6779" i="1"/>
  <c r="C6777" i="1"/>
  <c r="C6775" i="1"/>
  <c r="C6773" i="1"/>
  <c r="C6771" i="1"/>
  <c r="C6769" i="1"/>
  <c r="C6767" i="1"/>
  <c r="C6765" i="1"/>
  <c r="C6763" i="1"/>
  <c r="C6761" i="1"/>
  <c r="C6759" i="1"/>
  <c r="C6757" i="1"/>
  <c r="C6755" i="1"/>
  <c r="C6753" i="1"/>
  <c r="C6751" i="1"/>
  <c r="C6749" i="1"/>
  <c r="C6747" i="1"/>
  <c r="C6745" i="1"/>
  <c r="C6743" i="1"/>
  <c r="C6741" i="1"/>
  <c r="C6739" i="1"/>
  <c r="C6737" i="1"/>
  <c r="C6735" i="1"/>
  <c r="C6733" i="1"/>
  <c r="C6731" i="1"/>
  <c r="C6729" i="1"/>
  <c r="C6727" i="1"/>
  <c r="C6725" i="1"/>
  <c r="C6723" i="1"/>
  <c r="C6721" i="1"/>
  <c r="C6719" i="1"/>
  <c r="C6717" i="1"/>
  <c r="C6715" i="1"/>
  <c r="C6713" i="1"/>
  <c r="C6711" i="1"/>
  <c r="C6709" i="1"/>
  <c r="C6707" i="1"/>
  <c r="C6705" i="1"/>
  <c r="C6703" i="1"/>
  <c r="C6701" i="1"/>
  <c r="C6699" i="1"/>
  <c r="C6697" i="1"/>
  <c r="C6695" i="1"/>
  <c r="C6693" i="1"/>
  <c r="C6691" i="1"/>
  <c r="C6689" i="1"/>
  <c r="C6687" i="1"/>
  <c r="C6685" i="1"/>
  <c r="C6683" i="1"/>
  <c r="C6681" i="1"/>
  <c r="C6679" i="1"/>
  <c r="C6677" i="1"/>
  <c r="C6675" i="1"/>
  <c r="C6673" i="1"/>
  <c r="C6671" i="1"/>
  <c r="C6669" i="1"/>
  <c r="C6667" i="1"/>
  <c r="C6665" i="1"/>
  <c r="C6663" i="1"/>
  <c r="C6661" i="1"/>
  <c r="C6659" i="1"/>
  <c r="C6657" i="1"/>
  <c r="C6655" i="1"/>
  <c r="C6653" i="1"/>
  <c r="C6651" i="1"/>
  <c r="C6649" i="1"/>
  <c r="C6647" i="1"/>
  <c r="C6645" i="1"/>
  <c r="C6643" i="1"/>
  <c r="C6641" i="1"/>
  <c r="C6639" i="1"/>
  <c r="C6637" i="1"/>
  <c r="C6635" i="1"/>
  <c r="C6633" i="1"/>
  <c r="C6631" i="1"/>
  <c r="C6629" i="1"/>
  <c r="C6627" i="1"/>
  <c r="C6625" i="1"/>
  <c r="C6623" i="1"/>
  <c r="C6621" i="1"/>
  <c r="C6619" i="1"/>
  <c r="C6617" i="1"/>
  <c r="C6615" i="1"/>
  <c r="C6613" i="1"/>
  <c r="C6611" i="1"/>
  <c r="C6609" i="1"/>
  <c r="C6607" i="1"/>
  <c r="C6605" i="1"/>
  <c r="C6603" i="1"/>
  <c r="C6601" i="1"/>
  <c r="C6599" i="1"/>
  <c r="C6597" i="1"/>
  <c r="C6595" i="1"/>
  <c r="C6593" i="1"/>
  <c r="C6591" i="1"/>
  <c r="C6589" i="1"/>
  <c r="C6587" i="1"/>
  <c r="C6585" i="1"/>
  <c r="C6583" i="1"/>
  <c r="C6581" i="1"/>
  <c r="C6579" i="1"/>
  <c r="C6577" i="1"/>
  <c r="C6575" i="1"/>
  <c r="C6573" i="1"/>
  <c r="C6571" i="1"/>
  <c r="C6569" i="1"/>
  <c r="C6567" i="1"/>
  <c r="C6565" i="1"/>
  <c r="C6563" i="1"/>
  <c r="C6561" i="1"/>
  <c r="C6559" i="1"/>
  <c r="C6557" i="1"/>
  <c r="C6555" i="1"/>
  <c r="C6553" i="1"/>
  <c r="C6551" i="1"/>
  <c r="C6549" i="1"/>
  <c r="C6547" i="1"/>
  <c r="C6545" i="1"/>
  <c r="C6543" i="1"/>
  <c r="C6541" i="1"/>
  <c r="C6539" i="1"/>
  <c r="C6537" i="1"/>
  <c r="C6535" i="1"/>
  <c r="C6533" i="1"/>
  <c r="C6531" i="1"/>
  <c r="C6529" i="1"/>
  <c r="C6527" i="1"/>
  <c r="C6525" i="1"/>
  <c r="C6523" i="1"/>
  <c r="C6521" i="1"/>
  <c r="C6519" i="1"/>
  <c r="C6517" i="1"/>
  <c r="C6515" i="1"/>
  <c r="C6513" i="1"/>
  <c r="C6511" i="1"/>
  <c r="C6509" i="1"/>
  <c r="C6507" i="1"/>
  <c r="C6505" i="1"/>
  <c r="C6503" i="1"/>
  <c r="C6501" i="1"/>
  <c r="C6499" i="1"/>
  <c r="C6497" i="1"/>
  <c r="C6495" i="1"/>
  <c r="C6493" i="1"/>
  <c r="C6491" i="1"/>
  <c r="C6489" i="1"/>
  <c r="C6487" i="1"/>
  <c r="C6485" i="1"/>
  <c r="C6483" i="1"/>
  <c r="C6481" i="1"/>
  <c r="C6479" i="1"/>
  <c r="C6477" i="1"/>
  <c r="C6475" i="1"/>
  <c r="C6473" i="1"/>
  <c r="C6471" i="1"/>
  <c r="C6469" i="1"/>
  <c r="C6467" i="1"/>
  <c r="C6465" i="1"/>
  <c r="C6463" i="1"/>
  <c r="C6461" i="1"/>
  <c r="C6459" i="1"/>
  <c r="C6457" i="1"/>
  <c r="C6455" i="1"/>
  <c r="C6453" i="1"/>
  <c r="C6451" i="1"/>
  <c r="C6449" i="1"/>
  <c r="C6447" i="1"/>
  <c r="C6445" i="1"/>
  <c r="C6443" i="1"/>
  <c r="C6441" i="1"/>
  <c r="C6439" i="1"/>
  <c r="C6437" i="1"/>
  <c r="C6435" i="1"/>
  <c r="C6433" i="1"/>
  <c r="C6431" i="1"/>
  <c r="C6429" i="1"/>
  <c r="C6427" i="1"/>
  <c r="C6425" i="1"/>
  <c r="C6423" i="1"/>
  <c r="C6421" i="1"/>
  <c r="C6419" i="1"/>
  <c r="C6417" i="1"/>
  <c r="C6415" i="1"/>
  <c r="C6413" i="1"/>
  <c r="C6411" i="1"/>
  <c r="C6409" i="1"/>
  <c r="C6407" i="1"/>
  <c r="C6405" i="1"/>
  <c r="C6403" i="1"/>
  <c r="C6401" i="1"/>
  <c r="C6399" i="1"/>
  <c r="C6397" i="1"/>
  <c r="C6395" i="1"/>
  <c r="C6393" i="1"/>
  <c r="C6391" i="1"/>
  <c r="C6389" i="1"/>
  <c r="C6387" i="1"/>
  <c r="C6385" i="1"/>
  <c r="C6383" i="1"/>
  <c r="C6381" i="1"/>
  <c r="C6379" i="1"/>
  <c r="C6377" i="1"/>
  <c r="C6375" i="1"/>
  <c r="C6373" i="1"/>
  <c r="C6371" i="1"/>
  <c r="C6369" i="1"/>
  <c r="C6367" i="1"/>
  <c r="C6365" i="1"/>
  <c r="C6363" i="1"/>
  <c r="C6361" i="1"/>
  <c r="C6359" i="1"/>
  <c r="C6357" i="1"/>
  <c r="C6355" i="1"/>
  <c r="C6353" i="1"/>
  <c r="C6351" i="1"/>
  <c r="C6349" i="1"/>
  <c r="C6347" i="1"/>
  <c r="C6345" i="1"/>
  <c r="C6343" i="1"/>
  <c r="C6341" i="1"/>
  <c r="C6339" i="1"/>
  <c r="C6337" i="1"/>
  <c r="C6335" i="1"/>
  <c r="C6333" i="1"/>
  <c r="C6331" i="1"/>
  <c r="C6329" i="1"/>
  <c r="C6327" i="1"/>
  <c r="C6325" i="1"/>
  <c r="C6323" i="1"/>
  <c r="C6321" i="1"/>
  <c r="C6319" i="1"/>
  <c r="C6317" i="1"/>
  <c r="C6315" i="1"/>
  <c r="C6313" i="1"/>
  <c r="C6311" i="1"/>
  <c r="C6309" i="1"/>
  <c r="C6307" i="1"/>
  <c r="C6305" i="1"/>
  <c r="C6303" i="1"/>
  <c r="C6301" i="1"/>
  <c r="C6299" i="1"/>
  <c r="C6297" i="1"/>
  <c r="C6295" i="1"/>
  <c r="C6293" i="1"/>
  <c r="C6291" i="1"/>
  <c r="C6289" i="1"/>
  <c r="C6287" i="1"/>
  <c r="C6285" i="1"/>
  <c r="C6283" i="1"/>
  <c r="C6281" i="1"/>
  <c r="C6279" i="1"/>
  <c r="C6277" i="1"/>
  <c r="C6275" i="1"/>
  <c r="C6273" i="1"/>
  <c r="C6271" i="1"/>
  <c r="C6269" i="1"/>
  <c r="C6267" i="1"/>
  <c r="C6265" i="1"/>
  <c r="C6263" i="1"/>
  <c r="C6261" i="1"/>
  <c r="C6259" i="1"/>
  <c r="C6257" i="1"/>
  <c r="C6255" i="1"/>
  <c r="C6253" i="1"/>
  <c r="C6251" i="1"/>
  <c r="C6249" i="1"/>
  <c r="C6247" i="1"/>
  <c r="C6245" i="1"/>
  <c r="C6243" i="1"/>
  <c r="C6241" i="1"/>
  <c r="C6239" i="1"/>
  <c r="C6237" i="1"/>
  <c r="C6235" i="1"/>
  <c r="C6233" i="1"/>
  <c r="C6231" i="1"/>
  <c r="C6229" i="1"/>
  <c r="C6227" i="1"/>
  <c r="C6225" i="1"/>
  <c r="C6223" i="1"/>
  <c r="C6221" i="1"/>
  <c r="C6219" i="1"/>
  <c r="C6217" i="1"/>
  <c r="C6215" i="1"/>
  <c r="C6213" i="1"/>
  <c r="C6211" i="1"/>
  <c r="C6209" i="1"/>
  <c r="C6207" i="1"/>
  <c r="C6205" i="1"/>
  <c r="C6203" i="1"/>
  <c r="C6201" i="1"/>
  <c r="C6199" i="1"/>
  <c r="C6197" i="1"/>
  <c r="C6195" i="1"/>
  <c r="C6193" i="1"/>
  <c r="C6191" i="1"/>
  <c r="C6189" i="1"/>
  <c r="C6187" i="1"/>
  <c r="C6185" i="1"/>
  <c r="C6183" i="1"/>
  <c r="C6181" i="1"/>
  <c r="C6179" i="1"/>
  <c r="C6177" i="1"/>
  <c r="C6175" i="1"/>
  <c r="C6173" i="1"/>
  <c r="C6171" i="1"/>
  <c r="C6169" i="1"/>
  <c r="C6167" i="1"/>
  <c r="C6165" i="1"/>
  <c r="C6163" i="1"/>
  <c r="C6161" i="1"/>
  <c r="C6159" i="1"/>
  <c r="C6157" i="1"/>
  <c r="C6155" i="1"/>
  <c r="C6153" i="1"/>
  <c r="C6151" i="1"/>
  <c r="C6149" i="1"/>
  <c r="C6147" i="1"/>
  <c r="C6145" i="1"/>
  <c r="C6143" i="1"/>
  <c r="C6141" i="1"/>
  <c r="C6139" i="1"/>
  <c r="C6137" i="1"/>
  <c r="C6135" i="1"/>
  <c r="C6133" i="1"/>
  <c r="C6131" i="1"/>
  <c r="C6129" i="1"/>
  <c r="C6127" i="1"/>
  <c r="C6125" i="1"/>
  <c r="C6123" i="1"/>
  <c r="C6121" i="1"/>
  <c r="C6119" i="1"/>
  <c r="C6117" i="1"/>
  <c r="C6115" i="1"/>
  <c r="C6113" i="1"/>
  <c r="C6111" i="1"/>
  <c r="C6109" i="1"/>
  <c r="C6107" i="1"/>
  <c r="C6105" i="1"/>
  <c r="C6103" i="1"/>
  <c r="C6101" i="1"/>
  <c r="C6099" i="1"/>
  <c r="C6097" i="1"/>
  <c r="C6095" i="1"/>
  <c r="C6093" i="1"/>
  <c r="C6091" i="1"/>
  <c r="C6089" i="1"/>
  <c r="C6087" i="1"/>
  <c r="C6085" i="1"/>
  <c r="C6083" i="1"/>
  <c r="C6081" i="1"/>
  <c r="C6079" i="1"/>
  <c r="C6077" i="1"/>
  <c r="C6075" i="1"/>
  <c r="C6073" i="1"/>
  <c r="C6071" i="1"/>
  <c r="C6069" i="1"/>
  <c r="C6067" i="1"/>
  <c r="C6065" i="1"/>
  <c r="C6063" i="1"/>
  <c r="C6061" i="1"/>
  <c r="C6059" i="1"/>
  <c r="C6057" i="1"/>
  <c r="C6055" i="1"/>
  <c r="C6053" i="1"/>
  <c r="C6051" i="1"/>
  <c r="C6049" i="1"/>
  <c r="C6047" i="1"/>
  <c r="C6045" i="1"/>
  <c r="C6043" i="1"/>
  <c r="C6041" i="1"/>
  <c r="C6039" i="1"/>
  <c r="C6037" i="1"/>
  <c r="C6035" i="1"/>
  <c r="C6033" i="1"/>
  <c r="C6031" i="1"/>
  <c r="C6029" i="1"/>
  <c r="C6027" i="1"/>
  <c r="C6025" i="1"/>
  <c r="C6023" i="1"/>
  <c r="C6021" i="1"/>
  <c r="C6019" i="1"/>
  <c r="C6017" i="1"/>
  <c r="C6015" i="1"/>
  <c r="C6013" i="1"/>
  <c r="C6011" i="1"/>
  <c r="C6009" i="1"/>
  <c r="C6007" i="1"/>
  <c r="C6005" i="1"/>
  <c r="C6003" i="1"/>
  <c r="C6001" i="1"/>
  <c r="C5999" i="1"/>
  <c r="C5997" i="1"/>
  <c r="C5995" i="1"/>
  <c r="C5993" i="1"/>
  <c r="C5991" i="1"/>
  <c r="C5989" i="1"/>
  <c r="C5987" i="1"/>
  <c r="C5985" i="1"/>
  <c r="C5983" i="1"/>
  <c r="C5981" i="1"/>
  <c r="C5979" i="1"/>
  <c r="C5977" i="1"/>
  <c r="C5975" i="1"/>
  <c r="C5973" i="1"/>
  <c r="C5971" i="1"/>
  <c r="C5969" i="1"/>
  <c r="C5967" i="1"/>
  <c r="C5965" i="1"/>
  <c r="C5963" i="1"/>
  <c r="C5961" i="1"/>
  <c r="C5959" i="1"/>
  <c r="C5957" i="1"/>
  <c r="C5955" i="1"/>
  <c r="C5953" i="1"/>
  <c r="C5951" i="1"/>
  <c r="C5949" i="1"/>
  <c r="C5947" i="1"/>
  <c r="C5945" i="1"/>
  <c r="C5943" i="1"/>
  <c r="C5941" i="1"/>
  <c r="C5939" i="1"/>
  <c r="C5937" i="1"/>
  <c r="C5935" i="1"/>
  <c r="C5933" i="1"/>
  <c r="C5931" i="1"/>
  <c r="C5929" i="1"/>
  <c r="C5927" i="1"/>
  <c r="C5925" i="1"/>
  <c r="C5923" i="1"/>
  <c r="C5921" i="1"/>
  <c r="C5919" i="1"/>
  <c r="C5917" i="1"/>
  <c r="C5915" i="1"/>
  <c r="C5913" i="1"/>
  <c r="C5911" i="1"/>
  <c r="C5909" i="1"/>
  <c r="C5907" i="1"/>
  <c r="C5905" i="1"/>
  <c r="C5903" i="1"/>
  <c r="C5901" i="1"/>
  <c r="C5899" i="1"/>
  <c r="C5897" i="1"/>
  <c r="C5895" i="1"/>
  <c r="C5893" i="1"/>
  <c r="C5891" i="1"/>
  <c r="C5889" i="1"/>
  <c r="C5887" i="1"/>
  <c r="C5885" i="1"/>
  <c r="C5883" i="1"/>
  <c r="C5881" i="1"/>
  <c r="C5879" i="1"/>
  <c r="C5877" i="1"/>
  <c r="C5875" i="1"/>
  <c r="C5873" i="1"/>
  <c r="C5871" i="1"/>
  <c r="C5869" i="1"/>
  <c r="C5867" i="1"/>
  <c r="C5865" i="1"/>
  <c r="C5863" i="1"/>
  <c r="C5861" i="1"/>
  <c r="C5859" i="1"/>
  <c r="C5857" i="1"/>
  <c r="C5855" i="1"/>
  <c r="C5853" i="1"/>
  <c r="C5851" i="1"/>
  <c r="C5849" i="1"/>
  <c r="C5847" i="1"/>
  <c r="C5845" i="1"/>
  <c r="C5843" i="1"/>
  <c r="C5841" i="1"/>
  <c r="C5839" i="1"/>
  <c r="C5837" i="1"/>
  <c r="C5835" i="1"/>
  <c r="C5833" i="1"/>
  <c r="C5831" i="1"/>
  <c r="C5829" i="1"/>
  <c r="C5827" i="1"/>
  <c r="C5825" i="1"/>
  <c r="C5823" i="1"/>
  <c r="C5821" i="1"/>
  <c r="C5819" i="1"/>
  <c r="C5817" i="1"/>
  <c r="C5815" i="1"/>
  <c r="C5813" i="1"/>
  <c r="C5811" i="1"/>
  <c r="C5809" i="1"/>
  <c r="C5807" i="1"/>
  <c r="C5805" i="1"/>
  <c r="C5803" i="1"/>
  <c r="C5801" i="1"/>
  <c r="C5799" i="1"/>
  <c r="C5797" i="1"/>
  <c r="C5795" i="1"/>
  <c r="C5793" i="1"/>
  <c r="C5791" i="1"/>
  <c r="C5789" i="1"/>
  <c r="C5787" i="1"/>
  <c r="C5785" i="1"/>
  <c r="C5783" i="1"/>
  <c r="C5781" i="1"/>
  <c r="C5779" i="1"/>
  <c r="C5777" i="1"/>
  <c r="C5775" i="1"/>
  <c r="C5773" i="1"/>
  <c r="C5771" i="1"/>
  <c r="C5769" i="1"/>
  <c r="C5767" i="1"/>
  <c r="C5765" i="1"/>
  <c r="C5763" i="1"/>
  <c r="C5761" i="1"/>
  <c r="C5759" i="1"/>
  <c r="C5757" i="1"/>
  <c r="C5755" i="1"/>
  <c r="C5753" i="1"/>
  <c r="C5751" i="1"/>
  <c r="C5749" i="1"/>
  <c r="C5747" i="1"/>
  <c r="C5745" i="1"/>
  <c r="C5743" i="1"/>
  <c r="C5741" i="1"/>
  <c r="C5739" i="1"/>
  <c r="C5737" i="1"/>
  <c r="C5735" i="1"/>
  <c r="C5733" i="1"/>
  <c r="C5731" i="1"/>
  <c r="C5729" i="1"/>
  <c r="C5727" i="1"/>
  <c r="C5725" i="1"/>
  <c r="C5723" i="1"/>
  <c r="C5721" i="1"/>
  <c r="C5719" i="1"/>
  <c r="C5717" i="1"/>
  <c r="C5715" i="1"/>
  <c r="C5713" i="1"/>
  <c r="C5711" i="1"/>
  <c r="C5709" i="1"/>
  <c r="C5707" i="1"/>
  <c r="C5705" i="1"/>
  <c r="C5703" i="1"/>
  <c r="C5701" i="1"/>
  <c r="C5699" i="1"/>
  <c r="C5697" i="1"/>
  <c r="C5695" i="1"/>
  <c r="C5693" i="1"/>
  <c r="C5691" i="1"/>
  <c r="C5689" i="1"/>
  <c r="C5687" i="1"/>
  <c r="C5685" i="1"/>
  <c r="C5683" i="1"/>
  <c r="C5681" i="1"/>
  <c r="C5679" i="1"/>
  <c r="C5677" i="1"/>
  <c r="C5675" i="1"/>
  <c r="C5673" i="1"/>
  <c r="C5671" i="1"/>
  <c r="C5669" i="1"/>
  <c r="C5667" i="1"/>
  <c r="C5665" i="1"/>
  <c r="C5663" i="1"/>
  <c r="C5661" i="1"/>
  <c r="C5659" i="1"/>
  <c r="C5657" i="1"/>
  <c r="C5655" i="1"/>
  <c r="C5653" i="1"/>
  <c r="C5651" i="1"/>
  <c r="C5649" i="1"/>
  <c r="C5647" i="1"/>
  <c r="C5645" i="1"/>
  <c r="C5643" i="1"/>
  <c r="C5641" i="1"/>
  <c r="C5639" i="1"/>
  <c r="C5637" i="1"/>
  <c r="C5635" i="1"/>
  <c r="C5633" i="1"/>
  <c r="C5631" i="1"/>
  <c r="C5629" i="1"/>
  <c r="C5627" i="1"/>
  <c r="C5625" i="1"/>
  <c r="C5623" i="1"/>
  <c r="C5621" i="1"/>
  <c r="C5619" i="1"/>
  <c r="C5617" i="1"/>
  <c r="C5615" i="1"/>
  <c r="C5613" i="1"/>
  <c r="C5611" i="1"/>
  <c r="C5609" i="1"/>
  <c r="C5607" i="1"/>
  <c r="C5605" i="1"/>
  <c r="C5603" i="1"/>
  <c r="C5601" i="1"/>
  <c r="C5599" i="1"/>
  <c r="C5597" i="1"/>
  <c r="C5595" i="1"/>
  <c r="C5593" i="1"/>
  <c r="C5591" i="1"/>
  <c r="C5589" i="1"/>
  <c r="C5587" i="1"/>
  <c r="C5585" i="1"/>
  <c r="C5583" i="1"/>
  <c r="C5581" i="1"/>
  <c r="C5579" i="1"/>
  <c r="C5577" i="1"/>
  <c r="C5575" i="1"/>
  <c r="C5573" i="1"/>
  <c r="C5571" i="1"/>
  <c r="C5569" i="1"/>
  <c r="C5567" i="1"/>
  <c r="C5565" i="1"/>
  <c r="C5563" i="1"/>
  <c r="C5561" i="1"/>
  <c r="C5559" i="1"/>
  <c r="C5557" i="1"/>
  <c r="C5555" i="1"/>
  <c r="C5553" i="1"/>
  <c r="C5551" i="1"/>
  <c r="C5549" i="1"/>
  <c r="C5547" i="1"/>
  <c r="C5545" i="1"/>
  <c r="C5543" i="1"/>
  <c r="C5541" i="1"/>
  <c r="C5539" i="1"/>
  <c r="C5537" i="1"/>
  <c r="C5535" i="1"/>
  <c r="C5533" i="1"/>
  <c r="C5531" i="1"/>
  <c r="C5529" i="1"/>
  <c r="C5527" i="1"/>
  <c r="C5525" i="1"/>
  <c r="C5523" i="1"/>
  <c r="C5521" i="1"/>
  <c r="C5519" i="1"/>
  <c r="C5517" i="1"/>
  <c r="C5515" i="1"/>
  <c r="C5513" i="1"/>
  <c r="C5511" i="1"/>
  <c r="C5509" i="1"/>
  <c r="C5507" i="1"/>
  <c r="C5505" i="1"/>
  <c r="C5503" i="1"/>
  <c r="C5501" i="1"/>
  <c r="C5499" i="1"/>
  <c r="C5497" i="1"/>
  <c r="C5495" i="1"/>
  <c r="C5493" i="1"/>
  <c r="C5491" i="1"/>
  <c r="C5489" i="1"/>
  <c r="C5487" i="1"/>
  <c r="C5485" i="1"/>
  <c r="C5483" i="1"/>
  <c r="C5481" i="1"/>
  <c r="C5479" i="1"/>
  <c r="C5477" i="1"/>
  <c r="C5475" i="1"/>
  <c r="C5473" i="1"/>
  <c r="C5471" i="1"/>
  <c r="C5469" i="1"/>
  <c r="C5467" i="1"/>
  <c r="C5465" i="1"/>
  <c r="C5463" i="1"/>
  <c r="C5461" i="1"/>
  <c r="C5459" i="1"/>
  <c r="C5457" i="1"/>
  <c r="C5455" i="1"/>
  <c r="C5453" i="1"/>
  <c r="C5451" i="1"/>
  <c r="C5449" i="1"/>
  <c r="C5447" i="1"/>
  <c r="C5445" i="1"/>
  <c r="C5443" i="1"/>
  <c r="C5441" i="1"/>
  <c r="C5439" i="1"/>
  <c r="C5437" i="1"/>
  <c r="C5435" i="1"/>
  <c r="C5433" i="1"/>
  <c r="C5431" i="1"/>
  <c r="C5429" i="1"/>
  <c r="C5427" i="1"/>
  <c r="C5425" i="1"/>
  <c r="C5423" i="1"/>
  <c r="C5421" i="1"/>
  <c r="C5419" i="1"/>
  <c r="C5417" i="1"/>
  <c r="C5415" i="1"/>
  <c r="C5413" i="1"/>
  <c r="C5411" i="1"/>
  <c r="C5409" i="1"/>
  <c r="C5407" i="1"/>
  <c r="C5405" i="1"/>
  <c r="C5403" i="1"/>
  <c r="C5401" i="1"/>
  <c r="C5399" i="1"/>
  <c r="C5397" i="1"/>
  <c r="C5395" i="1"/>
  <c r="C5393" i="1"/>
  <c r="C5391" i="1"/>
  <c r="C5389" i="1"/>
  <c r="C5387" i="1"/>
  <c r="C5385" i="1"/>
  <c r="C5383" i="1"/>
  <c r="C5381" i="1"/>
  <c r="C5379" i="1"/>
  <c r="C5377" i="1"/>
  <c r="C5375" i="1"/>
  <c r="C5373" i="1"/>
  <c r="C5371" i="1"/>
  <c r="C5369" i="1"/>
  <c r="C5367" i="1"/>
  <c r="C5365" i="1"/>
  <c r="C5363" i="1"/>
  <c r="C5361" i="1"/>
  <c r="C5359" i="1"/>
  <c r="C5357" i="1"/>
  <c r="C5355" i="1"/>
  <c r="C5353" i="1"/>
  <c r="C5351" i="1"/>
  <c r="C5349" i="1"/>
  <c r="C5347" i="1"/>
  <c r="C5345" i="1"/>
  <c r="C5343" i="1"/>
  <c r="C5341" i="1"/>
  <c r="C5339" i="1"/>
  <c r="C5337" i="1"/>
  <c r="C5335" i="1"/>
  <c r="C5333" i="1"/>
  <c r="C5331" i="1"/>
  <c r="C5329" i="1"/>
  <c r="C5327" i="1"/>
  <c r="C5325" i="1"/>
  <c r="C5323" i="1"/>
  <c r="C5321" i="1"/>
  <c r="C5319" i="1"/>
  <c r="C5317" i="1"/>
  <c r="C5315" i="1"/>
  <c r="C5313" i="1"/>
  <c r="C5311" i="1"/>
  <c r="C5309" i="1"/>
  <c r="C5307" i="1"/>
  <c r="C5305" i="1"/>
  <c r="C5303" i="1"/>
  <c r="C5301" i="1"/>
  <c r="C5299" i="1"/>
  <c r="C5297" i="1"/>
  <c r="C5295" i="1"/>
  <c r="C5293" i="1"/>
  <c r="C5291" i="1"/>
  <c r="C5289" i="1"/>
  <c r="C5287" i="1"/>
  <c r="C5285" i="1"/>
  <c r="C5283" i="1"/>
  <c r="C5281" i="1"/>
  <c r="C5279" i="1"/>
  <c r="C5277" i="1"/>
  <c r="C5275" i="1"/>
  <c r="C5273" i="1"/>
  <c r="C5271" i="1"/>
  <c r="C5269" i="1"/>
  <c r="C5267" i="1"/>
  <c r="C5265" i="1"/>
  <c r="C5263" i="1"/>
  <c r="C5261" i="1"/>
  <c r="C5259" i="1"/>
  <c r="C5257" i="1"/>
  <c r="C5255" i="1"/>
  <c r="C5253" i="1"/>
  <c r="C5251" i="1"/>
  <c r="C5249" i="1"/>
  <c r="C5247" i="1"/>
  <c r="C5245" i="1"/>
  <c r="C5243" i="1"/>
  <c r="C5241" i="1"/>
  <c r="C5239" i="1"/>
  <c r="C5237" i="1"/>
  <c r="C5235" i="1"/>
  <c r="C5233" i="1"/>
  <c r="C5231" i="1"/>
  <c r="C5229" i="1"/>
  <c r="C5227" i="1"/>
  <c r="C5225" i="1"/>
  <c r="C5223" i="1"/>
  <c r="C5221" i="1"/>
  <c r="C5219" i="1"/>
  <c r="C5217" i="1"/>
  <c r="C5215" i="1"/>
  <c r="C5213" i="1"/>
  <c r="C5211" i="1"/>
  <c r="C5209" i="1"/>
  <c r="C5207" i="1"/>
  <c r="C5205" i="1"/>
  <c r="C5203" i="1"/>
  <c r="C5201" i="1"/>
  <c r="C5199" i="1"/>
  <c r="C5197" i="1"/>
  <c r="C5195" i="1"/>
  <c r="C5193" i="1"/>
  <c r="C5191" i="1"/>
  <c r="C5189" i="1"/>
  <c r="C5187" i="1"/>
  <c r="C5185" i="1"/>
  <c r="C5183" i="1"/>
  <c r="C5181" i="1"/>
  <c r="C5179" i="1"/>
  <c r="C5177" i="1"/>
  <c r="C5175" i="1"/>
  <c r="C5173" i="1"/>
  <c r="C5171" i="1"/>
  <c r="C5169" i="1"/>
  <c r="C5167" i="1"/>
  <c r="C5165" i="1"/>
  <c r="C5163" i="1"/>
  <c r="C5161" i="1"/>
  <c r="C5159" i="1"/>
  <c r="C5157" i="1"/>
  <c r="C5155" i="1"/>
  <c r="C5153" i="1"/>
  <c r="C5151" i="1"/>
  <c r="C5149" i="1"/>
  <c r="C5147" i="1"/>
  <c r="C5145" i="1"/>
  <c r="C5143" i="1"/>
  <c r="C5141" i="1"/>
  <c r="C5139" i="1"/>
  <c r="C5137" i="1"/>
  <c r="C5135" i="1"/>
  <c r="C5133" i="1"/>
  <c r="C5131" i="1"/>
  <c r="C5129" i="1"/>
  <c r="C5127" i="1"/>
  <c r="C5125" i="1"/>
  <c r="C5123" i="1"/>
  <c r="C5121" i="1"/>
  <c r="C5119" i="1"/>
  <c r="C5117" i="1"/>
  <c r="C5115" i="1"/>
  <c r="C5113" i="1"/>
  <c r="C5111" i="1"/>
  <c r="C5109" i="1"/>
  <c r="C5107" i="1"/>
  <c r="C5105" i="1"/>
  <c r="C5103" i="1"/>
  <c r="C5101" i="1"/>
  <c r="C5099" i="1"/>
  <c r="C5097" i="1"/>
  <c r="C5095" i="1"/>
  <c r="C5093" i="1"/>
  <c r="C5091" i="1"/>
  <c r="C5089" i="1"/>
  <c r="C5087" i="1"/>
  <c r="C5085" i="1"/>
  <c r="C5083" i="1"/>
  <c r="C5081" i="1"/>
  <c r="C5079" i="1"/>
  <c r="C5077" i="1"/>
  <c r="C5075" i="1"/>
  <c r="C5073" i="1"/>
  <c r="C5071" i="1"/>
  <c r="C5069" i="1"/>
  <c r="C5067" i="1"/>
  <c r="C5065" i="1"/>
  <c r="C5063" i="1"/>
  <c r="C5061" i="1"/>
  <c r="C5059" i="1"/>
  <c r="C5057" i="1"/>
  <c r="C5055" i="1"/>
  <c r="C5053" i="1"/>
  <c r="C5051" i="1"/>
  <c r="C5049" i="1"/>
  <c r="C5047" i="1"/>
  <c r="C5045" i="1"/>
  <c r="C5043" i="1"/>
  <c r="C5041" i="1"/>
  <c r="C5039" i="1"/>
  <c r="C5037" i="1"/>
  <c r="C5035" i="1"/>
  <c r="C5033" i="1"/>
  <c r="C5031" i="1"/>
  <c r="C5029" i="1"/>
  <c r="C5027" i="1"/>
  <c r="C5025" i="1"/>
  <c r="C5023" i="1"/>
  <c r="C5021" i="1"/>
  <c r="C5019" i="1"/>
  <c r="C5017" i="1"/>
  <c r="C5015" i="1"/>
  <c r="C5013" i="1"/>
  <c r="C5011" i="1"/>
  <c r="C5009" i="1"/>
  <c r="C5007" i="1"/>
  <c r="C5005" i="1"/>
  <c r="C5003" i="1"/>
  <c r="C5001" i="1"/>
  <c r="C4999" i="1"/>
  <c r="C4997" i="1"/>
  <c r="C4995" i="1"/>
  <c r="C4993" i="1"/>
  <c r="C4991" i="1"/>
  <c r="C4989" i="1"/>
  <c r="C4987" i="1"/>
  <c r="C4985" i="1"/>
  <c r="C4983" i="1"/>
  <c r="C4981" i="1"/>
  <c r="C4979" i="1"/>
  <c r="C4977" i="1"/>
  <c r="C4975" i="1"/>
  <c r="C4973" i="1"/>
  <c r="C4971" i="1"/>
  <c r="C4969" i="1"/>
  <c r="C4967" i="1"/>
  <c r="C4965" i="1"/>
  <c r="C4963" i="1"/>
  <c r="C4961" i="1"/>
  <c r="C4959" i="1"/>
  <c r="C4957" i="1"/>
  <c r="C4955" i="1"/>
  <c r="C4953" i="1"/>
  <c r="C4951" i="1"/>
  <c r="C4949" i="1"/>
  <c r="C4947" i="1"/>
  <c r="C4945" i="1"/>
  <c r="C4943" i="1"/>
  <c r="C4941" i="1"/>
  <c r="C4939" i="1"/>
  <c r="C4937" i="1"/>
  <c r="C4935" i="1"/>
  <c r="C4933" i="1"/>
  <c r="C4931" i="1"/>
  <c r="C4929" i="1"/>
  <c r="C4927" i="1"/>
  <c r="C4925" i="1"/>
  <c r="C4923" i="1"/>
  <c r="C4921" i="1"/>
  <c r="C4919" i="1"/>
  <c r="C4917" i="1"/>
  <c r="C4915" i="1"/>
  <c r="C4913" i="1"/>
  <c r="C4911" i="1"/>
  <c r="C4909" i="1"/>
  <c r="C4907" i="1"/>
  <c r="C4905" i="1"/>
  <c r="C4903" i="1"/>
  <c r="C4901" i="1"/>
  <c r="C4899" i="1"/>
  <c r="C4897" i="1"/>
  <c r="C4895" i="1"/>
  <c r="C4893" i="1"/>
  <c r="C4891" i="1"/>
  <c r="C4889" i="1"/>
  <c r="C4887" i="1"/>
  <c r="C4885" i="1"/>
  <c r="C4883" i="1"/>
  <c r="C4881" i="1"/>
  <c r="C4879" i="1"/>
  <c r="C4877" i="1"/>
  <c r="C4875" i="1"/>
  <c r="C4873" i="1"/>
  <c r="C4871" i="1"/>
  <c r="C4869" i="1"/>
  <c r="C4867" i="1"/>
  <c r="C4865" i="1"/>
  <c r="C4863" i="1"/>
  <c r="C4861" i="1"/>
  <c r="C4859" i="1"/>
  <c r="C4857" i="1"/>
  <c r="C4855" i="1"/>
  <c r="C4853" i="1"/>
  <c r="C4851" i="1"/>
  <c r="C4849" i="1"/>
  <c r="C4847" i="1"/>
  <c r="C4845" i="1"/>
  <c r="C4843" i="1"/>
  <c r="C4841" i="1"/>
  <c r="C4839" i="1"/>
  <c r="C4837" i="1"/>
  <c r="C4835" i="1"/>
  <c r="C4833" i="1"/>
  <c r="C4831" i="1"/>
  <c r="C4829" i="1"/>
  <c r="C4827" i="1"/>
  <c r="C4825" i="1"/>
  <c r="C4823" i="1"/>
  <c r="C4821" i="1"/>
  <c r="C4819" i="1"/>
  <c r="C4817" i="1"/>
  <c r="C4815" i="1"/>
  <c r="C4813" i="1"/>
  <c r="C4811" i="1"/>
  <c r="C4809" i="1"/>
  <c r="C4807" i="1"/>
  <c r="C4805" i="1"/>
  <c r="C4803" i="1"/>
  <c r="C4801" i="1"/>
  <c r="C4799" i="1"/>
  <c r="C4797" i="1"/>
  <c r="C4795" i="1"/>
  <c r="C4793" i="1"/>
  <c r="C4791" i="1"/>
  <c r="C4789" i="1"/>
  <c r="C4787" i="1"/>
  <c r="C4785" i="1"/>
  <c r="C4783" i="1"/>
  <c r="C4781" i="1"/>
  <c r="C4779" i="1"/>
  <c r="C4777" i="1"/>
  <c r="C4775" i="1"/>
  <c r="C4773" i="1"/>
  <c r="C4771" i="1"/>
  <c r="C4769" i="1"/>
  <c r="C4767" i="1"/>
  <c r="C4765" i="1"/>
  <c r="C4763" i="1"/>
  <c r="C4761" i="1"/>
  <c r="C4759" i="1"/>
  <c r="C4757" i="1"/>
  <c r="C4755" i="1"/>
  <c r="C4753" i="1"/>
  <c r="C4751" i="1"/>
  <c r="C4749" i="1"/>
  <c r="C4747" i="1"/>
  <c r="C4745" i="1"/>
  <c r="C4743" i="1"/>
  <c r="C4741" i="1"/>
  <c r="C4739" i="1"/>
  <c r="C4737" i="1"/>
  <c r="C4735" i="1"/>
  <c r="C4733" i="1"/>
  <c r="C4731" i="1"/>
  <c r="C4729" i="1"/>
  <c r="C4727" i="1"/>
  <c r="C4725" i="1"/>
  <c r="C4723" i="1"/>
  <c r="C4721" i="1"/>
  <c r="C4719" i="1"/>
  <c r="C4717" i="1"/>
  <c r="C4715" i="1"/>
  <c r="C4713" i="1"/>
  <c r="C4711" i="1"/>
  <c r="C4709" i="1"/>
  <c r="C4707" i="1"/>
  <c r="C4705" i="1"/>
  <c r="C4703" i="1"/>
  <c r="C4701" i="1"/>
  <c r="C4699" i="1"/>
  <c r="C4697" i="1"/>
  <c r="C4695" i="1"/>
  <c r="C4693" i="1"/>
  <c r="C4691" i="1"/>
  <c r="C4689" i="1"/>
  <c r="C4687" i="1"/>
  <c r="C4685" i="1"/>
  <c r="C4683" i="1"/>
  <c r="C4681" i="1"/>
  <c r="C4679" i="1"/>
  <c r="C4677" i="1"/>
  <c r="C4675" i="1"/>
  <c r="C4673" i="1"/>
  <c r="C4671" i="1"/>
  <c r="C4669" i="1"/>
  <c r="C4667" i="1"/>
  <c r="C4665" i="1"/>
  <c r="C4663" i="1"/>
  <c r="C4661" i="1"/>
  <c r="C4659" i="1"/>
  <c r="C4657" i="1"/>
  <c r="C4655" i="1"/>
  <c r="C4653" i="1"/>
  <c r="C4651" i="1"/>
  <c r="C4649" i="1"/>
  <c r="C4647" i="1"/>
  <c r="C4645" i="1"/>
  <c r="C4643" i="1"/>
  <c r="C4641" i="1"/>
  <c r="C4639" i="1"/>
  <c r="C4637" i="1"/>
  <c r="C4635" i="1"/>
  <c r="C4633" i="1"/>
  <c r="C4631" i="1"/>
  <c r="C4629" i="1"/>
  <c r="C4627" i="1"/>
  <c r="C4625" i="1"/>
  <c r="C4623" i="1"/>
  <c r="C4621" i="1"/>
  <c r="C4619" i="1"/>
  <c r="C4617" i="1"/>
  <c r="C4615" i="1"/>
  <c r="C4613" i="1"/>
  <c r="C4611" i="1"/>
  <c r="C4609" i="1"/>
  <c r="C4607" i="1"/>
  <c r="C4605" i="1"/>
  <c r="C4603" i="1"/>
  <c r="C4601" i="1"/>
  <c r="C4599" i="1"/>
  <c r="C4597" i="1"/>
  <c r="C4595" i="1"/>
  <c r="C4593" i="1"/>
  <c r="C4591" i="1"/>
  <c r="C4589" i="1"/>
  <c r="C4587" i="1"/>
  <c r="C4585" i="1"/>
  <c r="C4583" i="1"/>
  <c r="C4581" i="1"/>
  <c r="C4579" i="1"/>
  <c r="C4577" i="1"/>
  <c r="C4575" i="1"/>
  <c r="C4573" i="1"/>
  <c r="C4571" i="1"/>
  <c r="C4569" i="1"/>
  <c r="C4567" i="1"/>
  <c r="C4565" i="1"/>
  <c r="C4563" i="1"/>
  <c r="C4561" i="1"/>
  <c r="C4559" i="1"/>
  <c r="C4557" i="1"/>
  <c r="C4555" i="1"/>
  <c r="C4553" i="1"/>
  <c r="C4551" i="1"/>
  <c r="C4549" i="1"/>
  <c r="C4547" i="1"/>
  <c r="C4545" i="1"/>
  <c r="C4543" i="1"/>
  <c r="C4541" i="1"/>
  <c r="C4539" i="1"/>
  <c r="C4537" i="1"/>
  <c r="C4535" i="1"/>
  <c r="C4533" i="1"/>
  <c r="C4531" i="1"/>
  <c r="C4529" i="1"/>
  <c r="C4527" i="1"/>
  <c r="C4525" i="1"/>
  <c r="C4523" i="1"/>
  <c r="C4521" i="1"/>
  <c r="C4519" i="1"/>
  <c r="C4517" i="1"/>
  <c r="C4515" i="1"/>
  <c r="C4513" i="1"/>
  <c r="C4511" i="1"/>
  <c r="C4509" i="1"/>
  <c r="C4507" i="1"/>
  <c r="C4505" i="1"/>
  <c r="C4503" i="1"/>
  <c r="C4501" i="1"/>
  <c r="C4499" i="1"/>
  <c r="C4497" i="1"/>
  <c r="C4495" i="1"/>
  <c r="C4493" i="1"/>
  <c r="C4491" i="1"/>
  <c r="C4489" i="1"/>
  <c r="C4487" i="1"/>
  <c r="C4485" i="1"/>
  <c r="C4483" i="1"/>
  <c r="C4481" i="1"/>
  <c r="C4479" i="1"/>
  <c r="C4477" i="1"/>
  <c r="C4475" i="1"/>
  <c r="C4473" i="1"/>
  <c r="C4471" i="1"/>
  <c r="C4469" i="1"/>
  <c r="C4467" i="1"/>
  <c r="C4465" i="1"/>
  <c r="C4463" i="1"/>
  <c r="C4461" i="1"/>
  <c r="C4459" i="1"/>
  <c r="C4457" i="1"/>
  <c r="C4455" i="1"/>
  <c r="C4453" i="1"/>
  <c r="C4451" i="1"/>
  <c r="C4449" i="1"/>
  <c r="C4447" i="1"/>
  <c r="C4445" i="1"/>
  <c r="C4443" i="1"/>
  <c r="C4441" i="1"/>
  <c r="C4439" i="1"/>
  <c r="C4437" i="1"/>
  <c r="C4435" i="1"/>
  <c r="C4433" i="1"/>
  <c r="C4431" i="1"/>
  <c r="C4429" i="1"/>
  <c r="C4427" i="1"/>
  <c r="C4425" i="1"/>
  <c r="C4423" i="1"/>
  <c r="C4421" i="1"/>
  <c r="C4419" i="1"/>
  <c r="C4417" i="1"/>
  <c r="C4415" i="1"/>
  <c r="C4413" i="1"/>
  <c r="C4411" i="1"/>
  <c r="C4409" i="1"/>
  <c r="C4407" i="1"/>
  <c r="C4405" i="1"/>
  <c r="C4403" i="1"/>
  <c r="C4401" i="1"/>
  <c r="C4399" i="1"/>
  <c r="C4397" i="1"/>
  <c r="C4395" i="1"/>
  <c r="C4393" i="1"/>
  <c r="C4391" i="1"/>
  <c r="C4389" i="1"/>
  <c r="C4387" i="1"/>
  <c r="C4385" i="1"/>
  <c r="C4383" i="1"/>
  <c r="C4381" i="1"/>
  <c r="C4379" i="1"/>
  <c r="C4377" i="1"/>
  <c r="C4375" i="1"/>
  <c r="C4373" i="1"/>
  <c r="C4371" i="1"/>
  <c r="C4369" i="1"/>
  <c r="C4367" i="1"/>
  <c r="C4365" i="1"/>
  <c r="C4363" i="1"/>
  <c r="C4361" i="1"/>
  <c r="C4359" i="1"/>
  <c r="C4357" i="1"/>
  <c r="C4355" i="1"/>
  <c r="C4353" i="1"/>
  <c r="C4351" i="1"/>
  <c r="C4349" i="1"/>
  <c r="C4347" i="1"/>
  <c r="C4345" i="1"/>
  <c r="C4343" i="1"/>
  <c r="C4341" i="1"/>
  <c r="C4339" i="1"/>
  <c r="C4337" i="1"/>
  <c r="C4335" i="1"/>
  <c r="C4333" i="1"/>
  <c r="C4331" i="1"/>
  <c r="C4329" i="1"/>
  <c r="C4327" i="1"/>
  <c r="C4325" i="1"/>
  <c r="C4323" i="1"/>
  <c r="C4321" i="1"/>
  <c r="C4319" i="1"/>
  <c r="C4317" i="1"/>
  <c r="C4315" i="1"/>
  <c r="C4313" i="1"/>
  <c r="C4311" i="1"/>
  <c r="C4309" i="1"/>
  <c r="C4307" i="1"/>
  <c r="C4305" i="1"/>
  <c r="C4303" i="1"/>
  <c r="C4301" i="1"/>
  <c r="C4299" i="1"/>
  <c r="C4297" i="1"/>
  <c r="C4295" i="1"/>
  <c r="C4293" i="1"/>
  <c r="C4291" i="1"/>
  <c r="C4289" i="1"/>
  <c r="C4287" i="1"/>
  <c r="C4285" i="1"/>
  <c r="C4283" i="1"/>
  <c r="C4281" i="1"/>
  <c r="C4279" i="1"/>
  <c r="C4277" i="1"/>
  <c r="C4275" i="1"/>
  <c r="C4273" i="1"/>
  <c r="C4271" i="1"/>
  <c r="C4269" i="1"/>
  <c r="C4267" i="1"/>
  <c r="C4265" i="1"/>
  <c r="C4263" i="1"/>
  <c r="C4261" i="1"/>
  <c r="C4259" i="1"/>
  <c r="C4257" i="1"/>
  <c r="C4255" i="1"/>
  <c r="C4253" i="1"/>
  <c r="C4251" i="1"/>
  <c r="C4249" i="1"/>
  <c r="C4247" i="1"/>
  <c r="C4245" i="1"/>
  <c r="C4243" i="1"/>
  <c r="C4241" i="1"/>
  <c r="C4239" i="1"/>
  <c r="C4237" i="1"/>
  <c r="C4235" i="1"/>
  <c r="C4233" i="1"/>
  <c r="C4231" i="1"/>
  <c r="C4229" i="1"/>
  <c r="C4227" i="1"/>
  <c r="C4225" i="1"/>
  <c r="C4223" i="1"/>
  <c r="C4221" i="1"/>
  <c r="C4219" i="1"/>
  <c r="C4217" i="1"/>
  <c r="C4215" i="1"/>
  <c r="C4213" i="1"/>
  <c r="C4211" i="1"/>
  <c r="C4209" i="1"/>
  <c r="C4207" i="1"/>
  <c r="C4205" i="1"/>
  <c r="C4203" i="1"/>
  <c r="C4201" i="1"/>
  <c r="C4199" i="1"/>
  <c r="C4197" i="1"/>
  <c r="C4195" i="1"/>
  <c r="C4193" i="1"/>
  <c r="C4191" i="1"/>
  <c r="C4189" i="1"/>
  <c r="C4187" i="1"/>
  <c r="C4185" i="1"/>
  <c r="C4183" i="1"/>
  <c r="C4181" i="1"/>
  <c r="C4179" i="1"/>
  <c r="C4177" i="1"/>
  <c r="C4175" i="1"/>
  <c r="C4173" i="1"/>
  <c r="C4171" i="1"/>
  <c r="C4169" i="1"/>
  <c r="C4167" i="1"/>
  <c r="C4165" i="1"/>
  <c r="C4163" i="1"/>
  <c r="C4161" i="1"/>
  <c r="C4159" i="1"/>
  <c r="C4157" i="1"/>
  <c r="C4155" i="1"/>
  <c r="C4153" i="1"/>
  <c r="C4151" i="1"/>
  <c r="C4149" i="1"/>
  <c r="C4147" i="1"/>
  <c r="C4145" i="1"/>
  <c r="C4143" i="1"/>
  <c r="C4141" i="1"/>
  <c r="C4139" i="1"/>
  <c r="C4137" i="1"/>
  <c r="C4135" i="1"/>
  <c r="C4133" i="1"/>
  <c r="C4131" i="1"/>
  <c r="C4129" i="1"/>
  <c r="C4127" i="1"/>
  <c r="C4125" i="1"/>
  <c r="C4123" i="1"/>
  <c r="C4121" i="1"/>
  <c r="C4119" i="1"/>
  <c r="C4117" i="1"/>
  <c r="C4115" i="1"/>
  <c r="C4113" i="1"/>
  <c r="C4111" i="1"/>
  <c r="C4109" i="1"/>
  <c r="C4107" i="1"/>
  <c r="C4105" i="1"/>
  <c r="C4103" i="1"/>
  <c r="C4101" i="1"/>
  <c r="C4099" i="1"/>
  <c r="C4097" i="1"/>
  <c r="C4095" i="1"/>
  <c r="C4093" i="1"/>
  <c r="C4091" i="1"/>
  <c r="C4089" i="1"/>
  <c r="C4087" i="1"/>
  <c r="C4085" i="1"/>
  <c r="C4083" i="1"/>
  <c r="C4081" i="1"/>
  <c r="C4079" i="1"/>
  <c r="C4077" i="1"/>
  <c r="C4075" i="1"/>
  <c r="C4073" i="1"/>
  <c r="C4071" i="1"/>
  <c r="C4069" i="1"/>
  <c r="C4067" i="1"/>
  <c r="C4065" i="1"/>
  <c r="C4063" i="1"/>
  <c r="C4061" i="1"/>
  <c r="C4059" i="1"/>
  <c r="C4057" i="1"/>
  <c r="C4055" i="1"/>
  <c r="C4053" i="1"/>
  <c r="C4051" i="1"/>
  <c r="C4049" i="1"/>
  <c r="C4047" i="1"/>
  <c r="C4045" i="1"/>
  <c r="C4043" i="1"/>
  <c r="C4041" i="1"/>
  <c r="C4039" i="1"/>
  <c r="C4037" i="1"/>
  <c r="C4035" i="1"/>
  <c r="C4033" i="1"/>
  <c r="C4031" i="1"/>
  <c r="C4029" i="1"/>
  <c r="C4027" i="1"/>
  <c r="C4025" i="1"/>
  <c r="C4023" i="1"/>
  <c r="C4021" i="1"/>
  <c r="C4019" i="1"/>
  <c r="C4017" i="1"/>
  <c r="C4015" i="1"/>
  <c r="C4013" i="1"/>
  <c r="C4011" i="1"/>
  <c r="C4009" i="1"/>
  <c r="C4007" i="1"/>
  <c r="C4005" i="1"/>
  <c r="C4003" i="1"/>
  <c r="C4001" i="1"/>
  <c r="C3999" i="1"/>
  <c r="C3997" i="1"/>
  <c r="C3995" i="1"/>
  <c r="C3993" i="1"/>
  <c r="C3991" i="1"/>
  <c r="C3989" i="1"/>
  <c r="C3987" i="1"/>
  <c r="C3985" i="1"/>
  <c r="C3983" i="1"/>
  <c r="C3981" i="1"/>
  <c r="C3979" i="1"/>
  <c r="C3977" i="1"/>
  <c r="C3975" i="1"/>
  <c r="C3973" i="1"/>
  <c r="C3971" i="1"/>
  <c r="C3969" i="1"/>
  <c r="C3967" i="1"/>
  <c r="C3965" i="1"/>
  <c r="C3963" i="1"/>
  <c r="C3961" i="1"/>
  <c r="C3959" i="1"/>
  <c r="C3957" i="1"/>
  <c r="C3955" i="1"/>
  <c r="C3953" i="1"/>
  <c r="C3951" i="1"/>
  <c r="C3949" i="1"/>
  <c r="C3947" i="1"/>
  <c r="C3945" i="1"/>
  <c r="C3943" i="1"/>
  <c r="C3941" i="1"/>
  <c r="C3939" i="1"/>
  <c r="C3937" i="1"/>
  <c r="C3935" i="1"/>
  <c r="C3933" i="1"/>
  <c r="C3931" i="1"/>
  <c r="C3929" i="1"/>
  <c r="C3927" i="1"/>
  <c r="C3925" i="1"/>
  <c r="C3923" i="1"/>
  <c r="C3921" i="1"/>
  <c r="C3919" i="1"/>
  <c r="C3917" i="1"/>
  <c r="C3915" i="1"/>
  <c r="C3913" i="1"/>
  <c r="C3911" i="1"/>
  <c r="C3909" i="1"/>
  <c r="C3907" i="1"/>
  <c r="C3905" i="1"/>
  <c r="C3903" i="1"/>
  <c r="C3901" i="1"/>
  <c r="C3899" i="1"/>
  <c r="C3897" i="1"/>
  <c r="C3895" i="1"/>
  <c r="C3893" i="1"/>
  <c r="C3891" i="1"/>
  <c r="C3889" i="1"/>
  <c r="C3887" i="1"/>
  <c r="C3885" i="1"/>
  <c r="C3883" i="1"/>
  <c r="C3881" i="1"/>
  <c r="C3879" i="1"/>
  <c r="C3877" i="1"/>
  <c r="C3875" i="1"/>
  <c r="C3873" i="1"/>
  <c r="C3871" i="1"/>
  <c r="C3869" i="1"/>
  <c r="C3867" i="1"/>
  <c r="C3865" i="1"/>
  <c r="C3863" i="1"/>
  <c r="C3861" i="1"/>
  <c r="C3859" i="1"/>
  <c r="C3857" i="1"/>
  <c r="C3855" i="1"/>
  <c r="C3853" i="1"/>
  <c r="C3851" i="1"/>
  <c r="C3849" i="1"/>
  <c r="C3847" i="1"/>
  <c r="C3845" i="1"/>
  <c r="C3843" i="1"/>
  <c r="C3841" i="1"/>
  <c r="C3839" i="1"/>
  <c r="C3837" i="1"/>
  <c r="C3835" i="1"/>
  <c r="C3833" i="1"/>
  <c r="C3831" i="1"/>
  <c r="C3829" i="1"/>
  <c r="C3827" i="1"/>
  <c r="C3825" i="1"/>
  <c r="C3823" i="1"/>
  <c r="C3821" i="1"/>
  <c r="C3819" i="1"/>
  <c r="C3817" i="1"/>
  <c r="C3815" i="1"/>
  <c r="C3813" i="1"/>
  <c r="C3811" i="1"/>
  <c r="C3809" i="1"/>
  <c r="C3807" i="1"/>
  <c r="C3805" i="1"/>
  <c r="C3803" i="1"/>
  <c r="C3801" i="1"/>
  <c r="C3799" i="1"/>
  <c r="C3797" i="1"/>
  <c r="C3795" i="1"/>
  <c r="C3793" i="1"/>
  <c r="C3791" i="1"/>
  <c r="C3789" i="1"/>
  <c r="C3787" i="1"/>
  <c r="C3785" i="1"/>
  <c r="C3783" i="1"/>
  <c r="C3781" i="1"/>
  <c r="C3779" i="1"/>
  <c r="C3777" i="1"/>
  <c r="C3775" i="1"/>
  <c r="C3773" i="1"/>
  <c r="C3771" i="1"/>
  <c r="C3769" i="1"/>
  <c r="C3767" i="1"/>
  <c r="C3765" i="1"/>
  <c r="C3763" i="1"/>
  <c r="C3761" i="1"/>
  <c r="C3759" i="1"/>
  <c r="C3757" i="1"/>
  <c r="C3755" i="1"/>
  <c r="C3753" i="1"/>
  <c r="C3751" i="1"/>
  <c r="C3749" i="1"/>
  <c r="C3747" i="1"/>
  <c r="C3745" i="1"/>
  <c r="C3743" i="1"/>
  <c r="C3741" i="1"/>
  <c r="C3739" i="1"/>
  <c r="C3737" i="1"/>
  <c r="C3735" i="1"/>
  <c r="C3733" i="1"/>
  <c r="C3731" i="1"/>
  <c r="C3729" i="1"/>
  <c r="C3727" i="1"/>
  <c r="C3725" i="1"/>
  <c r="C3723" i="1"/>
  <c r="C3721" i="1"/>
  <c r="C3719" i="1"/>
  <c r="C3717" i="1"/>
  <c r="C3715" i="1"/>
  <c r="C3713" i="1"/>
  <c r="C3711" i="1"/>
  <c r="C3709" i="1"/>
  <c r="C3707" i="1"/>
  <c r="C3705" i="1"/>
  <c r="C3703" i="1"/>
  <c r="C3701" i="1"/>
  <c r="C3699" i="1"/>
  <c r="C3697" i="1"/>
  <c r="C3695" i="1"/>
  <c r="C3693" i="1"/>
  <c r="C3691" i="1"/>
  <c r="C3689" i="1"/>
  <c r="C3687" i="1"/>
  <c r="C3685" i="1"/>
  <c r="C3683" i="1"/>
  <c r="C3681" i="1"/>
  <c r="C3679" i="1"/>
  <c r="C3677" i="1"/>
  <c r="C3675" i="1"/>
  <c r="C3673" i="1"/>
  <c r="C3671" i="1"/>
  <c r="C3669" i="1"/>
  <c r="C3667" i="1"/>
  <c r="C3665" i="1"/>
  <c r="C3663" i="1"/>
  <c r="C3661" i="1"/>
  <c r="C3659" i="1"/>
  <c r="C3657" i="1"/>
  <c r="C3655" i="1"/>
  <c r="C3653" i="1"/>
  <c r="C3651" i="1"/>
  <c r="C3649" i="1"/>
  <c r="C3647" i="1"/>
  <c r="C3645" i="1"/>
  <c r="C3643" i="1"/>
  <c r="C3641" i="1"/>
  <c r="C3639" i="1"/>
  <c r="C3637" i="1"/>
  <c r="C3635" i="1"/>
  <c r="C3633" i="1"/>
  <c r="C3631" i="1"/>
  <c r="C3629" i="1"/>
  <c r="C3627" i="1"/>
  <c r="C3625" i="1"/>
  <c r="C3623" i="1"/>
  <c r="C3621" i="1"/>
  <c r="C3619" i="1"/>
  <c r="C3617" i="1"/>
  <c r="C3615" i="1"/>
  <c r="C3613" i="1"/>
  <c r="C3611" i="1"/>
  <c r="C3609" i="1"/>
  <c r="C3607" i="1"/>
  <c r="C3605" i="1"/>
  <c r="C3603" i="1"/>
  <c r="C3601" i="1"/>
  <c r="C3599" i="1"/>
  <c r="C3597" i="1"/>
  <c r="C3595" i="1"/>
  <c r="C3593" i="1"/>
  <c r="C3591" i="1"/>
  <c r="C3589" i="1"/>
  <c r="C3587" i="1"/>
  <c r="C3585" i="1"/>
  <c r="C3583" i="1"/>
  <c r="C3581" i="1"/>
  <c r="C3579" i="1"/>
  <c r="C3577" i="1"/>
  <c r="C3575" i="1"/>
  <c r="C3573" i="1"/>
  <c r="C3571" i="1"/>
  <c r="C3569" i="1"/>
  <c r="C3567" i="1"/>
  <c r="C3565" i="1"/>
  <c r="C3563" i="1"/>
  <c r="C3561" i="1"/>
  <c r="C3559" i="1"/>
  <c r="C3557" i="1"/>
  <c r="C3555" i="1"/>
  <c r="C3553" i="1"/>
  <c r="C3551" i="1"/>
  <c r="C3549" i="1"/>
  <c r="C3547" i="1"/>
  <c r="C3545" i="1"/>
  <c r="C3543" i="1"/>
  <c r="C3541" i="1"/>
  <c r="C3539" i="1"/>
  <c r="C3537" i="1"/>
  <c r="C3535" i="1"/>
  <c r="C3533" i="1"/>
  <c r="C3531" i="1"/>
  <c r="C3529" i="1"/>
  <c r="C3527" i="1"/>
  <c r="C3525" i="1"/>
  <c r="C3523" i="1"/>
  <c r="C3521" i="1"/>
  <c r="C3519" i="1"/>
  <c r="C3517" i="1"/>
  <c r="C3515" i="1"/>
  <c r="C3513" i="1"/>
  <c r="C3511" i="1"/>
  <c r="C3509" i="1"/>
  <c r="C3507" i="1"/>
  <c r="C3505" i="1"/>
  <c r="C3503" i="1"/>
  <c r="C3501" i="1"/>
  <c r="C3499" i="1"/>
  <c r="C3497" i="1"/>
  <c r="C3495" i="1"/>
  <c r="C3493" i="1"/>
  <c r="C3491" i="1"/>
  <c r="C3489" i="1"/>
  <c r="C3487" i="1"/>
  <c r="C3485" i="1"/>
  <c r="C3483" i="1"/>
  <c r="C3481" i="1"/>
  <c r="C3479" i="1"/>
  <c r="C3477" i="1"/>
  <c r="C3475" i="1"/>
  <c r="C3473" i="1"/>
  <c r="C3471" i="1"/>
  <c r="C3469" i="1"/>
  <c r="C3467" i="1"/>
  <c r="C3465" i="1"/>
  <c r="C3463" i="1"/>
  <c r="C3461" i="1"/>
  <c r="C3459" i="1"/>
  <c r="C3457" i="1"/>
  <c r="C3455" i="1"/>
  <c r="C3453" i="1"/>
  <c r="C3451" i="1"/>
  <c r="C3449" i="1"/>
  <c r="C3447" i="1"/>
  <c r="C3445" i="1"/>
  <c r="C3443" i="1"/>
  <c r="C3441" i="1"/>
  <c r="C3439" i="1"/>
  <c r="C3437" i="1"/>
  <c r="C3435" i="1"/>
  <c r="C3433" i="1"/>
  <c r="C3431" i="1"/>
  <c r="C3429" i="1"/>
  <c r="C3427" i="1"/>
  <c r="C3425" i="1"/>
  <c r="C3423" i="1"/>
  <c r="C3421" i="1"/>
  <c r="C3419" i="1"/>
  <c r="C3417" i="1"/>
  <c r="C3415" i="1"/>
  <c r="C3413" i="1"/>
  <c r="C3411" i="1"/>
  <c r="C3409" i="1"/>
  <c r="C3407" i="1"/>
  <c r="C3405" i="1"/>
  <c r="C3403" i="1"/>
  <c r="C3401" i="1"/>
  <c r="C3399" i="1"/>
  <c r="C3397" i="1"/>
  <c r="C3395" i="1"/>
  <c r="C3393" i="1"/>
  <c r="C3391" i="1"/>
  <c r="C3389" i="1"/>
  <c r="C3387" i="1"/>
  <c r="C3385" i="1"/>
  <c r="C3383" i="1"/>
  <c r="C3381" i="1"/>
  <c r="C3379" i="1"/>
  <c r="C3377" i="1"/>
  <c r="C3375" i="1"/>
  <c r="C3373" i="1"/>
  <c r="C3371" i="1"/>
  <c r="C3369" i="1"/>
  <c r="C3367" i="1"/>
  <c r="C3365" i="1"/>
  <c r="C3363" i="1"/>
  <c r="C3361" i="1"/>
  <c r="C3359" i="1"/>
  <c r="C3357" i="1"/>
  <c r="C3355" i="1"/>
  <c r="C3353" i="1"/>
  <c r="C3351" i="1"/>
  <c r="C3349" i="1"/>
  <c r="C3347" i="1"/>
  <c r="C3345" i="1"/>
  <c r="C3343" i="1"/>
  <c r="C3341" i="1"/>
  <c r="C3339" i="1"/>
  <c r="C3337" i="1"/>
  <c r="C3335" i="1"/>
  <c r="C3333" i="1"/>
  <c r="C3331" i="1"/>
  <c r="C3329" i="1"/>
  <c r="C3327" i="1"/>
  <c r="C3325" i="1"/>
  <c r="C3323" i="1"/>
  <c r="C3321" i="1"/>
  <c r="C3319" i="1"/>
  <c r="C3317" i="1"/>
  <c r="C3315" i="1"/>
  <c r="C3313" i="1"/>
  <c r="C3311" i="1"/>
  <c r="C3309" i="1"/>
  <c r="C3307" i="1"/>
  <c r="C3305" i="1"/>
  <c r="C3303" i="1"/>
  <c r="C3301" i="1"/>
  <c r="C3299" i="1"/>
  <c r="C3297" i="1"/>
  <c r="C3295" i="1"/>
  <c r="C3293" i="1"/>
  <c r="C3291" i="1"/>
  <c r="C3289" i="1"/>
  <c r="C3287" i="1"/>
  <c r="C3285" i="1"/>
  <c r="C3283" i="1"/>
  <c r="C3281" i="1"/>
  <c r="C3279" i="1"/>
  <c r="C3277" i="1"/>
  <c r="C3275" i="1"/>
  <c r="C3273" i="1"/>
  <c r="C3271" i="1"/>
  <c r="C3269" i="1"/>
  <c r="C3267" i="1"/>
  <c r="C3265" i="1"/>
  <c r="C3263" i="1"/>
  <c r="C3261" i="1"/>
  <c r="C3259" i="1"/>
  <c r="C3257" i="1"/>
  <c r="C3255" i="1"/>
  <c r="C3253" i="1"/>
  <c r="C3251" i="1"/>
  <c r="C3249" i="1"/>
  <c r="C3247" i="1"/>
  <c r="C3245" i="1"/>
  <c r="C3243" i="1"/>
  <c r="C3241" i="1"/>
  <c r="C3239" i="1"/>
  <c r="C3237" i="1"/>
  <c r="C3235" i="1"/>
  <c r="C3233" i="1"/>
  <c r="C3231" i="1"/>
  <c r="C3229" i="1"/>
  <c r="C3227" i="1"/>
  <c r="C3225" i="1"/>
  <c r="C3223" i="1"/>
  <c r="C3221" i="1"/>
  <c r="C3219" i="1"/>
  <c r="C3217" i="1"/>
  <c r="C3215" i="1"/>
  <c r="C3213" i="1"/>
  <c r="C3211" i="1"/>
  <c r="C3209" i="1"/>
  <c r="C3207" i="1"/>
  <c r="C3205" i="1"/>
  <c r="C3203" i="1"/>
  <c r="C3201" i="1"/>
  <c r="C3199" i="1"/>
  <c r="C3197" i="1"/>
  <c r="C3195" i="1"/>
  <c r="C3193" i="1"/>
  <c r="C3191" i="1"/>
  <c r="C3189" i="1"/>
  <c r="C3187" i="1"/>
  <c r="C3185" i="1"/>
  <c r="C3183" i="1"/>
  <c r="C3181" i="1"/>
  <c r="C3179" i="1"/>
  <c r="C3177" i="1"/>
  <c r="C3175" i="1"/>
  <c r="C3173" i="1"/>
  <c r="C3171" i="1"/>
  <c r="C3169" i="1"/>
  <c r="C3167" i="1"/>
  <c r="C3165" i="1"/>
  <c r="C3163" i="1"/>
  <c r="C3161" i="1"/>
  <c r="C3159" i="1"/>
  <c r="C3157" i="1"/>
  <c r="C3155" i="1"/>
  <c r="C3153" i="1"/>
  <c r="C3151" i="1"/>
  <c r="C3149" i="1"/>
  <c r="C3147" i="1"/>
  <c r="C3145" i="1"/>
  <c r="C3143" i="1"/>
  <c r="C3141" i="1"/>
  <c r="C3139" i="1"/>
  <c r="C3137" i="1"/>
  <c r="C3135" i="1"/>
  <c r="C3133" i="1"/>
  <c r="C3131" i="1"/>
  <c r="C3129" i="1"/>
  <c r="C3127" i="1"/>
  <c r="C3125" i="1"/>
  <c r="C3123" i="1"/>
  <c r="C3121" i="1"/>
  <c r="C3119" i="1"/>
  <c r="C3117" i="1"/>
  <c r="C3115" i="1"/>
  <c r="C3113" i="1"/>
  <c r="C3111" i="1"/>
  <c r="C3109" i="1"/>
  <c r="C3107" i="1"/>
  <c r="C3105" i="1"/>
  <c r="C3103" i="1"/>
  <c r="C3101" i="1"/>
  <c r="C3099" i="1"/>
  <c r="C3097" i="1"/>
  <c r="C3095" i="1"/>
  <c r="C3093" i="1"/>
  <c r="C3091" i="1"/>
  <c r="C3089" i="1"/>
  <c r="C3087" i="1"/>
  <c r="C3085" i="1"/>
  <c r="C3083" i="1"/>
  <c r="C3081" i="1"/>
  <c r="C3079" i="1"/>
  <c r="C3077" i="1"/>
  <c r="C3075" i="1"/>
  <c r="C3073" i="1"/>
  <c r="C3071" i="1"/>
  <c r="C3069" i="1"/>
  <c r="C3067" i="1"/>
  <c r="C3065" i="1"/>
  <c r="C3063" i="1"/>
  <c r="C3061" i="1"/>
  <c r="C3059" i="1"/>
  <c r="C3057" i="1"/>
  <c r="C3055" i="1"/>
  <c r="C3053" i="1"/>
  <c r="C3051" i="1"/>
  <c r="C3049" i="1"/>
  <c r="C3047" i="1"/>
  <c r="C3045" i="1"/>
  <c r="C3043" i="1"/>
  <c r="C3041" i="1"/>
  <c r="C3039" i="1"/>
  <c r="C3037" i="1"/>
  <c r="C3035" i="1"/>
  <c r="C3033" i="1"/>
  <c r="C3031" i="1"/>
  <c r="C3029" i="1"/>
  <c r="C3027" i="1"/>
  <c r="C3025" i="1"/>
  <c r="C3023" i="1"/>
  <c r="C3021" i="1"/>
  <c r="C3019" i="1"/>
  <c r="C3017" i="1"/>
  <c r="C3015" i="1"/>
  <c r="C3013" i="1"/>
  <c r="C3011" i="1"/>
  <c r="C3009" i="1"/>
  <c r="C3007" i="1"/>
  <c r="C3005" i="1"/>
  <c r="C3003" i="1"/>
  <c r="C3001" i="1"/>
  <c r="C2999" i="1"/>
  <c r="C2997" i="1"/>
  <c r="C2995" i="1"/>
  <c r="C2993" i="1"/>
  <c r="C2991" i="1"/>
  <c r="C2989" i="1"/>
  <c r="C2987" i="1"/>
  <c r="C2985" i="1"/>
  <c r="C2983" i="1"/>
  <c r="C2981" i="1"/>
  <c r="C2979" i="1"/>
  <c r="C2977" i="1"/>
  <c r="C2975" i="1"/>
  <c r="C2973" i="1"/>
  <c r="C2971" i="1"/>
  <c r="C2969" i="1"/>
  <c r="C2967" i="1"/>
  <c r="C2965" i="1"/>
  <c r="C2963" i="1"/>
  <c r="C2961" i="1"/>
  <c r="C2959" i="1"/>
  <c r="C2957" i="1"/>
  <c r="C2955" i="1"/>
  <c r="C2953" i="1"/>
  <c r="C2951" i="1"/>
  <c r="C2949" i="1"/>
  <c r="C2947" i="1"/>
  <c r="C2945" i="1"/>
  <c r="C2943" i="1"/>
  <c r="C2941" i="1"/>
  <c r="C2939" i="1"/>
  <c r="C2937" i="1"/>
  <c r="C2935" i="1"/>
  <c r="C2933" i="1"/>
  <c r="C2931" i="1"/>
  <c r="C2929" i="1"/>
  <c r="C2927" i="1"/>
  <c r="C2925" i="1"/>
  <c r="C2923" i="1"/>
  <c r="C2921" i="1"/>
  <c r="C2919" i="1"/>
  <c r="C2917" i="1"/>
  <c r="C2915" i="1"/>
  <c r="C2913" i="1"/>
  <c r="C2911" i="1"/>
  <c r="C2909" i="1"/>
  <c r="C2907" i="1"/>
  <c r="C2905" i="1"/>
  <c r="C2903" i="1"/>
  <c r="C2901" i="1"/>
  <c r="C2899" i="1"/>
  <c r="C2897" i="1"/>
  <c r="C2895" i="1"/>
  <c r="C2893" i="1"/>
  <c r="C2891" i="1"/>
  <c r="C2889" i="1"/>
  <c r="C2887" i="1"/>
  <c r="C2885" i="1"/>
  <c r="C2883" i="1"/>
  <c r="C2881" i="1"/>
  <c r="C2879" i="1"/>
  <c r="C2877" i="1"/>
  <c r="C2875" i="1"/>
  <c r="C2873" i="1"/>
  <c r="C2871" i="1"/>
  <c r="C2869" i="1"/>
  <c r="C2867" i="1"/>
  <c r="C2865" i="1"/>
  <c r="C2863" i="1"/>
  <c r="C2861" i="1"/>
  <c r="C2859" i="1"/>
  <c r="C2857" i="1"/>
  <c r="C2855" i="1"/>
  <c r="C2853" i="1"/>
  <c r="C2851" i="1"/>
  <c r="C2849" i="1"/>
  <c r="C2847" i="1"/>
  <c r="C2845" i="1"/>
  <c r="C2843" i="1"/>
  <c r="C2841" i="1"/>
  <c r="C2839" i="1"/>
  <c r="C2837" i="1"/>
  <c r="C2835" i="1"/>
  <c r="C2833" i="1"/>
  <c r="C2831" i="1"/>
  <c r="C2829" i="1"/>
  <c r="C2827" i="1"/>
  <c r="C2825" i="1"/>
  <c r="C2823" i="1"/>
  <c r="C2821" i="1"/>
  <c r="C2819" i="1"/>
  <c r="C2817" i="1"/>
  <c r="C2815" i="1"/>
  <c r="C2813" i="1"/>
  <c r="C2811" i="1"/>
  <c r="C2809" i="1"/>
  <c r="C2807" i="1"/>
  <c r="C2805" i="1"/>
  <c r="C2803" i="1"/>
  <c r="C2801" i="1"/>
  <c r="C2799" i="1"/>
  <c r="C2797" i="1"/>
  <c r="C2795" i="1"/>
  <c r="C2793" i="1"/>
  <c r="C2791" i="1"/>
  <c r="C2789" i="1"/>
  <c r="C2787" i="1"/>
  <c r="C2785" i="1"/>
  <c r="C2783" i="1"/>
  <c r="C2781" i="1"/>
  <c r="C2779" i="1"/>
  <c r="C2777" i="1"/>
  <c r="C2775" i="1"/>
  <c r="C2773" i="1"/>
  <c r="C2771" i="1"/>
  <c r="C2769" i="1"/>
  <c r="C2767" i="1"/>
  <c r="C2765" i="1"/>
  <c r="C2763" i="1"/>
  <c r="C2761" i="1"/>
  <c r="C2759" i="1"/>
  <c r="C2757" i="1"/>
  <c r="C2755" i="1"/>
  <c r="C2753" i="1"/>
  <c r="C2751" i="1"/>
  <c r="C2749" i="1"/>
  <c r="C2747" i="1"/>
  <c r="C2745" i="1"/>
  <c r="C2743" i="1"/>
  <c r="C2741" i="1"/>
  <c r="C2739" i="1"/>
  <c r="C2737" i="1"/>
  <c r="C2735" i="1"/>
  <c r="C2733" i="1"/>
  <c r="C2731" i="1"/>
  <c r="C2729" i="1"/>
  <c r="C2727" i="1"/>
  <c r="C2725" i="1"/>
  <c r="C2723" i="1"/>
  <c r="C2721" i="1"/>
  <c r="C2719" i="1"/>
  <c r="C2717" i="1"/>
  <c r="C2715" i="1"/>
  <c r="C2713" i="1"/>
  <c r="C2711" i="1"/>
  <c r="C2709" i="1"/>
  <c r="C2707" i="1"/>
  <c r="C2705" i="1"/>
  <c r="C2703" i="1"/>
  <c r="C2701" i="1"/>
  <c r="C2699" i="1"/>
  <c r="C2697" i="1"/>
  <c r="C2695" i="1"/>
  <c r="C2693" i="1"/>
  <c r="C2691" i="1"/>
  <c r="C2689" i="1"/>
  <c r="C2687" i="1"/>
  <c r="C2685" i="1"/>
  <c r="C2683" i="1"/>
  <c r="C2681" i="1"/>
  <c r="C2679" i="1"/>
  <c r="C2677" i="1"/>
  <c r="C2675" i="1"/>
  <c r="C2673" i="1"/>
  <c r="C2671" i="1"/>
  <c r="C2669" i="1"/>
  <c r="C2667" i="1"/>
  <c r="C2665" i="1"/>
  <c r="C2663" i="1"/>
  <c r="C2661" i="1"/>
  <c r="C2659" i="1"/>
  <c r="C2657" i="1"/>
  <c r="C2655" i="1"/>
  <c r="C2653" i="1"/>
  <c r="C2651" i="1"/>
  <c r="C2649" i="1"/>
  <c r="C2647" i="1"/>
  <c r="C2645" i="1"/>
  <c r="C2643" i="1"/>
  <c r="C2641" i="1"/>
  <c r="C2639" i="1"/>
  <c r="C2637" i="1"/>
  <c r="C2635" i="1"/>
  <c r="C2633" i="1"/>
  <c r="C2631" i="1"/>
  <c r="C2629" i="1"/>
  <c r="C2627" i="1"/>
  <c r="C2625" i="1"/>
  <c r="C2623" i="1"/>
  <c r="C2621" i="1"/>
  <c r="C2619" i="1"/>
  <c r="C2617" i="1"/>
  <c r="C2615" i="1"/>
  <c r="C2613" i="1"/>
  <c r="C2611" i="1"/>
  <c r="C2609" i="1"/>
  <c r="C2607" i="1"/>
  <c r="C2605" i="1"/>
  <c r="C2603" i="1"/>
  <c r="C2601" i="1"/>
  <c r="C2599" i="1"/>
  <c r="C2597" i="1"/>
  <c r="C2595" i="1"/>
  <c r="C2593" i="1"/>
  <c r="C2591" i="1"/>
  <c r="C2589" i="1"/>
  <c r="C2587" i="1"/>
  <c r="C2585" i="1"/>
  <c r="C2583" i="1"/>
  <c r="C2581" i="1"/>
  <c r="C2579" i="1"/>
  <c r="C2577" i="1"/>
  <c r="C2575" i="1"/>
  <c r="C2573" i="1"/>
  <c r="C2571" i="1"/>
  <c r="C2569" i="1"/>
  <c r="C2567" i="1"/>
  <c r="C2565" i="1"/>
  <c r="C2563" i="1"/>
  <c r="C2561" i="1"/>
  <c r="C2559" i="1"/>
  <c r="C2557" i="1"/>
  <c r="C2555" i="1"/>
  <c r="C2553" i="1"/>
  <c r="C2551" i="1"/>
  <c r="C2549" i="1"/>
  <c r="C2547" i="1"/>
  <c r="C2545" i="1"/>
  <c r="C2543" i="1"/>
  <c r="C2541" i="1"/>
  <c r="C2539" i="1"/>
  <c r="C2537" i="1"/>
  <c r="C2535" i="1"/>
  <c r="C2533" i="1"/>
  <c r="C2531" i="1"/>
  <c r="C2529" i="1"/>
  <c r="C2527" i="1"/>
  <c r="C2525" i="1"/>
  <c r="C2523" i="1"/>
  <c r="C2521" i="1"/>
  <c r="C2519" i="1"/>
  <c r="C2517" i="1"/>
  <c r="C2515" i="1"/>
  <c r="C2513" i="1"/>
  <c r="C2511" i="1"/>
  <c r="C2509" i="1"/>
  <c r="C2507" i="1"/>
  <c r="C2505" i="1"/>
  <c r="C2503" i="1"/>
  <c r="C2501" i="1"/>
  <c r="C2499" i="1"/>
  <c r="C2497" i="1"/>
  <c r="C2495" i="1"/>
  <c r="C2493" i="1"/>
  <c r="C2491" i="1"/>
  <c r="C2489" i="1"/>
  <c r="C2487" i="1"/>
  <c r="C2485" i="1"/>
  <c r="C2483" i="1"/>
  <c r="C2481" i="1"/>
  <c r="C2479" i="1"/>
  <c r="C2477" i="1"/>
  <c r="C2475" i="1"/>
  <c r="C2473" i="1"/>
  <c r="C2471" i="1"/>
  <c r="C2469" i="1"/>
  <c r="C2467" i="1"/>
  <c r="C2465" i="1"/>
  <c r="C2463" i="1"/>
  <c r="C2461" i="1"/>
  <c r="C2459" i="1"/>
  <c r="C2457" i="1"/>
  <c r="C2455" i="1"/>
  <c r="C2453" i="1"/>
  <c r="C2451" i="1"/>
  <c r="C2449" i="1"/>
  <c r="C2447" i="1"/>
  <c r="C2445" i="1"/>
  <c r="C2443" i="1"/>
  <c r="C2441" i="1"/>
  <c r="C2439" i="1"/>
  <c r="C2437" i="1"/>
  <c r="C2435" i="1"/>
  <c r="C2433" i="1"/>
  <c r="C2431" i="1"/>
  <c r="C2429" i="1"/>
  <c r="C2427" i="1"/>
  <c r="C2425" i="1"/>
  <c r="C2423" i="1"/>
  <c r="C2421" i="1"/>
  <c r="C2419" i="1"/>
  <c r="C2417" i="1"/>
  <c r="C2415" i="1"/>
  <c r="C2413" i="1"/>
  <c r="C2411" i="1"/>
  <c r="C2409" i="1"/>
  <c r="C2407" i="1"/>
  <c r="C2405" i="1"/>
  <c r="C2403" i="1"/>
  <c r="C2401" i="1"/>
  <c r="C2399" i="1"/>
  <c r="C2397" i="1"/>
  <c r="C2395" i="1"/>
  <c r="C2393" i="1"/>
  <c r="C2391" i="1"/>
  <c r="C2389" i="1"/>
  <c r="C2387" i="1"/>
  <c r="C2385" i="1"/>
  <c r="C2383" i="1"/>
  <c r="C2381" i="1"/>
  <c r="C2379" i="1"/>
  <c r="C2377" i="1"/>
  <c r="C2375" i="1"/>
  <c r="C2373" i="1"/>
  <c r="C2371" i="1"/>
  <c r="C2369" i="1"/>
  <c r="C2367" i="1"/>
  <c r="C2365" i="1"/>
  <c r="C2363" i="1"/>
  <c r="C2361" i="1"/>
  <c r="C2359" i="1"/>
  <c r="C2357" i="1"/>
  <c r="C2355" i="1"/>
  <c r="C2353" i="1"/>
  <c r="C2351" i="1"/>
  <c r="C2349" i="1"/>
  <c r="C2347" i="1"/>
  <c r="C2345" i="1"/>
  <c r="C2343" i="1"/>
  <c r="C2341" i="1"/>
  <c r="C2339" i="1"/>
  <c r="C2337" i="1"/>
  <c r="C2335" i="1"/>
  <c r="C2333" i="1"/>
  <c r="C2331" i="1"/>
  <c r="C2329" i="1"/>
  <c r="C2327" i="1"/>
  <c r="C2325" i="1"/>
  <c r="C2323" i="1"/>
  <c r="C2321" i="1"/>
  <c r="C2319" i="1"/>
  <c r="C2317" i="1"/>
  <c r="C2315" i="1"/>
  <c r="C2313" i="1"/>
  <c r="C2311" i="1"/>
  <c r="C2309" i="1"/>
  <c r="C2307" i="1"/>
  <c r="C2305" i="1"/>
  <c r="C2303" i="1"/>
  <c r="C2301" i="1"/>
  <c r="C2299" i="1"/>
  <c r="C2297" i="1"/>
  <c r="C2295" i="1"/>
  <c r="C2293" i="1"/>
  <c r="C2291" i="1"/>
  <c r="C2289" i="1"/>
  <c r="C2287" i="1"/>
  <c r="C2285" i="1"/>
  <c r="C2283" i="1"/>
  <c r="C2281" i="1"/>
  <c r="C2279" i="1"/>
  <c r="C2277" i="1"/>
  <c r="C2275" i="1"/>
  <c r="C2273" i="1"/>
  <c r="C2271" i="1"/>
  <c r="C2269" i="1"/>
  <c r="C2267" i="1"/>
  <c r="C2265" i="1"/>
  <c r="C2263" i="1"/>
  <c r="C2261" i="1"/>
  <c r="C2259" i="1"/>
  <c r="C2257" i="1"/>
  <c r="C2255" i="1"/>
  <c r="C2253" i="1"/>
  <c r="C2251" i="1"/>
  <c r="C2249" i="1"/>
  <c r="C2247" i="1"/>
  <c r="C2245" i="1"/>
  <c r="C2243" i="1"/>
  <c r="C2241" i="1"/>
  <c r="C2239" i="1"/>
  <c r="C2237" i="1"/>
  <c r="C2235" i="1"/>
  <c r="C2233" i="1"/>
  <c r="C2231" i="1"/>
  <c r="C2229" i="1"/>
  <c r="C2227" i="1"/>
  <c r="C2225" i="1"/>
  <c r="C2223" i="1"/>
  <c r="C2221" i="1"/>
  <c r="C2219" i="1"/>
  <c r="C2217" i="1"/>
  <c r="C2215" i="1"/>
  <c r="C2213" i="1"/>
  <c r="C2211" i="1"/>
  <c r="C2209" i="1"/>
  <c r="C2207" i="1"/>
  <c r="C2205" i="1"/>
  <c r="C2203" i="1"/>
  <c r="C2201" i="1"/>
  <c r="C2199" i="1"/>
  <c r="C2197" i="1"/>
  <c r="C2195" i="1"/>
  <c r="C2193" i="1"/>
  <c r="C2191" i="1"/>
  <c r="C2189" i="1"/>
  <c r="C2187" i="1"/>
  <c r="C2185" i="1"/>
  <c r="C2183" i="1"/>
  <c r="C2181" i="1"/>
  <c r="C2179" i="1"/>
  <c r="C2177" i="1"/>
  <c r="C2175" i="1"/>
  <c r="C2173" i="1"/>
  <c r="C2171" i="1"/>
  <c r="C2169" i="1"/>
  <c r="C2167" i="1"/>
  <c r="C2165" i="1"/>
  <c r="C2163" i="1"/>
  <c r="C2161" i="1"/>
  <c r="C2159" i="1"/>
  <c r="C2157" i="1"/>
  <c r="C2155" i="1"/>
  <c r="C2153" i="1"/>
  <c r="C2151" i="1"/>
  <c r="C2149" i="1"/>
  <c r="C2147" i="1"/>
  <c r="C2145" i="1"/>
  <c r="C2143" i="1"/>
  <c r="C2141" i="1"/>
  <c r="C2139" i="1"/>
  <c r="C2137" i="1"/>
  <c r="C2135" i="1"/>
  <c r="C2133" i="1"/>
  <c r="C2131" i="1"/>
  <c r="C2129" i="1"/>
  <c r="C2127" i="1"/>
  <c r="C2125" i="1"/>
  <c r="C2123" i="1"/>
  <c r="C2121" i="1"/>
  <c r="C2119" i="1"/>
  <c r="C2117" i="1"/>
  <c r="C2115" i="1"/>
  <c r="C2113" i="1"/>
  <c r="C2111" i="1"/>
  <c r="C2109" i="1"/>
  <c r="C2107" i="1"/>
  <c r="C2105" i="1"/>
  <c r="C2103" i="1"/>
  <c r="C2101" i="1"/>
  <c r="C2099" i="1"/>
  <c r="C2097" i="1"/>
  <c r="C2095" i="1"/>
  <c r="C2093" i="1"/>
  <c r="C2091" i="1"/>
  <c r="C2089" i="1"/>
  <c r="C2087" i="1"/>
  <c r="C2085" i="1"/>
  <c r="C2083" i="1"/>
  <c r="C2081" i="1"/>
  <c r="C2079" i="1"/>
  <c r="C2077" i="1"/>
  <c r="C2075" i="1"/>
  <c r="C2073" i="1"/>
  <c r="C2071" i="1"/>
  <c r="C2069" i="1"/>
  <c r="C2067" i="1"/>
  <c r="C2065" i="1"/>
  <c r="C2063" i="1"/>
  <c r="C2061" i="1"/>
  <c r="C2059" i="1"/>
  <c r="C2057" i="1"/>
  <c r="C2055" i="1"/>
  <c r="C2053" i="1"/>
  <c r="C2051" i="1"/>
  <c r="C2049" i="1"/>
  <c r="C2047" i="1"/>
  <c r="C2045" i="1"/>
  <c r="C2043" i="1"/>
  <c r="C2041" i="1"/>
  <c r="C2039" i="1"/>
  <c r="C2037" i="1"/>
  <c r="C2035" i="1"/>
  <c r="C2033" i="1"/>
  <c r="C2031" i="1"/>
  <c r="C2029" i="1"/>
  <c r="C2027" i="1"/>
  <c r="C2025" i="1"/>
  <c r="C2023" i="1"/>
  <c r="C2021" i="1"/>
  <c r="C2019" i="1"/>
  <c r="C2017" i="1"/>
  <c r="C2015" i="1"/>
  <c r="C2013" i="1"/>
  <c r="C2011" i="1"/>
  <c r="C2009" i="1"/>
  <c r="C2007" i="1"/>
  <c r="C2005" i="1"/>
  <c r="C2003" i="1"/>
  <c r="C2001" i="1"/>
  <c r="C1999" i="1"/>
  <c r="C1997" i="1"/>
  <c r="C1995" i="1"/>
  <c r="C1993" i="1"/>
  <c r="C1991" i="1"/>
  <c r="C1989" i="1"/>
  <c r="C1987" i="1"/>
  <c r="C1985" i="1"/>
  <c r="C1983" i="1"/>
  <c r="C1981" i="1"/>
  <c r="C1979" i="1"/>
  <c r="C1977" i="1"/>
  <c r="C1975" i="1"/>
  <c r="C1973" i="1"/>
  <c r="C1971" i="1"/>
  <c r="C1969" i="1"/>
  <c r="C1967" i="1"/>
  <c r="C1965" i="1"/>
  <c r="C1963" i="1"/>
  <c r="C1961" i="1"/>
  <c r="C1959" i="1"/>
  <c r="C1957" i="1"/>
  <c r="C1955" i="1"/>
  <c r="C1953" i="1"/>
  <c r="C1951" i="1"/>
  <c r="C1949" i="1"/>
  <c r="C1947" i="1"/>
  <c r="C1945" i="1"/>
  <c r="C1943" i="1"/>
  <c r="C1941" i="1"/>
  <c r="C1939" i="1"/>
  <c r="C1937" i="1"/>
  <c r="C1935" i="1"/>
  <c r="C1933" i="1"/>
  <c r="C1931" i="1"/>
  <c r="C1929" i="1"/>
  <c r="C1927" i="1"/>
  <c r="C1925" i="1"/>
  <c r="C1923" i="1"/>
  <c r="C1921" i="1"/>
  <c r="C1919" i="1"/>
  <c r="C1917" i="1"/>
  <c r="C1915" i="1"/>
  <c r="C1913" i="1"/>
  <c r="C1911" i="1"/>
  <c r="C1909" i="1"/>
  <c r="C1907" i="1"/>
  <c r="C1905" i="1"/>
  <c r="C1903" i="1"/>
  <c r="C1901" i="1"/>
  <c r="C1899" i="1"/>
  <c r="C1897" i="1"/>
  <c r="C1895" i="1"/>
  <c r="C1893" i="1"/>
  <c r="C1891" i="1"/>
  <c r="C1889" i="1"/>
  <c r="C1887" i="1"/>
  <c r="C1885" i="1"/>
  <c r="C1883" i="1"/>
  <c r="C1881" i="1"/>
  <c r="C1879" i="1"/>
  <c r="C1877" i="1"/>
  <c r="C1875" i="1"/>
  <c r="C1873" i="1"/>
  <c r="C1871" i="1"/>
  <c r="C1869" i="1"/>
  <c r="C1867" i="1"/>
  <c r="C1865" i="1"/>
  <c r="C1863" i="1"/>
  <c r="C1861" i="1"/>
  <c r="C1859" i="1"/>
  <c r="C1857" i="1"/>
  <c r="C1855" i="1"/>
  <c r="C1853" i="1"/>
  <c r="C1851" i="1"/>
  <c r="C1849" i="1"/>
  <c r="C1847" i="1"/>
  <c r="C1845" i="1"/>
  <c r="C1843" i="1"/>
  <c r="C1841" i="1"/>
  <c r="C1839" i="1"/>
  <c r="C1837" i="1"/>
  <c r="C1835" i="1"/>
  <c r="C1833" i="1"/>
  <c r="C1831" i="1"/>
  <c r="C1829" i="1"/>
  <c r="C1827" i="1"/>
  <c r="C1825" i="1"/>
  <c r="C1823" i="1"/>
  <c r="C1821" i="1"/>
  <c r="C1819" i="1"/>
  <c r="C1817" i="1"/>
  <c r="C1815" i="1"/>
  <c r="C1813" i="1"/>
  <c r="C1811" i="1"/>
  <c r="C1809" i="1"/>
  <c r="C1807" i="1"/>
  <c r="C1805" i="1"/>
  <c r="C1803" i="1"/>
  <c r="C1801" i="1"/>
  <c r="C1799" i="1"/>
  <c r="C1797" i="1"/>
  <c r="C1795" i="1"/>
  <c r="C1793" i="1"/>
  <c r="C1791" i="1"/>
  <c r="C1789" i="1"/>
  <c r="C1787" i="1"/>
  <c r="C1785" i="1"/>
  <c r="C1783" i="1"/>
  <c r="C1781" i="1"/>
  <c r="C1779" i="1"/>
  <c r="C1777" i="1"/>
  <c r="C1775" i="1"/>
  <c r="C1773" i="1"/>
  <c r="C1771" i="1"/>
  <c r="C1769" i="1"/>
  <c r="C1767" i="1"/>
  <c r="C1765" i="1"/>
  <c r="C1763" i="1"/>
  <c r="C1761" i="1"/>
  <c r="C1759" i="1"/>
  <c r="C1757" i="1"/>
  <c r="C1755" i="1"/>
  <c r="C1753" i="1"/>
  <c r="C1751" i="1"/>
  <c r="C1749" i="1"/>
  <c r="C1747" i="1"/>
  <c r="C1745" i="1"/>
  <c r="C1743" i="1"/>
  <c r="C1741" i="1"/>
  <c r="C1739" i="1"/>
  <c r="C1737" i="1"/>
  <c r="C1735" i="1"/>
  <c r="C1733" i="1"/>
  <c r="C1731" i="1"/>
  <c r="C1729" i="1"/>
  <c r="C1727" i="1"/>
  <c r="C1725" i="1"/>
  <c r="C1723" i="1"/>
  <c r="C1721" i="1"/>
  <c r="C1719" i="1"/>
  <c r="C1717" i="1"/>
  <c r="C1715" i="1"/>
  <c r="C1713" i="1"/>
  <c r="C1711" i="1"/>
  <c r="C1709" i="1"/>
  <c r="C1707" i="1"/>
  <c r="C1705" i="1"/>
  <c r="C1703" i="1"/>
  <c r="C1701" i="1"/>
  <c r="C1699" i="1"/>
  <c r="C1697" i="1"/>
  <c r="C1695" i="1"/>
  <c r="C1693" i="1"/>
  <c r="C1691" i="1"/>
  <c r="C1689" i="1"/>
  <c r="C1687" i="1"/>
  <c r="C1685" i="1"/>
  <c r="C1683" i="1"/>
  <c r="C1681" i="1"/>
  <c r="C1679" i="1"/>
  <c r="C1677" i="1"/>
  <c r="C1675" i="1"/>
  <c r="C1673" i="1"/>
  <c r="C1671" i="1"/>
  <c r="C1669" i="1"/>
  <c r="C1667" i="1"/>
  <c r="C1665" i="1"/>
  <c r="C1663" i="1"/>
  <c r="C1661" i="1"/>
  <c r="C1659" i="1"/>
  <c r="C1657" i="1"/>
  <c r="C1655" i="1"/>
  <c r="C1653" i="1"/>
  <c r="C1651" i="1"/>
  <c r="C1649" i="1"/>
  <c r="C1647" i="1"/>
  <c r="C1645" i="1"/>
  <c r="C1643" i="1"/>
  <c r="C1641" i="1"/>
  <c r="C1639" i="1"/>
  <c r="C1637" i="1"/>
  <c r="C1635" i="1"/>
  <c r="C1633" i="1"/>
  <c r="C1631" i="1"/>
  <c r="C1629" i="1"/>
  <c r="C1627" i="1"/>
  <c r="C1625" i="1"/>
  <c r="C1623" i="1"/>
  <c r="C1621" i="1"/>
  <c r="C1619" i="1"/>
  <c r="C1617" i="1"/>
  <c r="C1615" i="1"/>
  <c r="C1613" i="1"/>
  <c r="C1611" i="1"/>
  <c r="C1609" i="1"/>
  <c r="C1607" i="1"/>
  <c r="C1605" i="1"/>
  <c r="C1603" i="1"/>
  <c r="C1601" i="1"/>
  <c r="C1599" i="1"/>
  <c r="C1597" i="1"/>
  <c r="C1595" i="1"/>
  <c r="C1593" i="1"/>
  <c r="C1591" i="1"/>
  <c r="C1589" i="1"/>
  <c r="C1587" i="1"/>
  <c r="C1585" i="1"/>
  <c r="C1583" i="1"/>
  <c r="C1581" i="1"/>
  <c r="C1579" i="1"/>
  <c r="C1577" i="1"/>
  <c r="C1575" i="1"/>
  <c r="C1573" i="1"/>
  <c r="C1571" i="1"/>
  <c r="C1569" i="1"/>
  <c r="C1567" i="1"/>
  <c r="C1565" i="1"/>
  <c r="C1563" i="1"/>
  <c r="C1561" i="1"/>
  <c r="C1559" i="1"/>
  <c r="C1557" i="1"/>
  <c r="C1555" i="1"/>
  <c r="C1553" i="1"/>
  <c r="C1551" i="1"/>
  <c r="C1549" i="1"/>
  <c r="C1547" i="1"/>
  <c r="C1545" i="1"/>
  <c r="C1543" i="1"/>
  <c r="C1541" i="1"/>
  <c r="C1539" i="1"/>
  <c r="C1537" i="1"/>
  <c r="C1535" i="1"/>
  <c r="C1533" i="1"/>
  <c r="C1531" i="1"/>
  <c r="C1529" i="1"/>
  <c r="C1527" i="1"/>
  <c r="C1525" i="1"/>
  <c r="C1523" i="1"/>
  <c r="C1521" i="1"/>
  <c r="C1519" i="1"/>
  <c r="C1517" i="1"/>
  <c r="C1515" i="1"/>
  <c r="C1513" i="1"/>
  <c r="C1511" i="1"/>
  <c r="C1509" i="1"/>
  <c r="C1507" i="1"/>
  <c r="C1505" i="1"/>
  <c r="C1503" i="1"/>
  <c r="C1501" i="1"/>
  <c r="C1499" i="1"/>
  <c r="C1497" i="1"/>
  <c r="C1495" i="1"/>
  <c r="C1493" i="1"/>
  <c r="C1491" i="1"/>
  <c r="C1489" i="1"/>
  <c r="C1487" i="1"/>
  <c r="C1485" i="1"/>
  <c r="C1483" i="1"/>
  <c r="C1481" i="1"/>
  <c r="C1479" i="1"/>
  <c r="C1477" i="1"/>
  <c r="C1475" i="1"/>
  <c r="C1473" i="1"/>
  <c r="C1471" i="1"/>
  <c r="C1469" i="1"/>
  <c r="C1467" i="1"/>
  <c r="C1465" i="1"/>
  <c r="C1463" i="1"/>
  <c r="C1461" i="1"/>
  <c r="C1459" i="1"/>
  <c r="C1457" i="1"/>
  <c r="C1455" i="1"/>
  <c r="C1453" i="1"/>
  <c r="C1451" i="1"/>
  <c r="C1449" i="1"/>
  <c r="C1447" i="1"/>
  <c r="C1445" i="1"/>
  <c r="C1443" i="1"/>
  <c r="C1441" i="1"/>
  <c r="C1439" i="1"/>
  <c r="C1437" i="1"/>
  <c r="C1435" i="1"/>
  <c r="C1433" i="1"/>
  <c r="C1431" i="1"/>
  <c r="C1429" i="1"/>
  <c r="C1427" i="1"/>
  <c r="C1425" i="1"/>
  <c r="C1423" i="1"/>
  <c r="C1421" i="1"/>
  <c r="C1419" i="1"/>
  <c r="C1417" i="1"/>
  <c r="C1415" i="1"/>
  <c r="C1413" i="1"/>
  <c r="C1411" i="1"/>
  <c r="C1409" i="1"/>
  <c r="C1407" i="1"/>
  <c r="C1405" i="1"/>
  <c r="C1403" i="1"/>
  <c r="C1401" i="1"/>
  <c r="C1399" i="1"/>
  <c r="C1397" i="1"/>
  <c r="C1395" i="1"/>
  <c r="C1393" i="1"/>
  <c r="C1391" i="1"/>
  <c r="C1389" i="1"/>
  <c r="C1387" i="1"/>
  <c r="C1385" i="1"/>
  <c r="C1383" i="1"/>
  <c r="C1381" i="1"/>
  <c r="C1379" i="1"/>
  <c r="C1377" i="1"/>
  <c r="C1375" i="1"/>
  <c r="C1373" i="1"/>
  <c r="C1371" i="1"/>
  <c r="C1369" i="1"/>
  <c r="C1367" i="1"/>
  <c r="C1365" i="1"/>
  <c r="C1363" i="1"/>
  <c r="C1361" i="1"/>
  <c r="C1359" i="1"/>
  <c r="C1357" i="1"/>
  <c r="C1355" i="1"/>
  <c r="C1353" i="1"/>
  <c r="C1351" i="1"/>
  <c r="C1349" i="1"/>
  <c r="C1347" i="1"/>
  <c r="C1345" i="1"/>
  <c r="C1343" i="1"/>
  <c r="C1341" i="1"/>
  <c r="C1339" i="1"/>
  <c r="C1337" i="1"/>
  <c r="C1335" i="1"/>
  <c r="C1333" i="1"/>
  <c r="C1331" i="1"/>
  <c r="C1329" i="1"/>
  <c r="C1327" i="1"/>
  <c r="C1325" i="1"/>
  <c r="C1323" i="1"/>
  <c r="C1321" i="1"/>
  <c r="C1319" i="1"/>
  <c r="C1317" i="1"/>
  <c r="C1315" i="1"/>
  <c r="C1313" i="1"/>
  <c r="C1311" i="1"/>
  <c r="C1309" i="1"/>
  <c r="C1307" i="1"/>
  <c r="C1305" i="1"/>
  <c r="C1303" i="1"/>
  <c r="C1301" i="1"/>
  <c r="C1299" i="1"/>
  <c r="C1297" i="1"/>
  <c r="C1295" i="1"/>
  <c r="C1293" i="1"/>
  <c r="C1291" i="1"/>
  <c r="C1289" i="1"/>
  <c r="C1287" i="1"/>
  <c r="C1285" i="1"/>
  <c r="C1283" i="1"/>
  <c r="C1281" i="1"/>
  <c r="C1279" i="1"/>
  <c r="C1277" i="1"/>
  <c r="C1275" i="1"/>
  <c r="C1273" i="1"/>
  <c r="C1271" i="1"/>
  <c r="C1269" i="1"/>
  <c r="C1267" i="1"/>
  <c r="C1265" i="1"/>
  <c r="C1263" i="1"/>
  <c r="C1261" i="1"/>
  <c r="C1259" i="1"/>
  <c r="C1257" i="1"/>
  <c r="C1255" i="1"/>
  <c r="C1253" i="1"/>
  <c r="C1251" i="1"/>
  <c r="C1249" i="1"/>
  <c r="C1247" i="1"/>
  <c r="C1245" i="1"/>
  <c r="C1243" i="1"/>
  <c r="C1241" i="1"/>
  <c r="C1239" i="1"/>
  <c r="C1237" i="1"/>
  <c r="C1235" i="1"/>
  <c r="C1233" i="1"/>
  <c r="C1231" i="1"/>
  <c r="C1229" i="1"/>
  <c r="C1227" i="1"/>
  <c r="C1225" i="1"/>
  <c r="C1223" i="1"/>
  <c r="C1221" i="1"/>
  <c r="C1219" i="1"/>
  <c r="C1217" i="1"/>
  <c r="C1215" i="1"/>
  <c r="C1213" i="1"/>
  <c r="C1211" i="1"/>
  <c r="C1209" i="1"/>
  <c r="C1207" i="1"/>
  <c r="C1205" i="1"/>
  <c r="C1203" i="1"/>
  <c r="C1201" i="1"/>
  <c r="C1199" i="1"/>
  <c r="C1197" i="1"/>
  <c r="C1195" i="1"/>
  <c r="C1193" i="1"/>
  <c r="C1191" i="1"/>
  <c r="C1189" i="1"/>
  <c r="C1187" i="1"/>
  <c r="C1185" i="1"/>
  <c r="C1183" i="1"/>
  <c r="C1181" i="1"/>
  <c r="C1179" i="1"/>
  <c r="C1177" i="1"/>
  <c r="C1175" i="1"/>
  <c r="C1173" i="1"/>
  <c r="C1171" i="1"/>
  <c r="C1169" i="1"/>
  <c r="C1167" i="1"/>
  <c r="C1165" i="1"/>
  <c r="C1163" i="1"/>
  <c r="C1161" i="1"/>
  <c r="C1159" i="1"/>
  <c r="C1157" i="1"/>
  <c r="C1155" i="1"/>
  <c r="C1153" i="1"/>
  <c r="C1151" i="1"/>
  <c r="C1149" i="1"/>
  <c r="C1147" i="1"/>
  <c r="C1145" i="1"/>
  <c r="C1143" i="1"/>
  <c r="C1141" i="1"/>
  <c r="C1139" i="1"/>
  <c r="C1137" i="1"/>
  <c r="C1135" i="1"/>
  <c r="C1133" i="1"/>
  <c r="C1131" i="1"/>
  <c r="C1129" i="1"/>
  <c r="C1127" i="1"/>
  <c r="C1125" i="1"/>
  <c r="C1123" i="1"/>
  <c r="C1121" i="1"/>
  <c r="C1119" i="1"/>
  <c r="C1117" i="1"/>
  <c r="C1115" i="1"/>
  <c r="C1113" i="1"/>
  <c r="C1111" i="1"/>
  <c r="C1109" i="1"/>
  <c r="C1107" i="1"/>
  <c r="C1105" i="1"/>
  <c r="C1103" i="1"/>
  <c r="C1101" i="1"/>
  <c r="C1099" i="1"/>
  <c r="C1097" i="1"/>
  <c r="C1095" i="1"/>
  <c r="C1093" i="1"/>
  <c r="C1091" i="1"/>
  <c r="C1089" i="1"/>
  <c r="C1087" i="1"/>
  <c r="C1085" i="1"/>
  <c r="C1083" i="1"/>
  <c r="C1081" i="1"/>
  <c r="C1079" i="1"/>
  <c r="C1077" i="1"/>
  <c r="C1075" i="1"/>
  <c r="C1073" i="1"/>
  <c r="C1071" i="1"/>
  <c r="C1069" i="1"/>
  <c r="C1067" i="1"/>
  <c r="C1065" i="1"/>
  <c r="C1063" i="1"/>
  <c r="C1061" i="1"/>
  <c r="C1059" i="1"/>
  <c r="C1057" i="1"/>
  <c r="C1055" i="1"/>
  <c r="C1053" i="1"/>
  <c r="C1051" i="1"/>
  <c r="C1049" i="1"/>
  <c r="C1047" i="1"/>
  <c r="C1045" i="1"/>
  <c r="C1043" i="1"/>
  <c r="C1041" i="1"/>
  <c r="C1039" i="1"/>
  <c r="C1037" i="1"/>
  <c r="C1035" i="1"/>
  <c r="C1033" i="1"/>
  <c r="C1031" i="1"/>
  <c r="C1029" i="1"/>
  <c r="C1027" i="1"/>
  <c r="C1025" i="1"/>
  <c r="C1023" i="1"/>
  <c r="C1021" i="1"/>
  <c r="C1019" i="1"/>
  <c r="C1017" i="1"/>
  <c r="C1015" i="1"/>
  <c r="C1013" i="1"/>
  <c r="C1011" i="1"/>
  <c r="C1009" i="1"/>
  <c r="C1007" i="1"/>
  <c r="C1005" i="1"/>
  <c r="C1003" i="1"/>
  <c r="C1001" i="1"/>
  <c r="C999" i="1"/>
  <c r="C997" i="1"/>
  <c r="C995" i="1"/>
  <c r="C993" i="1"/>
  <c r="C991" i="1"/>
  <c r="C989" i="1"/>
  <c r="C987" i="1"/>
  <c r="C985" i="1"/>
  <c r="C983" i="1"/>
  <c r="C981" i="1"/>
  <c r="C979" i="1"/>
  <c r="C977" i="1"/>
  <c r="C975" i="1"/>
  <c r="C973" i="1"/>
  <c r="C971" i="1"/>
  <c r="C969" i="1"/>
  <c r="C967" i="1"/>
  <c r="C965" i="1"/>
  <c r="C963" i="1"/>
  <c r="C961" i="1"/>
  <c r="C959" i="1"/>
  <c r="C957" i="1"/>
  <c r="C955" i="1"/>
  <c r="C953" i="1"/>
  <c r="C951" i="1"/>
  <c r="C949" i="1"/>
  <c r="C947" i="1"/>
  <c r="C945" i="1"/>
  <c r="C943" i="1"/>
  <c r="C941" i="1"/>
  <c r="C939" i="1"/>
  <c r="C937" i="1"/>
  <c r="C935" i="1"/>
  <c r="C933" i="1"/>
  <c r="C931" i="1"/>
  <c r="C929" i="1"/>
  <c r="C927" i="1"/>
  <c r="C925" i="1"/>
  <c r="C923" i="1"/>
  <c r="C921" i="1"/>
  <c r="C919" i="1"/>
  <c r="C917" i="1"/>
  <c r="C915" i="1"/>
  <c r="C913" i="1"/>
  <c r="C911" i="1"/>
  <c r="C909" i="1"/>
  <c r="C907" i="1"/>
  <c r="C905" i="1"/>
  <c r="C903" i="1"/>
  <c r="C901" i="1"/>
  <c r="C899" i="1"/>
  <c r="C897" i="1"/>
  <c r="C895" i="1"/>
  <c r="C893" i="1"/>
  <c r="C891" i="1"/>
  <c r="C889" i="1"/>
  <c r="C887" i="1"/>
  <c r="C885" i="1"/>
  <c r="C883" i="1"/>
  <c r="C881" i="1"/>
  <c r="C879" i="1"/>
  <c r="C877" i="1"/>
  <c r="C875" i="1"/>
  <c r="C873" i="1"/>
  <c r="C871" i="1"/>
  <c r="C869" i="1"/>
  <c r="C867" i="1"/>
  <c r="C865" i="1"/>
  <c r="C863" i="1"/>
  <c r="C861" i="1"/>
  <c r="C859" i="1"/>
  <c r="C857" i="1"/>
  <c r="C855" i="1"/>
  <c r="C853" i="1"/>
  <c r="C851" i="1"/>
  <c r="C849" i="1"/>
  <c r="C847" i="1"/>
  <c r="C845" i="1"/>
  <c r="C843" i="1"/>
  <c r="C841" i="1"/>
  <c r="C839" i="1"/>
  <c r="C837" i="1"/>
  <c r="C835" i="1"/>
  <c r="C833" i="1"/>
  <c r="C831" i="1"/>
  <c r="C829" i="1"/>
  <c r="C827" i="1"/>
  <c r="C825" i="1"/>
  <c r="C823" i="1"/>
  <c r="C821" i="1"/>
  <c r="C819" i="1"/>
  <c r="C817" i="1"/>
  <c r="C815" i="1"/>
  <c r="C813" i="1"/>
  <c r="C811" i="1"/>
  <c r="C809" i="1"/>
  <c r="C807" i="1"/>
  <c r="C805" i="1"/>
  <c r="C803" i="1"/>
  <c r="C801" i="1"/>
  <c r="C799" i="1"/>
  <c r="C797" i="1"/>
  <c r="C795" i="1"/>
  <c r="C793" i="1"/>
  <c r="C791" i="1"/>
  <c r="C789" i="1"/>
  <c r="C787" i="1"/>
  <c r="C785" i="1"/>
  <c r="C783" i="1"/>
  <c r="C781" i="1"/>
  <c r="C779" i="1"/>
  <c r="C777" i="1"/>
  <c r="C775" i="1"/>
  <c r="C773" i="1"/>
  <c r="C771" i="1"/>
  <c r="C769" i="1"/>
  <c r="C767" i="1"/>
  <c r="C765" i="1"/>
  <c r="C763" i="1"/>
  <c r="C761" i="1"/>
  <c r="C759" i="1"/>
  <c r="C757" i="1"/>
  <c r="C755" i="1"/>
  <c r="C753" i="1"/>
  <c r="C751" i="1"/>
  <c r="C749" i="1"/>
  <c r="C747" i="1"/>
  <c r="C745" i="1"/>
  <c r="C743" i="1"/>
  <c r="C741" i="1"/>
  <c r="C739" i="1"/>
  <c r="C737" i="1"/>
  <c r="C735" i="1"/>
  <c r="C733" i="1"/>
  <c r="C731" i="1"/>
  <c r="C729" i="1"/>
  <c r="C727" i="1"/>
  <c r="C725" i="1"/>
  <c r="C723" i="1"/>
  <c r="C721" i="1"/>
  <c r="C719" i="1"/>
  <c r="C717" i="1"/>
  <c r="C715" i="1"/>
  <c r="C713" i="1"/>
  <c r="C711" i="1"/>
  <c r="C709" i="1"/>
  <c r="C707" i="1"/>
  <c r="C705" i="1"/>
  <c r="C703" i="1"/>
  <c r="C701" i="1"/>
  <c r="C699" i="1"/>
  <c r="C697" i="1"/>
  <c r="C695" i="1"/>
  <c r="C693" i="1"/>
  <c r="C691" i="1"/>
  <c r="C689" i="1"/>
  <c r="C687" i="1"/>
  <c r="C685" i="1"/>
  <c r="C683" i="1"/>
  <c r="C681" i="1"/>
  <c r="C679" i="1"/>
  <c r="C677" i="1"/>
  <c r="C675" i="1"/>
  <c r="C673" i="1"/>
  <c r="C671" i="1"/>
  <c r="C669" i="1"/>
  <c r="C667" i="1"/>
  <c r="C665" i="1"/>
  <c r="C663" i="1"/>
  <c r="C661" i="1"/>
  <c r="C659" i="1"/>
  <c r="C657" i="1"/>
  <c r="C655" i="1"/>
  <c r="C653" i="1"/>
  <c r="C651" i="1"/>
  <c r="C649" i="1"/>
  <c r="C647" i="1"/>
  <c r="C645" i="1"/>
  <c r="C643" i="1"/>
  <c r="C641" i="1"/>
  <c r="C639" i="1"/>
  <c r="C637" i="1"/>
  <c r="C635" i="1"/>
  <c r="C633" i="1"/>
  <c r="C631" i="1"/>
  <c r="C629" i="1"/>
  <c r="C627" i="1"/>
  <c r="C625" i="1"/>
  <c r="C623" i="1"/>
  <c r="C621" i="1"/>
  <c r="C619" i="1"/>
  <c r="C617" i="1"/>
  <c r="C615" i="1"/>
  <c r="C613" i="1"/>
  <c r="C611" i="1"/>
  <c r="C609" i="1"/>
  <c r="C607" i="1"/>
  <c r="C605" i="1"/>
  <c r="C603" i="1"/>
  <c r="C601" i="1"/>
  <c r="C599" i="1"/>
  <c r="C597" i="1"/>
  <c r="C595" i="1"/>
  <c r="C593" i="1"/>
  <c r="C591" i="1"/>
  <c r="C589" i="1"/>
  <c r="C587" i="1"/>
  <c r="C585" i="1"/>
  <c r="C583" i="1"/>
  <c r="C581" i="1"/>
  <c r="C579" i="1"/>
  <c r="C577" i="1"/>
  <c r="C575" i="1"/>
  <c r="C573" i="1"/>
  <c r="C571" i="1"/>
  <c r="C569" i="1"/>
  <c r="C567" i="1"/>
  <c r="C565" i="1"/>
  <c r="C563" i="1"/>
  <c r="C561" i="1"/>
  <c r="C559" i="1"/>
  <c r="C557" i="1"/>
  <c r="C555" i="1"/>
  <c r="C553" i="1"/>
  <c r="C551" i="1"/>
  <c r="C549" i="1"/>
  <c r="C547" i="1"/>
  <c r="C545" i="1"/>
  <c r="C543" i="1"/>
  <c r="C541" i="1"/>
  <c r="C539" i="1"/>
  <c r="C537" i="1"/>
  <c r="C535" i="1"/>
  <c r="C533" i="1"/>
  <c r="C531" i="1"/>
  <c r="C529" i="1"/>
  <c r="C527" i="1"/>
  <c r="C525" i="1"/>
  <c r="C523" i="1"/>
  <c r="C521" i="1"/>
  <c r="C519" i="1"/>
  <c r="C517" i="1"/>
  <c r="C515" i="1"/>
  <c r="C513" i="1"/>
  <c r="C511" i="1"/>
  <c r="C509" i="1"/>
  <c r="C507" i="1"/>
  <c r="C505" i="1"/>
  <c r="C503" i="1"/>
  <c r="C501" i="1"/>
  <c r="C499" i="1"/>
  <c r="C497" i="1"/>
  <c r="C495" i="1"/>
  <c r="C493" i="1"/>
  <c r="C491" i="1"/>
  <c r="C489" i="1"/>
  <c r="C487" i="1"/>
  <c r="C485" i="1"/>
  <c r="C483" i="1"/>
  <c r="C481" i="1"/>
  <c r="C479" i="1"/>
  <c r="C477" i="1"/>
  <c r="C475" i="1"/>
  <c r="C473" i="1"/>
  <c r="C471" i="1"/>
  <c r="C469" i="1"/>
  <c r="C467" i="1"/>
  <c r="C465" i="1"/>
  <c r="C463" i="1"/>
  <c r="C461" i="1"/>
  <c r="C459" i="1"/>
  <c r="C457" i="1"/>
  <c r="C455" i="1"/>
  <c r="C453" i="1"/>
  <c r="C451" i="1"/>
  <c r="C449" i="1"/>
  <c r="C447" i="1"/>
  <c r="C445" i="1"/>
  <c r="C443" i="1"/>
  <c r="C441" i="1"/>
  <c r="C439" i="1"/>
  <c r="C437" i="1"/>
  <c r="C435" i="1"/>
  <c r="C433" i="1"/>
  <c r="C431" i="1"/>
  <c r="C429" i="1"/>
  <c r="C427" i="1"/>
  <c r="C425" i="1"/>
  <c r="C423" i="1"/>
  <c r="C421" i="1"/>
  <c r="C419" i="1"/>
  <c r="C417" i="1"/>
  <c r="C415" i="1"/>
  <c r="C413" i="1"/>
  <c r="C411" i="1"/>
  <c r="C409" i="1"/>
  <c r="C407" i="1"/>
  <c r="C405" i="1"/>
  <c r="C403" i="1"/>
  <c r="C401" i="1"/>
  <c r="C399" i="1"/>
  <c r="C397" i="1"/>
  <c r="C395" i="1"/>
  <c r="C393" i="1"/>
  <c r="C391" i="1"/>
  <c r="C389" i="1"/>
  <c r="C387" i="1"/>
  <c r="C385" i="1"/>
  <c r="C383" i="1"/>
  <c r="C381" i="1"/>
  <c r="C379" i="1"/>
  <c r="C377" i="1"/>
  <c r="C375" i="1"/>
  <c r="C373" i="1"/>
  <c r="C371" i="1"/>
  <c r="C369" i="1"/>
  <c r="C367" i="1"/>
  <c r="C365" i="1"/>
  <c r="C363" i="1"/>
  <c r="C361" i="1"/>
  <c r="C359" i="1"/>
  <c r="C357" i="1"/>
  <c r="C355" i="1"/>
  <c r="C353" i="1"/>
  <c r="C351" i="1"/>
  <c r="C349" i="1"/>
  <c r="C347" i="1"/>
  <c r="C345" i="1"/>
  <c r="C343" i="1"/>
  <c r="C341" i="1"/>
  <c r="C339" i="1"/>
  <c r="C337" i="1"/>
  <c r="C335" i="1"/>
  <c r="C333" i="1"/>
  <c r="C331" i="1"/>
  <c r="C329" i="1"/>
  <c r="C327" i="1"/>
  <c r="C325" i="1"/>
  <c r="C323" i="1"/>
  <c r="C321" i="1"/>
  <c r="C319" i="1"/>
  <c r="C317" i="1"/>
  <c r="C315" i="1"/>
  <c r="C313" i="1"/>
  <c r="C311" i="1"/>
  <c r="C309" i="1"/>
  <c r="C307" i="1"/>
  <c r="C305" i="1"/>
  <c r="C303" i="1"/>
  <c r="C301" i="1"/>
  <c r="C299" i="1"/>
  <c r="C297" i="1"/>
  <c r="C295" i="1"/>
  <c r="C293" i="1"/>
  <c r="C291" i="1"/>
  <c r="C289" i="1"/>
  <c r="C287" i="1"/>
  <c r="C285" i="1"/>
  <c r="C283" i="1"/>
  <c r="C281" i="1"/>
  <c r="C279" i="1"/>
  <c r="C277" i="1"/>
  <c r="C275" i="1"/>
  <c r="C273" i="1"/>
  <c r="C271" i="1"/>
  <c r="C269" i="1"/>
  <c r="C267" i="1"/>
  <c r="C265" i="1"/>
  <c r="C263" i="1"/>
  <c r="C261" i="1"/>
  <c r="C259" i="1"/>
  <c r="C257" i="1"/>
  <c r="C255" i="1"/>
  <c r="C253" i="1"/>
  <c r="C251" i="1"/>
  <c r="C249" i="1"/>
  <c r="C247" i="1"/>
  <c r="C245" i="1"/>
  <c r="C243" i="1"/>
  <c r="C241" i="1"/>
  <c r="C239" i="1"/>
  <c r="C237" i="1"/>
  <c r="C235" i="1"/>
  <c r="C233" i="1"/>
  <c r="C231" i="1"/>
  <c r="C229" i="1"/>
  <c r="C227" i="1"/>
  <c r="C225" i="1"/>
  <c r="C223" i="1"/>
  <c r="C221" i="1"/>
  <c r="C219" i="1"/>
  <c r="C217" i="1"/>
  <c r="C215" i="1"/>
  <c r="C213" i="1"/>
  <c r="C211" i="1"/>
  <c r="C209" i="1"/>
  <c r="C207" i="1"/>
  <c r="C205" i="1"/>
  <c r="C203" i="1"/>
  <c r="C201" i="1"/>
  <c r="C199" i="1"/>
  <c r="C197" i="1"/>
  <c r="C195" i="1"/>
  <c r="C193" i="1"/>
  <c r="C191" i="1"/>
  <c r="C189" i="1"/>
  <c r="C187" i="1"/>
  <c r="C185" i="1"/>
  <c r="C183" i="1"/>
  <c r="C181" i="1"/>
  <c r="C179" i="1"/>
  <c r="C177" i="1"/>
  <c r="C175" i="1"/>
  <c r="C173" i="1"/>
  <c r="C171" i="1"/>
  <c r="C169" i="1"/>
  <c r="C167" i="1"/>
  <c r="C165" i="1"/>
  <c r="C163" i="1"/>
  <c r="C161" i="1"/>
  <c r="C159" i="1"/>
  <c r="C157" i="1"/>
  <c r="C155" i="1"/>
  <c r="C153" i="1"/>
  <c r="C151" i="1"/>
  <c r="C149" i="1"/>
  <c r="C147" i="1"/>
  <c r="C145" i="1"/>
  <c r="C143" i="1"/>
  <c r="C141" i="1"/>
  <c r="C139" i="1"/>
  <c r="C137" i="1"/>
  <c r="C135" i="1"/>
  <c r="C133" i="1"/>
  <c r="C131" i="1"/>
  <c r="C129" i="1"/>
  <c r="C127" i="1"/>
  <c r="C125" i="1"/>
  <c r="C123" i="1"/>
  <c r="C121" i="1"/>
  <c r="C119" i="1"/>
  <c r="C117" i="1"/>
  <c r="C115" i="1"/>
  <c r="C113" i="1"/>
  <c r="C111" i="1"/>
  <c r="C109" i="1"/>
  <c r="C107" i="1"/>
  <c r="C105" i="1"/>
  <c r="C103" i="1"/>
  <c r="C101" i="1"/>
  <c r="C99" i="1"/>
  <c r="C97" i="1"/>
  <c r="C95" i="1"/>
  <c r="C93" i="1"/>
  <c r="C91" i="1"/>
  <c r="C89" i="1"/>
  <c r="C87" i="1"/>
  <c r="C85" i="1"/>
  <c r="C83" i="1"/>
  <c r="C81" i="1"/>
  <c r="C79" i="1"/>
  <c r="C77" i="1"/>
  <c r="C75" i="1"/>
  <c r="C73" i="1"/>
  <c r="C71" i="1"/>
  <c r="C69" i="1"/>
  <c r="C67" i="1"/>
  <c r="C65" i="1"/>
  <c r="C63" i="1"/>
  <c r="C61" i="1"/>
  <c r="C59" i="1"/>
  <c r="C57" i="1"/>
  <c r="C55" i="1"/>
  <c r="C53" i="1"/>
  <c r="C51" i="1"/>
  <c r="C49" i="1"/>
  <c r="C47" i="1"/>
  <c r="C45" i="1"/>
  <c r="C43" i="1"/>
  <c r="C41" i="1"/>
  <c r="C39" i="1"/>
  <c r="C37" i="1"/>
  <c r="C35" i="1"/>
  <c r="C33" i="1"/>
  <c r="C31" i="1"/>
  <c r="C29" i="1"/>
  <c r="C27" i="1"/>
  <c r="C25" i="1"/>
  <c r="C23" i="1"/>
  <c r="C21" i="1"/>
  <c r="C19" i="1"/>
  <c r="C17" i="1"/>
  <c r="C15" i="1"/>
  <c r="C13" i="1"/>
  <c r="C11" i="1"/>
  <c r="C9" i="1"/>
  <c r="C7" i="1"/>
  <c r="B9203" i="1"/>
  <c r="B9204" i="1"/>
  <c r="B8785" i="1"/>
  <c r="B8786" i="1"/>
  <c r="B8367" i="1"/>
  <c r="B8368" i="1"/>
  <c r="B7949" i="1"/>
  <c r="B7950" i="1"/>
  <c r="B7531" i="1"/>
  <c r="B7532" i="1"/>
  <c r="B7113" i="1"/>
  <c r="B7114" i="1"/>
  <c r="B6695" i="1"/>
  <c r="B6696" i="1"/>
  <c r="B6277" i="1"/>
  <c r="B6278" i="1"/>
  <c r="B5859" i="1"/>
  <c r="B5860" i="1"/>
  <c r="B5441" i="1"/>
  <c r="B5442" i="1"/>
  <c r="B5023" i="1"/>
  <c r="B5024" i="1"/>
  <c r="B4605" i="1"/>
  <c r="B4606" i="1"/>
  <c r="B4187" i="1"/>
  <c r="B4188" i="1"/>
  <c r="B3769" i="1"/>
  <c r="B3770" i="1"/>
  <c r="B3351" i="1"/>
  <c r="B3352" i="1"/>
  <c r="B2933" i="1"/>
  <c r="B2934" i="1"/>
  <c r="B2515" i="1"/>
  <c r="B2516" i="1"/>
  <c r="B2097" i="1"/>
  <c r="B2098" i="1"/>
  <c r="B1679" i="1"/>
  <c r="B1680" i="1"/>
  <c r="B1261" i="1"/>
  <c r="B1262" i="1"/>
  <c r="B843" i="1"/>
  <c r="B844" i="1"/>
  <c r="B425" i="1"/>
  <c r="B426" i="1"/>
  <c r="B7" i="1"/>
  <c r="B8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</calcChain>
</file>

<file path=xl/sharedStrings.xml><?xml version="1.0" encoding="utf-8"?>
<sst xmlns="http://schemas.openxmlformats.org/spreadsheetml/2006/main" count="1323" uniqueCount="6">
  <si>
    <t>Last Refresh: 8/31/2026 4:15:41 PM</t>
  </si>
  <si>
    <t>[PROD] Manulife - Sales Performance Metrics</t>
  </si>
  <si>
    <t>REP01.0 Agency Comparatives - New</t>
  </si>
  <si>
    <t>ss_USD in CER/AER - USD in CER</t>
  </si>
  <si>
    <t>MTD/QTD/YTD - MTD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</si>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</sst>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###;\-#,##0.0###"/>
  </numFmts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Border="1" applyAlignment="1">
      <alignment justifyLastLine="1"/>
    </xf>
    <xf numFmtId="0" fontId="1" fillId="0" borderId="0" xfId="0" applyNumberFormat="1" applyFont="1" applyBorder="1" applyAlignment="1">
      <alignment justifyLastLine="1"/>
    </xf>
    <xf numFmtId="0" fontId="1" fillId="0" borderId="1" xfId="0" applyNumberFormat="1" applyFont="1" applyBorder="1" applyAlignment="1">
      <alignment horizontal="left" indent="2" justifyLastLine="1"/>
    </xf>
    <xf numFmtId="0" fontId="1" fillId="0" borderId="2" xfId="0" applyNumberFormat="1" applyFont="1" applyBorder="1" applyAlignment="1">
      <alignment horizontal="left" indent="3" justifyLastLine="1"/>
    </xf>
    <xf numFmtId="0" fontId="2" fillId="0" borderId="3" xfId="0" applyNumberFormat="1" applyFont="1" applyBorder="1" applyAlignment="1">
      <alignment horizontal="left" indent="2" justifyLastLine="1"/>
    </xf>
    <xf numFmtId="0" fontId="2" fillId="0" borderId="4" xfId="0" applyNumberFormat="1" applyFont="1" applyBorder="1" applyAlignment="1">
      <alignment horizontal="left" indent="2" justifyLastLine="1"/>
    </xf>
    <xf numFmtId="0" fontId="3" fillId="0" borderId="1" xfId="0" applyNumberFormat="1" applyFont="1" applyBorder="1" applyAlignment="1">
      <alignment horizontal="left" indent="1" justifyLastLine="1"/>
    </xf>
    <xf numFmtId="0" fontId="4" fillId="0" borderId="3" xfId="0" applyNumberFormat="1" applyFont="1" applyBorder="1" applyAlignment="1">
      <alignment horizontal="left" indent="1" justifyLastLine="1"/>
    </xf>
    <xf numFmtId="0" fontId="4" fillId="0" borderId="4" xfId="0" applyNumberFormat="1" applyFont="1" applyBorder="1" applyAlignment="1">
      <alignment horizontal="left" indent="1" justifyLastLine="1"/>
    </xf>
    <xf numFmtId="0" fontId="3" fillId="0" borderId="1" xfId="0" applyNumberFormat="1" applyFont="1" applyBorder="1" applyAlignment="1">
      <alignment horizontal="left" justifyLastLine="1"/>
    </xf>
    <xf numFmtId="0" fontId="4" fillId="0" borderId="3" xfId="0" applyNumberFormat="1" applyFont="1" applyBorder="1" applyAlignment="1">
      <alignment horizontal="left" justifyLastLine="1"/>
    </xf>
    <xf numFmtId="0" fontId="4" fillId="0" borderId="4" xfId="0" applyNumberFormat="1" applyFont="1" applyBorder="1" applyAlignment="1">
      <alignment horizontal="left" justifyLastLine="1"/>
    </xf>
    <xf numFmtId="0" fontId="3" fillId="0" borderId="2" xfId="0" applyNumberFormat="1" applyFont="1" applyBorder="1" applyAlignment="1">
      <alignment horizontal="left" justifyLastLine="1"/>
    </xf>
    <xf numFmtId="164" fontId="1" fillId="0" borderId="0" xfId="0" applyNumberFormat="1" applyFont="1" applyBorder="1" applyAlignment="1">
      <alignment justifyLastLine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5DEE5"/>
  </sheetPr>
  <dimension ref="A1:D9620"/>
  <sheetViews>
    <sheetView tabSelected="1" workbookViewId="0"/>
  </sheetViews>
  <sheetFormatPr defaultRowHeight="14.5" x14ac:dyDescent="0.35"/>
  <cols>
    <col min="1" max="1" width="30.7265625" bestFit="1" customWidth="1"/>
    <col min="4" max="4" width="15.36328125" bestFit="1" customWidth="1"/>
  </cols>
  <sheetData>
    <row r="1" spans="1:4" x14ac:dyDescent="0.35">
      <c r="A1" s="1" t="s">
        <v>0</v>
      </c>
    </row>
    <row r="2" spans="1:4" x14ac:dyDescent="0.35">
      <c r="A2" s="1" t="s">
        <v>1</v>
      </c>
    </row>
    <row r="3" spans="1:4" x14ac:dyDescent="0.35">
      <c r="A3" s="1" t="s">
        <v>2</v>
      </c>
    </row>
    <row r="4" spans="1:4" x14ac:dyDescent="0.35">
      <c r="A4" s="1" t="s">
        <v>3</v>
      </c>
    </row>
    <row r="5" spans="1:4" x14ac:dyDescent="0.35">
      <c r="A5" s="1" t="s">
        <v>4</v>
      </c>
    </row>
    <row r="6" spans="1:4" x14ac:dyDescent="0.35">
      <c r="D6" s="13" t="str">
        <f>CHOOSE(2, "837000000003", "CY")</f>
        <v>CY</v>
      </c>
    </row>
    <row r="7" spans="1:4" x14ac:dyDescent="0.35">
      <c r="A7" s="3" t="str">
        <f t="shared" ref="A7:A70" si="0">CHOOSE(2, "1260000000001", "Agency")</f>
        <v>Agency</v>
      </c>
      <c r="B7" s="3" t="str">
        <f t="shared" ref="B7:B8" si="1">CHOOSE(2, "1395000000741", "Submitted APE")</f>
        <v>Submitted APE</v>
      </c>
      <c r="C7" s="4" t="str">
        <f>CHOOSE(2, "5461730030", "Jun 26")</f>
        <v>Jun 26</v>
      </c>
      <c r="D7" s="14">
        <v>56943914</v>
      </c>
    </row>
    <row r="8" spans="1:4" x14ac:dyDescent="0.35">
      <c r="A8" s="5" t="str">
        <f t="shared" si="0"/>
        <v>Agency</v>
      </c>
      <c r="B8" s="6" t="str">
        <f t="shared" si="1"/>
        <v>Submitted APE</v>
      </c>
      <c r="C8" s="4" t="str">
        <f>CHOOSE(2, "5462030031", "Jul 26")</f>
        <v>Jul 26</v>
      </c>
      <c r="D8" s="14">
        <v>58882833</v>
      </c>
    </row>
    <row r="9" spans="1:4" x14ac:dyDescent="0.35">
      <c r="A9" s="5" t="str">
        <f t="shared" si="0"/>
        <v>Agency</v>
      </c>
      <c r="B9" s="3" t="str">
        <f t="shared" ref="B9:B10" si="2">CHOOSE(2, "1395000000740", "# of 1-Month Active Agents")</f>
        <v># of 1-Month Active Agents</v>
      </c>
      <c r="C9" s="4" t="str">
        <f>CHOOSE(2, "5461730030", "Jun 26")</f>
        <v>Jun 26</v>
      </c>
      <c r="D9" s="14">
        <v>4495</v>
      </c>
    </row>
    <row r="10" spans="1:4" x14ac:dyDescent="0.35">
      <c r="A10" s="5" t="str">
        <f t="shared" si="0"/>
        <v>Agency</v>
      </c>
      <c r="B10" s="6" t="str">
        <f t="shared" si="2"/>
        <v># of 1-Month Active Agents</v>
      </c>
      <c r="C10" s="4" t="str">
        <f>CHOOSE(2, "5462030031", "Jul 26")</f>
        <v>Jul 26</v>
      </c>
      <c r="D10" s="14">
        <v>4000</v>
      </c>
    </row>
    <row r="11" spans="1:4" x14ac:dyDescent="0.35">
      <c r="A11" s="5" t="str">
        <f t="shared" si="0"/>
        <v>Agency</v>
      </c>
      <c r="B11" s="3" t="str">
        <f t="shared" ref="B11:B12" si="3">CHOOSE(2, "1395000000739", "# of 1-Month Active Agents in 0-1M")</f>
        <v># of 1-Month Active Agents in 0-1M</v>
      </c>
      <c r="C11" s="4" t="str">
        <f>CHOOSE(2, "5461730030", "Jun 26")</f>
        <v>Jun 26</v>
      </c>
      <c r="D11" s="14">
        <v>71</v>
      </c>
    </row>
    <row r="12" spans="1:4" x14ac:dyDescent="0.35">
      <c r="A12" s="5" t="str">
        <f t="shared" si="0"/>
        <v>Agency</v>
      </c>
      <c r="B12" s="6" t="str">
        <f t="shared" si="3"/>
        <v># of 1-Month Active Agents in 0-1M</v>
      </c>
      <c r="C12" s="4" t="str">
        <f>CHOOSE(2, "5462030031", "Jul 26")</f>
        <v>Jul 26</v>
      </c>
      <c r="D12" s="14">
        <v>114</v>
      </c>
    </row>
    <row r="13" spans="1:4" x14ac:dyDescent="0.35">
      <c r="A13" s="5" t="str">
        <f t="shared" si="0"/>
        <v>Agency</v>
      </c>
      <c r="B13" s="3" t="str">
        <f t="shared" ref="B13:B14" si="4">CHOOSE(2, "1395000000738", "# of 1-Month Active Agents in 2-3M")</f>
        <v># of 1-Month Active Agents in 2-3M</v>
      </c>
      <c r="C13" s="4" t="str">
        <f>CHOOSE(2, "5461730030", "Jun 26")</f>
        <v>Jun 26</v>
      </c>
      <c r="D13" s="14">
        <v>149</v>
      </c>
    </row>
    <row r="14" spans="1:4" x14ac:dyDescent="0.35">
      <c r="A14" s="5" t="str">
        <f t="shared" si="0"/>
        <v>Agency</v>
      </c>
      <c r="B14" s="6" t="str">
        <f t="shared" si="4"/>
        <v># of 1-Month Active Agents in 2-3M</v>
      </c>
      <c r="C14" s="4" t="str">
        <f>CHOOSE(2, "5462030031", "Jul 26")</f>
        <v>Jul 26</v>
      </c>
      <c r="D14" s="14">
        <v>270</v>
      </c>
    </row>
    <row r="15" spans="1:4" x14ac:dyDescent="0.35">
      <c r="A15" s="5" t="str">
        <f t="shared" si="0"/>
        <v>Agency</v>
      </c>
      <c r="B15" s="3" t="str">
        <f t="shared" ref="B15:B16" si="5">CHOOSE(2, "1395000000737", "# of 1-Month Active Agents in 4-12M")</f>
        <v># of 1-Month Active Agents in 4-12M</v>
      </c>
      <c r="C15" s="4" t="str">
        <f>CHOOSE(2, "5461730030", "Jun 26")</f>
        <v>Jun 26</v>
      </c>
      <c r="D15" s="14">
        <v>672</v>
      </c>
    </row>
    <row r="16" spans="1:4" x14ac:dyDescent="0.35">
      <c r="A16" s="5" t="str">
        <f t="shared" si="0"/>
        <v>Agency</v>
      </c>
      <c r="B16" s="6" t="str">
        <f t="shared" si="5"/>
        <v># of 1-Month Active Agents in 4-12M</v>
      </c>
      <c r="C16" s="4" t="str">
        <f>CHOOSE(2, "5462030031", "Jul 26")</f>
        <v>Jul 26</v>
      </c>
      <c r="D16" s="14">
        <v>1038</v>
      </c>
    </row>
    <row r="17" spans="1:4" x14ac:dyDescent="0.35">
      <c r="A17" s="5" t="str">
        <f t="shared" si="0"/>
        <v>Agency</v>
      </c>
      <c r="B17" s="3" t="str">
        <f t="shared" ref="B17:B18" si="6">CHOOSE(2, "1395000000736", "# of 1-Month Active Agents 13+M")</f>
        <v># of 1-Month Active Agents 13+M</v>
      </c>
      <c r="C17" s="4" t="str">
        <f>CHOOSE(2, "5461730030", "Jun 26")</f>
        <v>Jun 26</v>
      </c>
      <c r="D17" s="14">
        <v>3603</v>
      </c>
    </row>
    <row r="18" spans="1:4" x14ac:dyDescent="0.35">
      <c r="A18" s="5" t="str">
        <f t="shared" si="0"/>
        <v>Agency</v>
      </c>
      <c r="B18" s="6" t="str">
        <f t="shared" si="6"/>
        <v># of 1-Month Active Agents 13+M</v>
      </c>
      <c r="C18" s="4" t="str">
        <f>CHOOSE(2, "5462030031", "Jul 26")</f>
        <v>Jul 26</v>
      </c>
      <c r="D18" s="14">
        <v>6692</v>
      </c>
    </row>
    <row r="19" spans="1:4" x14ac:dyDescent="0.35">
      <c r="A19" s="5" t="str">
        <f t="shared" si="0"/>
        <v>Agency</v>
      </c>
      <c r="B19" s="3" t="str">
        <f t="shared" ref="B19:B20" si="7">CHOOSE(2, "1395000000735", "# of 1-Month Active Agents in FA or equivalent")</f>
        <v># of 1-Month Active Agents in FA or equivalent</v>
      </c>
      <c r="C19" s="4" t="str">
        <f>CHOOSE(2, "5461730030", "Jun 26")</f>
        <v>Jun 26</v>
      </c>
      <c r="D19" s="14">
        <v>3154</v>
      </c>
    </row>
    <row r="20" spans="1:4" x14ac:dyDescent="0.35">
      <c r="A20" s="5" t="str">
        <f t="shared" si="0"/>
        <v>Agency</v>
      </c>
      <c r="B20" s="6" t="str">
        <f t="shared" si="7"/>
        <v># of 1-Month Active Agents in FA or equivalent</v>
      </c>
      <c r="C20" s="4" t="str">
        <f>CHOOSE(2, "5462030031", "Jul 26")</f>
        <v>Jul 26</v>
      </c>
      <c r="D20" s="14">
        <v>5562</v>
      </c>
    </row>
    <row r="21" spans="1:4" x14ac:dyDescent="0.35">
      <c r="A21" s="5" t="str">
        <f t="shared" si="0"/>
        <v>Agency</v>
      </c>
      <c r="B21" s="3" t="str">
        <f t="shared" ref="B21:B22" si="8">CHOOSE(2, "1395000000734", "# of 1-Month Active Agents in UM")</f>
        <v># of 1-Month Active Agents in UM</v>
      </c>
      <c r="C21" s="4" t="str">
        <f>CHOOSE(2, "5461730030", "Jun 26")</f>
        <v>Jun 26</v>
      </c>
      <c r="D21" s="14">
        <v>646</v>
      </c>
    </row>
    <row r="22" spans="1:4" x14ac:dyDescent="0.35">
      <c r="A22" s="5" t="str">
        <f t="shared" si="0"/>
        <v>Agency</v>
      </c>
      <c r="B22" s="6" t="str">
        <f t="shared" si="8"/>
        <v># of 1-Month Active Agents in UM</v>
      </c>
      <c r="C22" s="4" t="str">
        <f>CHOOSE(2, "5462030031", "Jul 26")</f>
        <v>Jul 26</v>
      </c>
      <c r="D22" s="14">
        <v>1172</v>
      </c>
    </row>
    <row r="23" spans="1:4" x14ac:dyDescent="0.35">
      <c r="A23" s="5" t="str">
        <f t="shared" si="0"/>
        <v>Agency</v>
      </c>
      <c r="B23" s="3" t="str">
        <f t="shared" ref="B23:B24" si="9">CHOOSE(2, "1395000000733", "# of 1-Month Active Agents in Leaders above UM")</f>
        <v># of 1-Month Active Agents in Leaders above UM</v>
      </c>
      <c r="C23" s="4" t="str">
        <f>CHOOSE(2, "5461730030", "Jun 26")</f>
        <v>Jun 26</v>
      </c>
      <c r="D23" s="14">
        <v>695</v>
      </c>
    </row>
    <row r="24" spans="1:4" x14ac:dyDescent="0.35">
      <c r="A24" s="5" t="str">
        <f t="shared" si="0"/>
        <v>Agency</v>
      </c>
      <c r="B24" s="6" t="str">
        <f t="shared" si="9"/>
        <v># of 1-Month Active Agents in Leaders above UM</v>
      </c>
      <c r="C24" s="4" t="str">
        <f>CHOOSE(2, "5462030031", "Jul 26")</f>
        <v>Jul 26</v>
      </c>
      <c r="D24" s="14">
        <v>1380</v>
      </c>
    </row>
    <row r="25" spans="1:4" x14ac:dyDescent="0.35">
      <c r="A25" s="5" t="str">
        <f t="shared" si="0"/>
        <v>Agency</v>
      </c>
      <c r="B25" s="3" t="str">
        <f t="shared" ref="B25:B26" si="10">CHOOSE(2, "1395000000732", "# of 1-Month Active Top-tier Agents")</f>
        <v># of 1-Month Active Top-tier Agents</v>
      </c>
      <c r="C25" s="4" t="str">
        <f>CHOOSE(2, "5461730030", "Jun 26")</f>
        <v>Jun 26</v>
      </c>
      <c r="D25" s="14">
        <v>2681</v>
      </c>
    </row>
    <row r="26" spans="1:4" x14ac:dyDescent="0.35">
      <c r="A26" s="5" t="str">
        <f t="shared" si="0"/>
        <v>Agency</v>
      </c>
      <c r="B26" s="6" t="str">
        <f t="shared" si="10"/>
        <v># of 1-Month Active Top-tier Agents</v>
      </c>
      <c r="C26" s="4" t="str">
        <f>CHOOSE(2, "5462030031", "Jul 26")</f>
        <v>Jul 26</v>
      </c>
      <c r="D26" s="14">
        <v>4796</v>
      </c>
    </row>
    <row r="27" spans="1:4" x14ac:dyDescent="0.35">
      <c r="A27" s="5" t="str">
        <f t="shared" si="0"/>
        <v>Agency</v>
      </c>
      <c r="B27" s="3" t="str">
        <f t="shared" ref="B27:B28" si="11">CHOOSE(2, "1395000000731", "# of 1-Month Active Agents in pro-rated MDRT agents (&gt;100%)")</f>
        <v># of 1-Month Active Agents in pro-rated MDRT agents (&gt;100%)</v>
      </c>
      <c r="C27" s="4" t="str">
        <f>CHOOSE(2, "5461730030", "Jun 26")</f>
        <v>Jun 26</v>
      </c>
      <c r="D27" s="14">
        <v>1593</v>
      </c>
    </row>
    <row r="28" spans="1:4" x14ac:dyDescent="0.35">
      <c r="A28" s="5" t="str">
        <f t="shared" si="0"/>
        <v>Agency</v>
      </c>
      <c r="B28" s="6" t="str">
        <f t="shared" si="11"/>
        <v># of 1-Month Active Agents in pro-rated MDRT agents (&gt;100%)</v>
      </c>
      <c r="C28" s="4" t="str">
        <f>CHOOSE(2, "5462030031", "Jul 26")</f>
        <v>Jul 26</v>
      </c>
      <c r="D28" s="14">
        <v>2746</v>
      </c>
    </row>
    <row r="29" spans="1:4" x14ac:dyDescent="0.35">
      <c r="A29" s="5" t="str">
        <f t="shared" si="0"/>
        <v>Agency</v>
      </c>
      <c r="B29" s="3" t="str">
        <f t="shared" ref="B29:B30" si="12">CHOOSE(2, "1395000000730", "# of 1-Month Active Agents in pro-rated MDRT agents (70-99%)")</f>
        <v># of 1-Month Active Agents in pro-rated MDRT agents (70-99%)</v>
      </c>
      <c r="C29" s="4" t="str">
        <f>CHOOSE(2, "5461730030", "Jun 26")</f>
        <v>Jun 26</v>
      </c>
      <c r="D29" s="14">
        <v>559</v>
      </c>
    </row>
    <row r="30" spans="1:4" x14ac:dyDescent="0.35">
      <c r="A30" s="5" t="str">
        <f t="shared" si="0"/>
        <v>Agency</v>
      </c>
      <c r="B30" s="6" t="str">
        <f t="shared" si="12"/>
        <v># of 1-Month Active Agents in pro-rated MDRT agents (70-99%)</v>
      </c>
      <c r="C30" s="4" t="str">
        <f>CHOOSE(2, "5462030031", "Jul 26")</f>
        <v>Jul 26</v>
      </c>
      <c r="D30" s="14">
        <v>1014</v>
      </c>
    </row>
    <row r="31" spans="1:4" x14ac:dyDescent="0.35">
      <c r="A31" s="5" t="str">
        <f t="shared" si="0"/>
        <v>Agency</v>
      </c>
      <c r="B31" s="3" t="str">
        <f t="shared" ref="B31:B32" si="13">CHOOSE(2, "1395000000729", "# of 1-Month Active Agents in pro-rated MDRT agents (50-69%)")</f>
        <v># of 1-Month Active Agents in pro-rated MDRT agents (50-69%)</v>
      </c>
      <c r="C31" s="4" t="str">
        <f>CHOOSE(2, "5461730030", "Jun 26")</f>
        <v>Jun 26</v>
      </c>
      <c r="D31" s="14">
        <v>529</v>
      </c>
    </row>
    <row r="32" spans="1:4" x14ac:dyDescent="0.35">
      <c r="A32" s="5" t="str">
        <f t="shared" si="0"/>
        <v>Agency</v>
      </c>
      <c r="B32" s="6" t="str">
        <f t="shared" si="13"/>
        <v># of 1-Month Active Agents in pro-rated MDRT agents (50-69%)</v>
      </c>
      <c r="C32" s="4" t="str">
        <f>CHOOSE(2, "5462030031", "Jul 26")</f>
        <v>Jul 26</v>
      </c>
      <c r="D32" s="14">
        <v>1036</v>
      </c>
    </row>
    <row r="33" spans="1:4" x14ac:dyDescent="0.35">
      <c r="A33" s="5" t="str">
        <f t="shared" si="0"/>
        <v>Agency</v>
      </c>
      <c r="B33" s="3" t="str">
        <f t="shared" ref="B33:B34" si="14">CHOOSE(2, "1395000000728", "# of 1-Month Active Agents in Manulife Pro Qualifiers -Total")</f>
        <v># of 1-Month Active Agents in Manulife Pro Qualifiers -Total</v>
      </c>
      <c r="C33" s="4" t="str">
        <f>CHOOSE(2, "5461730030", "Jun 26")</f>
        <v>Jun 26</v>
      </c>
      <c r="D33" s="2" t="s">
        <v>5</v>
      </c>
    </row>
    <row r="34" spans="1:4" x14ac:dyDescent="0.35">
      <c r="A34" s="5" t="str">
        <f t="shared" si="0"/>
        <v>Agency</v>
      </c>
      <c r="B34" s="6" t="str">
        <f t="shared" si="14"/>
        <v># of 1-Month Active Agents in Manulife Pro Qualifiers -Total</v>
      </c>
      <c r="C34" s="4" t="str">
        <f>CHOOSE(2, "5462030031", "Jul 26")</f>
        <v>Jul 26</v>
      </c>
      <c r="D34" s="2" t="s">
        <v>5</v>
      </c>
    </row>
    <row r="35" spans="1:4" x14ac:dyDescent="0.35">
      <c r="A35" s="5" t="str">
        <f t="shared" si="0"/>
        <v>Agency</v>
      </c>
      <c r="B35" s="3" t="str">
        <f t="shared" ref="B35:B36" si="15">CHOOSE(2, "1395000000727", "# of 3-Month Active Agents")</f>
        <v># of 3-Month Active Agents</v>
      </c>
      <c r="C35" s="4" t="str">
        <f>CHOOSE(2, "5461730030", "Jun 26")</f>
        <v>Jun 26</v>
      </c>
      <c r="D35" s="14">
        <v>7289</v>
      </c>
    </row>
    <row r="36" spans="1:4" x14ac:dyDescent="0.35">
      <c r="A36" s="5" t="str">
        <f t="shared" si="0"/>
        <v>Agency</v>
      </c>
      <c r="B36" s="6" t="str">
        <f t="shared" si="15"/>
        <v># of 3-Month Active Agents</v>
      </c>
      <c r="C36" s="4" t="str">
        <f>CHOOSE(2, "5462030031", "Jul 26")</f>
        <v>Jul 26</v>
      </c>
      <c r="D36" s="14">
        <v>7213</v>
      </c>
    </row>
    <row r="37" spans="1:4" x14ac:dyDescent="0.35">
      <c r="A37" s="5" t="str">
        <f t="shared" si="0"/>
        <v>Agency</v>
      </c>
      <c r="B37" s="3" t="str">
        <f t="shared" ref="B37:B38" si="16">CHOOSE(2, "1395000000726", "# of 3-Month Active Agents in 0-1M")</f>
        <v># of 3-Month Active Agents in 0-1M</v>
      </c>
      <c r="C37" s="4" t="str">
        <f>CHOOSE(2, "5461730030", "Jun 26")</f>
        <v>Jun 26</v>
      </c>
      <c r="D37" s="14">
        <v>71</v>
      </c>
    </row>
    <row r="38" spans="1:4" x14ac:dyDescent="0.35">
      <c r="A38" s="5" t="str">
        <f t="shared" si="0"/>
        <v>Agency</v>
      </c>
      <c r="B38" s="6" t="str">
        <f t="shared" si="16"/>
        <v># of 3-Month Active Agents in 0-1M</v>
      </c>
      <c r="C38" s="4" t="str">
        <f>CHOOSE(2, "5462030031", "Jul 26")</f>
        <v>Jul 26</v>
      </c>
      <c r="D38" s="14">
        <v>57</v>
      </c>
    </row>
    <row r="39" spans="1:4" x14ac:dyDescent="0.35">
      <c r="A39" s="5" t="str">
        <f t="shared" si="0"/>
        <v>Agency</v>
      </c>
      <c r="B39" s="3" t="str">
        <f t="shared" ref="B39:B40" si="17">CHOOSE(2, "1395000000725", "# of 3-Month Active Agents in 2-3M")</f>
        <v># of 3-Month Active Agents in 2-3M</v>
      </c>
      <c r="C39" s="4" t="str">
        <f>CHOOSE(2, "5461730030", "Jun 26")</f>
        <v>Jun 26</v>
      </c>
      <c r="D39" s="14">
        <v>214</v>
      </c>
    </row>
    <row r="40" spans="1:4" x14ac:dyDescent="0.35">
      <c r="A40" s="5" t="str">
        <f t="shared" si="0"/>
        <v>Agency</v>
      </c>
      <c r="B40" s="6" t="str">
        <f t="shared" si="17"/>
        <v># of 3-Month Active Agents in 2-3M</v>
      </c>
      <c r="C40" s="4" t="str">
        <f>CHOOSE(2, "5462030031", "Jul 26")</f>
        <v>Jul 26</v>
      </c>
      <c r="D40" s="14">
        <v>237</v>
      </c>
    </row>
    <row r="41" spans="1:4" x14ac:dyDescent="0.35">
      <c r="A41" s="5" t="str">
        <f t="shared" si="0"/>
        <v>Agency</v>
      </c>
      <c r="B41" s="3" t="str">
        <f t="shared" ref="B41:B42" si="18">CHOOSE(2, "1395000000724", "# of 3-Month Active Agents in 4-12M")</f>
        <v># of 3-Month Active Agents in 4-12M</v>
      </c>
      <c r="C41" s="4" t="str">
        <f>CHOOSE(2, "5461730030", "Jun 26")</f>
        <v>Jun 26</v>
      </c>
      <c r="D41" s="14">
        <v>1198</v>
      </c>
    </row>
    <row r="42" spans="1:4" x14ac:dyDescent="0.35">
      <c r="A42" s="5" t="str">
        <f t="shared" si="0"/>
        <v>Agency</v>
      </c>
      <c r="B42" s="6" t="str">
        <f t="shared" si="18"/>
        <v># of 3-Month Active Agents in 4-12M</v>
      </c>
      <c r="C42" s="4" t="str">
        <f>CHOOSE(2, "5462030031", "Jul 26")</f>
        <v>Jul 26</v>
      </c>
      <c r="D42" s="14">
        <v>1137</v>
      </c>
    </row>
    <row r="43" spans="1:4" x14ac:dyDescent="0.35">
      <c r="A43" s="5" t="str">
        <f t="shared" si="0"/>
        <v>Agency</v>
      </c>
      <c r="B43" s="3" t="str">
        <f t="shared" ref="B43:B44" si="19">CHOOSE(2, "1395000000723", "# of 3-Month Active Agents 13+M")</f>
        <v># of 3-Month Active Agents 13+M</v>
      </c>
      <c r="C43" s="4" t="str">
        <f>CHOOSE(2, "5461730030", "Jun 26")</f>
        <v>Jun 26</v>
      </c>
      <c r="D43" s="14">
        <v>5806</v>
      </c>
    </row>
    <row r="44" spans="1:4" x14ac:dyDescent="0.35">
      <c r="A44" s="5" t="str">
        <f t="shared" si="0"/>
        <v>Agency</v>
      </c>
      <c r="B44" s="6" t="str">
        <f t="shared" si="19"/>
        <v># of 3-Month Active Agents 13+M</v>
      </c>
      <c r="C44" s="4" t="str">
        <f>CHOOSE(2, "5462030031", "Jul 26")</f>
        <v>Jul 26</v>
      </c>
      <c r="D44" s="14">
        <v>5782</v>
      </c>
    </row>
    <row r="45" spans="1:4" x14ac:dyDescent="0.35">
      <c r="A45" s="5" t="str">
        <f t="shared" si="0"/>
        <v>Agency</v>
      </c>
      <c r="B45" s="3" t="str">
        <f t="shared" ref="B45:B46" si="20">CHOOSE(2, "1395000000722", "# of 3-Month Active Agents in UM")</f>
        <v># of 3-Month Active Agents in UM</v>
      </c>
      <c r="C45" s="4" t="str">
        <f>CHOOSE(2, "5461730030", "Jun 26")</f>
        <v>Jun 26</v>
      </c>
      <c r="D45" s="2" t="s">
        <v>5</v>
      </c>
    </row>
    <row r="46" spans="1:4" x14ac:dyDescent="0.35">
      <c r="A46" s="5" t="str">
        <f t="shared" si="0"/>
        <v>Agency</v>
      </c>
      <c r="B46" s="6" t="str">
        <f t="shared" si="20"/>
        <v># of 3-Month Active Agents in UM</v>
      </c>
      <c r="C46" s="4" t="str">
        <f>CHOOSE(2, "5462030031", "Jul 26")</f>
        <v>Jul 26</v>
      </c>
      <c r="D46" s="2" t="s">
        <v>5</v>
      </c>
    </row>
    <row r="47" spans="1:4" x14ac:dyDescent="0.35">
      <c r="A47" s="5" t="str">
        <f t="shared" si="0"/>
        <v>Agency</v>
      </c>
      <c r="B47" s="3" t="str">
        <f t="shared" ref="B47:B48" si="21">CHOOSE(2, "1395000000721", "# of 3-Month Active Agents in Leaders above UM")</f>
        <v># of 3-Month Active Agents in Leaders above UM</v>
      </c>
      <c r="C47" s="4" t="str">
        <f>CHOOSE(2, "5461730030", "Jun 26")</f>
        <v>Jun 26</v>
      </c>
      <c r="D47" s="2" t="s">
        <v>5</v>
      </c>
    </row>
    <row r="48" spans="1:4" x14ac:dyDescent="0.35">
      <c r="A48" s="5" t="str">
        <f t="shared" si="0"/>
        <v>Agency</v>
      </c>
      <c r="B48" s="6" t="str">
        <f t="shared" si="21"/>
        <v># of 3-Month Active Agents in Leaders above UM</v>
      </c>
      <c r="C48" s="4" t="str">
        <f>CHOOSE(2, "5462030031", "Jul 26")</f>
        <v>Jul 26</v>
      </c>
      <c r="D48" s="2" t="s">
        <v>5</v>
      </c>
    </row>
    <row r="49" spans="1:4" x14ac:dyDescent="0.35">
      <c r="A49" s="5" t="str">
        <f t="shared" si="0"/>
        <v>Agency</v>
      </c>
      <c r="B49" s="3" t="str">
        <f t="shared" ref="B49:B50" si="22">CHOOSE(2, "1395000000720", "# of 3-Month Active Agents in FA or equivalent")</f>
        <v># of 3-Month Active Agents in FA or equivalent</v>
      </c>
      <c r="C49" s="4" t="str">
        <f>CHOOSE(2, "5461730030", "Jun 26")</f>
        <v>Jun 26</v>
      </c>
      <c r="D49" s="2" t="s">
        <v>5</v>
      </c>
    </row>
    <row r="50" spans="1:4" x14ac:dyDescent="0.35">
      <c r="A50" s="5" t="str">
        <f t="shared" si="0"/>
        <v>Agency</v>
      </c>
      <c r="B50" s="6" t="str">
        <f t="shared" si="22"/>
        <v># of 3-Month Active Agents in FA or equivalent</v>
      </c>
      <c r="C50" s="4" t="str">
        <f>CHOOSE(2, "5462030031", "Jul 26")</f>
        <v>Jul 26</v>
      </c>
      <c r="D50" s="2" t="s">
        <v>5</v>
      </c>
    </row>
    <row r="51" spans="1:4" x14ac:dyDescent="0.35">
      <c r="A51" s="5" t="str">
        <f t="shared" si="0"/>
        <v>Agency</v>
      </c>
      <c r="B51" s="3" t="str">
        <f t="shared" ref="B51:B52" si="23">CHOOSE(2, "1395000000719", "Net Case Count - Agency")</f>
        <v>Net Case Count - Agency</v>
      </c>
      <c r="C51" s="4" t="str">
        <f>CHOOSE(2, "5461730030", "Jun 26")</f>
        <v>Jun 26</v>
      </c>
      <c r="D51" s="14">
        <v>7013</v>
      </c>
    </row>
    <row r="52" spans="1:4" x14ac:dyDescent="0.35">
      <c r="A52" s="5" t="str">
        <f t="shared" si="0"/>
        <v>Agency</v>
      </c>
      <c r="B52" s="6" t="str">
        <f t="shared" si="23"/>
        <v>Net Case Count - Agency</v>
      </c>
      <c r="C52" s="4" t="str">
        <f>CHOOSE(2, "5462030031", "Jul 26")</f>
        <v>Jul 26</v>
      </c>
      <c r="D52" s="14">
        <v>7527</v>
      </c>
    </row>
    <row r="53" spans="1:4" x14ac:dyDescent="0.35">
      <c r="A53" s="5" t="str">
        <f t="shared" si="0"/>
        <v>Agency</v>
      </c>
      <c r="B53" s="3" t="str">
        <f t="shared" ref="B53:B54" si="24">CHOOSE(2, "1395000000718", "Net Case Count - Agency in 0-1M")</f>
        <v>Net Case Count - Agency in 0-1M</v>
      </c>
      <c r="C53" s="4" t="str">
        <f>CHOOSE(2, "5461730030", "Jun 26")</f>
        <v>Jun 26</v>
      </c>
      <c r="D53" s="14">
        <v>114</v>
      </c>
    </row>
    <row r="54" spans="1:4" x14ac:dyDescent="0.35">
      <c r="A54" s="5" t="str">
        <f t="shared" si="0"/>
        <v>Agency</v>
      </c>
      <c r="B54" s="6" t="str">
        <f t="shared" si="24"/>
        <v>Net Case Count - Agency in 0-1M</v>
      </c>
      <c r="C54" s="4" t="str">
        <f>CHOOSE(2, "5462030031", "Jul 26")</f>
        <v>Jul 26</v>
      </c>
      <c r="D54" s="14">
        <v>442</v>
      </c>
    </row>
    <row r="55" spans="1:4" x14ac:dyDescent="0.35">
      <c r="A55" s="5" t="str">
        <f t="shared" si="0"/>
        <v>Agency</v>
      </c>
      <c r="B55" s="3" t="str">
        <f t="shared" ref="B55:B56" si="25">CHOOSE(2, "1395000000717", "Net Case Count - Agency in 2-3M")</f>
        <v>Net Case Count - Agency in 2-3M</v>
      </c>
      <c r="C55" s="4" t="str">
        <f>CHOOSE(2, "5461730030", "Jun 26")</f>
        <v>Jun 26</v>
      </c>
      <c r="D55" s="14">
        <v>278</v>
      </c>
    </row>
    <row r="56" spans="1:4" x14ac:dyDescent="0.35">
      <c r="A56" s="5" t="str">
        <f t="shared" si="0"/>
        <v>Agency</v>
      </c>
      <c r="B56" s="6" t="str">
        <f t="shared" si="25"/>
        <v>Net Case Count - Agency in 2-3M</v>
      </c>
      <c r="C56" s="4" t="str">
        <f>CHOOSE(2, "5462030031", "Jul 26")</f>
        <v>Jul 26</v>
      </c>
      <c r="D56" s="14">
        <v>885</v>
      </c>
    </row>
    <row r="57" spans="1:4" x14ac:dyDescent="0.35">
      <c r="A57" s="5" t="str">
        <f t="shared" si="0"/>
        <v>Agency</v>
      </c>
      <c r="B57" s="3" t="str">
        <f t="shared" ref="B57:B58" si="26">CHOOSE(2, "1395000000716", "Net Case Count - Agency in 4-12M")</f>
        <v>Net Case Count - Agency in 4-12M</v>
      </c>
      <c r="C57" s="4" t="str">
        <f>CHOOSE(2, "5461730030", "Jun 26")</f>
        <v>Jun 26</v>
      </c>
      <c r="D57" s="14">
        <v>1068</v>
      </c>
    </row>
    <row r="58" spans="1:4" x14ac:dyDescent="0.35">
      <c r="A58" s="5" t="str">
        <f t="shared" si="0"/>
        <v>Agency</v>
      </c>
      <c r="B58" s="6" t="str">
        <f t="shared" si="26"/>
        <v>Net Case Count - Agency in 4-12M</v>
      </c>
      <c r="C58" s="4" t="str">
        <f>CHOOSE(2, "5462030031", "Jul 26")</f>
        <v>Jul 26</v>
      </c>
      <c r="D58" s="14">
        <v>3297</v>
      </c>
    </row>
    <row r="59" spans="1:4" x14ac:dyDescent="0.35">
      <c r="A59" s="5" t="str">
        <f t="shared" si="0"/>
        <v>Agency</v>
      </c>
      <c r="B59" s="3" t="str">
        <f t="shared" ref="B59:B60" si="27">CHOOSE(2, "1395000000715", "Net Case Count - Agency 13+M")</f>
        <v>Net Case Count - Agency 13+M</v>
      </c>
      <c r="C59" s="4" t="str">
        <f>CHOOSE(2, "5461730030", "Jun 26")</f>
        <v>Jun 26</v>
      </c>
      <c r="D59" s="14">
        <v>7106</v>
      </c>
    </row>
    <row r="60" spans="1:4" x14ac:dyDescent="0.35">
      <c r="A60" s="5" t="str">
        <f t="shared" si="0"/>
        <v>Agency</v>
      </c>
      <c r="B60" s="6" t="str">
        <f t="shared" si="27"/>
        <v>Net Case Count - Agency 13+M</v>
      </c>
      <c r="C60" s="4" t="str">
        <f>CHOOSE(2, "5462030031", "Jul 26")</f>
        <v>Jul 26</v>
      </c>
      <c r="D60" s="14">
        <v>27178</v>
      </c>
    </row>
    <row r="61" spans="1:4" x14ac:dyDescent="0.35">
      <c r="A61" s="5" t="str">
        <f t="shared" si="0"/>
        <v>Agency</v>
      </c>
      <c r="B61" s="3" t="str">
        <f t="shared" ref="B61:B62" si="28">CHOOSE(2, "1395000000714", "Net Case Count - Agency in FA or equivalent")</f>
        <v>Net Case Count - Agency in FA or equivalent</v>
      </c>
      <c r="C61" s="4" t="str">
        <f>CHOOSE(2, "5461730030", "Jun 26")</f>
        <v>Jun 26</v>
      </c>
      <c r="D61" s="14">
        <v>5373</v>
      </c>
    </row>
    <row r="62" spans="1:4" x14ac:dyDescent="0.35">
      <c r="A62" s="5" t="str">
        <f t="shared" si="0"/>
        <v>Agency</v>
      </c>
      <c r="B62" s="6" t="str">
        <f t="shared" si="28"/>
        <v>Net Case Count - Agency in FA or equivalent</v>
      </c>
      <c r="C62" s="4" t="str">
        <f>CHOOSE(2, "5462030031", "Jul 26")</f>
        <v>Jul 26</v>
      </c>
      <c r="D62" s="14">
        <v>19099</v>
      </c>
    </row>
    <row r="63" spans="1:4" x14ac:dyDescent="0.35">
      <c r="A63" s="5" t="str">
        <f t="shared" si="0"/>
        <v>Agency</v>
      </c>
      <c r="B63" s="3" t="str">
        <f t="shared" ref="B63:B64" si="29">CHOOSE(2, "1395000000713", "Net Case Count - Agency in UM")</f>
        <v>Net Case Count - Agency in UM</v>
      </c>
      <c r="C63" s="4" t="str">
        <f>CHOOSE(2, "5461730030", "Jun 26")</f>
        <v>Jun 26</v>
      </c>
      <c r="D63" s="14">
        <v>1484</v>
      </c>
    </row>
    <row r="64" spans="1:4" x14ac:dyDescent="0.35">
      <c r="A64" s="5" t="str">
        <f t="shared" si="0"/>
        <v>Agency</v>
      </c>
      <c r="B64" s="6" t="str">
        <f t="shared" si="29"/>
        <v>Net Case Count - Agency in UM</v>
      </c>
      <c r="C64" s="4" t="str">
        <f>CHOOSE(2, "5462030031", "Jul 26")</f>
        <v>Jul 26</v>
      </c>
      <c r="D64" s="14">
        <v>5492</v>
      </c>
    </row>
    <row r="65" spans="1:4" x14ac:dyDescent="0.35">
      <c r="A65" s="5" t="str">
        <f t="shared" si="0"/>
        <v>Agency</v>
      </c>
      <c r="B65" s="3" t="str">
        <f t="shared" ref="B65:B66" si="30">CHOOSE(2, "1395000000712", "Net Case Count - Agency in Leaders above UM")</f>
        <v>Net Case Count - Agency in Leaders above UM</v>
      </c>
      <c r="C65" s="4" t="str">
        <f>CHOOSE(2, "5461730030", "Jun 26")</f>
        <v>Jun 26</v>
      </c>
      <c r="D65" s="14">
        <v>1710</v>
      </c>
    </row>
    <row r="66" spans="1:4" x14ac:dyDescent="0.35">
      <c r="A66" s="5" t="str">
        <f t="shared" si="0"/>
        <v>Agency</v>
      </c>
      <c r="B66" s="6" t="str">
        <f t="shared" si="30"/>
        <v>Net Case Count - Agency in Leaders above UM</v>
      </c>
      <c r="C66" s="4" t="str">
        <f>CHOOSE(2, "5462030031", "Jul 26")</f>
        <v>Jul 26</v>
      </c>
      <c r="D66" s="14">
        <v>7212</v>
      </c>
    </row>
    <row r="67" spans="1:4" x14ac:dyDescent="0.35">
      <c r="A67" s="5" t="str">
        <f t="shared" si="0"/>
        <v>Agency</v>
      </c>
      <c r="B67" s="3" t="str">
        <f t="shared" ref="B67:B68" si="31">CHOOSE(2, "1395000000711", "Net Case Count - Agency in Top-tier Agents")</f>
        <v>Net Case Count - Agency in Top-tier Agents</v>
      </c>
      <c r="C67" s="4" t="str">
        <f>CHOOSE(2, "5461730030", "Jun 26")</f>
        <v>Jun 26</v>
      </c>
      <c r="D67" s="14">
        <v>6101</v>
      </c>
    </row>
    <row r="68" spans="1:4" x14ac:dyDescent="0.35">
      <c r="A68" s="5" t="str">
        <f t="shared" si="0"/>
        <v>Agency</v>
      </c>
      <c r="B68" s="6" t="str">
        <f t="shared" si="31"/>
        <v>Net Case Count - Agency in Top-tier Agents</v>
      </c>
      <c r="C68" s="4" t="str">
        <f>CHOOSE(2, "5462030031", "Jul 26")</f>
        <v>Jul 26</v>
      </c>
      <c r="D68" s="14">
        <v>22554</v>
      </c>
    </row>
    <row r="69" spans="1:4" x14ac:dyDescent="0.35">
      <c r="A69" s="5" t="str">
        <f t="shared" si="0"/>
        <v>Agency</v>
      </c>
      <c r="B69" s="3" t="str">
        <f t="shared" ref="B69:B70" si="32">CHOOSE(2, "1395000000710", "Net Case Count - Agency in pro-rated MDRT agents (&gt;100%)")</f>
        <v>Net Case Count - Agency in pro-rated MDRT agents (&gt;100%)</v>
      </c>
      <c r="C69" s="4" t="str">
        <f>CHOOSE(2, "5461730030", "Jun 26")</f>
        <v>Jun 26</v>
      </c>
      <c r="D69" s="14">
        <v>4150</v>
      </c>
    </row>
    <row r="70" spans="1:4" x14ac:dyDescent="0.35">
      <c r="A70" s="5" t="str">
        <f t="shared" si="0"/>
        <v>Agency</v>
      </c>
      <c r="B70" s="6" t="str">
        <f t="shared" si="32"/>
        <v>Net Case Count - Agency in pro-rated MDRT agents (&gt;100%)</v>
      </c>
      <c r="C70" s="4" t="str">
        <f>CHOOSE(2, "5462030031", "Jul 26")</f>
        <v>Jul 26</v>
      </c>
      <c r="D70" s="14">
        <v>14754</v>
      </c>
    </row>
    <row r="71" spans="1:4" x14ac:dyDescent="0.35">
      <c r="A71" s="5" t="str">
        <f t="shared" ref="A71:A134" si="33">CHOOSE(2, "1260000000001", "Agency")</f>
        <v>Agency</v>
      </c>
      <c r="B71" s="3" t="str">
        <f t="shared" ref="B71:B72" si="34">CHOOSE(2, "1395000000709", "Net Case Count - Agency in pro-rated MDRT agents (70-99%)")</f>
        <v>Net Case Count - Agency in pro-rated MDRT agents (70-99%)</v>
      </c>
      <c r="C71" s="4" t="str">
        <f>CHOOSE(2, "5461730030", "Jun 26")</f>
        <v>Jun 26</v>
      </c>
      <c r="D71" s="14">
        <v>1058</v>
      </c>
    </row>
    <row r="72" spans="1:4" x14ac:dyDescent="0.35">
      <c r="A72" s="5" t="str">
        <f t="shared" si="33"/>
        <v>Agency</v>
      </c>
      <c r="B72" s="6" t="str">
        <f t="shared" si="34"/>
        <v>Net Case Count - Agency in pro-rated MDRT agents (70-99%)</v>
      </c>
      <c r="C72" s="4" t="str">
        <f>CHOOSE(2, "5462030031", "Jul 26")</f>
        <v>Jul 26</v>
      </c>
      <c r="D72" s="14">
        <v>3891</v>
      </c>
    </row>
    <row r="73" spans="1:4" x14ac:dyDescent="0.35">
      <c r="A73" s="5" t="str">
        <f t="shared" si="33"/>
        <v>Agency</v>
      </c>
      <c r="B73" s="3" t="str">
        <f t="shared" ref="B73:B74" si="35">CHOOSE(2, "1395000000708", "Net Case Count - Agency in pro-rated MDRT agents (50-69%)")</f>
        <v>Net Case Count - Agency in pro-rated MDRT agents (50-69%)</v>
      </c>
      <c r="C73" s="4" t="str">
        <f>CHOOSE(2, "5461730030", "Jun 26")</f>
        <v>Jun 26</v>
      </c>
      <c r="D73" s="14">
        <v>891</v>
      </c>
    </row>
    <row r="74" spans="1:4" x14ac:dyDescent="0.35">
      <c r="A74" s="5" t="str">
        <f t="shared" si="33"/>
        <v>Agency</v>
      </c>
      <c r="B74" s="6" t="str">
        <f t="shared" si="35"/>
        <v>Net Case Count - Agency in pro-rated MDRT agents (50-69%)</v>
      </c>
      <c r="C74" s="4" t="str">
        <f>CHOOSE(2, "5462030031", "Jul 26")</f>
        <v>Jul 26</v>
      </c>
      <c r="D74" s="14">
        <v>3907</v>
      </c>
    </row>
    <row r="75" spans="1:4" x14ac:dyDescent="0.35">
      <c r="A75" s="5" t="str">
        <f t="shared" si="33"/>
        <v>Agency</v>
      </c>
      <c r="B75" s="3" t="str">
        <f t="shared" ref="B75:B76" si="36">CHOOSE(2, "1395000000707", "Net Case Count - Agency in Manulife Pro Qualifiers - Total")</f>
        <v>Net Case Count - Agency in Manulife Pro Qualifiers - Total</v>
      </c>
      <c r="C75" s="4" t="str">
        <f>CHOOSE(2, "5461730030", "Jun 26")</f>
        <v>Jun 26</v>
      </c>
      <c r="D75" s="2" t="s">
        <v>5</v>
      </c>
    </row>
    <row r="76" spans="1:4" x14ac:dyDescent="0.35">
      <c r="A76" s="5" t="str">
        <f t="shared" si="33"/>
        <v>Agency</v>
      </c>
      <c r="B76" s="6" t="str">
        <f t="shared" si="36"/>
        <v>Net Case Count - Agency in Manulife Pro Qualifiers - Total</v>
      </c>
      <c r="C76" s="4" t="str">
        <f>CHOOSE(2, "5462030031", "Jul 26")</f>
        <v>Jul 26</v>
      </c>
      <c r="D76" s="2" t="s">
        <v>5</v>
      </c>
    </row>
    <row r="77" spans="1:4" x14ac:dyDescent="0.35">
      <c r="A77" s="5" t="str">
        <f t="shared" si="33"/>
        <v>Agency</v>
      </c>
      <c r="B77" s="3" t="str">
        <f t="shared" ref="B77:B78" si="37">CHOOSE(2, "1395000000706", "No. of Sales Proposal Generated")</f>
        <v>No. of Sales Proposal Generated</v>
      </c>
      <c r="C77" s="4" t="str">
        <f>CHOOSE(2, "5461730030", "Jun 26")</f>
        <v>Jun 26</v>
      </c>
      <c r="D77" s="14">
        <v>84697</v>
      </c>
    </row>
    <row r="78" spans="1:4" x14ac:dyDescent="0.35">
      <c r="A78" s="5" t="str">
        <f t="shared" si="33"/>
        <v>Agency</v>
      </c>
      <c r="B78" s="6" t="str">
        <f t="shared" si="37"/>
        <v>No. of Sales Proposal Generated</v>
      </c>
      <c r="C78" s="4" t="str">
        <f>CHOOSE(2, "5462030031", "Jul 26")</f>
        <v>Jul 26</v>
      </c>
      <c r="D78" s="14">
        <v>86417</v>
      </c>
    </row>
    <row r="79" spans="1:4" x14ac:dyDescent="0.35">
      <c r="A79" s="5" t="str">
        <f t="shared" si="33"/>
        <v>Agency</v>
      </c>
      <c r="B79" s="3" t="str">
        <f t="shared" ref="B79:B80" si="38">CHOOSE(2, "1395000000705", "$ APE from Agents in X tenure")</f>
        <v>$ APE from Agents in X tenure</v>
      </c>
      <c r="C79" s="4" t="str">
        <f>CHOOSE(2, "5461730030", "Jun 26")</f>
        <v>Jun 26</v>
      </c>
      <c r="D79" s="14">
        <v>57894215.950000003</v>
      </c>
    </row>
    <row r="80" spans="1:4" x14ac:dyDescent="0.35">
      <c r="A80" s="5" t="str">
        <f t="shared" si="33"/>
        <v>Agency</v>
      </c>
      <c r="B80" s="6" t="str">
        <f t="shared" si="38"/>
        <v>$ APE from Agents in X tenure</v>
      </c>
      <c r="C80" s="4" t="str">
        <f>CHOOSE(2, "5462030031", "Jul 26")</f>
        <v>Jul 26</v>
      </c>
      <c r="D80" s="14">
        <v>44582340.840000004</v>
      </c>
    </row>
    <row r="81" spans="1:4" x14ac:dyDescent="0.35">
      <c r="A81" s="5" t="str">
        <f t="shared" si="33"/>
        <v>Agency</v>
      </c>
      <c r="B81" s="3" t="str">
        <f t="shared" ref="B81:B82" si="39">CHOOSE(2, "1395000000704", "$ APE from Agents in X tenure in 0-1M")</f>
        <v>$ APE from Agents in X tenure in 0-1M</v>
      </c>
      <c r="C81" s="4" t="str">
        <f>CHOOSE(2, "5461730030", "Jun 26")</f>
        <v>Jun 26</v>
      </c>
      <c r="D81" s="14">
        <v>5789421.5950000007</v>
      </c>
    </row>
    <row r="82" spans="1:4" x14ac:dyDescent="0.35">
      <c r="A82" s="5" t="str">
        <f t="shared" si="33"/>
        <v>Agency</v>
      </c>
      <c r="B82" s="6" t="str">
        <f t="shared" si="39"/>
        <v>$ APE from Agents in X tenure in 0-1M</v>
      </c>
      <c r="C82" s="4" t="str">
        <f>CHOOSE(2, "5462030031", "Jul 26")</f>
        <v>Jul 26</v>
      </c>
      <c r="D82" s="14">
        <v>4458234.0840000007</v>
      </c>
    </row>
    <row r="83" spans="1:4" x14ac:dyDescent="0.35">
      <c r="A83" s="5" t="str">
        <f t="shared" si="33"/>
        <v>Agency</v>
      </c>
      <c r="B83" s="3" t="str">
        <f t="shared" ref="B83:B84" si="40">CHOOSE(2, "1395000000703", "$ APE from Agents in X tenure in 2-3M")</f>
        <v>$ APE from Agents in X tenure in 2-3M</v>
      </c>
      <c r="C83" s="4" t="str">
        <f>CHOOSE(2, "5461730030", "Jun 26")</f>
        <v>Jun 26</v>
      </c>
      <c r="D83" s="14">
        <v>11578843.190000001</v>
      </c>
    </row>
    <row r="84" spans="1:4" x14ac:dyDescent="0.35">
      <c r="A84" s="5" t="str">
        <f t="shared" si="33"/>
        <v>Agency</v>
      </c>
      <c r="B84" s="6" t="str">
        <f t="shared" si="40"/>
        <v>$ APE from Agents in X tenure in 2-3M</v>
      </c>
      <c r="C84" s="4" t="str">
        <f>CHOOSE(2, "5462030031", "Jul 26")</f>
        <v>Jul 26</v>
      </c>
      <c r="D84" s="14">
        <v>8916468.1680000015</v>
      </c>
    </row>
    <row r="85" spans="1:4" x14ac:dyDescent="0.35">
      <c r="A85" s="5" t="str">
        <f t="shared" si="33"/>
        <v>Agency</v>
      </c>
      <c r="B85" s="3" t="str">
        <f t="shared" ref="B85:B86" si="41">CHOOSE(2, "1395000000702", "$ APE from Agents in X tenure in 4-12M")</f>
        <v>$ APE from Agents in X tenure in 4-12M</v>
      </c>
      <c r="C85" s="4" t="str">
        <f>CHOOSE(2, "5461730030", "Jun 26")</f>
        <v>Jun 26</v>
      </c>
      <c r="D85" s="14">
        <v>17368264.785</v>
      </c>
    </row>
    <row r="86" spans="1:4" x14ac:dyDescent="0.35">
      <c r="A86" s="5" t="str">
        <f t="shared" si="33"/>
        <v>Agency</v>
      </c>
      <c r="B86" s="6" t="str">
        <f t="shared" si="41"/>
        <v>$ APE from Agents in X tenure in 4-12M</v>
      </c>
      <c r="C86" s="4" t="str">
        <f>CHOOSE(2, "5462030031", "Jul 26")</f>
        <v>Jul 26</v>
      </c>
      <c r="D86" s="14">
        <v>13374702.252</v>
      </c>
    </row>
    <row r="87" spans="1:4" x14ac:dyDescent="0.35">
      <c r="A87" s="5" t="str">
        <f t="shared" si="33"/>
        <v>Agency</v>
      </c>
      <c r="B87" s="3" t="str">
        <f t="shared" ref="B87:B88" si="42">CHOOSE(2, "1395000000701", "$ APE from Agents in X tenure 13+M")</f>
        <v>$ APE from Agents in X tenure 13+M</v>
      </c>
      <c r="C87" s="4" t="str">
        <f>CHOOSE(2, "5461730030", "Jun 26")</f>
        <v>Jun 26</v>
      </c>
      <c r="D87" s="14">
        <v>23157686.380000003</v>
      </c>
    </row>
    <row r="88" spans="1:4" x14ac:dyDescent="0.35">
      <c r="A88" s="5" t="str">
        <f t="shared" si="33"/>
        <v>Agency</v>
      </c>
      <c r="B88" s="6" t="str">
        <f t="shared" si="42"/>
        <v>$ APE from Agents in X tenure 13+M</v>
      </c>
      <c r="C88" s="4" t="str">
        <f>CHOOSE(2, "5462030031", "Jul 26")</f>
        <v>Jul 26</v>
      </c>
      <c r="D88" s="14">
        <v>17832936.336000003</v>
      </c>
    </row>
    <row r="89" spans="1:4" x14ac:dyDescent="0.35">
      <c r="A89" s="5" t="str">
        <f t="shared" si="33"/>
        <v>Agency</v>
      </c>
      <c r="B89" s="3" t="str">
        <f t="shared" ref="B89:B90" si="43">CHOOSE(2, "1395000000700", "Total agent headcount (end of period)")</f>
        <v>Total agent headcount (end of period)</v>
      </c>
      <c r="C89" s="4" t="str">
        <f>CHOOSE(2, "5461730030", "Jun 26")</f>
        <v>Jun 26</v>
      </c>
      <c r="D89" s="14">
        <v>11236</v>
      </c>
    </row>
    <row r="90" spans="1:4" x14ac:dyDescent="0.35">
      <c r="A90" s="5" t="str">
        <f t="shared" si="33"/>
        <v>Agency</v>
      </c>
      <c r="B90" s="6" t="str">
        <f t="shared" si="43"/>
        <v>Total agent headcount (end of period)</v>
      </c>
      <c r="C90" s="4" t="str">
        <f>CHOOSE(2, "5462030031", "Jul 26")</f>
        <v>Jul 26</v>
      </c>
      <c r="D90" s="14">
        <v>11245</v>
      </c>
    </row>
    <row r="91" spans="1:4" x14ac:dyDescent="0.35">
      <c r="A91" s="5" t="str">
        <f t="shared" si="33"/>
        <v>Agency</v>
      </c>
      <c r="B91" s="3" t="str">
        <f t="shared" ref="B91:B92" si="44">CHOOSE(2, "1395000000699", "Total agent headcount (end of period) in 0-1M")</f>
        <v>Total agent headcount (end of period) in 0-1M</v>
      </c>
      <c r="C91" s="4" t="str">
        <f>CHOOSE(2, "5461730030", "Jun 26")</f>
        <v>Jun 26</v>
      </c>
      <c r="D91" s="14">
        <v>262</v>
      </c>
    </row>
    <row r="92" spans="1:4" x14ac:dyDescent="0.35">
      <c r="A92" s="5" t="str">
        <f t="shared" si="33"/>
        <v>Agency</v>
      </c>
      <c r="B92" s="6" t="str">
        <f t="shared" si="44"/>
        <v>Total agent headcount (end of period) in 0-1M</v>
      </c>
      <c r="C92" s="4" t="str">
        <f>CHOOSE(2, "5462030031", "Jul 26")</f>
        <v>Jul 26</v>
      </c>
      <c r="D92" s="14">
        <v>285</v>
      </c>
    </row>
    <row r="93" spans="1:4" x14ac:dyDescent="0.35">
      <c r="A93" s="5" t="str">
        <f t="shared" si="33"/>
        <v>Agency</v>
      </c>
      <c r="B93" s="3" t="str">
        <f t="shared" ref="B93:B94" si="45">CHOOSE(2, "1395000000698", "Total agent headcount (end of period) in 2-3M")</f>
        <v>Total agent headcount (end of period) in 2-3M</v>
      </c>
      <c r="C93" s="4" t="str">
        <f>CHOOSE(2, "5461730030", "Jun 26")</f>
        <v>Jun 26</v>
      </c>
      <c r="D93" s="14">
        <v>464</v>
      </c>
    </row>
    <row r="94" spans="1:4" x14ac:dyDescent="0.35">
      <c r="A94" s="5" t="str">
        <f t="shared" si="33"/>
        <v>Agency</v>
      </c>
      <c r="B94" s="6" t="str">
        <f t="shared" si="45"/>
        <v>Total agent headcount (end of period) in 2-3M</v>
      </c>
      <c r="C94" s="4" t="str">
        <f>CHOOSE(2, "5462030031", "Jul 26")</f>
        <v>Jul 26</v>
      </c>
      <c r="D94" s="14">
        <v>508</v>
      </c>
    </row>
    <row r="95" spans="1:4" x14ac:dyDescent="0.35">
      <c r="A95" s="5" t="str">
        <f t="shared" si="33"/>
        <v>Agency</v>
      </c>
      <c r="B95" s="3" t="str">
        <f t="shared" ref="B95:B96" si="46">CHOOSE(2, "1395000000697", "Total agent headcount (end of period) in 4-12M")</f>
        <v>Total agent headcount (end of period) in 4-12M</v>
      </c>
      <c r="C95" s="4" t="str">
        <f>CHOOSE(2, "5461730030", "Jun 26")</f>
        <v>Jun 26</v>
      </c>
      <c r="D95" s="14">
        <v>2171</v>
      </c>
    </row>
    <row r="96" spans="1:4" x14ac:dyDescent="0.35">
      <c r="A96" s="5" t="str">
        <f t="shared" si="33"/>
        <v>Agency</v>
      </c>
      <c r="B96" s="6" t="str">
        <f t="shared" si="46"/>
        <v>Total agent headcount (end of period) in 4-12M</v>
      </c>
      <c r="C96" s="4" t="str">
        <f>CHOOSE(2, "5462030031", "Jul 26")</f>
        <v>Jul 26</v>
      </c>
      <c r="D96" s="14">
        <v>2074</v>
      </c>
    </row>
    <row r="97" spans="1:4" x14ac:dyDescent="0.35">
      <c r="A97" s="5" t="str">
        <f t="shared" si="33"/>
        <v>Agency</v>
      </c>
      <c r="B97" s="3" t="str">
        <f t="shared" ref="B97:B98" si="47">CHOOSE(2, "1395000000696", "Total agent headcount (end of period) 13+M")</f>
        <v>Total agent headcount (end of period) 13+M</v>
      </c>
      <c r="C97" s="4" t="str">
        <f>CHOOSE(2, "5461730030", "Jun 26")</f>
        <v>Jun 26</v>
      </c>
      <c r="D97" s="14">
        <v>8339</v>
      </c>
    </row>
    <row r="98" spans="1:4" x14ac:dyDescent="0.35">
      <c r="A98" s="5" t="str">
        <f t="shared" si="33"/>
        <v>Agency</v>
      </c>
      <c r="B98" s="6" t="str">
        <f t="shared" si="47"/>
        <v>Total agent headcount (end of period) 13+M</v>
      </c>
      <c r="C98" s="4" t="str">
        <f>CHOOSE(2, "5462030031", "Jul 26")</f>
        <v>Jul 26</v>
      </c>
      <c r="D98" s="14">
        <v>8378</v>
      </c>
    </row>
    <row r="99" spans="1:4" x14ac:dyDescent="0.35">
      <c r="A99" s="5" t="str">
        <f t="shared" si="33"/>
        <v>Agency</v>
      </c>
      <c r="B99" s="3" t="str">
        <f t="shared" ref="B99:B100" si="48">CHOOSE(2, "1395000000695", "Total agent headcount (end of period) in FA or equivalent")</f>
        <v>Total agent headcount (end of period) in FA or equivalent</v>
      </c>
      <c r="C99" s="4" t="str">
        <f>CHOOSE(2, "5461730030", "Jun 26")</f>
        <v>Jun 26</v>
      </c>
      <c r="D99" s="14">
        <v>8901</v>
      </c>
    </row>
    <row r="100" spans="1:4" x14ac:dyDescent="0.35">
      <c r="A100" s="5" t="str">
        <f t="shared" si="33"/>
        <v>Agency</v>
      </c>
      <c r="B100" s="6" t="str">
        <f t="shared" si="48"/>
        <v>Total agent headcount (end of period) in FA or equivalent</v>
      </c>
      <c r="C100" s="4" t="str">
        <f>CHOOSE(2, "5462030031", "Jul 26")</f>
        <v>Jul 26</v>
      </c>
      <c r="D100" s="14">
        <v>8897</v>
      </c>
    </row>
    <row r="101" spans="1:4" x14ac:dyDescent="0.35">
      <c r="A101" s="5" t="str">
        <f t="shared" si="33"/>
        <v>Agency</v>
      </c>
      <c r="B101" s="3" t="str">
        <f t="shared" ref="B101:B102" si="49">CHOOSE(2, "1395000000694", "Total agent headcount (end of period) in UM")</f>
        <v>Total agent headcount (end of period) in UM</v>
      </c>
      <c r="C101" s="4" t="str">
        <f>CHOOSE(2, "5461730030", "Jun 26")</f>
        <v>Jun 26</v>
      </c>
      <c r="D101" s="14">
        <v>1114</v>
      </c>
    </row>
    <row r="102" spans="1:4" x14ac:dyDescent="0.35">
      <c r="A102" s="5" t="str">
        <f t="shared" si="33"/>
        <v>Agency</v>
      </c>
      <c r="B102" s="6" t="str">
        <f t="shared" si="49"/>
        <v>Total agent headcount (end of period) in UM</v>
      </c>
      <c r="C102" s="4" t="str">
        <f>CHOOSE(2, "5462030031", "Jul 26")</f>
        <v>Jul 26</v>
      </c>
      <c r="D102" s="14">
        <v>1124</v>
      </c>
    </row>
    <row r="103" spans="1:4" x14ac:dyDescent="0.35">
      <c r="A103" s="5" t="str">
        <f t="shared" si="33"/>
        <v>Agency</v>
      </c>
      <c r="B103" s="3" t="str">
        <f t="shared" ref="B103:B104" si="50">CHOOSE(2, "1395000000693", "Total agent headcount (end of period) in Leaders above UM")</f>
        <v>Total agent headcount (end of period) in Leaders above UM</v>
      </c>
      <c r="C103" s="4" t="str">
        <f>CHOOSE(2, "5461730030", "Jun 26")</f>
        <v>Jun 26</v>
      </c>
      <c r="D103" s="14">
        <v>1221</v>
      </c>
    </row>
    <row r="104" spans="1:4" x14ac:dyDescent="0.35">
      <c r="A104" s="5" t="str">
        <f t="shared" si="33"/>
        <v>Agency</v>
      </c>
      <c r="B104" s="6" t="str">
        <f t="shared" si="50"/>
        <v>Total agent headcount (end of period) in Leaders above UM</v>
      </c>
      <c r="C104" s="4" t="str">
        <f>CHOOSE(2, "5462030031", "Jul 26")</f>
        <v>Jul 26</v>
      </c>
      <c r="D104" s="14">
        <v>1224</v>
      </c>
    </row>
    <row r="105" spans="1:4" x14ac:dyDescent="0.35">
      <c r="A105" s="5" t="str">
        <f t="shared" si="33"/>
        <v>Agency</v>
      </c>
      <c r="B105" s="3" t="str">
        <f t="shared" ref="B105:B106" si="51">CHOOSE(2, "1395000000692", "Total agent headcount (end of period) in Top-tier agents")</f>
        <v>Total agent headcount (end of period) in Top-tier agents</v>
      </c>
      <c r="C105" s="4" t="str">
        <f>CHOOSE(2, "5461730030", "Jun 26")</f>
        <v>Jun 26</v>
      </c>
      <c r="D105" s="14">
        <v>4264</v>
      </c>
    </row>
    <row r="106" spans="1:4" x14ac:dyDescent="0.35">
      <c r="A106" s="5" t="str">
        <f t="shared" si="33"/>
        <v>Agency</v>
      </c>
      <c r="B106" s="6" t="str">
        <f t="shared" si="51"/>
        <v>Total agent headcount (end of period) in Top-tier agents</v>
      </c>
      <c r="C106" s="4" t="str">
        <f>CHOOSE(2, "5462030031", "Jul 26")</f>
        <v>Jul 26</v>
      </c>
      <c r="D106" s="14">
        <v>4005</v>
      </c>
    </row>
    <row r="107" spans="1:4" x14ac:dyDescent="0.35">
      <c r="A107" s="5" t="str">
        <f t="shared" si="33"/>
        <v>Agency</v>
      </c>
      <c r="B107" s="3" t="str">
        <f t="shared" ref="B107:B108" si="52">CHOOSE(2, "1395000000691", "Total agent headcount  in pro-rated MDRT agents (&gt;100%)")</f>
        <v>Total agent headcount  in pro-rated MDRT agents (&gt;100%)</v>
      </c>
      <c r="C107" s="4" t="str">
        <f>CHOOSE(2, "5461730030", "Jun 26")</f>
        <v>Jun 26</v>
      </c>
      <c r="D107" s="14">
        <v>2343</v>
      </c>
    </row>
    <row r="108" spans="1:4" x14ac:dyDescent="0.35">
      <c r="A108" s="5" t="str">
        <f t="shared" si="33"/>
        <v>Agency</v>
      </c>
      <c r="B108" s="6" t="str">
        <f t="shared" si="52"/>
        <v>Total agent headcount  in pro-rated MDRT agents (&gt;100%)</v>
      </c>
      <c r="C108" s="4" t="str">
        <f>CHOOSE(2, "5462030031", "Jul 26")</f>
        <v>Jul 26</v>
      </c>
      <c r="D108" s="14">
        <v>2080</v>
      </c>
    </row>
    <row r="109" spans="1:4" x14ac:dyDescent="0.35">
      <c r="A109" s="5" t="str">
        <f t="shared" si="33"/>
        <v>Agency</v>
      </c>
      <c r="B109" s="3" t="str">
        <f t="shared" ref="B109:B110" si="53">CHOOSE(2, "1395000000690", "Total agent headcount  in pro-rated MDRT agents (70-99%)")</f>
        <v>Total agent headcount  in pro-rated MDRT agents (70-99%)</v>
      </c>
      <c r="C109" s="4" t="str">
        <f>CHOOSE(2, "5461730030", "Jun 26")</f>
        <v>Jun 26</v>
      </c>
      <c r="D109" s="14">
        <v>946</v>
      </c>
    </row>
    <row r="110" spans="1:4" x14ac:dyDescent="0.35">
      <c r="A110" s="5" t="str">
        <f t="shared" si="33"/>
        <v>Agency</v>
      </c>
      <c r="B110" s="6" t="str">
        <f t="shared" si="53"/>
        <v>Total agent headcount  in pro-rated MDRT agents (70-99%)</v>
      </c>
      <c r="C110" s="4" t="str">
        <f>CHOOSE(2, "5462030031", "Jul 26")</f>
        <v>Jul 26</v>
      </c>
      <c r="D110" s="14">
        <v>878</v>
      </c>
    </row>
    <row r="111" spans="1:4" x14ac:dyDescent="0.35">
      <c r="A111" s="5" t="str">
        <f t="shared" si="33"/>
        <v>Agency</v>
      </c>
      <c r="B111" s="3" t="str">
        <f t="shared" ref="B111:B112" si="54">CHOOSE(2, "1395000000689", "Total agent headcount  in pro-rated MDRT agents (50-69%)")</f>
        <v>Total agent headcount  in pro-rated MDRT agents (50-69%)</v>
      </c>
      <c r="C111" s="4" t="str">
        <f>CHOOSE(2, "5461730030", "Jun 26")</f>
        <v>Jun 26</v>
      </c>
      <c r="D111" s="14">
        <v>975</v>
      </c>
    </row>
    <row r="112" spans="1:4" x14ac:dyDescent="0.35">
      <c r="A112" s="5" t="str">
        <f t="shared" si="33"/>
        <v>Agency</v>
      </c>
      <c r="B112" s="6" t="str">
        <f t="shared" si="54"/>
        <v>Total agent headcount  in pro-rated MDRT agents (50-69%)</v>
      </c>
      <c r="C112" s="4" t="str">
        <f>CHOOSE(2, "5462030031", "Jul 26")</f>
        <v>Jul 26</v>
      </c>
      <c r="D112" s="14">
        <v>1047</v>
      </c>
    </row>
    <row r="113" spans="1:4" x14ac:dyDescent="0.35">
      <c r="A113" s="5" t="str">
        <f t="shared" si="33"/>
        <v>Agency</v>
      </c>
      <c r="B113" s="3" t="str">
        <f t="shared" ref="B113:B114" si="55">CHOOSE(2, "1395000000688", "Total agent headcount  in Manulife Pro Qualifiers - Total")</f>
        <v>Total agent headcount  in Manulife Pro Qualifiers - Total</v>
      </c>
      <c r="C113" s="4" t="str">
        <f>CHOOSE(2, "5461730030", "Jun 26")</f>
        <v>Jun 26</v>
      </c>
      <c r="D113" s="2" t="s">
        <v>5</v>
      </c>
    </row>
    <row r="114" spans="1:4" x14ac:dyDescent="0.35">
      <c r="A114" s="5" t="str">
        <f t="shared" si="33"/>
        <v>Agency</v>
      </c>
      <c r="B114" s="6" t="str">
        <f t="shared" si="55"/>
        <v>Total agent headcount  in Manulife Pro Qualifiers - Total</v>
      </c>
      <c r="C114" s="4" t="str">
        <f>CHOOSE(2, "5462030031", "Jul 26")</f>
        <v>Jul 26</v>
      </c>
      <c r="D114" s="2" t="s">
        <v>5</v>
      </c>
    </row>
    <row r="115" spans="1:4" x14ac:dyDescent="0.35">
      <c r="A115" s="5" t="str">
        <f t="shared" si="33"/>
        <v>Agency</v>
      </c>
      <c r="B115" s="3" t="str">
        <f t="shared" ref="B115:B116" si="56">CHOOSE(2, "1395000000687", "New recruits")</f>
        <v>New recruits</v>
      </c>
      <c r="C115" s="4" t="str">
        <f>CHOOSE(2, "5461730030", "Jun 26")</f>
        <v>Jun 26</v>
      </c>
      <c r="D115" s="14">
        <v>263</v>
      </c>
    </row>
    <row r="116" spans="1:4" x14ac:dyDescent="0.35">
      <c r="A116" s="5" t="str">
        <f t="shared" si="33"/>
        <v>Agency</v>
      </c>
      <c r="B116" s="6" t="str">
        <f t="shared" si="56"/>
        <v>New recruits</v>
      </c>
      <c r="C116" s="4" t="str">
        <f>CHOOSE(2, "5462030031", "Jul 26")</f>
        <v>Jul 26</v>
      </c>
      <c r="D116" s="14">
        <v>285</v>
      </c>
    </row>
    <row r="117" spans="1:4" x14ac:dyDescent="0.35">
      <c r="A117" s="5" t="str">
        <f t="shared" si="33"/>
        <v>Agency</v>
      </c>
      <c r="B117" s="3" t="str">
        <f t="shared" ref="B117:B118" si="57">CHOOSE(2, "1395000000686", "New recruits - Leader level")</f>
        <v>New recruits - Leader level</v>
      </c>
      <c r="C117" s="4" t="str">
        <f>CHOOSE(2, "5461730030", "Jun 26")</f>
        <v>Jun 26</v>
      </c>
      <c r="D117" s="2" t="s">
        <v>5</v>
      </c>
    </row>
    <row r="118" spans="1:4" x14ac:dyDescent="0.35">
      <c r="A118" s="5" t="str">
        <f t="shared" si="33"/>
        <v>Agency</v>
      </c>
      <c r="B118" s="6" t="str">
        <f t="shared" si="57"/>
        <v>New recruits - Leader level</v>
      </c>
      <c r="C118" s="4" t="str">
        <f>CHOOSE(2, "5462030031", "Jul 26")</f>
        <v>Jul 26</v>
      </c>
      <c r="D118" s="2" t="s">
        <v>5</v>
      </c>
    </row>
    <row r="119" spans="1:4" x14ac:dyDescent="0.35">
      <c r="A119" s="5" t="str">
        <f t="shared" si="33"/>
        <v>Agency</v>
      </c>
      <c r="B119" s="3" t="str">
        <f t="shared" ref="B119:B120" si="58">CHOOSE(2, "1395000000685", "New recruits - FA or equivalent")</f>
        <v>New recruits - FA or equivalent</v>
      </c>
      <c r="C119" s="4" t="str">
        <f>CHOOSE(2, "5461730030", "Jun 26")</f>
        <v>Jun 26</v>
      </c>
      <c r="D119" s="14">
        <v>254</v>
      </c>
    </row>
    <row r="120" spans="1:4" x14ac:dyDescent="0.35">
      <c r="A120" s="5" t="str">
        <f t="shared" si="33"/>
        <v>Agency</v>
      </c>
      <c r="B120" s="6" t="str">
        <f t="shared" si="58"/>
        <v>New recruits - FA or equivalent</v>
      </c>
      <c r="C120" s="4" t="str">
        <f>CHOOSE(2, "5462030031", "Jul 26")</f>
        <v>Jul 26</v>
      </c>
      <c r="D120" s="14">
        <v>274</v>
      </c>
    </row>
    <row r="121" spans="1:4" x14ac:dyDescent="0.35">
      <c r="A121" s="5" t="str">
        <f t="shared" si="33"/>
        <v>Agency</v>
      </c>
      <c r="B121" s="3" t="str">
        <f t="shared" ref="B121:B122" si="59">CHOOSE(2, "1395000000684", "New recruits in UM")</f>
        <v>New recruits in UM</v>
      </c>
      <c r="C121" s="4" t="str">
        <f>CHOOSE(2, "5461730030", "Jun 26")</f>
        <v>Jun 26</v>
      </c>
      <c r="D121" s="14">
        <v>6</v>
      </c>
    </row>
    <row r="122" spans="1:4" x14ac:dyDescent="0.35">
      <c r="A122" s="5" t="str">
        <f t="shared" si="33"/>
        <v>Agency</v>
      </c>
      <c r="B122" s="6" t="str">
        <f t="shared" si="59"/>
        <v>New recruits in UM</v>
      </c>
      <c r="C122" s="4" t="str">
        <f>CHOOSE(2, "5462030031", "Jul 26")</f>
        <v>Jul 26</v>
      </c>
      <c r="D122" s="14">
        <v>10</v>
      </c>
    </row>
    <row r="123" spans="1:4" x14ac:dyDescent="0.35">
      <c r="A123" s="5" t="str">
        <f t="shared" si="33"/>
        <v>Agency</v>
      </c>
      <c r="B123" s="3" t="str">
        <f t="shared" ref="B123:B124" si="60">CHOOSE(2, "1395000000683", "New recruits in Leaders above UM")</f>
        <v>New recruits in Leaders above UM</v>
      </c>
      <c r="C123" s="4" t="str">
        <f>CHOOSE(2, "5461730030", "Jun 26")</f>
        <v>Jun 26</v>
      </c>
      <c r="D123" s="14">
        <v>2</v>
      </c>
    </row>
    <row r="124" spans="1:4" x14ac:dyDescent="0.35">
      <c r="A124" s="5" t="str">
        <f t="shared" si="33"/>
        <v>Agency</v>
      </c>
      <c r="B124" s="6" t="str">
        <f t="shared" si="60"/>
        <v>New recruits in Leaders above UM</v>
      </c>
      <c r="C124" s="4" t="str">
        <f>CHOOSE(2, "5462030031", "Jul 26")</f>
        <v>Jul 26</v>
      </c>
      <c r="D124" s="14">
        <v>1</v>
      </c>
    </row>
    <row r="125" spans="1:4" x14ac:dyDescent="0.35">
      <c r="A125" s="5" t="str">
        <f t="shared" si="33"/>
        <v>Agency</v>
      </c>
      <c r="B125" s="3" t="str">
        <f t="shared" ref="B125:B126" si="61">CHOOSE(2, "1395000000682", "# of 6-90 agents")</f>
        <v># of 6-90 agents</v>
      </c>
      <c r="C125" s="4" t="str">
        <f>CHOOSE(2, "5461730030", "Jun 26")</f>
        <v>Jun 26</v>
      </c>
      <c r="D125" s="14">
        <v>28</v>
      </c>
    </row>
    <row r="126" spans="1:4" x14ac:dyDescent="0.35">
      <c r="A126" s="5" t="str">
        <f t="shared" si="33"/>
        <v>Agency</v>
      </c>
      <c r="B126" s="6" t="str">
        <f t="shared" si="61"/>
        <v># of 6-90 agents</v>
      </c>
      <c r="C126" s="4" t="str">
        <f>CHOOSE(2, "5462030031", "Jul 26")</f>
        <v>Jul 26</v>
      </c>
      <c r="D126" s="14">
        <v>38</v>
      </c>
    </row>
    <row r="127" spans="1:4" x14ac:dyDescent="0.35">
      <c r="A127" s="5" t="str">
        <f t="shared" si="33"/>
        <v>Agency</v>
      </c>
      <c r="B127" s="3" t="str">
        <f t="shared" ref="B127:B128" si="62">CHOOSE(2, "1395000000681", "New Recruits 3M Activation #")</f>
        <v>New Recruits 3M Activation #</v>
      </c>
      <c r="C127" s="4" t="str">
        <f>CHOOSE(2, "5461730030", "Jun 26")</f>
        <v>Jun 26</v>
      </c>
      <c r="D127" s="14">
        <v>206</v>
      </c>
    </row>
    <row r="128" spans="1:4" x14ac:dyDescent="0.35">
      <c r="A128" s="5" t="str">
        <f t="shared" si="33"/>
        <v>Agency</v>
      </c>
      <c r="B128" s="6" t="str">
        <f t="shared" si="62"/>
        <v>New Recruits 3M Activation #</v>
      </c>
      <c r="C128" s="4" t="str">
        <f>CHOOSE(2, "5462030031", "Jul 26")</f>
        <v>Jul 26</v>
      </c>
      <c r="D128" s="14">
        <v>125</v>
      </c>
    </row>
    <row r="129" spans="1:4" x14ac:dyDescent="0.35">
      <c r="A129" s="5" t="str">
        <f t="shared" si="33"/>
        <v>Agency</v>
      </c>
      <c r="B129" s="3" t="str">
        <f t="shared" ref="B129:B130" si="63">CHOOSE(2, "1395000000680", "No of Terminations")</f>
        <v>No of Terminations</v>
      </c>
      <c r="C129" s="4" t="str">
        <f>CHOOSE(2, "5461730030", "Jun 26")</f>
        <v>Jun 26</v>
      </c>
      <c r="D129" s="14">
        <v>413</v>
      </c>
    </row>
    <row r="130" spans="1:4" x14ac:dyDescent="0.35">
      <c r="A130" s="5" t="str">
        <f t="shared" si="33"/>
        <v>Agency</v>
      </c>
      <c r="B130" s="6" t="str">
        <f t="shared" si="63"/>
        <v>No of Terminations</v>
      </c>
      <c r="C130" s="4" t="str">
        <f>CHOOSE(2, "5462030031", "Jul 26")</f>
        <v>Jul 26</v>
      </c>
      <c r="D130" s="14">
        <v>266</v>
      </c>
    </row>
    <row r="131" spans="1:4" x14ac:dyDescent="0.35">
      <c r="A131" s="5" t="str">
        <f t="shared" si="33"/>
        <v>Agency</v>
      </c>
      <c r="B131" s="3" t="str">
        <f t="shared" ref="B131:B132" si="64">CHOOSE(2, "1395000000679", "No of Terminations in FA or equivalent")</f>
        <v>No of Terminations in FA or equivalent</v>
      </c>
      <c r="C131" s="4" t="str">
        <f>CHOOSE(2, "5461730030", "Jun 26")</f>
        <v>Jun 26</v>
      </c>
      <c r="D131" s="14">
        <v>400</v>
      </c>
    </row>
    <row r="132" spans="1:4" x14ac:dyDescent="0.35">
      <c r="A132" s="5" t="str">
        <f t="shared" si="33"/>
        <v>Agency</v>
      </c>
      <c r="B132" s="6" t="str">
        <f t="shared" si="64"/>
        <v>No of Terminations in FA or equivalent</v>
      </c>
      <c r="C132" s="4" t="str">
        <f>CHOOSE(2, "5462030031", "Jul 26")</f>
        <v>Jul 26</v>
      </c>
      <c r="D132" s="14">
        <v>255</v>
      </c>
    </row>
    <row r="133" spans="1:4" x14ac:dyDescent="0.35">
      <c r="A133" s="5" t="str">
        <f t="shared" si="33"/>
        <v>Agency</v>
      </c>
      <c r="B133" s="3" t="str">
        <f t="shared" ref="B133:B134" si="65">CHOOSE(2, "1395000000678", "No of Terminations in UM")</f>
        <v>No of Terminations in UM</v>
      </c>
      <c r="C133" s="4" t="str">
        <f>CHOOSE(2, "5461730030", "Jun 26")</f>
        <v>Jun 26</v>
      </c>
      <c r="D133" s="14">
        <v>7</v>
      </c>
    </row>
    <row r="134" spans="1:4" x14ac:dyDescent="0.35">
      <c r="A134" s="5" t="str">
        <f t="shared" si="33"/>
        <v>Agency</v>
      </c>
      <c r="B134" s="6" t="str">
        <f t="shared" si="65"/>
        <v>No of Terminations in UM</v>
      </c>
      <c r="C134" s="4" t="str">
        <f>CHOOSE(2, "5462030031", "Jul 26")</f>
        <v>Jul 26</v>
      </c>
      <c r="D134" s="14">
        <v>7</v>
      </c>
    </row>
    <row r="135" spans="1:4" x14ac:dyDescent="0.35">
      <c r="A135" s="5" t="str">
        <f t="shared" ref="A135:A198" si="66">CHOOSE(2, "1260000000001", "Agency")</f>
        <v>Agency</v>
      </c>
      <c r="B135" s="3" t="str">
        <f t="shared" ref="B135:B136" si="67">CHOOSE(2, "1395000000677", "No of Terminations in Leaders above UM")</f>
        <v>No of Terminations in Leaders above UM</v>
      </c>
      <c r="C135" s="4" t="str">
        <f>CHOOSE(2, "5461730030", "Jun 26")</f>
        <v>Jun 26</v>
      </c>
      <c r="D135" s="14">
        <v>6</v>
      </c>
    </row>
    <row r="136" spans="1:4" x14ac:dyDescent="0.35">
      <c r="A136" s="5" t="str">
        <f t="shared" si="66"/>
        <v>Agency</v>
      </c>
      <c r="B136" s="6" t="str">
        <f t="shared" si="67"/>
        <v>No of Terminations in Leaders above UM</v>
      </c>
      <c r="C136" s="4" t="str">
        <f>CHOOSE(2, "5462030031", "Jul 26")</f>
        <v>Jul 26</v>
      </c>
      <c r="D136" s="14">
        <v>4</v>
      </c>
    </row>
    <row r="137" spans="1:4" x14ac:dyDescent="0.35">
      <c r="A137" s="5" t="str">
        <f t="shared" si="66"/>
        <v>Agency</v>
      </c>
      <c r="B137" s="3" t="str">
        <f t="shared" ref="B137:B138" si="68">CHOOSE(2, "1395000000676", "No of Terminations in Top-tier Agents")</f>
        <v>No of Terminations in Top-tier Agents</v>
      </c>
      <c r="C137" s="4" t="str">
        <f>CHOOSE(2, "5461730030", "Jun 26")</f>
        <v>Jun 26</v>
      </c>
      <c r="D137" s="14">
        <v>0</v>
      </c>
    </row>
    <row r="138" spans="1:4" x14ac:dyDescent="0.35">
      <c r="A138" s="5" t="str">
        <f t="shared" si="66"/>
        <v>Agency</v>
      </c>
      <c r="B138" s="6" t="str">
        <f t="shared" si="68"/>
        <v>No of Terminations in Top-tier Agents</v>
      </c>
      <c r="C138" s="4" t="str">
        <f>CHOOSE(2, "5462030031", "Jul 26")</f>
        <v>Jul 26</v>
      </c>
      <c r="D138" s="14">
        <v>0</v>
      </c>
    </row>
    <row r="139" spans="1:4" x14ac:dyDescent="0.35">
      <c r="A139" s="5" t="str">
        <f t="shared" si="66"/>
        <v>Agency</v>
      </c>
      <c r="B139" s="3" t="str">
        <f t="shared" ref="B139:B140" si="69">CHOOSE(2, "1395000000675", "No of Terminations in pro-rated MDRT agents (&gt;100%)")</f>
        <v>No of Terminations in pro-rated MDRT agents (&gt;100%)</v>
      </c>
      <c r="C139" s="4" t="str">
        <f>CHOOSE(2, "5461730030", "Jun 26")</f>
        <v>Jun 26</v>
      </c>
      <c r="D139" s="14">
        <v>0</v>
      </c>
    </row>
    <row r="140" spans="1:4" x14ac:dyDescent="0.35">
      <c r="A140" s="5" t="str">
        <f t="shared" si="66"/>
        <v>Agency</v>
      </c>
      <c r="B140" s="6" t="str">
        <f t="shared" si="69"/>
        <v>No of Terminations in pro-rated MDRT agents (&gt;100%)</v>
      </c>
      <c r="C140" s="4" t="str">
        <f>CHOOSE(2, "5462030031", "Jul 26")</f>
        <v>Jul 26</v>
      </c>
      <c r="D140" s="14">
        <v>0</v>
      </c>
    </row>
    <row r="141" spans="1:4" x14ac:dyDescent="0.35">
      <c r="A141" s="5" t="str">
        <f t="shared" si="66"/>
        <v>Agency</v>
      </c>
      <c r="B141" s="3" t="str">
        <f t="shared" ref="B141:B142" si="70">CHOOSE(2, "1395000000674", "No of Terminations in pro-rated MDRT agents (70-99%)")</f>
        <v>No of Terminations in pro-rated MDRT agents (70-99%)</v>
      </c>
      <c r="C141" s="4" t="str">
        <f>CHOOSE(2, "5461730030", "Jun 26")</f>
        <v>Jun 26</v>
      </c>
      <c r="D141" s="14">
        <v>0</v>
      </c>
    </row>
    <row r="142" spans="1:4" x14ac:dyDescent="0.35">
      <c r="A142" s="5" t="str">
        <f t="shared" si="66"/>
        <v>Agency</v>
      </c>
      <c r="B142" s="6" t="str">
        <f t="shared" si="70"/>
        <v>No of Terminations in pro-rated MDRT agents (70-99%)</v>
      </c>
      <c r="C142" s="4" t="str">
        <f>CHOOSE(2, "5462030031", "Jul 26")</f>
        <v>Jul 26</v>
      </c>
      <c r="D142" s="14">
        <v>0</v>
      </c>
    </row>
    <row r="143" spans="1:4" x14ac:dyDescent="0.35">
      <c r="A143" s="5" t="str">
        <f t="shared" si="66"/>
        <v>Agency</v>
      </c>
      <c r="B143" s="3" t="str">
        <f t="shared" ref="B143:B144" si="71">CHOOSE(2, "1395000000673", "No of Terminations in pro-rated MDRT agents (50-69%)")</f>
        <v>No of Terminations in pro-rated MDRT agents (50-69%)</v>
      </c>
      <c r="C143" s="4" t="str">
        <f>CHOOSE(2, "5461730030", "Jun 26")</f>
        <v>Jun 26</v>
      </c>
      <c r="D143" s="14">
        <v>0</v>
      </c>
    </row>
    <row r="144" spans="1:4" x14ac:dyDescent="0.35">
      <c r="A144" s="5" t="str">
        <f t="shared" si="66"/>
        <v>Agency</v>
      </c>
      <c r="B144" s="6" t="str">
        <f t="shared" si="71"/>
        <v>No of Terminations in pro-rated MDRT agents (50-69%)</v>
      </c>
      <c r="C144" s="4" t="str">
        <f>CHOOSE(2, "5462030031", "Jul 26")</f>
        <v>Jul 26</v>
      </c>
      <c r="D144" s="14">
        <v>0</v>
      </c>
    </row>
    <row r="145" spans="1:4" x14ac:dyDescent="0.35">
      <c r="A145" s="5" t="str">
        <f t="shared" si="66"/>
        <v>Agency</v>
      </c>
      <c r="B145" s="3" t="str">
        <f t="shared" ref="B145:B146" si="72">CHOOSE(2, "1395000000672", "No of Terminations in Manulife Pro Qualifiers - Total")</f>
        <v>No of Terminations in Manulife Pro Qualifiers - Total</v>
      </c>
      <c r="C145" s="4" t="str">
        <f>CHOOSE(2, "5461730030", "Jun 26")</f>
        <v>Jun 26</v>
      </c>
      <c r="D145" s="2" t="s">
        <v>5</v>
      </c>
    </row>
    <row r="146" spans="1:4" x14ac:dyDescent="0.35">
      <c r="A146" s="5" t="str">
        <f t="shared" si="66"/>
        <v>Agency</v>
      </c>
      <c r="B146" s="6" t="str">
        <f t="shared" si="72"/>
        <v>No of Terminations in Manulife Pro Qualifiers - Total</v>
      </c>
      <c r="C146" s="4" t="str">
        <f>CHOOSE(2, "5462030031", "Jul 26")</f>
        <v>Jul 26</v>
      </c>
      <c r="D146" s="2" t="s">
        <v>5</v>
      </c>
    </row>
    <row r="147" spans="1:4" x14ac:dyDescent="0.35">
      <c r="A147" s="5" t="str">
        <f t="shared" si="66"/>
        <v>Agency</v>
      </c>
      <c r="B147" s="3" t="str">
        <f t="shared" ref="B147:B148" si="73">CHOOSE(2, "1395000000671", "First Year Agents Terminated without Sales")</f>
        <v>First Year Agents Terminated without Sales</v>
      </c>
      <c r="C147" s="4" t="str">
        <f>CHOOSE(2, "5461730030", "Jun 26")</f>
        <v>Jun 26</v>
      </c>
      <c r="D147" s="14">
        <v>109</v>
      </c>
    </row>
    <row r="148" spans="1:4" x14ac:dyDescent="0.35">
      <c r="A148" s="5" t="str">
        <f t="shared" si="66"/>
        <v>Agency</v>
      </c>
      <c r="B148" s="6" t="str">
        <f t="shared" si="73"/>
        <v>First Year Agents Terminated without Sales</v>
      </c>
      <c r="C148" s="4" t="str">
        <f>CHOOSE(2, "5462030031", "Jul 26")</f>
        <v>Jul 26</v>
      </c>
      <c r="D148" s="14">
        <v>70</v>
      </c>
    </row>
    <row r="149" spans="1:4" x14ac:dyDescent="0.35">
      <c r="A149" s="5" t="str">
        <f t="shared" si="66"/>
        <v>Agency</v>
      </c>
      <c r="B149" s="3" t="str">
        <f t="shared" ref="B149:B150" si="74">CHOOSE(2, "1395000000670", "6mth Agency Retention Ratio")</f>
        <v>6mth Agency Retention Ratio</v>
      </c>
      <c r="C149" s="4" t="str">
        <f>CHOOSE(2, "5461730030", "Jun 26")</f>
        <v>Jun 26</v>
      </c>
      <c r="D149" s="14">
        <v>0.85771900000000001</v>
      </c>
    </row>
    <row r="150" spans="1:4" x14ac:dyDescent="0.35">
      <c r="A150" s="5" t="str">
        <f t="shared" si="66"/>
        <v>Agency</v>
      </c>
      <c r="B150" s="6" t="str">
        <f t="shared" si="74"/>
        <v>6mth Agency Retention Ratio</v>
      </c>
      <c r="C150" s="4" t="str">
        <f>CHOOSE(2, "5462030031", "Jul 26")</f>
        <v>Jul 26</v>
      </c>
      <c r="D150" s="14">
        <v>0.85441</v>
      </c>
    </row>
    <row r="151" spans="1:4" x14ac:dyDescent="0.35">
      <c r="A151" s="5" t="str">
        <f t="shared" si="66"/>
        <v>Agency</v>
      </c>
      <c r="B151" s="3" t="str">
        <f t="shared" ref="B151:B152" si="75">CHOOSE(2, "1395000000669", "12mth Agency Retention Ratio")</f>
        <v>12mth Agency Retention Ratio</v>
      </c>
      <c r="C151" s="4" t="str">
        <f>CHOOSE(2, "5461730030", "Jun 26")</f>
        <v>Jun 26</v>
      </c>
      <c r="D151" s="14">
        <v>0.65945200000000004</v>
      </c>
    </row>
    <row r="152" spans="1:4" x14ac:dyDescent="0.35">
      <c r="A152" s="5" t="str">
        <f t="shared" si="66"/>
        <v>Agency</v>
      </c>
      <c r="B152" s="6" t="str">
        <f t="shared" si="75"/>
        <v>12mth Agency Retention Ratio</v>
      </c>
      <c r="C152" s="4" t="str">
        <f>CHOOSE(2, "5462030031", "Jul 26")</f>
        <v>Jul 26</v>
      </c>
      <c r="D152" s="14">
        <v>0.66395400000000004</v>
      </c>
    </row>
    <row r="153" spans="1:4" x14ac:dyDescent="0.35">
      <c r="A153" s="5" t="str">
        <f t="shared" si="66"/>
        <v>Agency</v>
      </c>
      <c r="B153" s="3" t="str">
        <f t="shared" ref="B153:B154" si="76">CHOOSE(2, "1395000000668", "24mth Agency Retention Ratio")</f>
        <v>24mth Agency Retention Ratio</v>
      </c>
      <c r="C153" s="4" t="str">
        <f>CHOOSE(2, "5461730030", "Jun 26")</f>
        <v>Jun 26</v>
      </c>
      <c r="D153" s="14">
        <v>0.48400300000000002</v>
      </c>
    </row>
    <row r="154" spans="1:4" x14ac:dyDescent="0.35">
      <c r="A154" s="5" t="str">
        <f t="shared" si="66"/>
        <v>Agency</v>
      </c>
      <c r="B154" s="6" t="str">
        <f t="shared" si="76"/>
        <v>24mth Agency Retention Ratio</v>
      </c>
      <c r="C154" s="4" t="str">
        <f>CHOOSE(2, "5462030031", "Jul 26")</f>
        <v>Jul 26</v>
      </c>
      <c r="D154" s="14">
        <v>0.47936499999999999</v>
      </c>
    </row>
    <row r="155" spans="1:4" x14ac:dyDescent="0.35">
      <c r="A155" s="5" t="str">
        <f t="shared" si="66"/>
        <v>Agency</v>
      </c>
      <c r="B155" s="3" t="str">
        <f t="shared" ref="B155:B156" si="77">CHOOSE(2, "1395000000667", "Total # of Leaders (end of period)")</f>
        <v>Total # of Leaders (end of period)</v>
      </c>
      <c r="C155" s="4" t="str">
        <f>CHOOSE(2, "5461730030", "Jun 26")</f>
        <v>Jun 26</v>
      </c>
      <c r="D155" s="14">
        <v>2335</v>
      </c>
    </row>
    <row r="156" spans="1:4" x14ac:dyDescent="0.35">
      <c r="A156" s="5" t="str">
        <f t="shared" si="66"/>
        <v>Agency</v>
      </c>
      <c r="B156" s="6" t="str">
        <f t="shared" si="77"/>
        <v>Total # of Leaders (end of period)</v>
      </c>
      <c r="C156" s="4" t="str">
        <f>CHOOSE(2, "5462030031", "Jul 26")</f>
        <v>Jul 26</v>
      </c>
      <c r="D156" s="14">
        <v>2088</v>
      </c>
    </row>
    <row r="157" spans="1:4" x14ac:dyDescent="0.35">
      <c r="A157" s="5" t="str">
        <f t="shared" si="66"/>
        <v>Agency</v>
      </c>
      <c r="B157" s="3" t="str">
        <f t="shared" ref="B157:B158" si="78">CHOOSE(2, "1395000000666", "Total # of Unit Managers")</f>
        <v>Total # of Unit Managers</v>
      </c>
      <c r="C157" s="4" t="str">
        <f>CHOOSE(2, "5461730030", "Jun 26")</f>
        <v>Jun 26</v>
      </c>
      <c r="D157" s="14">
        <v>1114</v>
      </c>
    </row>
    <row r="158" spans="1:4" x14ac:dyDescent="0.35">
      <c r="A158" s="5" t="str">
        <f t="shared" si="66"/>
        <v>Agency</v>
      </c>
      <c r="B158" s="6" t="str">
        <f t="shared" si="78"/>
        <v>Total # of Unit Managers</v>
      </c>
      <c r="C158" s="4" t="str">
        <f>CHOOSE(2, "5462030031", "Jul 26")</f>
        <v>Jul 26</v>
      </c>
      <c r="D158" s="14">
        <v>1124</v>
      </c>
    </row>
    <row r="159" spans="1:4" x14ac:dyDescent="0.35">
      <c r="A159" s="5" t="str">
        <f t="shared" si="66"/>
        <v>Agency</v>
      </c>
      <c r="B159" s="3" t="str">
        <f t="shared" ref="B159:B160" si="79">CHOOSE(2, "1395000000665", "Total # of Leaders above Unit Manager level")</f>
        <v>Total # of Leaders above Unit Manager level</v>
      </c>
      <c r="C159" s="4" t="str">
        <f>CHOOSE(2, "5461730030", "Jun 26")</f>
        <v>Jun 26</v>
      </c>
      <c r="D159" s="14">
        <v>1221</v>
      </c>
    </row>
    <row r="160" spans="1:4" x14ac:dyDescent="0.35">
      <c r="A160" s="5" t="str">
        <f t="shared" si="66"/>
        <v>Agency</v>
      </c>
      <c r="B160" s="6" t="str">
        <f t="shared" si="79"/>
        <v>Total # of Leaders above Unit Manager level</v>
      </c>
      <c r="C160" s="4" t="str">
        <f>CHOOSE(2, "5462030031", "Jul 26")</f>
        <v>Jul 26</v>
      </c>
      <c r="D160" s="14">
        <v>1224</v>
      </c>
    </row>
    <row r="161" spans="1:4" x14ac:dyDescent="0.35">
      <c r="A161" s="5" t="str">
        <f t="shared" si="66"/>
        <v>Agency</v>
      </c>
      <c r="B161" s="3" t="str">
        <f t="shared" ref="B161:B162" si="80">CHOOSE(2, "1395000000664", "Total # of Agents below Unit Manager level (end of period)")</f>
        <v>Total # of Agents below Unit Manager level (end of period)</v>
      </c>
      <c r="C161" s="4" t="str">
        <f>CHOOSE(2, "5461730030", "Jun 26")</f>
        <v>Jun 26</v>
      </c>
      <c r="D161" s="14">
        <v>8901</v>
      </c>
    </row>
    <row r="162" spans="1:4" x14ac:dyDescent="0.35">
      <c r="A162" s="5" t="str">
        <f t="shared" si="66"/>
        <v>Agency</v>
      </c>
      <c r="B162" s="6" t="str">
        <f t="shared" si="80"/>
        <v>Total # of Agents below Unit Manager level (end of period)</v>
      </c>
      <c r="C162" s="4" t="str">
        <f>CHOOSE(2, "5462030031", "Jul 26")</f>
        <v>Jul 26</v>
      </c>
      <c r="D162" s="14">
        <v>8897</v>
      </c>
    </row>
    <row r="163" spans="1:4" x14ac:dyDescent="0.35">
      <c r="A163" s="5" t="str">
        <f t="shared" si="66"/>
        <v>Agency</v>
      </c>
      <c r="B163" s="3" t="str">
        <f t="shared" ref="B163:B164" si="81">CHOOSE(2, "1395000000663", "# of Active Recruiting Leaders")</f>
        <v># of Active Recruiting Leaders</v>
      </c>
      <c r="C163" s="4" t="str">
        <f>CHOOSE(2, "5461730030", "Jun 26")</f>
        <v>Jun 26</v>
      </c>
      <c r="D163" s="14">
        <v>227</v>
      </c>
    </row>
    <row r="164" spans="1:4" x14ac:dyDescent="0.35">
      <c r="A164" s="5" t="str">
        <f t="shared" si="66"/>
        <v>Agency</v>
      </c>
      <c r="B164" s="6" t="str">
        <f t="shared" si="81"/>
        <v># of Active Recruiting Leaders</v>
      </c>
      <c r="C164" s="4" t="str">
        <f>CHOOSE(2, "5462030031", "Jul 26")</f>
        <v>Jul 26</v>
      </c>
      <c r="D164" s="14">
        <v>160</v>
      </c>
    </row>
    <row r="165" spans="1:4" x14ac:dyDescent="0.35">
      <c r="A165" s="5" t="str">
        <f t="shared" si="66"/>
        <v>Agency</v>
      </c>
      <c r="B165" s="3" t="str">
        <f t="shared" ref="B165:B166" si="82">CHOOSE(2, "1395000000662", "# of leaders with &gt;1 YTD recruit")</f>
        <v># of leaders with &gt;1 YTD recruit</v>
      </c>
      <c r="C165" s="4" t="str">
        <f>CHOOSE(2, "5461730030", "Jun 26")</f>
        <v>Jun 26</v>
      </c>
      <c r="D165" s="14">
        <v>932</v>
      </c>
    </row>
    <row r="166" spans="1:4" x14ac:dyDescent="0.35">
      <c r="A166" s="5" t="str">
        <f t="shared" si="66"/>
        <v>Agency</v>
      </c>
      <c r="B166" s="6" t="str">
        <f t="shared" si="82"/>
        <v># of leaders with &gt;1 YTD recruit</v>
      </c>
      <c r="C166" s="4" t="str">
        <f>CHOOSE(2, "5462030031", "Jul 26")</f>
        <v>Jul 26</v>
      </c>
      <c r="D166" s="14">
        <v>1044</v>
      </c>
    </row>
    <row r="167" spans="1:4" x14ac:dyDescent="0.35">
      <c r="A167" s="5" t="str">
        <f t="shared" si="66"/>
        <v>Agency</v>
      </c>
      <c r="B167" s="3" t="str">
        <f t="shared" ref="B167:B168" si="83">CHOOSE(2, "1395000000661", "Income ratio from personal sales (UM)")</f>
        <v>Income ratio from personal sales (UM)</v>
      </c>
      <c r="C167" s="4" t="str">
        <f>CHOOSE(2, "5461730030", "Jun 26")</f>
        <v>Jun 26</v>
      </c>
      <c r="D167" s="14">
        <v>0.87201672547377984</v>
      </c>
    </row>
    <row r="168" spans="1:4" x14ac:dyDescent="0.35">
      <c r="A168" s="5" t="str">
        <f t="shared" si="66"/>
        <v>Agency</v>
      </c>
      <c r="B168" s="6" t="str">
        <f t="shared" si="83"/>
        <v>Income ratio from personal sales (UM)</v>
      </c>
      <c r="C168" s="4" t="str">
        <f>CHOOSE(2, "5462030031", "Jul 26")</f>
        <v>Jul 26</v>
      </c>
      <c r="D168" s="14">
        <v>0.87453397293544077</v>
      </c>
    </row>
    <row r="169" spans="1:4" x14ac:dyDescent="0.35">
      <c r="A169" s="5" t="str">
        <f t="shared" si="66"/>
        <v>Agency</v>
      </c>
      <c r="B169" s="3" t="str">
        <f t="shared" ref="B169:B170" si="84">CHOOSE(2, "1395000000660", "Income ratio from personal sales (UM) (numerator)")</f>
        <v>Income ratio from personal sales (UM) (numerator)</v>
      </c>
      <c r="C169" s="4" t="str">
        <f>CHOOSE(2, "5461730030", "Jun 26")</f>
        <v>Jun 26</v>
      </c>
      <c r="D169" s="14">
        <v>51238942.851159997</v>
      </c>
    </row>
    <row r="170" spans="1:4" x14ac:dyDescent="0.35">
      <c r="A170" s="5" t="str">
        <f t="shared" si="66"/>
        <v>Agency</v>
      </c>
      <c r="B170" s="6" t="str">
        <f t="shared" si="84"/>
        <v>Income ratio from personal sales (UM) (numerator)</v>
      </c>
      <c r="C170" s="4" t="str">
        <f>CHOOSE(2, "5462030031", "Jul 26")</f>
        <v>Jul 26</v>
      </c>
      <c r="D170" s="14">
        <v>56431845.953713</v>
      </c>
    </row>
    <row r="171" spans="1:4" x14ac:dyDescent="0.35">
      <c r="A171" s="5" t="str">
        <f t="shared" si="66"/>
        <v>Agency</v>
      </c>
      <c r="B171" s="3" t="str">
        <f t="shared" ref="B171:B172" si="85">CHOOSE(2, "1395000000659", "Income ratio from personal sales (UM) (denominator)")</f>
        <v>Income ratio from personal sales (UM) (denominator)</v>
      </c>
      <c r="C171" s="4" t="str">
        <f>CHOOSE(2, "5461730030", "Jun 26")</f>
        <v>Jun 26</v>
      </c>
      <c r="D171" s="14">
        <v>58759128.528550997</v>
      </c>
    </row>
    <row r="172" spans="1:4" x14ac:dyDescent="0.35">
      <c r="A172" s="5" t="str">
        <f t="shared" si="66"/>
        <v>Agency</v>
      </c>
      <c r="B172" s="6" t="str">
        <f t="shared" si="85"/>
        <v>Income ratio from personal sales (UM) (denominator)</v>
      </c>
      <c r="C172" s="4" t="str">
        <f>CHOOSE(2, "5462030031", "Jul 26")</f>
        <v>Jul 26</v>
      </c>
      <c r="D172" s="14">
        <v>64527905.947775997</v>
      </c>
    </row>
    <row r="173" spans="1:4" x14ac:dyDescent="0.35">
      <c r="A173" s="5" t="str">
        <f t="shared" si="66"/>
        <v>Agency</v>
      </c>
      <c r="B173" s="3" t="str">
        <f t="shared" ref="B173:B174" si="86">CHOOSE(2, "1395000000658", "Income ratio from personal sales (Leader above UM)")</f>
        <v>Income ratio from personal sales (Leader above UM)</v>
      </c>
      <c r="C173" s="4" t="str">
        <f>CHOOSE(2, "5461730030", "Jun 26")</f>
        <v>Jun 26</v>
      </c>
      <c r="D173" s="14">
        <v>0.51051026372302233</v>
      </c>
    </row>
    <row r="174" spans="1:4" x14ac:dyDescent="0.35">
      <c r="A174" s="5" t="str">
        <f t="shared" si="66"/>
        <v>Agency</v>
      </c>
      <c r="B174" s="6" t="str">
        <f t="shared" si="86"/>
        <v>Income ratio from personal sales (Leader above UM)</v>
      </c>
      <c r="C174" s="4" t="str">
        <f>CHOOSE(2, "5462030031", "Jul 26")</f>
        <v>Jul 26</v>
      </c>
      <c r="D174" s="14">
        <v>0.46267987923506365</v>
      </c>
    </row>
    <row r="175" spans="1:4" x14ac:dyDescent="0.35">
      <c r="A175" s="5" t="str">
        <f t="shared" si="66"/>
        <v>Agency</v>
      </c>
      <c r="B175" s="3" t="str">
        <f t="shared" ref="B175:B176" si="87">CHOOSE(2, "1395000000657", "Income ratio from personal sales (Leader above UM) (num)")</f>
        <v>Income ratio from personal sales (Leader above UM) (num)</v>
      </c>
      <c r="C175" s="4" t="str">
        <f>CHOOSE(2, "5461730030", "Jun 26")</f>
        <v>Jun 26</v>
      </c>
      <c r="D175" s="14">
        <v>73769918.320383996</v>
      </c>
    </row>
    <row r="176" spans="1:4" x14ac:dyDescent="0.35">
      <c r="A176" s="5" t="str">
        <f t="shared" si="66"/>
        <v>Agency</v>
      </c>
      <c r="B176" s="6" t="str">
        <f t="shared" si="87"/>
        <v>Income ratio from personal sales (Leader above UM) (num)</v>
      </c>
      <c r="C176" s="4" t="str">
        <f>CHOOSE(2, "5462030031", "Jul 26")</f>
        <v>Jul 26</v>
      </c>
      <c r="D176" s="14">
        <v>82669281.844313994</v>
      </c>
    </row>
    <row r="177" spans="1:4" x14ac:dyDescent="0.35">
      <c r="A177" s="5" t="str">
        <f t="shared" si="66"/>
        <v>Agency</v>
      </c>
      <c r="B177" s="3" t="str">
        <f t="shared" ref="B177:B178" si="88">CHOOSE(2, "1395000000656", "Income ratio from personal sales (Leader above UM) (den)")</f>
        <v>Income ratio from personal sales (Leader above UM) (den)</v>
      </c>
      <c r="C177" s="4" t="str">
        <f>CHOOSE(2, "5461730030", "Jun 26")</f>
        <v>Jun 26</v>
      </c>
      <c r="D177" s="14">
        <v>144502321.62307301</v>
      </c>
    </row>
    <row r="178" spans="1:4" x14ac:dyDescent="0.35">
      <c r="A178" s="5" t="str">
        <f t="shared" si="66"/>
        <v>Agency</v>
      </c>
      <c r="B178" s="6" t="str">
        <f t="shared" si="88"/>
        <v>Income ratio from personal sales (Leader above UM) (den)</v>
      </c>
      <c r="C178" s="4" t="str">
        <f>CHOOSE(2, "5462030031", "Jul 26")</f>
        <v>Jul 26</v>
      </c>
      <c r="D178" s="14">
        <v>178674901.49126199</v>
      </c>
    </row>
    <row r="179" spans="1:4" x14ac:dyDescent="0.35">
      <c r="A179" s="5" t="str">
        <f t="shared" si="66"/>
        <v>Agency</v>
      </c>
      <c r="B179" s="3" t="str">
        <f t="shared" ref="B179:B180" si="89">CHOOSE(2, "1395000000655", "Total agent earnings")</f>
        <v>Total agent earnings</v>
      </c>
      <c r="C179" s="4" t="str">
        <f>CHOOSE(2, "5461730030", "Jun 26")</f>
        <v>Jun 26</v>
      </c>
      <c r="D179" s="14">
        <v>336452970.82730299</v>
      </c>
    </row>
    <row r="180" spans="1:4" x14ac:dyDescent="0.35">
      <c r="A180" s="5" t="str">
        <f t="shared" si="66"/>
        <v>Agency</v>
      </c>
      <c r="B180" s="6" t="str">
        <f t="shared" si="89"/>
        <v>Total agent earnings</v>
      </c>
      <c r="C180" s="4" t="str">
        <f>CHOOSE(2, "5462030031", "Jul 26")</f>
        <v>Jul 26</v>
      </c>
      <c r="D180" s="14">
        <v>393178134.02186102</v>
      </c>
    </row>
    <row r="181" spans="1:4" x14ac:dyDescent="0.35">
      <c r="A181" s="5" t="str">
        <f t="shared" si="66"/>
        <v>Agency</v>
      </c>
      <c r="B181" s="3" t="str">
        <f t="shared" ref="B181:B182" si="90">CHOOSE(2, "1395000000654", "Total agent earnings in FA or equivalent")</f>
        <v>Total agent earnings in FA or equivalent</v>
      </c>
      <c r="C181" s="4" t="str">
        <f>CHOOSE(2, "5461730030", "Jun 26")</f>
        <v>Jun 26</v>
      </c>
      <c r="D181" s="14">
        <v>133191520.675679</v>
      </c>
    </row>
    <row r="182" spans="1:4" x14ac:dyDescent="0.35">
      <c r="A182" s="5" t="str">
        <f t="shared" si="66"/>
        <v>Agency</v>
      </c>
      <c r="B182" s="6" t="str">
        <f t="shared" si="90"/>
        <v>Total agent earnings in FA or equivalent</v>
      </c>
      <c r="C182" s="4" t="str">
        <f>CHOOSE(2, "5462030031", "Jul 26")</f>
        <v>Jul 26</v>
      </c>
      <c r="D182" s="14">
        <v>149975326.58282301</v>
      </c>
    </row>
    <row r="183" spans="1:4" x14ac:dyDescent="0.35">
      <c r="A183" s="5" t="str">
        <f t="shared" si="66"/>
        <v>Agency</v>
      </c>
      <c r="B183" s="3" t="str">
        <f t="shared" ref="B183:B184" si="91">CHOOSE(2, "1395000000653", "Total agent earnings in UM")</f>
        <v>Total agent earnings in UM</v>
      </c>
      <c r="C183" s="4" t="str">
        <f>CHOOSE(2, "5461730030", "Jun 26")</f>
        <v>Jun 26</v>
      </c>
      <c r="D183" s="14">
        <v>58759128.528550997</v>
      </c>
    </row>
    <row r="184" spans="1:4" x14ac:dyDescent="0.35">
      <c r="A184" s="5" t="str">
        <f t="shared" si="66"/>
        <v>Agency</v>
      </c>
      <c r="B184" s="6" t="str">
        <f t="shared" si="91"/>
        <v>Total agent earnings in UM</v>
      </c>
      <c r="C184" s="4" t="str">
        <f>CHOOSE(2, "5462030031", "Jul 26")</f>
        <v>Jul 26</v>
      </c>
      <c r="D184" s="14">
        <v>64527905.947775997</v>
      </c>
    </row>
    <row r="185" spans="1:4" x14ac:dyDescent="0.35">
      <c r="A185" s="5" t="str">
        <f t="shared" si="66"/>
        <v>Agency</v>
      </c>
      <c r="B185" s="3" t="str">
        <f t="shared" ref="B185:B186" si="92">CHOOSE(2, "1395000000652", "Total agent earnings in Leaders above UM")</f>
        <v>Total agent earnings in Leaders above UM</v>
      </c>
      <c r="C185" s="4" t="str">
        <f>CHOOSE(2, "5461730030", "Jun 26")</f>
        <v>Jun 26</v>
      </c>
      <c r="D185" s="14">
        <v>144502321.62307301</v>
      </c>
    </row>
    <row r="186" spans="1:4" x14ac:dyDescent="0.35">
      <c r="A186" s="5" t="str">
        <f t="shared" si="66"/>
        <v>Agency</v>
      </c>
      <c r="B186" s="6" t="str">
        <f t="shared" si="92"/>
        <v>Total agent earnings in Leaders above UM</v>
      </c>
      <c r="C186" s="4" t="str">
        <f>CHOOSE(2, "5462030031", "Jul 26")</f>
        <v>Jul 26</v>
      </c>
      <c r="D186" s="14">
        <v>178674901.49126199</v>
      </c>
    </row>
    <row r="187" spans="1:4" x14ac:dyDescent="0.35">
      <c r="A187" s="5" t="str">
        <f t="shared" si="66"/>
        <v>Agency</v>
      </c>
      <c r="B187" s="3" t="str">
        <f t="shared" ref="B187:B188" si="93">CHOOSE(2, "1395000000651", "# of Newly Promoted UM")</f>
        <v># of Newly Promoted UM</v>
      </c>
      <c r="C187" s="4" t="str">
        <f>CHOOSE(2, "5461730030", "Jun 26")</f>
        <v>Jun 26</v>
      </c>
      <c r="D187" s="14">
        <v>17</v>
      </c>
    </row>
    <row r="188" spans="1:4" x14ac:dyDescent="0.35">
      <c r="A188" s="5" t="str">
        <f t="shared" si="66"/>
        <v>Agency</v>
      </c>
      <c r="B188" s="6" t="str">
        <f t="shared" si="93"/>
        <v># of Newly Promoted UM</v>
      </c>
      <c r="C188" s="4" t="str">
        <f>CHOOSE(2, "5462030031", "Jul 26")</f>
        <v>Jul 26</v>
      </c>
      <c r="D188" s="14">
        <v>27</v>
      </c>
    </row>
    <row r="189" spans="1:4" x14ac:dyDescent="0.35">
      <c r="A189" s="5" t="str">
        <f t="shared" si="66"/>
        <v>Agency</v>
      </c>
      <c r="B189" s="3" t="str">
        <f t="shared" ref="B189:B190" si="94">CHOOSE(2, "1395000000650", "# of Newly Promoted Leaders above UM")</f>
        <v># of Newly Promoted Leaders above UM</v>
      </c>
      <c r="C189" s="4" t="str">
        <f>CHOOSE(2, "5461730030", "Jun 26")</f>
        <v>Jun 26</v>
      </c>
      <c r="D189" s="14">
        <v>9</v>
      </c>
    </row>
    <row r="190" spans="1:4" x14ac:dyDescent="0.35">
      <c r="A190" s="5" t="str">
        <f t="shared" si="66"/>
        <v>Agency</v>
      </c>
      <c r="B190" s="6" t="str">
        <f t="shared" si="94"/>
        <v># of Newly Promoted Leaders above UM</v>
      </c>
      <c r="C190" s="4" t="str">
        <f>CHOOSE(2, "5462030031", "Jul 26")</f>
        <v>Jul 26</v>
      </c>
      <c r="D190" s="14">
        <v>27</v>
      </c>
    </row>
    <row r="191" spans="1:4" x14ac:dyDescent="0.35">
      <c r="A191" s="5" t="str">
        <f t="shared" si="66"/>
        <v>Agency</v>
      </c>
      <c r="B191" s="3" t="str">
        <f t="shared" ref="B191:B192" si="95">CHOOSE(2, "1395000000649", "# of Total Leader Promotions")</f>
        <v># of Total Leader Promotions</v>
      </c>
      <c r="C191" s="4" t="str">
        <f>CHOOSE(2, "5461730030", "Jun 26")</f>
        <v>Jun 26</v>
      </c>
      <c r="D191" s="14">
        <v>26</v>
      </c>
    </row>
    <row r="192" spans="1:4" x14ac:dyDescent="0.35">
      <c r="A192" s="5" t="str">
        <f t="shared" si="66"/>
        <v>Agency</v>
      </c>
      <c r="B192" s="6" t="str">
        <f t="shared" si="95"/>
        <v># of Total Leader Promotions</v>
      </c>
      <c r="C192" s="4" t="str">
        <f>CHOOSE(2, "5462030031", "Jul 26")</f>
        <v>Jul 26</v>
      </c>
      <c r="D192" s="14">
        <v>54</v>
      </c>
    </row>
    <row r="193" spans="1:4" x14ac:dyDescent="0.35">
      <c r="A193" s="5" t="str">
        <f t="shared" si="66"/>
        <v>Agency</v>
      </c>
      <c r="B193" s="3" t="str">
        <f t="shared" ref="B193:B194" si="96">CHOOSE(2, "1395000000648", "# of Newly Demoted UM")</f>
        <v># of Newly Demoted UM</v>
      </c>
      <c r="C193" s="4" t="str">
        <f>CHOOSE(2, "5461730030", "Jun 26")</f>
        <v>Jun 26</v>
      </c>
      <c r="D193" s="14">
        <v>0</v>
      </c>
    </row>
    <row r="194" spans="1:4" x14ac:dyDescent="0.35">
      <c r="A194" s="5" t="str">
        <f t="shared" si="66"/>
        <v>Agency</v>
      </c>
      <c r="B194" s="6" t="str">
        <f t="shared" si="96"/>
        <v># of Newly Demoted UM</v>
      </c>
      <c r="C194" s="4" t="str">
        <f>CHOOSE(2, "5462030031", "Jul 26")</f>
        <v>Jul 26</v>
      </c>
      <c r="D194" s="14">
        <v>5</v>
      </c>
    </row>
    <row r="195" spans="1:4" x14ac:dyDescent="0.35">
      <c r="A195" s="5" t="str">
        <f t="shared" si="66"/>
        <v>Agency</v>
      </c>
      <c r="B195" s="3" t="str">
        <f t="shared" ref="B195:B196" si="97">CHOOSE(2, "1395000000647", "# of Newly Demoted Leaders above UM")</f>
        <v># of Newly Demoted Leaders above UM</v>
      </c>
      <c r="C195" s="4" t="str">
        <f>CHOOSE(2, "5461730030", "Jun 26")</f>
        <v>Jun 26</v>
      </c>
      <c r="D195" s="14">
        <v>0</v>
      </c>
    </row>
    <row r="196" spans="1:4" x14ac:dyDescent="0.35">
      <c r="A196" s="5" t="str">
        <f t="shared" si="66"/>
        <v>Agency</v>
      </c>
      <c r="B196" s="6" t="str">
        <f t="shared" si="97"/>
        <v># of Newly Demoted Leaders above UM</v>
      </c>
      <c r="C196" s="4" t="str">
        <f>CHOOSE(2, "5462030031", "Jul 26")</f>
        <v>Jul 26</v>
      </c>
      <c r="D196" s="14">
        <v>7</v>
      </c>
    </row>
    <row r="197" spans="1:4" x14ac:dyDescent="0.35">
      <c r="A197" s="5" t="str">
        <f t="shared" si="66"/>
        <v>Agency</v>
      </c>
      <c r="B197" s="3" t="str">
        <f t="shared" ref="B197:B198" si="98">CHOOSE(2, "1395000000646", "# of Total Leader Demotions")</f>
        <v># of Total Leader Demotions</v>
      </c>
      <c r="C197" s="4" t="str">
        <f>CHOOSE(2, "5461730030", "Jun 26")</f>
        <v>Jun 26</v>
      </c>
      <c r="D197" s="14">
        <v>0</v>
      </c>
    </row>
    <row r="198" spans="1:4" x14ac:dyDescent="0.35">
      <c r="A198" s="5" t="str">
        <f t="shared" si="66"/>
        <v>Agency</v>
      </c>
      <c r="B198" s="6" t="str">
        <f t="shared" si="98"/>
        <v># of Total Leader Demotions</v>
      </c>
      <c r="C198" s="4" t="str">
        <f>CHOOSE(2, "5462030031", "Jul 26")</f>
        <v>Jul 26</v>
      </c>
      <c r="D198" s="14">
        <v>12</v>
      </c>
    </row>
    <row r="199" spans="1:4" x14ac:dyDescent="0.35">
      <c r="A199" s="5" t="str">
        <f t="shared" ref="A199:A262" si="99">CHOOSE(2, "1260000000001", "Agency")</f>
        <v>Agency</v>
      </c>
      <c r="B199" s="3" t="str">
        <f t="shared" ref="B199:B200" si="100">CHOOSE(2, "1395000000645", "# of agents meeting MOC")</f>
        <v># of agents meeting MOC</v>
      </c>
      <c r="C199" s="4" t="str">
        <f>CHOOSE(2, "5461730030", "Jun 26")</f>
        <v>Jun 26</v>
      </c>
      <c r="D199" s="14">
        <v>10915</v>
      </c>
    </row>
    <row r="200" spans="1:4" x14ac:dyDescent="0.35">
      <c r="A200" s="5" t="str">
        <f t="shared" si="99"/>
        <v>Agency</v>
      </c>
      <c r="B200" s="6" t="str">
        <f t="shared" si="100"/>
        <v># of agents meeting MOC</v>
      </c>
      <c r="C200" s="4" t="str">
        <f>CHOOSE(2, "5462030031", "Jul 26")</f>
        <v>Jul 26</v>
      </c>
      <c r="D200" s="14">
        <v>10898</v>
      </c>
    </row>
    <row r="201" spans="1:4" x14ac:dyDescent="0.35">
      <c r="A201" s="5" t="str">
        <f t="shared" si="99"/>
        <v>Agency</v>
      </c>
      <c r="B201" s="3" t="str">
        <f t="shared" ref="B201:B202" si="101">CHOOSE(2, "1395000000644", "# of agents meeting MOC in FA or equivalent")</f>
        <v># of agents meeting MOC in FA or equivalent</v>
      </c>
      <c r="C201" s="4" t="str">
        <f>CHOOSE(2, "5461730030", "Jun 26")</f>
        <v>Jun 26</v>
      </c>
      <c r="D201" s="14">
        <v>8615</v>
      </c>
    </row>
    <row r="202" spans="1:4" x14ac:dyDescent="0.35">
      <c r="A202" s="5" t="str">
        <f t="shared" si="99"/>
        <v>Agency</v>
      </c>
      <c r="B202" s="6" t="str">
        <f t="shared" si="101"/>
        <v># of agents meeting MOC in FA or equivalent</v>
      </c>
      <c r="C202" s="4" t="str">
        <f>CHOOSE(2, "5462030031", "Jul 26")</f>
        <v>Jul 26</v>
      </c>
      <c r="D202" s="14">
        <v>8594</v>
      </c>
    </row>
    <row r="203" spans="1:4" x14ac:dyDescent="0.35">
      <c r="A203" s="5" t="str">
        <f t="shared" si="99"/>
        <v>Agency</v>
      </c>
      <c r="B203" s="3" t="str">
        <f t="shared" ref="B203:B204" si="102">CHOOSE(2, "1395000000643", "# of agents meeting MOC in UM")</f>
        <v># of agents meeting MOC in UM</v>
      </c>
      <c r="C203" s="4" t="str">
        <f>CHOOSE(2, "5461730030", "Jun 26")</f>
        <v>Jun 26</v>
      </c>
      <c r="D203" s="14">
        <v>1091</v>
      </c>
    </row>
    <row r="204" spans="1:4" x14ac:dyDescent="0.35">
      <c r="A204" s="5" t="str">
        <f t="shared" si="99"/>
        <v>Agency</v>
      </c>
      <c r="B204" s="6" t="str">
        <f t="shared" si="102"/>
        <v># of agents meeting MOC in UM</v>
      </c>
      <c r="C204" s="4" t="str">
        <f>CHOOSE(2, "5462030031", "Jul 26")</f>
        <v>Jul 26</v>
      </c>
      <c r="D204" s="14">
        <v>1096</v>
      </c>
    </row>
    <row r="205" spans="1:4" x14ac:dyDescent="0.35">
      <c r="A205" s="5" t="str">
        <f t="shared" si="99"/>
        <v>Agency</v>
      </c>
      <c r="B205" s="3" t="str">
        <f t="shared" ref="B205:B206" si="103">CHOOSE(2, "1395000000642", "# of agents meeting MOC in Leaders above UM")</f>
        <v># of agents meeting MOC in Leaders above UM</v>
      </c>
      <c r="C205" s="4" t="str">
        <f>CHOOSE(2, "5461730030", "Jun 26")</f>
        <v>Jun 26</v>
      </c>
      <c r="D205" s="14">
        <v>1209</v>
      </c>
    </row>
    <row r="206" spans="1:4" x14ac:dyDescent="0.35">
      <c r="A206" s="5" t="str">
        <f t="shared" si="99"/>
        <v>Agency</v>
      </c>
      <c r="B206" s="6" t="str">
        <f t="shared" si="103"/>
        <v># of agents meeting MOC in Leaders above UM</v>
      </c>
      <c r="C206" s="4" t="str">
        <f>CHOOSE(2, "5462030031", "Jul 26")</f>
        <v>Jul 26</v>
      </c>
      <c r="D206" s="14">
        <v>1208</v>
      </c>
    </row>
    <row r="207" spans="1:4" x14ac:dyDescent="0.35">
      <c r="A207" s="5" t="str">
        <f t="shared" si="99"/>
        <v>Agency</v>
      </c>
      <c r="B207" s="3" t="str">
        <f t="shared" ref="B207:B208" si="104">CHOOSE(2, "1395000000641", "New Leaders 3M Activation Rate (by cohort)")</f>
        <v>New Leaders 3M Activation Rate (by cohort)</v>
      </c>
      <c r="C207" s="4" t="str">
        <f>CHOOSE(2, "5461730030", "Jun 26")</f>
        <v>Jun 26</v>
      </c>
      <c r="D207" s="14">
        <v>0.4</v>
      </c>
    </row>
    <row r="208" spans="1:4" x14ac:dyDescent="0.35">
      <c r="A208" s="5" t="str">
        <f t="shared" si="99"/>
        <v>Agency</v>
      </c>
      <c r="B208" s="6" t="str">
        <f t="shared" si="104"/>
        <v>New Leaders 3M Activation Rate (by cohort)</v>
      </c>
      <c r="C208" s="4" t="str">
        <f>CHOOSE(2, "5462030031", "Jul 26")</f>
        <v>Jul 26</v>
      </c>
      <c r="D208" s="14">
        <v>0.25925925925925924</v>
      </c>
    </row>
    <row r="209" spans="1:4" x14ac:dyDescent="0.35">
      <c r="A209" s="5" t="str">
        <f t="shared" si="99"/>
        <v>Agency</v>
      </c>
      <c r="B209" s="3" t="str">
        <f t="shared" ref="B209:B210" si="105">CHOOSE(2, "1395000000640", "New Leaders 3M Activation Rate (by cohort) (numerator)")</f>
        <v>New Leaders 3M Activation Rate (by cohort) (numerator)</v>
      </c>
      <c r="C209" s="4" t="str">
        <f>CHOOSE(2, "5461730030", "Jun 26")</f>
        <v>Jun 26</v>
      </c>
      <c r="D209" s="14">
        <v>4</v>
      </c>
    </row>
    <row r="210" spans="1:4" x14ac:dyDescent="0.35">
      <c r="A210" s="5" t="str">
        <f t="shared" si="99"/>
        <v>Agency</v>
      </c>
      <c r="B210" s="6" t="str">
        <f t="shared" si="105"/>
        <v>New Leaders 3M Activation Rate (by cohort) (numerator)</v>
      </c>
      <c r="C210" s="4" t="str">
        <f>CHOOSE(2, "5462030031", "Jul 26")</f>
        <v>Jul 26</v>
      </c>
      <c r="D210" s="14">
        <v>7</v>
      </c>
    </row>
    <row r="211" spans="1:4" x14ac:dyDescent="0.35">
      <c r="A211" s="5" t="str">
        <f t="shared" si="99"/>
        <v>Agency</v>
      </c>
      <c r="B211" s="3" t="str">
        <f t="shared" ref="B211:B212" si="106">CHOOSE(2, "1395000000639", "New Leaders 3M Activation Rate (by cohort) (denominator)")</f>
        <v>New Leaders 3M Activation Rate (by cohort) (denominator)</v>
      </c>
      <c r="C211" s="4" t="str">
        <f>CHOOSE(2, "5461730030", "Jun 26")</f>
        <v>Jun 26</v>
      </c>
      <c r="D211" s="14">
        <v>10</v>
      </c>
    </row>
    <row r="212" spans="1:4" x14ac:dyDescent="0.35">
      <c r="A212" s="5" t="str">
        <f t="shared" si="99"/>
        <v>Agency</v>
      </c>
      <c r="B212" s="6" t="str">
        <f t="shared" si="106"/>
        <v>New Leaders 3M Activation Rate (by cohort) (denominator)</v>
      </c>
      <c r="C212" s="4" t="str">
        <f>CHOOSE(2, "5462030031", "Jul 26")</f>
        <v>Jul 26</v>
      </c>
      <c r="D212" s="14">
        <v>27</v>
      </c>
    </row>
    <row r="213" spans="1:4" x14ac:dyDescent="0.35">
      <c r="A213" s="5" t="str">
        <f t="shared" si="99"/>
        <v>Agency</v>
      </c>
      <c r="B213" s="3" t="str">
        <f t="shared" ref="B213:B214" si="107">CHOOSE(2, "1395000000638", "# of pro-rated MDRT agents (100%)")</f>
        <v># of pro-rated MDRT agents (100%)</v>
      </c>
      <c r="C213" s="4" t="str">
        <f>CHOOSE(2, "5461730030", "Jun 26")</f>
        <v>Jun 26</v>
      </c>
      <c r="D213" s="14">
        <v>2343</v>
      </c>
    </row>
    <row r="214" spans="1:4" x14ac:dyDescent="0.35">
      <c r="A214" s="5" t="str">
        <f t="shared" si="99"/>
        <v>Agency</v>
      </c>
      <c r="B214" s="6" t="str">
        <f t="shared" si="107"/>
        <v># of pro-rated MDRT agents (100%)</v>
      </c>
      <c r="C214" s="4" t="str">
        <f>CHOOSE(2, "5462030031", "Jul 26")</f>
        <v>Jul 26</v>
      </c>
      <c r="D214" s="14">
        <v>2200</v>
      </c>
    </row>
    <row r="215" spans="1:4" x14ac:dyDescent="0.35">
      <c r="A215" s="5" t="str">
        <f t="shared" si="99"/>
        <v>Agency</v>
      </c>
      <c r="B215" s="3" t="str">
        <f t="shared" ref="B215:B216" si="108">CHOOSE(2, "1395000000637", "# of pro-rated MDRT agents (90%-99%)")</f>
        <v># of pro-rated MDRT agents (90%-99%)</v>
      </c>
      <c r="C215" s="4" t="str">
        <f>CHOOSE(2, "5461730030", "Jun 26")</f>
        <v>Jun 26</v>
      </c>
      <c r="D215" s="2" t="s">
        <v>5</v>
      </c>
    </row>
    <row r="216" spans="1:4" x14ac:dyDescent="0.35">
      <c r="A216" s="5" t="str">
        <f t="shared" si="99"/>
        <v>Agency</v>
      </c>
      <c r="B216" s="6" t="str">
        <f t="shared" si="108"/>
        <v># of pro-rated MDRT agents (90%-99%)</v>
      </c>
      <c r="C216" s="4" t="str">
        <f>CHOOSE(2, "5462030031", "Jul 26")</f>
        <v>Jul 26</v>
      </c>
      <c r="D216" s="2" t="s">
        <v>5</v>
      </c>
    </row>
    <row r="217" spans="1:4" x14ac:dyDescent="0.35">
      <c r="A217" s="5" t="str">
        <f t="shared" si="99"/>
        <v>Agency</v>
      </c>
      <c r="B217" s="3" t="str">
        <f t="shared" ref="B217:B218" si="109">CHOOSE(2, "1395000000636", "# of pro-rated MDRT agents (70%-90%)")</f>
        <v># of pro-rated MDRT agents (70%-90%)</v>
      </c>
      <c r="C217" s="4" t="str">
        <f>CHOOSE(2, "5461730030", "Jun 26")</f>
        <v>Jun 26</v>
      </c>
      <c r="D217" s="2" t="s">
        <v>5</v>
      </c>
    </row>
    <row r="218" spans="1:4" x14ac:dyDescent="0.35">
      <c r="A218" s="5" t="str">
        <f t="shared" si="99"/>
        <v>Agency</v>
      </c>
      <c r="B218" s="6" t="str">
        <f t="shared" si="109"/>
        <v># of pro-rated MDRT agents (70%-90%)</v>
      </c>
      <c r="C218" s="4" t="str">
        <f>CHOOSE(2, "5462030031", "Jul 26")</f>
        <v>Jul 26</v>
      </c>
      <c r="D218" s="2" t="s">
        <v>5</v>
      </c>
    </row>
    <row r="219" spans="1:4" x14ac:dyDescent="0.35">
      <c r="A219" s="5" t="str">
        <f t="shared" si="99"/>
        <v>Agency</v>
      </c>
      <c r="B219" s="3" t="str">
        <f t="shared" ref="B219:B220" si="110">CHOOSE(2, "1395000000635", "# of pro-rated MDRT agents (&lt;70%)")</f>
        <v># of pro-rated MDRT agents (&lt;70%)</v>
      </c>
      <c r="C219" s="4" t="str">
        <f>CHOOSE(2, "5461730030", "Jun 26")</f>
        <v>Jun 26</v>
      </c>
      <c r="D219" s="2" t="s">
        <v>5</v>
      </c>
    </row>
    <row r="220" spans="1:4" x14ac:dyDescent="0.35">
      <c r="A220" s="5" t="str">
        <f t="shared" si="99"/>
        <v>Agency</v>
      </c>
      <c r="B220" s="6" t="str">
        <f t="shared" si="110"/>
        <v># of pro-rated MDRT agents (&lt;70%)</v>
      </c>
      <c r="C220" s="4" t="str">
        <f>CHOOSE(2, "5462030031", "Jul 26")</f>
        <v>Jul 26</v>
      </c>
      <c r="D220" s="2" t="s">
        <v>5</v>
      </c>
    </row>
    <row r="221" spans="1:4" x14ac:dyDescent="0.35">
      <c r="A221" s="5" t="str">
        <f t="shared" si="99"/>
        <v>Agency</v>
      </c>
      <c r="B221" s="3" t="str">
        <f t="shared" ref="B221:B222" si="111">CHOOSE(2, "1395000000634", "# of pro-rated MDRT agents (50%-70%)")</f>
        <v># of pro-rated MDRT agents (50%-70%)</v>
      </c>
      <c r="C221" s="4" t="str">
        <f>CHOOSE(2, "5461730030", "Jun 26")</f>
        <v>Jun 26</v>
      </c>
      <c r="D221" s="2" t="s">
        <v>5</v>
      </c>
    </row>
    <row r="222" spans="1:4" x14ac:dyDescent="0.35">
      <c r="A222" s="5" t="str">
        <f t="shared" si="99"/>
        <v>Agency</v>
      </c>
      <c r="B222" s="6" t="str">
        <f t="shared" si="111"/>
        <v># of pro-rated MDRT agents (50%-70%)</v>
      </c>
      <c r="C222" s="4" t="str">
        <f>CHOOSE(2, "5462030031", "Jul 26")</f>
        <v>Jul 26</v>
      </c>
      <c r="D222" s="2" t="s">
        <v>5</v>
      </c>
    </row>
    <row r="223" spans="1:4" x14ac:dyDescent="0.35">
      <c r="A223" s="5" t="str">
        <f t="shared" si="99"/>
        <v>Agency</v>
      </c>
      <c r="B223" s="3" t="str">
        <f t="shared" ref="B223:B224" si="112">CHOOSE(2, "1395000000633", "# of pro-rated MDRT agents (&lt;50%)")</f>
        <v># of pro-rated MDRT agents (&lt;50%)</v>
      </c>
      <c r="C223" s="4" t="str">
        <f>CHOOSE(2, "5461730030", "Jun 26")</f>
        <v>Jun 26</v>
      </c>
      <c r="D223" s="2" t="s">
        <v>5</v>
      </c>
    </row>
    <row r="224" spans="1:4" x14ac:dyDescent="0.35">
      <c r="A224" s="5" t="str">
        <f t="shared" si="99"/>
        <v>Agency</v>
      </c>
      <c r="B224" s="6" t="str">
        <f t="shared" si="112"/>
        <v># of pro-rated MDRT agents (&lt;50%)</v>
      </c>
      <c r="C224" s="4" t="str">
        <f>CHOOSE(2, "5462030031", "Jul 26")</f>
        <v>Jul 26</v>
      </c>
      <c r="D224" s="2" t="s">
        <v>5</v>
      </c>
    </row>
    <row r="225" spans="1:4" x14ac:dyDescent="0.35">
      <c r="A225" s="5" t="str">
        <f t="shared" si="99"/>
        <v>Agency</v>
      </c>
      <c r="B225" s="3" t="str">
        <f t="shared" ref="B225:B226" si="113">CHOOSE(2, "1395000000632", "# of pro-rated MDRT agents (70-99%)")</f>
        <v># of pro-rated MDRT agents (70-99%)</v>
      </c>
      <c r="C225" s="4" t="str">
        <f>CHOOSE(2, "5461730030", "Jun 26")</f>
        <v>Jun 26</v>
      </c>
      <c r="D225" s="14">
        <v>944</v>
      </c>
    </row>
    <row r="226" spans="1:4" x14ac:dyDescent="0.35">
      <c r="A226" s="5" t="str">
        <f t="shared" si="99"/>
        <v>Agency</v>
      </c>
      <c r="B226" s="6" t="str">
        <f t="shared" si="113"/>
        <v># of pro-rated MDRT agents (70-99%)</v>
      </c>
      <c r="C226" s="4" t="str">
        <f>CHOOSE(2, "5462030031", "Jul 26")</f>
        <v>Jul 26</v>
      </c>
      <c r="D226" s="14">
        <v>878</v>
      </c>
    </row>
    <row r="227" spans="1:4" x14ac:dyDescent="0.35">
      <c r="A227" s="5" t="str">
        <f t="shared" si="99"/>
        <v>Agency</v>
      </c>
      <c r="B227" s="3" t="str">
        <f t="shared" ref="B227:B228" si="114">CHOOSE(2, "1395000000631", "# of pro-rated MDRT agents (50-69%)")</f>
        <v># of pro-rated MDRT agents (50-69%)</v>
      </c>
      <c r="C227" s="4" t="str">
        <f>CHOOSE(2, "5461730030", "Jun 26")</f>
        <v>Jun 26</v>
      </c>
      <c r="D227" s="14">
        <v>823</v>
      </c>
    </row>
    <row r="228" spans="1:4" x14ac:dyDescent="0.35">
      <c r="A228" s="5" t="str">
        <f t="shared" si="99"/>
        <v>Agency</v>
      </c>
      <c r="B228" s="6" t="str">
        <f t="shared" si="114"/>
        <v># of pro-rated MDRT agents (50-69%)</v>
      </c>
      <c r="C228" s="4" t="str">
        <f>CHOOSE(2, "5462030031", "Jul 26")</f>
        <v>Jul 26</v>
      </c>
      <c r="D228" s="14">
        <v>803</v>
      </c>
    </row>
    <row r="229" spans="1:4" x14ac:dyDescent="0.35">
      <c r="A229" s="5" t="str">
        <f t="shared" si="99"/>
        <v>Agency</v>
      </c>
      <c r="B229" s="3" t="str">
        <f t="shared" ref="B229:B230" si="115">CHOOSE(2, "1395000000630", "# of Top-tier agents")</f>
        <v># of Top-tier agents</v>
      </c>
      <c r="C229" s="4" t="str">
        <f>CHOOSE(2, "5461730030", "Jun 26")</f>
        <v>Jun 26</v>
      </c>
      <c r="D229" s="14">
        <v>3967</v>
      </c>
    </row>
    <row r="230" spans="1:4" x14ac:dyDescent="0.35">
      <c r="A230" s="5" t="str">
        <f t="shared" si="99"/>
        <v>Agency</v>
      </c>
      <c r="B230" s="6" t="str">
        <f t="shared" si="115"/>
        <v># of Top-tier agents</v>
      </c>
      <c r="C230" s="4" t="str">
        <f>CHOOSE(2, "5462030031", "Jul 26")</f>
        <v>Jul 26</v>
      </c>
      <c r="D230" s="14">
        <v>4005</v>
      </c>
    </row>
    <row r="231" spans="1:4" x14ac:dyDescent="0.35">
      <c r="A231" s="5" t="str">
        <f t="shared" si="99"/>
        <v>Agency</v>
      </c>
      <c r="B231" s="3" t="str">
        <f t="shared" ref="B231:B232" si="116">CHOOSE(2, "1395000000629", "$ APE from pro-rated MDRT agents (100%)")</f>
        <v>$ APE from pro-rated MDRT agents (100%)</v>
      </c>
      <c r="C231" s="4" t="str">
        <f>CHOOSE(2, "5461730030", "Jun 26")</f>
        <v>Jun 26</v>
      </c>
      <c r="D231" s="14">
        <v>39869191</v>
      </c>
    </row>
    <row r="232" spans="1:4" x14ac:dyDescent="0.35">
      <c r="A232" s="5" t="str">
        <f t="shared" si="99"/>
        <v>Agency</v>
      </c>
      <c r="B232" s="6" t="str">
        <f t="shared" si="116"/>
        <v>$ APE from pro-rated MDRT agents (100%)</v>
      </c>
      <c r="C232" s="4" t="str">
        <f>CHOOSE(2, "5462030031", "Jul 26")</f>
        <v>Jul 26</v>
      </c>
      <c r="D232" s="14">
        <v>27759909</v>
      </c>
    </row>
    <row r="233" spans="1:4" x14ac:dyDescent="0.35">
      <c r="A233" s="5" t="str">
        <f t="shared" si="99"/>
        <v>Agency</v>
      </c>
      <c r="B233" s="3" t="str">
        <f t="shared" ref="B233:B234" si="117">CHOOSE(2, "1395000000628", "$ APE from pro-rated MDRT agents (70-99%)")</f>
        <v>$ APE from pro-rated MDRT agents (70-99%)</v>
      </c>
      <c r="C233" s="4" t="str">
        <f>CHOOSE(2, "5461730030", "Jun 26")</f>
        <v>Jun 26</v>
      </c>
      <c r="D233" s="14">
        <v>5252841</v>
      </c>
    </row>
    <row r="234" spans="1:4" x14ac:dyDescent="0.35">
      <c r="A234" s="5" t="str">
        <f t="shared" si="99"/>
        <v>Agency</v>
      </c>
      <c r="B234" s="6" t="str">
        <f t="shared" si="117"/>
        <v>$ APE from pro-rated MDRT agents (70-99%)</v>
      </c>
      <c r="C234" s="4" t="str">
        <f>CHOOSE(2, "5462030031", "Jul 26")</f>
        <v>Jul 26</v>
      </c>
      <c r="D234" s="14">
        <v>5160132</v>
      </c>
    </row>
    <row r="235" spans="1:4" x14ac:dyDescent="0.35">
      <c r="A235" s="5" t="str">
        <f t="shared" si="99"/>
        <v>Agency</v>
      </c>
      <c r="B235" s="3" t="str">
        <f t="shared" ref="B235:B236" si="118">CHOOSE(2, "1395000000627", "$ APE from pro-rated MDRT agents (50-69%)")</f>
        <v>$ APE from pro-rated MDRT agents (50-69%)</v>
      </c>
      <c r="C235" s="4" t="str">
        <f>CHOOSE(2, "5461730030", "Jun 26")</f>
        <v>Jun 26</v>
      </c>
      <c r="D235" s="14">
        <v>3960189</v>
      </c>
    </row>
    <row r="236" spans="1:4" x14ac:dyDescent="0.35">
      <c r="A236" s="5" t="str">
        <f t="shared" si="99"/>
        <v>Agency</v>
      </c>
      <c r="B236" s="6" t="str">
        <f t="shared" si="118"/>
        <v>$ APE from pro-rated MDRT agents (50-69%)</v>
      </c>
      <c r="C236" s="4" t="str">
        <f>CHOOSE(2, "5462030031", "Jul 26")</f>
        <v>Jul 26</v>
      </c>
      <c r="D236" s="14">
        <v>4014822</v>
      </c>
    </row>
    <row r="237" spans="1:4" x14ac:dyDescent="0.35">
      <c r="A237" s="5" t="str">
        <f t="shared" si="99"/>
        <v>Agency</v>
      </c>
      <c r="B237" s="3" t="str">
        <f t="shared" ref="B237:B238" si="119">CHOOSE(2, "1395000000626", "$ APE from Top-tier agents")</f>
        <v>$ APE from Top-tier agents</v>
      </c>
      <c r="C237" s="4" t="str">
        <f>CHOOSE(2, "5461730030", "Jun 26")</f>
        <v>Jun 26</v>
      </c>
      <c r="D237" s="14">
        <v>49082222</v>
      </c>
    </row>
    <row r="238" spans="1:4" x14ac:dyDescent="0.35">
      <c r="A238" s="5" t="str">
        <f t="shared" si="99"/>
        <v>Agency</v>
      </c>
      <c r="B238" s="6" t="str">
        <f t="shared" si="119"/>
        <v>$ APE from Top-tier agents</v>
      </c>
      <c r="C238" s="4" t="str">
        <f>CHOOSE(2, "5462030031", "Jul 26")</f>
        <v>Jul 26</v>
      </c>
      <c r="D238" s="14">
        <v>36934865</v>
      </c>
    </row>
    <row r="239" spans="1:4" x14ac:dyDescent="0.35">
      <c r="A239" s="5" t="str">
        <f t="shared" si="99"/>
        <v>Agency</v>
      </c>
      <c r="B239" s="3" t="str">
        <f t="shared" ref="B239:B240" si="120">CHOOSE(2, "1395000000625", "# of MDRT qualifiers - YTD")</f>
        <v># of MDRT qualifiers - YTD</v>
      </c>
      <c r="C239" s="4" t="str">
        <f>CHOOSE(2, "5461730030", "Jun 26")</f>
        <v>Jun 26</v>
      </c>
      <c r="D239" s="14">
        <v>496</v>
      </c>
    </row>
    <row r="240" spans="1:4" x14ac:dyDescent="0.35">
      <c r="A240" s="5" t="str">
        <f t="shared" si="99"/>
        <v>Agency</v>
      </c>
      <c r="B240" s="6" t="str">
        <f t="shared" si="120"/>
        <v># of MDRT qualifiers - YTD</v>
      </c>
      <c r="C240" s="4" t="str">
        <f>CHOOSE(2, "5462030031", "Jul 26")</f>
        <v>Jul 26</v>
      </c>
      <c r="D240" s="14">
        <v>581</v>
      </c>
    </row>
    <row r="241" spans="1:4" x14ac:dyDescent="0.35">
      <c r="A241" s="5" t="str">
        <f t="shared" si="99"/>
        <v>Agency</v>
      </c>
      <c r="B241" s="3" t="str">
        <f t="shared" ref="B241:B242" si="121">CHOOSE(2, "1395000000624", "# of MDRT COT qualifiers - YTD")</f>
        <v># of MDRT COT qualifiers - YTD</v>
      </c>
      <c r="C241" s="4" t="str">
        <f>CHOOSE(2, "5461730030", "Jun 26")</f>
        <v>Jun 26</v>
      </c>
      <c r="D241" s="14">
        <v>30</v>
      </c>
    </row>
    <row r="242" spans="1:4" x14ac:dyDescent="0.35">
      <c r="A242" s="5" t="str">
        <f t="shared" si="99"/>
        <v>Agency</v>
      </c>
      <c r="B242" s="6" t="str">
        <f t="shared" si="121"/>
        <v># of MDRT COT qualifiers - YTD</v>
      </c>
      <c r="C242" s="4" t="str">
        <f>CHOOSE(2, "5462030031", "Jul 26")</f>
        <v>Jul 26</v>
      </c>
      <c r="D242" s="14">
        <v>41</v>
      </c>
    </row>
    <row r="243" spans="1:4" x14ac:dyDescent="0.35">
      <c r="A243" s="5" t="str">
        <f t="shared" si="99"/>
        <v>Agency</v>
      </c>
      <c r="B243" s="3" t="str">
        <f t="shared" ref="B243:B244" si="122">CHOOSE(2, "1395000000623", "# of MDRT TOT qualifiers - YTD")</f>
        <v># of MDRT TOT qualifiers - YTD</v>
      </c>
      <c r="C243" s="4" t="str">
        <f>CHOOSE(2, "5461730030", "Jun 26")</f>
        <v>Jun 26</v>
      </c>
      <c r="D243" s="14">
        <v>13</v>
      </c>
    </row>
    <row r="244" spans="1:4" x14ac:dyDescent="0.35">
      <c r="A244" s="5" t="str">
        <f t="shared" si="99"/>
        <v>Agency</v>
      </c>
      <c r="B244" s="6" t="str">
        <f t="shared" si="122"/>
        <v># of MDRT TOT qualifiers - YTD</v>
      </c>
      <c r="C244" s="4" t="str">
        <f>CHOOSE(2, "5462030031", "Jul 26")</f>
        <v>Jul 26</v>
      </c>
      <c r="D244" s="14">
        <v>13</v>
      </c>
    </row>
    <row r="245" spans="1:4" x14ac:dyDescent="0.35">
      <c r="A245" s="5" t="str">
        <f t="shared" si="99"/>
        <v>Agency</v>
      </c>
      <c r="B245" s="3" t="str">
        <f t="shared" ref="B245:B246" si="123">CHOOSE(2, "1395000000622", "Manulife Pro Qualifiers - Total")</f>
        <v>Manulife Pro Qualifiers - Total</v>
      </c>
      <c r="C245" s="4" t="str">
        <f>CHOOSE(2, "5461730030", "Jun 26")</f>
        <v>Jun 26</v>
      </c>
      <c r="D245" s="14">
        <v>3144</v>
      </c>
    </row>
    <row r="246" spans="1:4" x14ac:dyDescent="0.35">
      <c r="A246" s="5" t="str">
        <f t="shared" si="99"/>
        <v>Agency</v>
      </c>
      <c r="B246" s="6" t="str">
        <f t="shared" si="123"/>
        <v>Manulife Pro Qualifiers - Total</v>
      </c>
      <c r="C246" s="4" t="str">
        <f>CHOOSE(2, "5462030031", "Jul 26")</f>
        <v>Jul 26</v>
      </c>
      <c r="D246" s="14">
        <v>3019</v>
      </c>
    </row>
    <row r="247" spans="1:4" x14ac:dyDescent="0.35">
      <c r="A247" s="5" t="str">
        <f t="shared" si="99"/>
        <v>Agency</v>
      </c>
      <c r="B247" s="3" t="str">
        <f t="shared" ref="B247:B248" si="124">CHOOSE(2, "1395000000621", "Manulife Pro Qualifiers - Silver")</f>
        <v>Manulife Pro Qualifiers - Silver</v>
      </c>
      <c r="C247" s="4" t="str">
        <f>CHOOSE(2, "5461730030", "Jun 26")</f>
        <v>Jun 26</v>
      </c>
      <c r="D247" s="2" t="s">
        <v>5</v>
      </c>
    </row>
    <row r="248" spans="1:4" x14ac:dyDescent="0.35">
      <c r="A248" s="5" t="str">
        <f t="shared" si="99"/>
        <v>Agency</v>
      </c>
      <c r="B248" s="6" t="str">
        <f t="shared" si="124"/>
        <v>Manulife Pro Qualifiers - Silver</v>
      </c>
      <c r="C248" s="4" t="str">
        <f>CHOOSE(2, "5462030031", "Jul 26")</f>
        <v>Jul 26</v>
      </c>
      <c r="D248" s="2" t="s">
        <v>5</v>
      </c>
    </row>
    <row r="249" spans="1:4" x14ac:dyDescent="0.35">
      <c r="A249" s="5" t="str">
        <f t="shared" si="99"/>
        <v>Agency</v>
      </c>
      <c r="B249" s="3" t="str">
        <f t="shared" ref="B249:B250" si="125">CHOOSE(2, "1395000000620", "Manulife Pro Qualifiers - Gold")</f>
        <v>Manulife Pro Qualifiers - Gold</v>
      </c>
      <c r="C249" s="4" t="str">
        <f>CHOOSE(2, "5461730030", "Jun 26")</f>
        <v>Jun 26</v>
      </c>
      <c r="D249" s="2" t="s">
        <v>5</v>
      </c>
    </row>
    <row r="250" spans="1:4" x14ac:dyDescent="0.35">
      <c r="A250" s="5" t="str">
        <f t="shared" si="99"/>
        <v>Agency</v>
      </c>
      <c r="B250" s="6" t="str">
        <f t="shared" si="125"/>
        <v>Manulife Pro Qualifiers - Gold</v>
      </c>
      <c r="C250" s="4" t="str">
        <f>CHOOSE(2, "5462030031", "Jul 26")</f>
        <v>Jul 26</v>
      </c>
      <c r="D250" s="2" t="s">
        <v>5</v>
      </c>
    </row>
    <row r="251" spans="1:4" x14ac:dyDescent="0.35">
      <c r="A251" s="5" t="str">
        <f t="shared" si="99"/>
        <v>Agency</v>
      </c>
      <c r="B251" s="3" t="str">
        <f t="shared" ref="B251:B252" si="126">CHOOSE(2, "1395000000619", "Manulife Pro Qualifiers  - Platinum")</f>
        <v>Manulife Pro Qualifiers  - Platinum</v>
      </c>
      <c r="C251" s="4" t="str">
        <f>CHOOSE(2, "5461730030", "Jun 26")</f>
        <v>Jun 26</v>
      </c>
      <c r="D251" s="2" t="s">
        <v>5</v>
      </c>
    </row>
    <row r="252" spans="1:4" x14ac:dyDescent="0.35">
      <c r="A252" s="5" t="str">
        <f t="shared" si="99"/>
        <v>Agency</v>
      </c>
      <c r="B252" s="6" t="str">
        <f t="shared" si="126"/>
        <v>Manulife Pro Qualifiers  - Platinum</v>
      </c>
      <c r="C252" s="4" t="str">
        <f>CHOOSE(2, "5462030031", "Jul 26")</f>
        <v>Jul 26</v>
      </c>
      <c r="D252" s="2" t="s">
        <v>5</v>
      </c>
    </row>
    <row r="253" spans="1:4" x14ac:dyDescent="0.35">
      <c r="A253" s="5" t="str">
        <f t="shared" si="99"/>
        <v>Agency</v>
      </c>
      <c r="B253" s="3" t="str">
        <f t="shared" ref="B253:B254" si="127">CHOOSE(2, "1395000000618", "$ APE from Manulife Pro - Total")</f>
        <v>$ APE from Manulife Pro - Total</v>
      </c>
      <c r="C253" s="4" t="str">
        <f>CHOOSE(2, "5461730030", "Jun 26")</f>
        <v>Jun 26</v>
      </c>
      <c r="D253" s="2" t="s">
        <v>5</v>
      </c>
    </row>
    <row r="254" spans="1:4" x14ac:dyDescent="0.35">
      <c r="A254" s="5" t="str">
        <f t="shared" si="99"/>
        <v>Agency</v>
      </c>
      <c r="B254" s="6" t="str">
        <f t="shared" si="127"/>
        <v>$ APE from Manulife Pro - Total</v>
      </c>
      <c r="C254" s="4" t="str">
        <f>CHOOSE(2, "5462030031", "Jul 26")</f>
        <v>Jul 26</v>
      </c>
      <c r="D254" s="2" t="s">
        <v>5</v>
      </c>
    </row>
    <row r="255" spans="1:4" x14ac:dyDescent="0.35">
      <c r="A255" s="5" t="str">
        <f t="shared" si="99"/>
        <v>Agency</v>
      </c>
      <c r="B255" s="3" t="str">
        <f t="shared" ref="B255:B256" si="128">CHOOSE(2, "1395000000617", "$ APE from Manulife Pro - Silver")</f>
        <v>$ APE from Manulife Pro - Silver</v>
      </c>
      <c r="C255" s="4" t="str">
        <f>CHOOSE(2, "5461730030", "Jun 26")</f>
        <v>Jun 26</v>
      </c>
      <c r="D255" s="2" t="s">
        <v>5</v>
      </c>
    </row>
    <row r="256" spans="1:4" x14ac:dyDescent="0.35">
      <c r="A256" s="5" t="str">
        <f t="shared" si="99"/>
        <v>Agency</v>
      </c>
      <c r="B256" s="6" t="str">
        <f t="shared" si="128"/>
        <v>$ APE from Manulife Pro - Silver</v>
      </c>
      <c r="C256" s="4" t="str">
        <f>CHOOSE(2, "5462030031", "Jul 26")</f>
        <v>Jul 26</v>
      </c>
      <c r="D256" s="2" t="s">
        <v>5</v>
      </c>
    </row>
    <row r="257" spans="1:4" x14ac:dyDescent="0.35">
      <c r="A257" s="5" t="str">
        <f t="shared" si="99"/>
        <v>Agency</v>
      </c>
      <c r="B257" s="3" t="str">
        <f t="shared" ref="B257:B258" si="129">CHOOSE(2, "1395000000616", "$ APE from Manulife Pro - Gold")</f>
        <v>$ APE from Manulife Pro - Gold</v>
      </c>
      <c r="C257" s="4" t="str">
        <f>CHOOSE(2, "5461730030", "Jun 26")</f>
        <v>Jun 26</v>
      </c>
      <c r="D257" s="2" t="s">
        <v>5</v>
      </c>
    </row>
    <row r="258" spans="1:4" x14ac:dyDescent="0.35">
      <c r="A258" s="5" t="str">
        <f t="shared" si="99"/>
        <v>Agency</v>
      </c>
      <c r="B258" s="6" t="str">
        <f t="shared" si="129"/>
        <v>$ APE from Manulife Pro - Gold</v>
      </c>
      <c r="C258" s="4" t="str">
        <f>CHOOSE(2, "5462030031", "Jul 26")</f>
        <v>Jul 26</v>
      </c>
      <c r="D258" s="2" t="s">
        <v>5</v>
      </c>
    </row>
    <row r="259" spans="1:4" x14ac:dyDescent="0.35">
      <c r="A259" s="5" t="str">
        <f t="shared" si="99"/>
        <v>Agency</v>
      </c>
      <c r="B259" s="3" t="str">
        <f t="shared" ref="B259:B260" si="130">CHOOSE(2, "1395000000615", "$ APE from Manulife Pro  - Platinum")</f>
        <v>$ APE from Manulife Pro  - Platinum</v>
      </c>
      <c r="C259" s="4" t="str">
        <f>CHOOSE(2, "5461730030", "Jun 26")</f>
        <v>Jun 26</v>
      </c>
      <c r="D259" s="2" t="s">
        <v>5</v>
      </c>
    </row>
    <row r="260" spans="1:4" x14ac:dyDescent="0.35">
      <c r="A260" s="5" t="str">
        <f t="shared" si="99"/>
        <v>Agency</v>
      </c>
      <c r="B260" s="6" t="str">
        <f t="shared" si="130"/>
        <v>$ APE from Manulife Pro  - Platinum</v>
      </c>
      <c r="C260" s="4" t="str">
        <f>CHOOSE(2, "5462030031", "Jul 26")</f>
        <v>Jul 26</v>
      </c>
      <c r="D260" s="2" t="s">
        <v>5</v>
      </c>
    </row>
    <row r="261" spans="1:4" x14ac:dyDescent="0.35">
      <c r="A261" s="5" t="str">
        <f t="shared" si="99"/>
        <v>Agency</v>
      </c>
      <c r="B261" s="3" t="str">
        <f t="shared" ref="B261:B262" si="131">CHOOSE(2, "1395000000614", "Issued APE")</f>
        <v>Issued APE</v>
      </c>
      <c r="C261" s="4" t="str">
        <f>CHOOSE(2, "5461730030", "Jun 26")</f>
        <v>Jun 26</v>
      </c>
      <c r="D261" s="14">
        <v>57894215.950000003</v>
      </c>
    </row>
    <row r="262" spans="1:4" x14ac:dyDescent="0.35">
      <c r="A262" s="5" t="str">
        <f t="shared" si="99"/>
        <v>Agency</v>
      </c>
      <c r="B262" s="6" t="str">
        <f t="shared" si="131"/>
        <v>Issued APE</v>
      </c>
      <c r="C262" s="4" t="str">
        <f>CHOOSE(2, "5462030031", "Jul 26")</f>
        <v>Jul 26</v>
      </c>
      <c r="D262" s="14">
        <v>44582340.840000004</v>
      </c>
    </row>
    <row r="263" spans="1:4" x14ac:dyDescent="0.35">
      <c r="A263" s="5" t="str">
        <f t="shared" ref="A263:A326" si="132">CHOOSE(2, "1260000000001", "Agency")</f>
        <v>Agency</v>
      </c>
      <c r="B263" s="3" t="str">
        <f t="shared" ref="B263:B264" si="133">CHOOSE(2, "1395000000613", "Post-MI APE")</f>
        <v>Post-MI APE</v>
      </c>
      <c r="C263" s="4" t="str">
        <f>CHOOSE(2, "5461730030", "Jun 26")</f>
        <v>Jun 26</v>
      </c>
      <c r="D263" s="14">
        <v>57894215.950000003</v>
      </c>
    </row>
    <row r="264" spans="1:4" x14ac:dyDescent="0.35">
      <c r="A264" s="5" t="str">
        <f t="shared" si="132"/>
        <v>Agency</v>
      </c>
      <c r="B264" s="6" t="str">
        <f t="shared" si="133"/>
        <v>Post-MI APE</v>
      </c>
      <c r="C264" s="4" t="str">
        <f>CHOOSE(2, "5462030031", "Jul 26")</f>
        <v>Jul 26</v>
      </c>
      <c r="D264" s="14">
        <v>44582340.840000004</v>
      </c>
    </row>
    <row r="265" spans="1:4" x14ac:dyDescent="0.35">
      <c r="A265" s="5" t="str">
        <f t="shared" si="132"/>
        <v>Agency</v>
      </c>
      <c r="B265" s="3" t="str">
        <f t="shared" ref="B265:B266" si="134">CHOOSE(2, "1395000000610", "Pre-gap NBV")</f>
        <v>Pre-gap NBV</v>
      </c>
      <c r="C265" s="4" t="str">
        <f>CHOOSE(2, "5461730030", "Jun 26")</f>
        <v>Jun 26</v>
      </c>
      <c r="D265" s="14">
        <v>21852198.039999999</v>
      </c>
    </row>
    <row r="266" spans="1:4" x14ac:dyDescent="0.35">
      <c r="A266" s="5" t="str">
        <f t="shared" si="132"/>
        <v>Agency</v>
      </c>
      <c r="B266" s="6" t="str">
        <f t="shared" si="134"/>
        <v>Pre-gap NBV</v>
      </c>
      <c r="C266" s="4" t="str">
        <f>CHOOSE(2, "5462030031", "Jul 26")</f>
        <v>Jul 26</v>
      </c>
      <c r="D266" s="14">
        <v>27654806.989999998</v>
      </c>
    </row>
    <row r="267" spans="1:4" x14ac:dyDescent="0.35">
      <c r="A267" s="5" t="str">
        <f t="shared" si="132"/>
        <v>Agency</v>
      </c>
      <c r="B267" s="3" t="str">
        <f t="shared" ref="B267:B268" si="135">CHOOSE(2, "1395000000609", "Pre-gap NBV Margin %")</f>
        <v>Pre-gap NBV Margin %</v>
      </c>
      <c r="C267" s="4" t="str">
        <f>CHOOSE(2, "5461730030", "Jun 26")</f>
        <v>Jun 26</v>
      </c>
      <c r="D267" s="14">
        <v>0.37745045306205582</v>
      </c>
    </row>
    <row r="268" spans="1:4" x14ac:dyDescent="0.35">
      <c r="A268" s="5" t="str">
        <f t="shared" si="132"/>
        <v>Agency</v>
      </c>
      <c r="B268" s="6" t="str">
        <f t="shared" si="135"/>
        <v>Pre-gap NBV Margin %</v>
      </c>
      <c r="C268" s="4" t="str">
        <f>CHOOSE(2, "5462030031", "Jul 26")</f>
        <v>Jul 26</v>
      </c>
      <c r="D268" s="14">
        <v>0.62030854524326939</v>
      </c>
    </row>
    <row r="269" spans="1:4" x14ac:dyDescent="0.35">
      <c r="A269" s="5" t="str">
        <f t="shared" si="132"/>
        <v>Agency</v>
      </c>
      <c r="B269" s="3" t="str">
        <f t="shared" ref="B269:B270" si="136">CHOOSE(2, "1395000000608", "Post-gap NBV")</f>
        <v>Post-gap NBV</v>
      </c>
      <c r="C269" s="4" t="str">
        <f>CHOOSE(2, "5461730030", "Jun 26")</f>
        <v>Jun 26</v>
      </c>
      <c r="D269" s="14">
        <v>21852198.039999999</v>
      </c>
    </row>
    <row r="270" spans="1:4" x14ac:dyDescent="0.35">
      <c r="A270" s="5" t="str">
        <f t="shared" si="132"/>
        <v>Agency</v>
      </c>
      <c r="B270" s="6" t="str">
        <f t="shared" si="136"/>
        <v>Post-gap NBV</v>
      </c>
      <c r="C270" s="4" t="str">
        <f>CHOOSE(2, "5462030031", "Jul 26")</f>
        <v>Jul 26</v>
      </c>
      <c r="D270" s="14">
        <v>27654806.989999998</v>
      </c>
    </row>
    <row r="271" spans="1:4" x14ac:dyDescent="0.35">
      <c r="A271" s="5" t="str">
        <f t="shared" si="132"/>
        <v>Agency</v>
      </c>
      <c r="B271" s="3" t="str">
        <f t="shared" ref="B271:B272" si="137">CHOOSE(2, "1395000000607", "Post-gap NBV Margin %")</f>
        <v>Post-gap NBV Margin %</v>
      </c>
      <c r="C271" s="4" t="str">
        <f>CHOOSE(2, "5461730030", "Jun 26")</f>
        <v>Jun 26</v>
      </c>
      <c r="D271" s="14">
        <v>0.37745045306205582</v>
      </c>
    </row>
    <row r="272" spans="1:4" x14ac:dyDescent="0.35">
      <c r="A272" s="5" t="str">
        <f t="shared" si="132"/>
        <v>Agency</v>
      </c>
      <c r="B272" s="6" t="str">
        <f t="shared" si="137"/>
        <v>Post-gap NBV Margin %</v>
      </c>
      <c r="C272" s="4" t="str">
        <f>CHOOSE(2, "5462030031", "Jul 26")</f>
        <v>Jul 26</v>
      </c>
      <c r="D272" s="14">
        <v>0.62030854524326939</v>
      </c>
    </row>
    <row r="273" spans="1:4" x14ac:dyDescent="0.35">
      <c r="A273" s="5" t="str">
        <f t="shared" si="132"/>
        <v>Agency</v>
      </c>
      <c r="B273" s="3" t="str">
        <f t="shared" ref="B273:B274" si="138">CHOOSE(2, "1395000000606", "NB CSM")</f>
        <v>NB CSM</v>
      </c>
      <c r="C273" s="4" t="str">
        <f>CHOOSE(2, "5461730030", "Jun 26")</f>
        <v>Jun 26</v>
      </c>
      <c r="D273" s="14">
        <v>30181549.760000002</v>
      </c>
    </row>
    <row r="274" spans="1:4" x14ac:dyDescent="0.35">
      <c r="A274" s="5" t="str">
        <f t="shared" si="132"/>
        <v>Agency</v>
      </c>
      <c r="B274" s="6" t="str">
        <f t="shared" si="138"/>
        <v>NB CSM</v>
      </c>
      <c r="C274" s="4" t="str">
        <f>CHOOSE(2, "5462030031", "Jul 26")</f>
        <v>Jul 26</v>
      </c>
      <c r="D274" s="14">
        <v>26971639.199999999</v>
      </c>
    </row>
    <row r="275" spans="1:4" x14ac:dyDescent="0.35">
      <c r="A275" s="5" t="str">
        <f t="shared" si="132"/>
        <v>Agency</v>
      </c>
      <c r="B275" s="3" t="str">
        <f t="shared" ref="B275:B276" si="139">CHOOSE(2, "1395000000605", "NB CSM Margin %")</f>
        <v>NB CSM Margin %</v>
      </c>
      <c r="C275" s="4" t="str">
        <f>CHOOSE(2, "5461730030", "Jun 26")</f>
        <v>Jun 26</v>
      </c>
      <c r="D275" s="14">
        <v>0.5213223681285557</v>
      </c>
    </row>
    <row r="276" spans="1:4" x14ac:dyDescent="0.35">
      <c r="A276" s="5" t="str">
        <f t="shared" si="132"/>
        <v>Agency</v>
      </c>
      <c r="B276" s="6" t="str">
        <f t="shared" si="139"/>
        <v>NB CSM Margin %</v>
      </c>
      <c r="C276" s="4" t="str">
        <f>CHOOSE(2, "5462030031", "Jul 26")</f>
        <v>Jul 26</v>
      </c>
      <c r="D276" s="14">
        <v>0.60498481443129171</v>
      </c>
    </row>
    <row r="277" spans="1:4" x14ac:dyDescent="0.35">
      <c r="A277" s="5" t="str">
        <f t="shared" si="132"/>
        <v>Agency</v>
      </c>
      <c r="B277" s="3" t="str">
        <f t="shared" ref="B277:B278" si="140">CHOOSE(2, "1395000000604", "PRE")</f>
        <v>PRE</v>
      </c>
      <c r="C277" s="4" t="str">
        <f>CHOOSE(2, "5461730030", "Jun 26")</f>
        <v>Jun 26</v>
      </c>
      <c r="D277" s="14">
        <v>5200000</v>
      </c>
    </row>
    <row r="278" spans="1:4" x14ac:dyDescent="0.35">
      <c r="A278" s="5" t="str">
        <f t="shared" si="132"/>
        <v>Agency</v>
      </c>
      <c r="B278" s="6" t="str">
        <f t="shared" si="140"/>
        <v>PRE</v>
      </c>
      <c r="C278" s="4" t="str">
        <f>CHOOSE(2, "5462030031", "Jul 26")</f>
        <v>Jul 26</v>
      </c>
      <c r="D278" s="14">
        <v>3200000</v>
      </c>
    </row>
    <row r="279" spans="1:4" x14ac:dyDescent="0.35">
      <c r="A279" s="5" t="str">
        <f t="shared" si="132"/>
        <v>Agency</v>
      </c>
      <c r="B279" s="3" t="str">
        <f t="shared" ref="B279:B280" si="141">CHOOSE(2, "1395000000603", "ContEx")</f>
        <v>ContEx</v>
      </c>
      <c r="C279" s="4" t="str">
        <f>CHOOSE(2, "5461730030", "Jun 26")</f>
        <v>Jun 26</v>
      </c>
      <c r="D279" s="14">
        <v>0</v>
      </c>
    </row>
    <row r="280" spans="1:4" x14ac:dyDescent="0.35">
      <c r="A280" s="5" t="str">
        <f t="shared" si="132"/>
        <v>Agency</v>
      </c>
      <c r="B280" s="6" t="str">
        <f t="shared" si="141"/>
        <v>ContEx</v>
      </c>
      <c r="C280" s="4" t="str">
        <f>CHOOSE(2, "5462030031", "Jul 26")</f>
        <v>Jul 26</v>
      </c>
      <c r="D280" s="14">
        <v>0</v>
      </c>
    </row>
    <row r="281" spans="1:4" x14ac:dyDescent="0.35">
      <c r="A281" s="5" t="str">
        <f t="shared" si="132"/>
        <v>Agency</v>
      </c>
      <c r="B281" s="3" t="str">
        <f t="shared" ref="B281:B282" si="142">CHOOSE(2, "1395000000602", "% of 6-90 agents")</f>
        <v>% of 6-90 agents</v>
      </c>
      <c r="C281" s="4" t="str">
        <f>CHOOSE(2, "5461730030", "Jun 26")</f>
        <v>Jun 26</v>
      </c>
      <c r="D281" s="14">
        <v>3.8095238095238099E-2</v>
      </c>
    </row>
    <row r="282" spans="1:4" x14ac:dyDescent="0.35">
      <c r="A282" s="5" t="str">
        <f t="shared" si="132"/>
        <v>Agency</v>
      </c>
      <c r="B282" s="6" t="str">
        <f t="shared" si="142"/>
        <v>% of 6-90 agents</v>
      </c>
      <c r="C282" s="4" t="str">
        <f>CHOOSE(2, "5462030031", "Jul 26")</f>
        <v>Jul 26</v>
      </c>
      <c r="D282" s="14">
        <v>4.7500000000000001E-2</v>
      </c>
    </row>
    <row r="283" spans="1:4" x14ac:dyDescent="0.35">
      <c r="A283" s="5" t="str">
        <f t="shared" si="132"/>
        <v>Agency</v>
      </c>
      <c r="B283" s="3" t="str">
        <f t="shared" ref="B283:B284" si="143">CHOOSE(2, "1395000000601", "New Recruits 3M Activation Rate")</f>
        <v>New Recruits 3M Activation Rate</v>
      </c>
      <c r="C283" s="4" t="str">
        <f>CHOOSE(2, "5461730030", "Jun 26")</f>
        <v>Jun 26</v>
      </c>
      <c r="D283" s="14">
        <v>0.68211920529801329</v>
      </c>
    </row>
    <row r="284" spans="1:4" x14ac:dyDescent="0.35">
      <c r="A284" s="5" t="str">
        <f t="shared" si="132"/>
        <v>Agency</v>
      </c>
      <c r="B284" s="6" t="str">
        <f t="shared" si="143"/>
        <v>New Recruits 3M Activation Rate</v>
      </c>
      <c r="C284" s="4" t="str">
        <f>CHOOSE(2, "5462030031", "Jul 26")</f>
        <v>Jul 26</v>
      </c>
      <c r="D284" s="14">
        <v>0.56818181818181823</v>
      </c>
    </row>
    <row r="285" spans="1:4" x14ac:dyDescent="0.35">
      <c r="A285" s="5" t="str">
        <f t="shared" si="132"/>
        <v>Agency</v>
      </c>
      <c r="B285" s="3" t="str">
        <f t="shared" ref="B285:B286" si="144">CHOOSE(2, "1395000000600", "No. of Recruits from leaders")</f>
        <v>No. of Recruits from leaders</v>
      </c>
      <c r="C285" s="4" t="str">
        <f>CHOOSE(2, "5461730030", "Jun 26")</f>
        <v>Jun 26</v>
      </c>
      <c r="D285" s="2" t="s">
        <v>5</v>
      </c>
    </row>
    <row r="286" spans="1:4" x14ac:dyDescent="0.35">
      <c r="A286" s="5" t="str">
        <f t="shared" si="132"/>
        <v>Agency</v>
      </c>
      <c r="B286" s="6" t="str">
        <f t="shared" si="144"/>
        <v>No. of Recruits from leaders</v>
      </c>
      <c r="C286" s="4" t="str">
        <f>CHOOSE(2, "5462030031", "Jul 26")</f>
        <v>Jul 26</v>
      </c>
      <c r="D286" s="2" t="s">
        <v>5</v>
      </c>
    </row>
    <row r="287" spans="1:4" x14ac:dyDescent="0.35">
      <c r="A287" s="5" t="str">
        <f t="shared" si="132"/>
        <v>Agency</v>
      </c>
      <c r="B287" s="3" t="str">
        <f t="shared" ref="B287:B288" si="145">CHOOSE(2, "1395000000599", "No. of Recruits per Active Recruiting Leader per month")</f>
        <v>No. of Recruits per Active Recruiting Leader per month</v>
      </c>
      <c r="C287" s="4" t="str">
        <f>CHOOSE(2, "5461730030", "Jun 26")</f>
        <v>Jun 26</v>
      </c>
      <c r="D287" s="14">
        <v>0</v>
      </c>
    </row>
    <row r="288" spans="1:4" x14ac:dyDescent="0.35">
      <c r="A288" s="5" t="str">
        <f t="shared" si="132"/>
        <v>Agency</v>
      </c>
      <c r="B288" s="6" t="str">
        <f t="shared" si="145"/>
        <v>No. of Recruits per Active Recruiting Leader per month</v>
      </c>
      <c r="C288" s="4" t="str">
        <f>CHOOSE(2, "5462030031", "Jul 26")</f>
        <v>Jul 26</v>
      </c>
      <c r="D288" s="14">
        <v>0</v>
      </c>
    </row>
    <row r="289" spans="1:4" x14ac:dyDescent="0.35">
      <c r="A289" s="5" t="str">
        <f t="shared" si="132"/>
        <v>Agency</v>
      </c>
      <c r="B289" s="3" t="str">
        <f t="shared" ref="B289:B290" si="146">CHOOSE(2, "1395000000598", "PRE as % of APE")</f>
        <v>PRE as % of APE</v>
      </c>
      <c r="C289" s="4" t="str">
        <f>CHOOSE(2, "5461730030", "Jun 26")</f>
        <v>Jun 26</v>
      </c>
      <c r="D289" s="14">
        <v>8.9818989940047708E-2</v>
      </c>
    </row>
    <row r="290" spans="1:4" x14ac:dyDescent="0.35">
      <c r="A290" s="5" t="str">
        <f t="shared" si="132"/>
        <v>Agency</v>
      </c>
      <c r="B290" s="6" t="str">
        <f t="shared" si="146"/>
        <v>PRE as % of APE</v>
      </c>
      <c r="C290" s="4" t="str">
        <f>CHOOSE(2, "5462030031", "Jul 26")</f>
        <v>Jul 26</v>
      </c>
      <c r="D290" s="14">
        <v>7.1777298807264689E-2</v>
      </c>
    </row>
    <row r="291" spans="1:4" x14ac:dyDescent="0.35">
      <c r="A291" s="5" t="str">
        <f t="shared" si="132"/>
        <v>Agency</v>
      </c>
      <c r="B291" s="3" t="str">
        <f t="shared" ref="B291:B292" si="147">CHOOSE(2, "1395000000597", "ContEx as % of APE")</f>
        <v>ContEx as % of APE</v>
      </c>
      <c r="C291" s="4" t="str">
        <f>CHOOSE(2, "5461730030", "Jun 26")</f>
        <v>Jun 26</v>
      </c>
      <c r="D291" s="14">
        <v>0</v>
      </c>
    </row>
    <row r="292" spans="1:4" x14ac:dyDescent="0.35">
      <c r="A292" s="5" t="str">
        <f t="shared" si="132"/>
        <v>Agency</v>
      </c>
      <c r="B292" s="6" t="str">
        <f t="shared" si="147"/>
        <v>ContEx as % of APE</v>
      </c>
      <c r="C292" s="4" t="str">
        <f>CHOOSE(2, "5462030031", "Jul 26")</f>
        <v>Jul 26</v>
      </c>
      <c r="D292" s="14">
        <v>0</v>
      </c>
    </row>
    <row r="293" spans="1:4" x14ac:dyDescent="0.35">
      <c r="A293" s="5" t="str">
        <f t="shared" si="132"/>
        <v>Agency</v>
      </c>
      <c r="B293" s="3" t="str">
        <f t="shared" ref="B293:B294" si="148">CHOOSE(2, "1395000000596", "% of 1-Month Active Agents")</f>
        <v>% of 1-Month Active Agents</v>
      </c>
      <c r="C293" s="4" t="str">
        <f>CHOOSE(2, "5461730030", "Jun 26")</f>
        <v>Jun 26</v>
      </c>
      <c r="D293" s="14">
        <v>0.40005339978640087</v>
      </c>
    </row>
    <row r="294" spans="1:4" x14ac:dyDescent="0.35">
      <c r="A294" s="5" t="str">
        <f t="shared" si="132"/>
        <v>Agency</v>
      </c>
      <c r="B294" s="6" t="str">
        <f t="shared" si="148"/>
        <v>% of 1-Month Active Agents</v>
      </c>
      <c r="C294" s="4" t="str">
        <f>CHOOSE(2, "5462030031", "Jul 26")</f>
        <v>Jul 26</v>
      </c>
      <c r="D294" s="14">
        <v>0.35571365051133835</v>
      </c>
    </row>
    <row r="295" spans="1:4" x14ac:dyDescent="0.35">
      <c r="A295" s="5" t="str">
        <f t="shared" si="132"/>
        <v>Agency</v>
      </c>
      <c r="B295" s="3" t="str">
        <f t="shared" ref="B295:B296" si="149">CHOOSE(2, "1395000000595", "% of 3-Month Active Agents")</f>
        <v>% of 3-Month Active Agents</v>
      </c>
      <c r="C295" s="4" t="str">
        <f>CHOOSE(2, "5461730030", "Jun 26")</f>
        <v>Jun 26</v>
      </c>
      <c r="D295" s="14">
        <v>0.21291076383817731</v>
      </c>
    </row>
    <row r="296" spans="1:4" x14ac:dyDescent="0.35">
      <c r="A296" s="5" t="str">
        <f t="shared" si="132"/>
        <v>Agency</v>
      </c>
      <c r="B296" s="6" t="str">
        <f t="shared" si="149"/>
        <v>% of 3-Month Active Agents</v>
      </c>
      <c r="C296" s="4" t="str">
        <f>CHOOSE(2, "5462030031", "Jul 26")</f>
        <v>Jul 26</v>
      </c>
      <c r="D296" s="14">
        <v>0.21295503528091878</v>
      </c>
    </row>
    <row r="297" spans="1:4" x14ac:dyDescent="0.35">
      <c r="A297" s="5" t="str">
        <f t="shared" si="132"/>
        <v>Agency</v>
      </c>
      <c r="B297" s="3" t="str">
        <f t="shared" ref="B297:B298" si="150">CHOOSE(2, "1395000000594", "Active agents per active leader")</f>
        <v>Active agents per active leader</v>
      </c>
      <c r="C297" s="4" t="str">
        <f>CHOOSE(2, "5461730030", "Jun 26")</f>
        <v>Jun 26</v>
      </c>
      <c r="D297" s="14">
        <v>19.801762114537446</v>
      </c>
    </row>
    <row r="298" spans="1:4" x14ac:dyDescent="0.35">
      <c r="A298" s="5" t="str">
        <f t="shared" si="132"/>
        <v>Agency</v>
      </c>
      <c r="B298" s="6" t="str">
        <f t="shared" si="150"/>
        <v>Active agents per active leader</v>
      </c>
      <c r="C298" s="4" t="str">
        <f>CHOOSE(2, "5462030031", "Jul 26")</f>
        <v>Jul 26</v>
      </c>
      <c r="D298" s="14">
        <v>25</v>
      </c>
    </row>
    <row r="299" spans="1:4" x14ac:dyDescent="0.35">
      <c r="A299" s="5" t="str">
        <f t="shared" si="132"/>
        <v>Agency</v>
      </c>
      <c r="B299" s="3" t="str">
        <f t="shared" ref="B299:B300" si="151">CHOOSE(2, "1395000000593", "Avg. Case count per 1-Month Active Agent")</f>
        <v>Avg. Case count per 1-Month Active Agent</v>
      </c>
      <c r="C299" s="4" t="str">
        <f>CHOOSE(2, "5461730030", "Jun 26")</f>
        <v>Jun 26</v>
      </c>
      <c r="D299" s="14">
        <v>1.5601779755283649</v>
      </c>
    </row>
    <row r="300" spans="1:4" x14ac:dyDescent="0.35">
      <c r="A300" s="5" t="str">
        <f t="shared" si="132"/>
        <v>Agency</v>
      </c>
      <c r="B300" s="6" t="str">
        <f t="shared" si="151"/>
        <v>Avg. Case count per 1-Month Active Agent</v>
      </c>
      <c r="C300" s="4" t="str">
        <f>CHOOSE(2, "5462030031", "Jul 26")</f>
        <v>Jul 26</v>
      </c>
      <c r="D300" s="14">
        <v>1.88175</v>
      </c>
    </row>
    <row r="301" spans="1:4" x14ac:dyDescent="0.35">
      <c r="A301" s="5" t="str">
        <f t="shared" si="132"/>
        <v>Agency</v>
      </c>
      <c r="B301" s="3" t="str">
        <f t="shared" ref="B301:B302" si="152">CHOOSE(2, "1395000000592", "Avg. Case size")</f>
        <v>Avg. Case size</v>
      </c>
      <c r="C301" s="4" t="str">
        <f>CHOOSE(2, "5461730030", "Jun 26")</f>
        <v>Jun 26</v>
      </c>
      <c r="D301" s="14">
        <v>8255.2710608869238</v>
      </c>
    </row>
    <row r="302" spans="1:4" x14ac:dyDescent="0.35">
      <c r="A302" s="5" t="str">
        <f t="shared" si="132"/>
        <v>Agency</v>
      </c>
      <c r="B302" s="6" t="str">
        <f t="shared" si="152"/>
        <v>Avg. Case size</v>
      </c>
      <c r="C302" s="4" t="str">
        <f>CHOOSE(2, "5462030031", "Jul 26")</f>
        <v>Jul 26</v>
      </c>
      <c r="D302" s="14">
        <v>5922.9893503387812</v>
      </c>
    </row>
    <row r="303" spans="1:4" x14ac:dyDescent="0.35">
      <c r="A303" s="5" t="str">
        <f t="shared" si="132"/>
        <v>Agency</v>
      </c>
      <c r="B303" s="3" t="str">
        <f t="shared" ref="B303:B304" si="153">CHOOSE(2, "1395000000591", "APE per 1-Month Active Agent")</f>
        <v>APE per 1-Month Active Agent</v>
      </c>
      <c r="C303" s="4" t="str">
        <f>CHOOSE(2, "5461730030", "Jun 26")</f>
        <v>Jun 26</v>
      </c>
      <c r="D303" s="14">
        <v>12879.692091212459</v>
      </c>
    </row>
    <row r="304" spans="1:4" x14ac:dyDescent="0.35">
      <c r="A304" s="5" t="str">
        <f t="shared" si="132"/>
        <v>Agency</v>
      </c>
      <c r="B304" s="6" t="str">
        <f t="shared" si="153"/>
        <v>APE per 1-Month Active Agent</v>
      </c>
      <c r="C304" s="4" t="str">
        <f>CHOOSE(2, "5462030031", "Jul 26")</f>
        <v>Jul 26</v>
      </c>
      <c r="D304" s="14">
        <v>11145.585210000001</v>
      </c>
    </row>
    <row r="305" spans="1:4" x14ac:dyDescent="0.35">
      <c r="A305" s="5" t="str">
        <f t="shared" si="132"/>
        <v>Agency</v>
      </c>
      <c r="B305" s="3" t="str">
        <f t="shared" ref="B305:B306" si="154">CHOOSE(2, "1395000000590", "% Conversion of Proposals to cases")</f>
        <v>% Conversion of Proposals to cases</v>
      </c>
      <c r="C305" s="4" t="str">
        <f>CHOOSE(2, "5461730030", "Jun 26")</f>
        <v>Jun 26</v>
      </c>
      <c r="D305" s="14">
        <v>8.2801043720556813E-2</v>
      </c>
    </row>
    <row r="306" spans="1:4" x14ac:dyDescent="0.35">
      <c r="A306" s="5" t="str">
        <f t="shared" si="132"/>
        <v>Agency</v>
      </c>
      <c r="B306" s="6" t="str">
        <f t="shared" si="154"/>
        <v>% Conversion of Proposals to cases</v>
      </c>
      <c r="C306" s="4" t="str">
        <f>CHOOSE(2, "5462030031", "Jul 26")</f>
        <v>Jul 26</v>
      </c>
      <c r="D306" s="14">
        <v>8.710091764351921E-2</v>
      </c>
    </row>
    <row r="307" spans="1:4" x14ac:dyDescent="0.35">
      <c r="A307" s="5" t="str">
        <f t="shared" si="132"/>
        <v>Agency</v>
      </c>
      <c r="B307" s="3" t="str">
        <f t="shared" ref="B307:B308" si="155">CHOOSE(2, "1395000000588", "% APE from Agents in X tenure")</f>
        <v>% APE from Agents in X tenure</v>
      </c>
      <c r="C307" s="4" t="str">
        <f>CHOOSE(2, "5461730030", "Jun 26")</f>
        <v>Jun 26</v>
      </c>
      <c r="D307" s="14">
        <v>1</v>
      </c>
    </row>
    <row r="308" spans="1:4" x14ac:dyDescent="0.35">
      <c r="A308" s="5" t="str">
        <f t="shared" si="132"/>
        <v>Agency</v>
      </c>
      <c r="B308" s="6" t="str">
        <f t="shared" si="155"/>
        <v>% APE from Agents in X tenure</v>
      </c>
      <c r="C308" s="4" t="str">
        <f>CHOOSE(2, "5462030031", "Jul 26")</f>
        <v>Jul 26</v>
      </c>
      <c r="D308" s="14">
        <v>1</v>
      </c>
    </row>
    <row r="309" spans="1:4" x14ac:dyDescent="0.35">
      <c r="A309" s="5" t="str">
        <f t="shared" si="132"/>
        <v>Agency</v>
      </c>
      <c r="B309" s="3" t="str">
        <f t="shared" ref="B309:B310" si="156">CHOOSE(2, "1395000000587", "% APE from Agents in X tenure in 0-1M")</f>
        <v>% APE from Agents in X tenure in 0-1M</v>
      </c>
      <c r="C309" s="4" t="str">
        <f>CHOOSE(2, "5461730030", "Jun 26")</f>
        <v>Jun 26</v>
      </c>
      <c r="D309" s="14">
        <v>0.1</v>
      </c>
    </row>
    <row r="310" spans="1:4" x14ac:dyDescent="0.35">
      <c r="A310" s="5" t="str">
        <f t="shared" si="132"/>
        <v>Agency</v>
      </c>
      <c r="B310" s="6" t="str">
        <f t="shared" si="156"/>
        <v>% APE from Agents in X tenure in 0-1M</v>
      </c>
      <c r="C310" s="4" t="str">
        <f>CHOOSE(2, "5462030031", "Jul 26")</f>
        <v>Jul 26</v>
      </c>
      <c r="D310" s="14">
        <v>0.1</v>
      </c>
    </row>
    <row r="311" spans="1:4" x14ac:dyDescent="0.35">
      <c r="A311" s="5" t="str">
        <f t="shared" si="132"/>
        <v>Agency</v>
      </c>
      <c r="B311" s="3" t="str">
        <f t="shared" ref="B311:B312" si="157">CHOOSE(2, "1395000000586", "% APE from Agents in X tenure in 2-3M")</f>
        <v>% APE from Agents in X tenure in 2-3M</v>
      </c>
      <c r="C311" s="4" t="str">
        <f>CHOOSE(2, "5461730030", "Jun 26")</f>
        <v>Jun 26</v>
      </c>
      <c r="D311" s="14">
        <v>0.2</v>
      </c>
    </row>
    <row r="312" spans="1:4" x14ac:dyDescent="0.35">
      <c r="A312" s="5" t="str">
        <f t="shared" si="132"/>
        <v>Agency</v>
      </c>
      <c r="B312" s="6" t="str">
        <f t="shared" si="157"/>
        <v>% APE from Agents in X tenure in 2-3M</v>
      </c>
      <c r="C312" s="4" t="str">
        <f>CHOOSE(2, "5462030031", "Jul 26")</f>
        <v>Jul 26</v>
      </c>
      <c r="D312" s="14">
        <v>0.2</v>
      </c>
    </row>
    <row r="313" spans="1:4" x14ac:dyDescent="0.35">
      <c r="A313" s="5" t="str">
        <f t="shared" si="132"/>
        <v>Agency</v>
      </c>
      <c r="B313" s="3" t="str">
        <f t="shared" ref="B313:B314" si="158">CHOOSE(2, "1395000000585", "% APE from Agents in X tenure in 4-12M")</f>
        <v>% APE from Agents in X tenure in 4-12M</v>
      </c>
      <c r="C313" s="4" t="str">
        <f>CHOOSE(2, "5461730030", "Jun 26")</f>
        <v>Jun 26</v>
      </c>
      <c r="D313" s="14">
        <v>0.3</v>
      </c>
    </row>
    <row r="314" spans="1:4" x14ac:dyDescent="0.35">
      <c r="A314" s="5" t="str">
        <f t="shared" si="132"/>
        <v>Agency</v>
      </c>
      <c r="B314" s="6" t="str">
        <f t="shared" si="158"/>
        <v>% APE from Agents in X tenure in 4-12M</v>
      </c>
      <c r="C314" s="4" t="str">
        <f>CHOOSE(2, "5462030031", "Jul 26")</f>
        <v>Jul 26</v>
      </c>
      <c r="D314" s="14">
        <v>0.3</v>
      </c>
    </row>
    <row r="315" spans="1:4" x14ac:dyDescent="0.35">
      <c r="A315" s="5" t="str">
        <f t="shared" si="132"/>
        <v>Agency</v>
      </c>
      <c r="B315" s="3" t="str">
        <f t="shared" ref="B315:B316" si="159">CHOOSE(2, "1395000000584", "% APE from Agents in X tenure 13+M")</f>
        <v>% APE from Agents in X tenure 13+M</v>
      </c>
      <c r="C315" s="4" t="str">
        <f>CHOOSE(2, "5461730030", "Jun 26")</f>
        <v>Jun 26</v>
      </c>
      <c r="D315" s="14">
        <v>0.4</v>
      </c>
    </row>
    <row r="316" spans="1:4" x14ac:dyDescent="0.35">
      <c r="A316" s="5" t="str">
        <f t="shared" si="132"/>
        <v>Agency</v>
      </c>
      <c r="B316" s="6" t="str">
        <f t="shared" si="159"/>
        <v>% APE from Agents in X tenure 13+M</v>
      </c>
      <c r="C316" s="4" t="str">
        <f>CHOOSE(2, "5462030031", "Jul 26")</f>
        <v>Jul 26</v>
      </c>
      <c r="D316" s="14">
        <v>0.4</v>
      </c>
    </row>
    <row r="317" spans="1:4" x14ac:dyDescent="0.35">
      <c r="A317" s="5" t="str">
        <f t="shared" si="132"/>
        <v>Agency</v>
      </c>
      <c r="B317" s="3" t="str">
        <f t="shared" ref="B317:B318" si="160">CHOOSE(2, "1395000000583", "% APE from pro-rated MDRT agents (100%)")</f>
        <v>% APE from pro-rated MDRT agents (100%)</v>
      </c>
      <c r="C317" s="4" t="str">
        <f>CHOOSE(2, "5461730030", "Jun 26")</f>
        <v>Jun 26</v>
      </c>
      <c r="D317" s="14">
        <v>0.68865585872054624</v>
      </c>
    </row>
    <row r="318" spans="1:4" x14ac:dyDescent="0.35">
      <c r="A318" s="5" t="str">
        <f t="shared" si="132"/>
        <v>Agency</v>
      </c>
      <c r="B318" s="6" t="str">
        <f t="shared" si="160"/>
        <v>% APE from pro-rated MDRT agents (100%)</v>
      </c>
      <c r="C318" s="4" t="str">
        <f>CHOOSE(2, "5462030031", "Jul 26")</f>
        <v>Jul 26</v>
      </c>
      <c r="D318" s="14">
        <v>0.62266602598608634</v>
      </c>
    </row>
    <row r="319" spans="1:4" x14ac:dyDescent="0.35">
      <c r="A319" s="5" t="str">
        <f t="shared" si="132"/>
        <v>Agency</v>
      </c>
      <c r="B319" s="3" t="str">
        <f t="shared" ref="B319:B320" si="161">CHOOSE(2, "1395000000582", "% APE from pro-rated MDRT agents (70-99%)")</f>
        <v>% APE from pro-rated MDRT agents (70-99%)</v>
      </c>
      <c r="C319" s="4" t="str">
        <f>CHOOSE(2, "5461730030", "Jun 26")</f>
        <v>Jun 26</v>
      </c>
      <c r="D319" s="14">
        <v>9.0731706333782719E-2</v>
      </c>
    </row>
    <row r="320" spans="1:4" x14ac:dyDescent="0.35">
      <c r="A320" s="5" t="str">
        <f t="shared" si="132"/>
        <v>Agency</v>
      </c>
      <c r="B320" s="6" t="str">
        <f t="shared" si="161"/>
        <v>% APE from pro-rated MDRT agents (70-99%)</v>
      </c>
      <c r="C320" s="4" t="str">
        <f>CHOOSE(2, "5462030031", "Jul 26")</f>
        <v>Jul 26</v>
      </c>
      <c r="D320" s="14">
        <v>0.11574385514029011</v>
      </c>
    </row>
    <row r="321" spans="1:4" x14ac:dyDescent="0.35">
      <c r="A321" s="5" t="str">
        <f t="shared" si="132"/>
        <v>Agency</v>
      </c>
      <c r="B321" s="3" t="str">
        <f t="shared" ref="B321:B322" si="162">CHOOSE(2, "1395000000581", "% APE from pro-rated MDRT agents (50-69%)")</f>
        <v>% APE from pro-rated MDRT agents (50-69%)</v>
      </c>
      <c r="C321" s="4" t="str">
        <f>CHOOSE(2, "5461730030", "Jun 26")</f>
        <v>Jun 26</v>
      </c>
      <c r="D321" s="14">
        <v>6.8403879990709154E-2</v>
      </c>
    </row>
    <row r="322" spans="1:4" x14ac:dyDescent="0.35">
      <c r="A322" s="5" t="str">
        <f t="shared" si="132"/>
        <v>Agency</v>
      </c>
      <c r="B322" s="6" t="str">
        <f t="shared" si="162"/>
        <v>% APE from pro-rated MDRT agents (50-69%)</v>
      </c>
      <c r="C322" s="4" t="str">
        <f>CHOOSE(2, "5462030031", "Jul 26")</f>
        <v>Jul 26</v>
      </c>
      <c r="D322" s="14">
        <v>9.0054086984993759E-2</v>
      </c>
    </row>
    <row r="323" spans="1:4" x14ac:dyDescent="0.35">
      <c r="A323" s="5" t="str">
        <f t="shared" si="132"/>
        <v>Agency</v>
      </c>
      <c r="B323" s="3" t="str">
        <f t="shared" ref="B323:B324" si="163">CHOOSE(2, "1395000000580", "% APE from Top-tier agents")</f>
        <v>% APE from Top-tier agents</v>
      </c>
      <c r="C323" s="4" t="str">
        <f>CHOOSE(2, "5461730030", "Jun 26")</f>
        <v>Jun 26</v>
      </c>
      <c r="D323" s="14">
        <v>0.84779146231792091</v>
      </c>
    </row>
    <row r="324" spans="1:4" x14ac:dyDescent="0.35">
      <c r="A324" s="5" t="str">
        <f t="shared" si="132"/>
        <v>Agency</v>
      </c>
      <c r="B324" s="6" t="str">
        <f t="shared" si="163"/>
        <v>% APE from Top-tier agents</v>
      </c>
      <c r="C324" s="4" t="str">
        <f>CHOOSE(2, "5462030031", "Jul 26")</f>
        <v>Jul 26</v>
      </c>
      <c r="D324" s="14">
        <v>0.82846401297218197</v>
      </c>
    </row>
    <row r="325" spans="1:4" x14ac:dyDescent="0.35">
      <c r="A325" s="5" t="str">
        <f t="shared" si="132"/>
        <v>Agency</v>
      </c>
      <c r="B325" s="3" t="str">
        <f t="shared" ref="B325:B326" si="164">CHOOSE(2, "1395000000579", "% of Active Recruiting Leaders")</f>
        <v>% of Active Recruiting Leaders</v>
      </c>
      <c r="C325" s="4" t="str">
        <f>CHOOSE(2, "5461730030", "Jun 26")</f>
        <v>Jun 26</v>
      </c>
      <c r="D325" s="14">
        <v>9.7216274089935759E-2</v>
      </c>
    </row>
    <row r="326" spans="1:4" x14ac:dyDescent="0.35">
      <c r="A326" s="5" t="str">
        <f t="shared" si="132"/>
        <v>Agency</v>
      </c>
      <c r="B326" s="6" t="str">
        <f t="shared" si="164"/>
        <v>% of Active Recruiting Leaders</v>
      </c>
      <c r="C326" s="4" t="str">
        <f>CHOOSE(2, "5462030031", "Jul 26")</f>
        <v>Jul 26</v>
      </c>
      <c r="D326" s="14">
        <v>7.662835249042145E-2</v>
      </c>
    </row>
    <row r="327" spans="1:4" x14ac:dyDescent="0.35">
      <c r="A327" s="5" t="str">
        <f t="shared" ref="A327:A390" si="165">CHOOSE(2, "1260000000001", "Agency")</f>
        <v>Agency</v>
      </c>
      <c r="B327" s="3" t="str">
        <f t="shared" ref="B327:B328" si="166">CHOOSE(2, "1395000000578", "% of leaders with &gt;1 YTD recruit")</f>
        <v>% of leaders with &gt;1 YTD recruit</v>
      </c>
      <c r="C327" s="4" t="str">
        <f>CHOOSE(2, "5461730030", "Jun 26")</f>
        <v>Jun 26</v>
      </c>
      <c r="D327" s="14">
        <v>0.39914346895074948</v>
      </c>
    </row>
    <row r="328" spans="1:4" x14ac:dyDescent="0.35">
      <c r="A328" s="5" t="str">
        <f t="shared" si="165"/>
        <v>Agency</v>
      </c>
      <c r="B328" s="6" t="str">
        <f t="shared" si="166"/>
        <v>% of leaders with &gt;1 YTD recruit</v>
      </c>
      <c r="C328" s="4" t="str">
        <f>CHOOSE(2, "5462030031", "Jul 26")</f>
        <v>Jul 26</v>
      </c>
      <c r="D328" s="14">
        <v>0.5</v>
      </c>
    </row>
    <row r="329" spans="1:4" x14ac:dyDescent="0.35">
      <c r="A329" s="5" t="str">
        <f t="shared" si="165"/>
        <v>Agency</v>
      </c>
      <c r="B329" s="3" t="str">
        <f t="shared" ref="B329:B330" si="167">CHOOSE(2, "1395000000577", "% of 1-Month Active Top-tier agents")</f>
        <v>% of 1-Month Active Top-tier agents</v>
      </c>
      <c r="C329" s="4" t="str">
        <f>CHOOSE(2, "5461730030", "Jun 26")</f>
        <v>Jun 26</v>
      </c>
      <c r="D329" s="14">
        <v>0.62875234521575984</v>
      </c>
    </row>
    <row r="330" spans="1:4" x14ac:dyDescent="0.35">
      <c r="A330" s="5" t="str">
        <f t="shared" si="165"/>
        <v>Agency</v>
      </c>
      <c r="B330" s="6" t="str">
        <f t="shared" si="167"/>
        <v>% of 1-Month Active Top-tier agents</v>
      </c>
      <c r="C330" s="4" t="str">
        <f>CHOOSE(2, "5462030031", "Jul 26")</f>
        <v>Jul 26</v>
      </c>
      <c r="D330" s="14">
        <v>1.1975031210986267</v>
      </c>
    </row>
    <row r="331" spans="1:4" x14ac:dyDescent="0.35">
      <c r="A331" s="5" t="str">
        <f t="shared" si="165"/>
        <v>Agency</v>
      </c>
      <c r="B331" s="3" t="str">
        <f t="shared" ref="B331:B332" si="168">CHOOSE(2, "1395000000576", "% APE from Manulife Pro - Total")</f>
        <v>% APE from Manulife Pro - Total</v>
      </c>
      <c r="C331" s="4" t="str">
        <f>CHOOSE(2, "5461730030", "Jun 26")</f>
        <v>Jun 26</v>
      </c>
      <c r="D331" s="14">
        <v>0</v>
      </c>
    </row>
    <row r="332" spans="1:4" x14ac:dyDescent="0.35">
      <c r="A332" s="5" t="str">
        <f t="shared" si="165"/>
        <v>Agency</v>
      </c>
      <c r="B332" s="6" t="str">
        <f t="shared" si="168"/>
        <v>% APE from Manulife Pro - Total</v>
      </c>
      <c r="C332" s="4" t="str">
        <f>CHOOSE(2, "5462030031", "Jul 26")</f>
        <v>Jul 26</v>
      </c>
      <c r="D332" s="14">
        <v>0</v>
      </c>
    </row>
    <row r="333" spans="1:4" x14ac:dyDescent="0.35">
      <c r="A333" s="5" t="str">
        <f t="shared" si="165"/>
        <v>Agency</v>
      </c>
      <c r="B333" s="3" t="str">
        <f t="shared" ref="B333:B334" si="169">CHOOSE(2, "1395000000575", "% of 1-Month Active Agents Manulife Pro Qualifiers - Total")</f>
        <v>% of 1-Month Active Agents Manulife Pro Qualifiers - Total</v>
      </c>
      <c r="C333" s="4" t="str">
        <f>CHOOSE(2, "5461730030", "Jun 26")</f>
        <v>Jun 26</v>
      </c>
      <c r="D333" s="14">
        <v>0</v>
      </c>
    </row>
    <row r="334" spans="1:4" x14ac:dyDescent="0.35">
      <c r="A334" s="5" t="str">
        <f t="shared" si="165"/>
        <v>Agency</v>
      </c>
      <c r="B334" s="6" t="str">
        <f t="shared" si="169"/>
        <v>% of 1-Month Active Agents Manulife Pro Qualifiers - Total</v>
      </c>
      <c r="C334" s="4" t="str">
        <f>CHOOSE(2, "5462030031", "Jul 26")</f>
        <v>Jul 26</v>
      </c>
      <c r="D334" s="14">
        <v>0</v>
      </c>
    </row>
    <row r="335" spans="1:4" x14ac:dyDescent="0.35">
      <c r="A335" s="5" t="str">
        <f t="shared" si="165"/>
        <v>Agency</v>
      </c>
      <c r="B335" s="3" t="str">
        <f t="shared" ref="B335:B336" si="170">CHOOSE(2, "1395000000574", "% of Newly Demoted UM")</f>
        <v>% of Newly Demoted UM</v>
      </c>
      <c r="C335" s="4" t="str">
        <f>CHOOSE(2, "5461730030", "Jun 26")</f>
        <v>Jun 26</v>
      </c>
      <c r="D335" s="14">
        <v>0</v>
      </c>
    </row>
    <row r="336" spans="1:4" x14ac:dyDescent="0.35">
      <c r="A336" s="5" t="str">
        <f t="shared" si="165"/>
        <v>Agency</v>
      </c>
      <c r="B336" s="6" t="str">
        <f t="shared" si="170"/>
        <v>% of Newly Demoted UM</v>
      </c>
      <c r="C336" s="4" t="str">
        <f>CHOOSE(2, "5462030031", "Jul 26")</f>
        <v>Jul 26</v>
      </c>
      <c r="D336" s="14">
        <v>4.4483985765124559E-3</v>
      </c>
    </row>
    <row r="337" spans="1:4" x14ac:dyDescent="0.35">
      <c r="A337" s="5" t="str">
        <f t="shared" si="165"/>
        <v>Agency</v>
      </c>
      <c r="B337" s="3" t="str">
        <f t="shared" ref="B337:B338" si="171">CHOOSE(2, "1395000000573", "% of Newly Demoted Leaders above UM")</f>
        <v>% of Newly Demoted Leaders above UM</v>
      </c>
      <c r="C337" s="4" t="str">
        <f>CHOOSE(2, "5461730030", "Jun 26")</f>
        <v>Jun 26</v>
      </c>
      <c r="D337" s="14">
        <v>0</v>
      </c>
    </row>
    <row r="338" spans="1:4" x14ac:dyDescent="0.35">
      <c r="A338" s="5" t="str">
        <f t="shared" si="165"/>
        <v>Agency</v>
      </c>
      <c r="B338" s="6" t="str">
        <f t="shared" si="171"/>
        <v>% of Newly Demoted Leaders above UM</v>
      </c>
      <c r="C338" s="4" t="str">
        <f>CHOOSE(2, "5462030031", "Jul 26")</f>
        <v>Jul 26</v>
      </c>
      <c r="D338" s="14">
        <v>5.7189542483660127E-3</v>
      </c>
    </row>
    <row r="339" spans="1:4" x14ac:dyDescent="0.35">
      <c r="A339" s="5" t="str">
        <f t="shared" si="165"/>
        <v>Agency</v>
      </c>
      <c r="B339" s="3" t="str">
        <f t="shared" ref="B339:B340" si="172">CHOOSE(2, "1395000000572", "Avg. Earning per agent")</f>
        <v>Avg. Earning per agent</v>
      </c>
      <c r="C339" s="4" t="str">
        <f>CHOOSE(2, "5461730030", "Jun 26")</f>
        <v>Jun 26</v>
      </c>
      <c r="D339" s="14">
        <v>29944.194626851458</v>
      </c>
    </row>
    <row r="340" spans="1:4" x14ac:dyDescent="0.35">
      <c r="A340" s="5" t="str">
        <f t="shared" si="165"/>
        <v>Agency</v>
      </c>
      <c r="B340" s="6" t="str">
        <f t="shared" si="172"/>
        <v>Avg. Earning per agent</v>
      </c>
      <c r="C340" s="4" t="str">
        <f>CHOOSE(2, "5462030031", "Jul 26")</f>
        <v>Jul 26</v>
      </c>
      <c r="D340" s="14">
        <v>34964.707338538108</v>
      </c>
    </row>
    <row r="341" spans="1:4" x14ac:dyDescent="0.35">
      <c r="A341" s="5" t="str">
        <f t="shared" si="165"/>
        <v>Agency</v>
      </c>
      <c r="B341" s="3" t="str">
        <f t="shared" ref="B341:B342" si="173">CHOOSE(2, "1395000000571", "Avg. Earning per agent in FA or equivalent")</f>
        <v>Avg. Earning per agent in FA or equivalent</v>
      </c>
      <c r="C341" s="4" t="str">
        <f>CHOOSE(2, "5461730030", "Jun 26")</f>
        <v>Jun 26</v>
      </c>
      <c r="D341" s="14">
        <v>14963.658091863723</v>
      </c>
    </row>
    <row r="342" spans="1:4" x14ac:dyDescent="0.35">
      <c r="A342" s="5" t="str">
        <f t="shared" si="165"/>
        <v>Agency</v>
      </c>
      <c r="B342" s="6" t="str">
        <f t="shared" si="173"/>
        <v>Avg. Earning per agent in FA or equivalent</v>
      </c>
      <c r="C342" s="4" t="str">
        <f>CHOOSE(2, "5462030031", "Jul 26")</f>
        <v>Jul 26</v>
      </c>
      <c r="D342" s="14">
        <v>16856.842371903225</v>
      </c>
    </row>
    <row r="343" spans="1:4" x14ac:dyDescent="0.35">
      <c r="A343" s="5" t="str">
        <f t="shared" si="165"/>
        <v>Agency</v>
      </c>
      <c r="B343" s="3" t="str">
        <f t="shared" ref="B343:B344" si="174">CHOOSE(2, "1395000000570", "Avg. Earning per agent in UM")</f>
        <v>Avg. Earning per agent in UM</v>
      </c>
      <c r="C343" s="4" t="str">
        <f>CHOOSE(2, "5461730030", "Jun 26")</f>
        <v>Jun 26</v>
      </c>
      <c r="D343" s="14">
        <v>52746.075878412026</v>
      </c>
    </row>
    <row r="344" spans="1:4" x14ac:dyDescent="0.35">
      <c r="A344" s="5" t="str">
        <f t="shared" si="165"/>
        <v>Agency</v>
      </c>
      <c r="B344" s="6" t="str">
        <f t="shared" si="174"/>
        <v>Avg. Earning per agent in UM</v>
      </c>
      <c r="C344" s="4" t="str">
        <f>CHOOSE(2, "5462030031", "Jul 26")</f>
        <v>Jul 26</v>
      </c>
      <c r="D344" s="14">
        <v>57409.16899268327</v>
      </c>
    </row>
    <row r="345" spans="1:4" x14ac:dyDescent="0.35">
      <c r="A345" s="5" t="str">
        <f t="shared" si="165"/>
        <v>Agency</v>
      </c>
      <c r="B345" s="3" t="str">
        <f t="shared" ref="B345:B346" si="175">CHOOSE(2, "1395000000569", "Avg. Earning per agent in Leaders above UM")</f>
        <v>Avg. Earning per agent in Leaders above UM</v>
      </c>
      <c r="C345" s="4" t="str">
        <f>CHOOSE(2, "5461730030", "Jun 26")</f>
        <v>Jun 26</v>
      </c>
      <c r="D345" s="14">
        <v>118347.51975681656</v>
      </c>
    </row>
    <row r="346" spans="1:4" x14ac:dyDescent="0.35">
      <c r="A346" s="5" t="str">
        <f t="shared" si="165"/>
        <v>Agency</v>
      </c>
      <c r="B346" s="6" t="str">
        <f t="shared" si="175"/>
        <v>Avg. Earning per agent in Leaders above UM</v>
      </c>
      <c r="C346" s="4" t="str">
        <f>CHOOSE(2, "5462030031", "Jul 26")</f>
        <v>Jul 26</v>
      </c>
      <c r="D346" s="14">
        <v>145976.22670854739</v>
      </c>
    </row>
    <row r="347" spans="1:4" x14ac:dyDescent="0.35">
      <c r="A347" s="5" t="str">
        <f t="shared" si="165"/>
        <v>Agency</v>
      </c>
      <c r="B347" s="3" t="str">
        <f t="shared" ref="B347:B348" si="176">CHOOSE(2, "1395000000568", "% of 1-Month Active Agents 0-1M")</f>
        <v>% of 1-Month Active Agents 0-1M</v>
      </c>
      <c r="C347" s="4" t="str">
        <f>CHOOSE(2, "5461730030", "Jun 26")</f>
        <v>Jun 26</v>
      </c>
      <c r="D347" s="14">
        <v>0.27099236641221375</v>
      </c>
    </row>
    <row r="348" spans="1:4" x14ac:dyDescent="0.35">
      <c r="A348" s="5" t="str">
        <f t="shared" si="165"/>
        <v>Agency</v>
      </c>
      <c r="B348" s="6" t="str">
        <f t="shared" si="176"/>
        <v>% of 1-Month Active Agents 0-1M</v>
      </c>
      <c r="C348" s="4" t="str">
        <f>CHOOSE(2, "5462030031", "Jul 26")</f>
        <v>Jul 26</v>
      </c>
      <c r="D348" s="14">
        <v>0.4</v>
      </c>
    </row>
    <row r="349" spans="1:4" x14ac:dyDescent="0.35">
      <c r="A349" s="5" t="str">
        <f t="shared" si="165"/>
        <v>Agency</v>
      </c>
      <c r="B349" s="3" t="str">
        <f t="shared" ref="B349:B350" si="177">CHOOSE(2, "1395000000567", "% of 1-Month Active Agents in 2-3M")</f>
        <v>% of 1-Month Active Agents in 2-3M</v>
      </c>
      <c r="C349" s="4" t="str">
        <f>CHOOSE(2, "5461730030", "Jun 26")</f>
        <v>Jun 26</v>
      </c>
      <c r="D349" s="14">
        <v>0.32112068965517243</v>
      </c>
    </row>
    <row r="350" spans="1:4" x14ac:dyDescent="0.35">
      <c r="A350" s="5" t="str">
        <f t="shared" si="165"/>
        <v>Agency</v>
      </c>
      <c r="B350" s="6" t="str">
        <f t="shared" si="177"/>
        <v>% of 1-Month Active Agents in 2-3M</v>
      </c>
      <c r="C350" s="4" t="str">
        <f>CHOOSE(2, "5462030031", "Jul 26")</f>
        <v>Jul 26</v>
      </c>
      <c r="D350" s="14">
        <v>0.53149606299212604</v>
      </c>
    </row>
    <row r="351" spans="1:4" x14ac:dyDescent="0.35">
      <c r="A351" s="5" t="str">
        <f t="shared" si="165"/>
        <v>Agency</v>
      </c>
      <c r="B351" s="3" t="str">
        <f t="shared" ref="B351:B352" si="178">CHOOSE(2, "1395000000566", "% of 1-Month Active Agents 4-12M")</f>
        <v>% of 1-Month Active Agents 4-12M</v>
      </c>
      <c r="C351" s="4" t="str">
        <f>CHOOSE(2, "5461730030", "Jun 26")</f>
        <v>Jun 26</v>
      </c>
      <c r="D351" s="14">
        <v>0.30953477660064488</v>
      </c>
    </row>
    <row r="352" spans="1:4" x14ac:dyDescent="0.35">
      <c r="A352" s="5" t="str">
        <f t="shared" si="165"/>
        <v>Agency</v>
      </c>
      <c r="B352" s="6" t="str">
        <f t="shared" si="178"/>
        <v>% of 1-Month Active Agents 4-12M</v>
      </c>
      <c r="C352" s="4" t="str">
        <f>CHOOSE(2, "5462030031", "Jul 26")</f>
        <v>Jul 26</v>
      </c>
      <c r="D352" s="14">
        <v>0.50048216007714563</v>
      </c>
    </row>
    <row r="353" spans="1:4" x14ac:dyDescent="0.35">
      <c r="A353" s="5" t="str">
        <f t="shared" si="165"/>
        <v>Agency</v>
      </c>
      <c r="B353" s="3" t="str">
        <f t="shared" ref="B353:B354" si="179">CHOOSE(2, "1395000000565", "% of 1-Month Active Agents 13+M")</f>
        <v>% of 1-Month Active Agents 13+M</v>
      </c>
      <c r="C353" s="4" t="str">
        <f>CHOOSE(2, "5461730030", "Jun 26")</f>
        <v>Jun 26</v>
      </c>
      <c r="D353" s="14">
        <v>0.43206619498740856</v>
      </c>
    </row>
    <row r="354" spans="1:4" x14ac:dyDescent="0.35">
      <c r="A354" s="5" t="str">
        <f t="shared" si="165"/>
        <v>Agency</v>
      </c>
      <c r="B354" s="6" t="str">
        <f t="shared" si="179"/>
        <v>% of 1-Month Active Agents 13+M</v>
      </c>
      <c r="C354" s="4" t="str">
        <f>CHOOSE(2, "5462030031", "Jul 26")</f>
        <v>Jul 26</v>
      </c>
      <c r="D354" s="14">
        <v>0.79875865361661491</v>
      </c>
    </row>
    <row r="355" spans="1:4" x14ac:dyDescent="0.35">
      <c r="A355" s="5" t="str">
        <f t="shared" si="165"/>
        <v>Agency</v>
      </c>
      <c r="B355" s="3" t="str">
        <f t="shared" ref="B355:B356" si="180">CHOOSE(2, "1395000000564", "% of 3-Month Active Agents 0-1M")</f>
        <v>% of 3-Month Active Agents 0-1M</v>
      </c>
      <c r="C355" s="4" t="str">
        <f>CHOOSE(2, "5461730030", "Jun 26")</f>
        <v>Jun 26</v>
      </c>
      <c r="D355" s="14">
        <v>0.27099236641221375</v>
      </c>
    </row>
    <row r="356" spans="1:4" x14ac:dyDescent="0.35">
      <c r="A356" s="5" t="str">
        <f t="shared" si="165"/>
        <v>Agency</v>
      </c>
      <c r="B356" s="6" t="str">
        <f t="shared" si="180"/>
        <v>% of 3-Month Active Agents 0-1M</v>
      </c>
      <c r="C356" s="4" t="str">
        <f>CHOOSE(2, "5462030031", "Jul 26")</f>
        <v>Jul 26</v>
      </c>
      <c r="D356" s="14">
        <v>0.2</v>
      </c>
    </row>
    <row r="357" spans="1:4" x14ac:dyDescent="0.35">
      <c r="A357" s="5" t="str">
        <f t="shared" si="165"/>
        <v>Agency</v>
      </c>
      <c r="B357" s="3" t="str">
        <f t="shared" ref="B357:B358" si="181">CHOOSE(2, "1395000000563", "% of 3-Month Active Agents in 2-3M")</f>
        <v>% of 3-Month Active Agents in 2-3M</v>
      </c>
      <c r="C357" s="4" t="str">
        <f>CHOOSE(2, "5461730030", "Jun 26")</f>
        <v>Jun 26</v>
      </c>
      <c r="D357" s="14">
        <v>0.46120689655172414</v>
      </c>
    </row>
    <row r="358" spans="1:4" x14ac:dyDescent="0.35">
      <c r="A358" s="5" t="str">
        <f t="shared" si="165"/>
        <v>Agency</v>
      </c>
      <c r="B358" s="6" t="str">
        <f t="shared" si="181"/>
        <v>% of 3-Month Active Agents in 2-3M</v>
      </c>
      <c r="C358" s="4" t="str">
        <f>CHOOSE(2, "5462030031", "Jul 26")</f>
        <v>Jul 26</v>
      </c>
      <c r="D358" s="14">
        <v>0.46653543307086615</v>
      </c>
    </row>
    <row r="359" spans="1:4" x14ac:dyDescent="0.35">
      <c r="A359" s="5" t="str">
        <f t="shared" si="165"/>
        <v>Agency</v>
      </c>
      <c r="B359" s="3" t="str">
        <f t="shared" ref="B359:B360" si="182">CHOOSE(2, "1395000000562", "% of 3-Month Active Agents 4-12M")</f>
        <v>% of 3-Month Active Agents 4-12M</v>
      </c>
      <c r="C359" s="4" t="str">
        <f>CHOOSE(2, "5461730030", "Jun 26")</f>
        <v>Jun 26</v>
      </c>
      <c r="D359" s="14">
        <v>0.55181943804698297</v>
      </c>
    </row>
    <row r="360" spans="1:4" x14ac:dyDescent="0.35">
      <c r="A360" s="5" t="str">
        <f t="shared" si="165"/>
        <v>Agency</v>
      </c>
      <c r="B360" s="6" t="str">
        <f t="shared" si="182"/>
        <v>% of 3-Month Active Agents 4-12M</v>
      </c>
      <c r="C360" s="4" t="str">
        <f>CHOOSE(2, "5462030031", "Jul 26")</f>
        <v>Jul 26</v>
      </c>
      <c r="D360" s="14">
        <v>0.54821600771456125</v>
      </c>
    </row>
    <row r="361" spans="1:4" x14ac:dyDescent="0.35">
      <c r="A361" s="5" t="str">
        <f t="shared" si="165"/>
        <v>Agency</v>
      </c>
      <c r="B361" s="3" t="str">
        <f t="shared" ref="B361:B362" si="183">CHOOSE(2, "1395000000561", "% of 3-Month Active Agents 13+M")</f>
        <v>% of 3-Month Active Agents 13+M</v>
      </c>
      <c r="C361" s="4" t="str">
        <f>CHOOSE(2, "5461730030", "Jun 26")</f>
        <v>Jun 26</v>
      </c>
      <c r="D361" s="14">
        <v>0.6962465523444058</v>
      </c>
    </row>
    <row r="362" spans="1:4" x14ac:dyDescent="0.35">
      <c r="A362" s="5" t="str">
        <f t="shared" si="165"/>
        <v>Agency</v>
      </c>
      <c r="B362" s="6" t="str">
        <f t="shared" si="183"/>
        <v>% of 3-Month Active Agents 13+M</v>
      </c>
      <c r="C362" s="4" t="str">
        <f>CHOOSE(2, "5462030031", "Jul 26")</f>
        <v>Jul 26</v>
      </c>
      <c r="D362" s="14">
        <v>0.6901408450704225</v>
      </c>
    </row>
    <row r="363" spans="1:4" x14ac:dyDescent="0.35">
      <c r="A363" s="5" t="str">
        <f t="shared" si="165"/>
        <v>Agency</v>
      </c>
      <c r="B363" s="3" t="str">
        <f t="shared" ref="B363:B364" si="184">CHOOSE(2, "1395000000560", "Avg. Case count per 1-Month Active Agent 0-1M")</f>
        <v>Avg. Case count per 1-Month Active Agent 0-1M</v>
      </c>
      <c r="C363" s="4" t="str">
        <f>CHOOSE(2, "5461730030", "Jun 26")</f>
        <v>Jun 26</v>
      </c>
      <c r="D363" s="14">
        <v>1.6056338028169015</v>
      </c>
    </row>
    <row r="364" spans="1:4" x14ac:dyDescent="0.35">
      <c r="A364" s="5" t="str">
        <f t="shared" si="165"/>
        <v>Agency</v>
      </c>
      <c r="B364" s="6" t="str">
        <f t="shared" si="184"/>
        <v>Avg. Case count per 1-Month Active Agent 0-1M</v>
      </c>
      <c r="C364" s="4" t="str">
        <f>CHOOSE(2, "5462030031", "Jul 26")</f>
        <v>Jul 26</v>
      </c>
      <c r="D364" s="14">
        <v>3.8771929824561404</v>
      </c>
    </row>
    <row r="365" spans="1:4" x14ac:dyDescent="0.35">
      <c r="A365" s="5" t="str">
        <f t="shared" si="165"/>
        <v>Agency</v>
      </c>
      <c r="B365" s="3" t="str">
        <f t="shared" ref="B365:B366" si="185">CHOOSE(2, "1395000000559", "Avg. Case count per 1-Month Active Agent in 2-3M")</f>
        <v>Avg. Case count per 1-Month Active Agent in 2-3M</v>
      </c>
      <c r="C365" s="4" t="str">
        <f>CHOOSE(2, "5461730030", "Jun 26")</f>
        <v>Jun 26</v>
      </c>
      <c r="D365" s="14">
        <v>1.8657718120805369</v>
      </c>
    </row>
    <row r="366" spans="1:4" x14ac:dyDescent="0.35">
      <c r="A366" s="5" t="str">
        <f t="shared" si="165"/>
        <v>Agency</v>
      </c>
      <c r="B366" s="6" t="str">
        <f t="shared" si="185"/>
        <v>Avg. Case count per 1-Month Active Agent in 2-3M</v>
      </c>
      <c r="C366" s="4" t="str">
        <f>CHOOSE(2, "5462030031", "Jul 26")</f>
        <v>Jul 26</v>
      </c>
      <c r="D366" s="14">
        <v>3.2777777777777777</v>
      </c>
    </row>
    <row r="367" spans="1:4" x14ac:dyDescent="0.35">
      <c r="A367" s="5" t="str">
        <f t="shared" si="165"/>
        <v>Agency</v>
      </c>
      <c r="B367" s="3" t="str">
        <f t="shared" ref="B367:B368" si="186">CHOOSE(2, "1395000000558", "Avg. Case count per 1-Month Active Agent 4-12M")</f>
        <v>Avg. Case count per 1-Month Active Agent 4-12M</v>
      </c>
      <c r="C367" s="4" t="str">
        <f>CHOOSE(2, "5461730030", "Jun 26")</f>
        <v>Jun 26</v>
      </c>
      <c r="D367" s="14">
        <v>1.5892857142857142</v>
      </c>
    </row>
    <row r="368" spans="1:4" x14ac:dyDescent="0.35">
      <c r="A368" s="5" t="str">
        <f t="shared" si="165"/>
        <v>Agency</v>
      </c>
      <c r="B368" s="6" t="str">
        <f t="shared" si="186"/>
        <v>Avg. Case count per 1-Month Active Agent 4-12M</v>
      </c>
      <c r="C368" s="4" t="str">
        <f>CHOOSE(2, "5462030031", "Jul 26")</f>
        <v>Jul 26</v>
      </c>
      <c r="D368" s="14">
        <v>3.1763005780346822</v>
      </c>
    </row>
    <row r="369" spans="1:4" x14ac:dyDescent="0.35">
      <c r="A369" s="5" t="str">
        <f t="shared" si="165"/>
        <v>Agency</v>
      </c>
      <c r="B369" s="3" t="str">
        <f t="shared" ref="B369:B370" si="187">CHOOSE(2, "1395000000557", "Avg. Case count per 1-Month Active Agent 13+M")</f>
        <v>Avg. Case count per 1-Month Active Agent 13+M</v>
      </c>
      <c r="C369" s="4" t="str">
        <f>CHOOSE(2, "5461730030", "Jun 26")</f>
        <v>Jun 26</v>
      </c>
      <c r="D369" s="14">
        <v>1.9722453510963087</v>
      </c>
    </row>
    <row r="370" spans="1:4" x14ac:dyDescent="0.35">
      <c r="A370" s="5" t="str">
        <f t="shared" si="165"/>
        <v>Agency</v>
      </c>
      <c r="B370" s="6" t="str">
        <f t="shared" si="187"/>
        <v>Avg. Case count per 1-Month Active Agent 13+M</v>
      </c>
      <c r="C370" s="4" t="str">
        <f>CHOOSE(2, "5462030031", "Jul 26")</f>
        <v>Jul 26</v>
      </c>
      <c r="D370" s="14">
        <v>4.0612671846981474</v>
      </c>
    </row>
    <row r="371" spans="1:4" x14ac:dyDescent="0.35">
      <c r="A371" s="5" t="str">
        <f t="shared" si="165"/>
        <v>Agency</v>
      </c>
      <c r="B371" s="3" t="str">
        <f t="shared" ref="B371:B372" si="188">CHOOSE(2, "1395000000556", "Avg. Case size 0-1M")</f>
        <v>Avg. Case size 0-1M</v>
      </c>
      <c r="C371" s="4" t="str">
        <f>CHOOSE(2, "5461730030", "Jun 26")</f>
        <v>Jun 26</v>
      </c>
      <c r="D371" s="14">
        <v>50784.399956140354</v>
      </c>
    </row>
    <row r="372" spans="1:4" x14ac:dyDescent="0.35">
      <c r="A372" s="5" t="str">
        <f t="shared" si="165"/>
        <v>Agency</v>
      </c>
      <c r="B372" s="6" t="str">
        <f t="shared" si="188"/>
        <v>Avg. Case size 0-1M</v>
      </c>
      <c r="C372" s="4" t="str">
        <f>CHOOSE(2, "5462030031", "Jul 26")</f>
        <v>Jul 26</v>
      </c>
      <c r="D372" s="14">
        <v>10086.50245248869</v>
      </c>
    </row>
    <row r="373" spans="1:4" x14ac:dyDescent="0.35">
      <c r="A373" s="5" t="str">
        <f t="shared" si="165"/>
        <v>Agency</v>
      </c>
      <c r="B373" s="3" t="str">
        <f t="shared" ref="B373:B374" si="189">CHOOSE(2, "1395000000555", "Avg. Case size in 2-3M")</f>
        <v>Avg. Case size in 2-3M</v>
      </c>
      <c r="C373" s="4" t="str">
        <f>CHOOSE(2, "5461730030", "Jun 26")</f>
        <v>Jun 26</v>
      </c>
      <c r="D373" s="14">
        <v>41650.515071942449</v>
      </c>
    </row>
    <row r="374" spans="1:4" x14ac:dyDescent="0.35">
      <c r="A374" s="5" t="str">
        <f t="shared" si="165"/>
        <v>Agency</v>
      </c>
      <c r="B374" s="6" t="str">
        <f t="shared" si="189"/>
        <v>Avg. Case size in 2-3M</v>
      </c>
      <c r="C374" s="4" t="str">
        <f>CHOOSE(2, "5462030031", "Jul 26")</f>
        <v>Jul 26</v>
      </c>
      <c r="D374" s="14">
        <v>10075.105274576274</v>
      </c>
    </row>
    <row r="375" spans="1:4" x14ac:dyDescent="0.35">
      <c r="A375" s="5" t="str">
        <f t="shared" si="165"/>
        <v>Agency</v>
      </c>
      <c r="B375" s="3" t="str">
        <f t="shared" ref="B375:B376" si="190">CHOOSE(2, "1395000000554", "Avg. Case size 4-12M")</f>
        <v>Avg. Case size 4-12M</v>
      </c>
      <c r="C375" s="4" t="str">
        <f>CHOOSE(2, "5461730030", "Jun 26")</f>
        <v>Jun 26</v>
      </c>
      <c r="D375" s="14">
        <v>16262.420210674158</v>
      </c>
    </row>
    <row r="376" spans="1:4" x14ac:dyDescent="0.35">
      <c r="A376" s="5" t="str">
        <f t="shared" si="165"/>
        <v>Agency</v>
      </c>
      <c r="B376" s="6" t="str">
        <f t="shared" si="190"/>
        <v>Avg. Case size 4-12M</v>
      </c>
      <c r="C376" s="4" t="str">
        <f>CHOOSE(2, "5462030031", "Jul 26")</f>
        <v>Jul 26</v>
      </c>
      <c r="D376" s="14">
        <v>4056.6279199272067</v>
      </c>
    </row>
    <row r="377" spans="1:4" x14ac:dyDescent="0.35">
      <c r="A377" s="5" t="str">
        <f t="shared" si="165"/>
        <v>Agency</v>
      </c>
      <c r="B377" s="3" t="str">
        <f t="shared" ref="B377:B378" si="191">CHOOSE(2, "1395000000553", "Avg. Case size 13+M")</f>
        <v>Avg. Case size 13+M</v>
      </c>
      <c r="C377" s="4" t="str">
        <f>CHOOSE(2, "5461730030", "Jun 26")</f>
        <v>Jun 26</v>
      </c>
      <c r="D377" s="14">
        <v>3258.891975795103</v>
      </c>
    </row>
    <row r="378" spans="1:4" x14ac:dyDescent="0.35">
      <c r="A378" s="5" t="str">
        <f t="shared" si="165"/>
        <v>Agency</v>
      </c>
      <c r="B378" s="6" t="str">
        <f t="shared" si="191"/>
        <v>Avg. Case size 13+M</v>
      </c>
      <c r="C378" s="4" t="str">
        <f>CHOOSE(2, "5462030031", "Jul 26")</f>
        <v>Jul 26</v>
      </c>
      <c r="D378" s="14">
        <v>656.1533716976968</v>
      </c>
    </row>
    <row r="379" spans="1:4" x14ac:dyDescent="0.35">
      <c r="A379" s="5" t="str">
        <f t="shared" si="165"/>
        <v>Agency</v>
      </c>
      <c r="B379" s="3" t="str">
        <f t="shared" ref="B379:B380" si="192">CHOOSE(2, "1395000000552", "Avg. Case size UM")</f>
        <v>Avg. Case size UM</v>
      </c>
      <c r="C379" s="4" t="str">
        <f>CHOOSE(2, "5461730030", "Jun 26")</f>
        <v>Jun 26</v>
      </c>
      <c r="D379" s="14">
        <v>0</v>
      </c>
    </row>
    <row r="380" spans="1:4" x14ac:dyDescent="0.35">
      <c r="A380" s="5" t="str">
        <f t="shared" si="165"/>
        <v>Agency</v>
      </c>
      <c r="B380" s="6" t="str">
        <f t="shared" si="192"/>
        <v>Avg. Case size UM</v>
      </c>
      <c r="C380" s="4" t="str">
        <f>CHOOSE(2, "5462030031", "Jul 26")</f>
        <v>Jul 26</v>
      </c>
      <c r="D380" s="14">
        <v>0</v>
      </c>
    </row>
    <row r="381" spans="1:4" x14ac:dyDescent="0.35">
      <c r="A381" s="5" t="str">
        <f t="shared" si="165"/>
        <v>Agency</v>
      </c>
      <c r="B381" s="3" t="str">
        <f t="shared" ref="B381:B382" si="193">CHOOSE(2, "1395000000551", "Avg. Case size Leaders above UM")</f>
        <v>Avg. Case size Leaders above UM</v>
      </c>
      <c r="C381" s="4" t="str">
        <f>CHOOSE(2, "5461730030", "Jun 26")</f>
        <v>Jun 26</v>
      </c>
      <c r="D381" s="14">
        <v>0</v>
      </c>
    </row>
    <row r="382" spans="1:4" x14ac:dyDescent="0.35">
      <c r="A382" s="5" t="str">
        <f t="shared" si="165"/>
        <v>Agency</v>
      </c>
      <c r="B382" s="6" t="str">
        <f t="shared" si="193"/>
        <v>Avg. Case size Leaders above UM</v>
      </c>
      <c r="C382" s="4" t="str">
        <f>CHOOSE(2, "5462030031", "Jul 26")</f>
        <v>Jul 26</v>
      </c>
      <c r="D382" s="14">
        <v>0</v>
      </c>
    </row>
    <row r="383" spans="1:4" x14ac:dyDescent="0.35">
      <c r="A383" s="5" t="str">
        <f t="shared" si="165"/>
        <v>Agency</v>
      </c>
      <c r="B383" s="3" t="str">
        <f t="shared" ref="B383:B384" si="194">CHOOSE(2, "1395000000550", "Avg. Case size Top-tier agents")</f>
        <v>Avg. Case size Top-tier agents</v>
      </c>
      <c r="C383" s="4" t="str">
        <f>CHOOSE(2, "5461730030", "Jun 26")</f>
        <v>Jun 26</v>
      </c>
      <c r="D383" s="14">
        <v>8044.9470578593673</v>
      </c>
    </row>
    <row r="384" spans="1:4" x14ac:dyDescent="0.35">
      <c r="A384" s="5" t="str">
        <f t="shared" si="165"/>
        <v>Agency</v>
      </c>
      <c r="B384" s="6" t="str">
        <f t="shared" si="194"/>
        <v>Avg. Case size Top-tier agents</v>
      </c>
      <c r="C384" s="4" t="str">
        <f>CHOOSE(2, "5462030031", "Jul 26")</f>
        <v>Jul 26</v>
      </c>
      <c r="D384" s="14">
        <v>1637.6192693092135</v>
      </c>
    </row>
    <row r="385" spans="1:4" x14ac:dyDescent="0.35">
      <c r="A385" s="5" t="str">
        <f t="shared" si="165"/>
        <v>Agency</v>
      </c>
      <c r="B385" s="3" t="str">
        <f t="shared" ref="B385:B386" si="195">CHOOSE(2, "1395000000549", "Avg. Case size Manulife Pro Qualifiers - Total")</f>
        <v>Avg. Case size Manulife Pro Qualifiers - Total</v>
      </c>
      <c r="C385" s="4" t="str">
        <f>CHOOSE(2, "5461730030", "Jun 26")</f>
        <v>Jun 26</v>
      </c>
      <c r="D385" s="14">
        <v>0</v>
      </c>
    </row>
    <row r="386" spans="1:4" x14ac:dyDescent="0.35">
      <c r="A386" s="5" t="str">
        <f t="shared" si="165"/>
        <v>Agency</v>
      </c>
      <c r="B386" s="6" t="str">
        <f t="shared" si="195"/>
        <v>Avg. Case size Manulife Pro Qualifiers - Total</v>
      </c>
      <c r="C386" s="4" t="str">
        <f>CHOOSE(2, "5462030031", "Jul 26")</f>
        <v>Jul 26</v>
      </c>
      <c r="D386" s="14">
        <v>0</v>
      </c>
    </row>
    <row r="387" spans="1:4" x14ac:dyDescent="0.35">
      <c r="A387" s="5" t="str">
        <f t="shared" si="165"/>
        <v>Agency</v>
      </c>
      <c r="B387" s="3" t="str">
        <f t="shared" ref="B387:B388" si="196">CHOOSE(2, "1395000000548", "Avg. Case size FA or equivalent")</f>
        <v>Avg. Case size FA or equivalent</v>
      </c>
      <c r="C387" s="4" t="str">
        <f>CHOOSE(2, "5461730030", "Jun 26")</f>
        <v>Jun 26</v>
      </c>
      <c r="D387" s="14">
        <v>0</v>
      </c>
    </row>
    <row r="388" spans="1:4" x14ac:dyDescent="0.35">
      <c r="A388" s="5" t="str">
        <f t="shared" si="165"/>
        <v>Agency</v>
      </c>
      <c r="B388" s="6" t="str">
        <f t="shared" si="196"/>
        <v>Avg. Case size FA or equivalent</v>
      </c>
      <c r="C388" s="4" t="str">
        <f>CHOOSE(2, "5462030031", "Jul 26")</f>
        <v>Jul 26</v>
      </c>
      <c r="D388" s="14">
        <v>0</v>
      </c>
    </row>
    <row r="389" spans="1:4" x14ac:dyDescent="0.35">
      <c r="A389" s="5" t="str">
        <f t="shared" si="165"/>
        <v>Agency</v>
      </c>
      <c r="B389" s="3" t="str">
        <f t="shared" ref="B389:B390" si="197">CHOOSE(2, "1395000000547", "Avg. Case size pro-rated MDRT agents (&gt;100%)")</f>
        <v>Avg. Case size pro-rated MDRT agents (&gt;100%)</v>
      </c>
      <c r="C389" s="4" t="str">
        <f>CHOOSE(2, "5461730030", "Jun 26")</f>
        <v>Jun 26</v>
      </c>
      <c r="D389" s="14">
        <v>9607.0339759036142</v>
      </c>
    </row>
    <row r="390" spans="1:4" x14ac:dyDescent="0.35">
      <c r="A390" s="5" t="str">
        <f t="shared" si="165"/>
        <v>Agency</v>
      </c>
      <c r="B390" s="6" t="str">
        <f t="shared" si="197"/>
        <v>Avg. Case size pro-rated MDRT agents (&gt;100%)</v>
      </c>
      <c r="C390" s="4" t="str">
        <f>CHOOSE(2, "5462030031", "Jul 26")</f>
        <v>Jul 26</v>
      </c>
      <c r="D390" s="14">
        <v>1881.5174867832452</v>
      </c>
    </row>
    <row r="391" spans="1:4" x14ac:dyDescent="0.35">
      <c r="A391" s="5" t="str">
        <f t="shared" ref="A391:A424" si="198">CHOOSE(2, "1260000000001", "Agency")</f>
        <v>Agency</v>
      </c>
      <c r="B391" s="3" t="str">
        <f t="shared" ref="B391:B392" si="199">CHOOSE(2, "1395000000546", "Avg. Case size pro-rated MDRT agents (70-99%)")</f>
        <v>Avg. Case size pro-rated MDRT agents (70-99%)</v>
      </c>
      <c r="C391" s="4" t="str">
        <f>CHOOSE(2, "5461730030", "Jun 26")</f>
        <v>Jun 26</v>
      </c>
      <c r="D391" s="14">
        <v>4964.8780718336484</v>
      </c>
    </row>
    <row r="392" spans="1:4" x14ac:dyDescent="0.35">
      <c r="A392" s="5" t="str">
        <f t="shared" si="198"/>
        <v>Agency</v>
      </c>
      <c r="B392" s="6" t="str">
        <f t="shared" si="199"/>
        <v>Avg. Case size pro-rated MDRT agents (70-99%)</v>
      </c>
      <c r="C392" s="4" t="str">
        <f>CHOOSE(2, "5462030031", "Jul 26")</f>
        <v>Jul 26</v>
      </c>
      <c r="D392" s="14">
        <v>1326.1711642251348</v>
      </c>
    </row>
    <row r="393" spans="1:4" x14ac:dyDescent="0.35">
      <c r="A393" s="5" t="str">
        <f t="shared" si="198"/>
        <v>Agency</v>
      </c>
      <c r="B393" s="3" t="str">
        <f t="shared" ref="B393:B394" si="200">CHOOSE(2, "1395000000545", "Avg. Case size pro-rated MDRT agents (50-69%)")</f>
        <v>Avg. Case size pro-rated MDRT agents (50-69%)</v>
      </c>
      <c r="C393" s="4" t="str">
        <f>CHOOSE(2, "5461730030", "Jun 26")</f>
        <v>Jun 26</v>
      </c>
      <c r="D393" s="14">
        <v>4444.6565656565654</v>
      </c>
    </row>
    <row r="394" spans="1:4" x14ac:dyDescent="0.35">
      <c r="A394" s="5" t="str">
        <f t="shared" si="198"/>
        <v>Agency</v>
      </c>
      <c r="B394" s="6" t="str">
        <f t="shared" si="200"/>
        <v>Avg. Case size pro-rated MDRT agents (50-69%)</v>
      </c>
      <c r="C394" s="4" t="str">
        <f>CHOOSE(2, "5462030031", "Jul 26")</f>
        <v>Jul 26</v>
      </c>
      <c r="D394" s="14">
        <v>1027.5971333503967</v>
      </c>
    </row>
    <row r="395" spans="1:4" x14ac:dyDescent="0.35">
      <c r="A395" s="5" t="str">
        <f t="shared" si="198"/>
        <v>Agency</v>
      </c>
      <c r="B395" s="3" t="str">
        <f t="shared" ref="B395:B396" si="201">CHOOSE(2, "1395000000544", "% of 1-Month Active Agents UM")</f>
        <v>% of 1-Month Active Agents UM</v>
      </c>
      <c r="C395" s="4" t="str">
        <f>CHOOSE(2, "5461730030", "Jun 26")</f>
        <v>Jun 26</v>
      </c>
      <c r="D395" s="14">
        <v>0.57989228007181326</v>
      </c>
    </row>
    <row r="396" spans="1:4" x14ac:dyDescent="0.35">
      <c r="A396" s="5" t="str">
        <f t="shared" si="198"/>
        <v>Agency</v>
      </c>
      <c r="B396" s="6" t="str">
        <f t="shared" si="201"/>
        <v>% of 1-Month Active Agents UM</v>
      </c>
      <c r="C396" s="4" t="str">
        <f>CHOOSE(2, "5462030031", "Jul 26")</f>
        <v>Jul 26</v>
      </c>
      <c r="D396" s="14">
        <v>1.0427046263345197</v>
      </c>
    </row>
    <row r="397" spans="1:4" x14ac:dyDescent="0.35">
      <c r="A397" s="5" t="str">
        <f t="shared" si="198"/>
        <v>Agency</v>
      </c>
      <c r="B397" s="3" t="str">
        <f t="shared" ref="B397:B398" si="202">CHOOSE(2, "1395000000543", "% of 1-Month Active Agents Leaders above UM")</f>
        <v>% of 1-Month Active Agents Leaders above UM</v>
      </c>
      <c r="C397" s="4" t="str">
        <f>CHOOSE(2, "5461730030", "Jun 26")</f>
        <v>Jun 26</v>
      </c>
      <c r="D397" s="14">
        <v>0.5692055692055692</v>
      </c>
    </row>
    <row r="398" spans="1:4" x14ac:dyDescent="0.35">
      <c r="A398" s="5" t="str">
        <f t="shared" si="198"/>
        <v>Agency</v>
      </c>
      <c r="B398" s="6" t="str">
        <f t="shared" si="202"/>
        <v>% of 1-Month Active Agents Leaders above UM</v>
      </c>
      <c r="C398" s="4" t="str">
        <f>CHOOSE(2, "5462030031", "Jul 26")</f>
        <v>Jul 26</v>
      </c>
      <c r="D398" s="14">
        <v>1.1274509803921569</v>
      </c>
    </row>
    <row r="399" spans="1:4" x14ac:dyDescent="0.35">
      <c r="A399" s="5" t="str">
        <f t="shared" si="198"/>
        <v>Agency</v>
      </c>
      <c r="B399" s="3" t="str">
        <f t="shared" ref="B399:B400" si="203">CHOOSE(2, "1395000000542", "% of 1-Month Active Agents Top-tier agents")</f>
        <v>% of 1-Month Active Agents Top-tier agents</v>
      </c>
      <c r="C399" s="4" t="str">
        <f>CHOOSE(2, "5461730030", "Jun 26")</f>
        <v>Jun 26</v>
      </c>
      <c r="D399" s="14">
        <v>0.62875234521575984</v>
      </c>
    </row>
    <row r="400" spans="1:4" x14ac:dyDescent="0.35">
      <c r="A400" s="5" t="str">
        <f t="shared" si="198"/>
        <v>Agency</v>
      </c>
      <c r="B400" s="6" t="str">
        <f t="shared" si="203"/>
        <v>% of 1-Month Active Agents Top-tier agents</v>
      </c>
      <c r="C400" s="4" t="str">
        <f>CHOOSE(2, "5462030031", "Jul 26")</f>
        <v>Jul 26</v>
      </c>
      <c r="D400" s="14">
        <v>1.1975031210986267</v>
      </c>
    </row>
    <row r="401" spans="1:4" x14ac:dyDescent="0.35">
      <c r="A401" s="5" t="str">
        <f t="shared" si="198"/>
        <v>Agency</v>
      </c>
      <c r="B401" s="3" t="str">
        <f t="shared" ref="B401:B402" si="204">CHOOSE(2, "1395000000541", "% of 1-Month Active Agents FA or equivalent")</f>
        <v>% of 1-Month Active Agents FA or equivalent</v>
      </c>
      <c r="C401" s="4" t="str">
        <f>CHOOSE(2, "5461730030", "Jun 26")</f>
        <v>Jun 26</v>
      </c>
      <c r="D401" s="14">
        <v>0.35434220874059097</v>
      </c>
    </row>
    <row r="402" spans="1:4" x14ac:dyDescent="0.35">
      <c r="A402" s="5" t="str">
        <f t="shared" si="198"/>
        <v>Agency</v>
      </c>
      <c r="B402" s="6" t="str">
        <f t="shared" si="204"/>
        <v>% of 1-Month Active Agents FA or equivalent</v>
      </c>
      <c r="C402" s="4" t="str">
        <f>CHOOSE(2, "5462030031", "Jul 26")</f>
        <v>Jul 26</v>
      </c>
      <c r="D402" s="14">
        <v>0.62515454647634039</v>
      </c>
    </row>
    <row r="403" spans="1:4" x14ac:dyDescent="0.35">
      <c r="A403" s="5" t="str">
        <f t="shared" si="198"/>
        <v>Agency</v>
      </c>
      <c r="B403" s="3" t="str">
        <f t="shared" ref="B403:B404" si="205">CHOOSE(2, "1395000000540", "% of 1-Month Active Agents pro-rated MDRT agents (&gt;100%)")</f>
        <v>% of 1-Month Active Agents pro-rated MDRT agents (&gt;100%)</v>
      </c>
      <c r="C403" s="4" t="str">
        <f>CHOOSE(2, "5461730030", "Jun 26")</f>
        <v>Jun 26</v>
      </c>
      <c r="D403" s="14">
        <v>0.67989756722151085</v>
      </c>
    </row>
    <row r="404" spans="1:4" x14ac:dyDescent="0.35">
      <c r="A404" s="5" t="str">
        <f t="shared" si="198"/>
        <v>Agency</v>
      </c>
      <c r="B404" s="6" t="str">
        <f t="shared" si="205"/>
        <v>% of 1-Month Active Agents pro-rated MDRT agents (&gt;100%)</v>
      </c>
      <c r="C404" s="4" t="str">
        <f>CHOOSE(2, "5462030031", "Jul 26")</f>
        <v>Jul 26</v>
      </c>
      <c r="D404" s="14">
        <v>1.3201923076923077</v>
      </c>
    </row>
    <row r="405" spans="1:4" x14ac:dyDescent="0.35">
      <c r="A405" s="5" t="str">
        <f t="shared" si="198"/>
        <v>Agency</v>
      </c>
      <c r="B405" s="3" t="str">
        <f t="shared" ref="B405:B406" si="206">CHOOSE(2, "1395000000539", "% of 1-Month Active Agents pro-rated MDRT agents (70-99%)")</f>
        <v>% of 1-Month Active Agents pro-rated MDRT agents (70-99%)</v>
      </c>
      <c r="C405" s="4" t="str">
        <f>CHOOSE(2, "5461730030", "Jun 26")</f>
        <v>Jun 26</v>
      </c>
      <c r="D405" s="14">
        <v>0.59090909090909094</v>
      </c>
    </row>
    <row r="406" spans="1:4" x14ac:dyDescent="0.35">
      <c r="A406" s="5" t="str">
        <f t="shared" si="198"/>
        <v>Agency</v>
      </c>
      <c r="B406" s="6" t="str">
        <f t="shared" si="206"/>
        <v>% of 1-Month Active Agents pro-rated MDRT agents (70-99%)</v>
      </c>
      <c r="C406" s="4" t="str">
        <f>CHOOSE(2, "5462030031", "Jul 26")</f>
        <v>Jul 26</v>
      </c>
      <c r="D406" s="14">
        <v>1.1548974943052392</v>
      </c>
    </row>
    <row r="407" spans="1:4" x14ac:dyDescent="0.35">
      <c r="A407" s="5" t="str">
        <f t="shared" si="198"/>
        <v>Agency</v>
      </c>
      <c r="B407" s="3" t="str">
        <f t="shared" ref="B407:B408" si="207">CHOOSE(2, "1395000000538", "% of 1-Month Active Agents pro-rated MDRT agents (50-69%)")</f>
        <v>% of 1-Month Active Agents pro-rated MDRT agents (50-69%)</v>
      </c>
      <c r="C407" s="4" t="str">
        <f>CHOOSE(2, "5461730030", "Jun 26")</f>
        <v>Jun 26</v>
      </c>
      <c r="D407" s="14">
        <v>0.54256410256410259</v>
      </c>
    </row>
    <row r="408" spans="1:4" x14ac:dyDescent="0.35">
      <c r="A408" s="5" t="str">
        <f t="shared" si="198"/>
        <v>Agency</v>
      </c>
      <c r="B408" s="6" t="str">
        <f t="shared" si="207"/>
        <v>% of 1-Month Active Agents pro-rated MDRT agents (50-69%)</v>
      </c>
      <c r="C408" s="4" t="str">
        <f>CHOOSE(2, "5462030031", "Jul 26")</f>
        <v>Jul 26</v>
      </c>
      <c r="D408" s="14">
        <v>0.98949379178605534</v>
      </c>
    </row>
    <row r="409" spans="1:4" x14ac:dyDescent="0.35">
      <c r="A409" s="5" t="str">
        <f t="shared" si="198"/>
        <v>Agency</v>
      </c>
      <c r="B409" s="3" t="str">
        <f t="shared" ref="B409:B410" si="208">CHOOSE(2, "1395000000537", "Avg. Case count per 1-Month Active Agent UM")</f>
        <v>Avg. Case count per 1-Month Active Agent UM</v>
      </c>
      <c r="C409" s="4" t="str">
        <f>CHOOSE(2, "5461730030", "Jun 26")</f>
        <v>Jun 26</v>
      </c>
      <c r="D409" s="14">
        <v>2.2972136222910216</v>
      </c>
    </row>
    <row r="410" spans="1:4" x14ac:dyDescent="0.35">
      <c r="A410" s="5" t="str">
        <f t="shared" si="198"/>
        <v>Agency</v>
      </c>
      <c r="B410" s="6" t="str">
        <f t="shared" si="208"/>
        <v>Avg. Case count per 1-Month Active Agent UM</v>
      </c>
      <c r="C410" s="4" t="str">
        <f>CHOOSE(2, "5462030031", "Jul 26")</f>
        <v>Jul 26</v>
      </c>
      <c r="D410" s="14">
        <v>4.6860068259385663</v>
      </c>
    </row>
    <row r="411" spans="1:4" x14ac:dyDescent="0.35">
      <c r="A411" s="5" t="str">
        <f t="shared" si="198"/>
        <v>Agency</v>
      </c>
      <c r="B411" s="3" t="str">
        <f t="shared" ref="B411:B412" si="209">CHOOSE(2, "1395000000536", "Avg. Case count per 1-Month Active Agent Leaders above UM")</f>
        <v>Avg. Case count per 1-Month Active Agent Leaders above UM</v>
      </c>
      <c r="C411" s="4" t="str">
        <f>CHOOSE(2, "5461730030", "Jun 26")</f>
        <v>Jun 26</v>
      </c>
      <c r="D411" s="14">
        <v>2.4604316546762588</v>
      </c>
    </row>
    <row r="412" spans="1:4" x14ac:dyDescent="0.35">
      <c r="A412" s="5" t="str">
        <f t="shared" si="198"/>
        <v>Agency</v>
      </c>
      <c r="B412" s="6" t="str">
        <f t="shared" si="209"/>
        <v>Avg. Case count per 1-Month Active Agent Leaders above UM</v>
      </c>
      <c r="C412" s="4" t="str">
        <f>CHOOSE(2, "5462030031", "Jul 26")</f>
        <v>Jul 26</v>
      </c>
      <c r="D412" s="14">
        <v>5.2260869565217387</v>
      </c>
    </row>
    <row r="413" spans="1:4" x14ac:dyDescent="0.35">
      <c r="A413" s="5" t="str">
        <f t="shared" si="198"/>
        <v>Agency</v>
      </c>
      <c r="B413" s="3" t="str">
        <f t="shared" ref="B413:B414" si="210">CHOOSE(2, "1395000000535", "Avg. Case count per 1-Month Active Agent Top-tier agents")</f>
        <v>Avg. Case count per 1-Month Active Agent Top-tier agents</v>
      </c>
      <c r="C413" s="4" t="str">
        <f>CHOOSE(2, "5461730030", "Jun 26")</f>
        <v>Jun 26</v>
      </c>
      <c r="D413" s="14">
        <v>2.2756434166355839</v>
      </c>
    </row>
    <row r="414" spans="1:4" x14ac:dyDescent="0.35">
      <c r="A414" s="5" t="str">
        <f t="shared" si="198"/>
        <v>Agency</v>
      </c>
      <c r="B414" s="6" t="str">
        <f t="shared" si="210"/>
        <v>Avg. Case count per 1-Month Active Agent Top-tier agents</v>
      </c>
      <c r="C414" s="4" t="str">
        <f>CHOOSE(2, "5462030031", "Jul 26")</f>
        <v>Jul 26</v>
      </c>
      <c r="D414" s="14">
        <v>4.7026688907422853</v>
      </c>
    </row>
    <row r="415" spans="1:4" x14ac:dyDescent="0.35">
      <c r="A415" s="5" t="str">
        <f t="shared" si="198"/>
        <v>Agency</v>
      </c>
      <c r="B415" s="3" t="str">
        <f t="shared" ref="B415:B416" si="211">CHOOSE(2, "1395000000534", "Avg. Case count per 1-Month Manulife Pro Qualifiers - Total")</f>
        <v>Avg. Case count per 1-Month Manulife Pro Qualifiers - Total</v>
      </c>
      <c r="C415" s="4" t="str">
        <f>CHOOSE(2, "5461730030", "Jun 26")</f>
        <v>Jun 26</v>
      </c>
      <c r="D415" s="14">
        <v>0</v>
      </c>
    </row>
    <row r="416" spans="1:4" x14ac:dyDescent="0.35">
      <c r="A416" s="5" t="str">
        <f t="shared" si="198"/>
        <v>Agency</v>
      </c>
      <c r="B416" s="6" t="str">
        <f t="shared" si="211"/>
        <v>Avg. Case count per 1-Month Manulife Pro Qualifiers - Total</v>
      </c>
      <c r="C416" s="4" t="str">
        <f>CHOOSE(2, "5462030031", "Jul 26")</f>
        <v>Jul 26</v>
      </c>
      <c r="D416" s="14">
        <v>0</v>
      </c>
    </row>
    <row r="417" spans="1:4" x14ac:dyDescent="0.35">
      <c r="A417" s="5" t="str">
        <f t="shared" si="198"/>
        <v>Agency</v>
      </c>
      <c r="B417" s="3" t="str">
        <f t="shared" ref="B417:B418" si="212">CHOOSE(2, "1395000000533", "Avg. Case count per 1-Month Active Agent FA or equivalent")</f>
        <v>Avg. Case count per 1-Month Active Agent FA or equivalent</v>
      </c>
      <c r="C417" s="4" t="str">
        <f>CHOOSE(2, "5461730030", "Jun 26")</f>
        <v>Jun 26</v>
      </c>
      <c r="D417" s="14">
        <v>1.7035510462904249</v>
      </c>
    </row>
    <row r="418" spans="1:4" x14ac:dyDescent="0.35">
      <c r="A418" s="5" t="str">
        <f t="shared" si="198"/>
        <v>Agency</v>
      </c>
      <c r="B418" s="6" t="str">
        <f t="shared" si="212"/>
        <v>Avg. Case count per 1-Month Active Agent FA or equivalent</v>
      </c>
      <c r="C418" s="4" t="str">
        <f>CHOOSE(2, "5462030031", "Jul 26")</f>
        <v>Jul 26</v>
      </c>
      <c r="D418" s="14">
        <v>3.4338367493707298</v>
      </c>
    </row>
    <row r="419" spans="1:4" x14ac:dyDescent="0.35">
      <c r="A419" s="5" t="str">
        <f t="shared" si="198"/>
        <v>Agency</v>
      </c>
      <c r="B419" s="3" t="str">
        <f t="shared" ref="B419:B420" si="213">CHOOSE(2, "1395000000532", "Avg. Case count per 1-Month pro-rated MDRT agents (&gt;100%)")</f>
        <v>Avg. Case count per 1-Month pro-rated MDRT agents (&gt;100%)</v>
      </c>
      <c r="C419" s="4" t="str">
        <f>CHOOSE(2, "5461730030", "Jun 26")</f>
        <v>Jun 26</v>
      </c>
      <c r="D419" s="14">
        <v>2.6051475204017578</v>
      </c>
    </row>
    <row r="420" spans="1:4" x14ac:dyDescent="0.35">
      <c r="A420" s="5" t="str">
        <f t="shared" si="198"/>
        <v>Agency</v>
      </c>
      <c r="B420" s="6" t="str">
        <f t="shared" si="213"/>
        <v>Avg. Case count per 1-Month pro-rated MDRT agents (&gt;100%)</v>
      </c>
      <c r="C420" s="4" t="str">
        <f>CHOOSE(2, "5462030031", "Jul 26")</f>
        <v>Jul 26</v>
      </c>
      <c r="D420" s="14">
        <v>5.3729060451565918</v>
      </c>
    </row>
    <row r="421" spans="1:4" x14ac:dyDescent="0.35">
      <c r="A421" s="5" t="str">
        <f t="shared" si="198"/>
        <v>Agency</v>
      </c>
      <c r="B421" s="3" t="str">
        <f t="shared" ref="B421:B422" si="214">CHOOSE(2, "1395000000531", "Avg. Case count per 1-Month pro-rated MDRT agents (70-99%)")</f>
        <v>Avg. Case count per 1-Month pro-rated MDRT agents (70-99%)</v>
      </c>
      <c r="C421" s="4" t="str">
        <f>CHOOSE(2, "5461730030", "Jun 26")</f>
        <v>Jun 26</v>
      </c>
      <c r="D421" s="14">
        <v>1.8926654740608229</v>
      </c>
    </row>
    <row r="422" spans="1:4" x14ac:dyDescent="0.35">
      <c r="A422" s="5" t="str">
        <f t="shared" si="198"/>
        <v>Agency</v>
      </c>
      <c r="B422" s="6" t="str">
        <f t="shared" si="214"/>
        <v>Avg. Case count per 1-Month pro-rated MDRT agents (70-99%)</v>
      </c>
      <c r="C422" s="4" t="str">
        <f>CHOOSE(2, "5462030031", "Jul 26")</f>
        <v>Jul 26</v>
      </c>
      <c r="D422" s="14">
        <v>3.8372781065088759</v>
      </c>
    </row>
    <row r="423" spans="1:4" x14ac:dyDescent="0.35">
      <c r="A423" s="5" t="str">
        <f t="shared" si="198"/>
        <v>Agency</v>
      </c>
      <c r="B423" s="3" t="str">
        <f t="shared" ref="B423:B424" si="215">CHOOSE(2, "1395000000530", "Avg. Case count per 1-Month pro-rated MDRT agents (50-69%)")</f>
        <v>Avg. Case count per 1-Month pro-rated MDRT agents (50-69%)</v>
      </c>
      <c r="C423" s="4" t="str">
        <f>CHOOSE(2, "5461730030", "Jun 26")</f>
        <v>Jun 26</v>
      </c>
      <c r="D423" s="14">
        <v>1.6843100189035918</v>
      </c>
    </row>
    <row r="424" spans="1:4" x14ac:dyDescent="0.35">
      <c r="A424" s="6" t="str">
        <f t="shared" si="198"/>
        <v>Agency</v>
      </c>
      <c r="B424" s="6" t="str">
        <f t="shared" si="215"/>
        <v>Avg. Case count per 1-Month pro-rated MDRT agents (50-69%)</v>
      </c>
      <c r="C424" s="4" t="str">
        <f>CHOOSE(2, "5462030031", "Jul 26")</f>
        <v>Jul 26</v>
      </c>
      <c r="D424" s="14">
        <v>3.7712355212355213</v>
      </c>
    </row>
    <row r="425" spans="1:4" x14ac:dyDescent="0.35">
      <c r="A425" s="7" t="str">
        <f t="shared" ref="A425:A488" si="216">CHOOSE(2, "204000000001", "Hong Kong")</f>
        <v>Hong Kong</v>
      </c>
      <c r="B425" s="3" t="str">
        <f t="shared" ref="B425:B426" si="217">CHOOSE(2, "1395000000741", "Submitted APE")</f>
        <v>Submitted APE</v>
      </c>
      <c r="C425" s="4" t="str">
        <f>CHOOSE(2, "5461730030", "Jun 26")</f>
        <v>Jun 26</v>
      </c>
      <c r="D425" s="14">
        <v>56943914</v>
      </c>
    </row>
    <row r="426" spans="1:4" x14ac:dyDescent="0.35">
      <c r="A426" s="8" t="str">
        <f t="shared" si="216"/>
        <v>Hong Kong</v>
      </c>
      <c r="B426" s="6" t="str">
        <f t="shared" si="217"/>
        <v>Submitted APE</v>
      </c>
      <c r="C426" s="4" t="str">
        <f>CHOOSE(2, "5462030031", "Jul 26")</f>
        <v>Jul 26</v>
      </c>
      <c r="D426" s="14">
        <v>58882833</v>
      </c>
    </row>
    <row r="427" spans="1:4" x14ac:dyDescent="0.35">
      <c r="A427" s="8" t="str">
        <f t="shared" si="216"/>
        <v>Hong Kong</v>
      </c>
      <c r="B427" s="3" t="str">
        <f t="shared" ref="B427:B428" si="218">CHOOSE(2, "1395000000740", "# of 1-Month Active Agents")</f>
        <v># of 1-Month Active Agents</v>
      </c>
      <c r="C427" s="4" t="str">
        <f>CHOOSE(2, "5461730030", "Jun 26")</f>
        <v>Jun 26</v>
      </c>
      <c r="D427" s="14">
        <v>4495</v>
      </c>
    </row>
    <row r="428" spans="1:4" x14ac:dyDescent="0.35">
      <c r="A428" s="8" t="str">
        <f t="shared" si="216"/>
        <v>Hong Kong</v>
      </c>
      <c r="B428" s="6" t="str">
        <f t="shared" si="218"/>
        <v># of 1-Month Active Agents</v>
      </c>
      <c r="C428" s="4" t="str">
        <f>CHOOSE(2, "5462030031", "Jul 26")</f>
        <v>Jul 26</v>
      </c>
      <c r="D428" s="14">
        <v>4000</v>
      </c>
    </row>
    <row r="429" spans="1:4" x14ac:dyDescent="0.35">
      <c r="A429" s="8" t="str">
        <f t="shared" si="216"/>
        <v>Hong Kong</v>
      </c>
      <c r="B429" s="3" t="str">
        <f t="shared" ref="B429:B430" si="219">CHOOSE(2, "1395000000739", "# of 1-Month Active Agents in 0-1M")</f>
        <v># of 1-Month Active Agents in 0-1M</v>
      </c>
      <c r="C429" s="4" t="str">
        <f>CHOOSE(2, "5461730030", "Jun 26")</f>
        <v>Jun 26</v>
      </c>
      <c r="D429" s="14">
        <v>71</v>
      </c>
    </row>
    <row r="430" spans="1:4" x14ac:dyDescent="0.35">
      <c r="A430" s="8" t="str">
        <f t="shared" si="216"/>
        <v>Hong Kong</v>
      </c>
      <c r="B430" s="6" t="str">
        <f t="shared" si="219"/>
        <v># of 1-Month Active Agents in 0-1M</v>
      </c>
      <c r="C430" s="4" t="str">
        <f>CHOOSE(2, "5462030031", "Jul 26")</f>
        <v>Jul 26</v>
      </c>
      <c r="D430" s="14">
        <v>114</v>
      </c>
    </row>
    <row r="431" spans="1:4" x14ac:dyDescent="0.35">
      <c r="A431" s="8" t="str">
        <f t="shared" si="216"/>
        <v>Hong Kong</v>
      </c>
      <c r="B431" s="3" t="str">
        <f t="shared" ref="B431:B432" si="220">CHOOSE(2, "1395000000738", "# of 1-Month Active Agents in 2-3M")</f>
        <v># of 1-Month Active Agents in 2-3M</v>
      </c>
      <c r="C431" s="4" t="str">
        <f>CHOOSE(2, "5461730030", "Jun 26")</f>
        <v>Jun 26</v>
      </c>
      <c r="D431" s="14">
        <v>149</v>
      </c>
    </row>
    <row r="432" spans="1:4" x14ac:dyDescent="0.35">
      <c r="A432" s="8" t="str">
        <f t="shared" si="216"/>
        <v>Hong Kong</v>
      </c>
      <c r="B432" s="6" t="str">
        <f t="shared" si="220"/>
        <v># of 1-Month Active Agents in 2-3M</v>
      </c>
      <c r="C432" s="4" t="str">
        <f>CHOOSE(2, "5462030031", "Jul 26")</f>
        <v>Jul 26</v>
      </c>
      <c r="D432" s="14">
        <v>270</v>
      </c>
    </row>
    <row r="433" spans="1:4" x14ac:dyDescent="0.35">
      <c r="A433" s="8" t="str">
        <f t="shared" si="216"/>
        <v>Hong Kong</v>
      </c>
      <c r="B433" s="3" t="str">
        <f t="shared" ref="B433:B434" si="221">CHOOSE(2, "1395000000737", "# of 1-Month Active Agents in 4-12M")</f>
        <v># of 1-Month Active Agents in 4-12M</v>
      </c>
      <c r="C433" s="4" t="str">
        <f>CHOOSE(2, "5461730030", "Jun 26")</f>
        <v>Jun 26</v>
      </c>
      <c r="D433" s="14">
        <v>672</v>
      </c>
    </row>
    <row r="434" spans="1:4" x14ac:dyDescent="0.35">
      <c r="A434" s="8" t="str">
        <f t="shared" si="216"/>
        <v>Hong Kong</v>
      </c>
      <c r="B434" s="6" t="str">
        <f t="shared" si="221"/>
        <v># of 1-Month Active Agents in 4-12M</v>
      </c>
      <c r="C434" s="4" t="str">
        <f>CHOOSE(2, "5462030031", "Jul 26")</f>
        <v>Jul 26</v>
      </c>
      <c r="D434" s="14">
        <v>1038</v>
      </c>
    </row>
    <row r="435" spans="1:4" x14ac:dyDescent="0.35">
      <c r="A435" s="8" t="str">
        <f t="shared" si="216"/>
        <v>Hong Kong</v>
      </c>
      <c r="B435" s="3" t="str">
        <f t="shared" ref="B435:B436" si="222">CHOOSE(2, "1395000000736", "# of 1-Month Active Agents 13+M")</f>
        <v># of 1-Month Active Agents 13+M</v>
      </c>
      <c r="C435" s="4" t="str">
        <f>CHOOSE(2, "5461730030", "Jun 26")</f>
        <v>Jun 26</v>
      </c>
      <c r="D435" s="14">
        <v>3603</v>
      </c>
    </row>
    <row r="436" spans="1:4" x14ac:dyDescent="0.35">
      <c r="A436" s="8" t="str">
        <f t="shared" si="216"/>
        <v>Hong Kong</v>
      </c>
      <c r="B436" s="6" t="str">
        <f t="shared" si="222"/>
        <v># of 1-Month Active Agents 13+M</v>
      </c>
      <c r="C436" s="4" t="str">
        <f>CHOOSE(2, "5462030031", "Jul 26")</f>
        <v>Jul 26</v>
      </c>
      <c r="D436" s="14">
        <v>6692</v>
      </c>
    </row>
    <row r="437" spans="1:4" x14ac:dyDescent="0.35">
      <c r="A437" s="8" t="str">
        <f t="shared" si="216"/>
        <v>Hong Kong</v>
      </c>
      <c r="B437" s="3" t="str">
        <f t="shared" ref="B437:B438" si="223">CHOOSE(2, "1395000000735", "# of 1-Month Active Agents in FA or equivalent")</f>
        <v># of 1-Month Active Agents in FA or equivalent</v>
      </c>
      <c r="C437" s="4" t="str">
        <f>CHOOSE(2, "5461730030", "Jun 26")</f>
        <v>Jun 26</v>
      </c>
      <c r="D437" s="14">
        <v>3154</v>
      </c>
    </row>
    <row r="438" spans="1:4" x14ac:dyDescent="0.35">
      <c r="A438" s="8" t="str">
        <f t="shared" si="216"/>
        <v>Hong Kong</v>
      </c>
      <c r="B438" s="6" t="str">
        <f t="shared" si="223"/>
        <v># of 1-Month Active Agents in FA or equivalent</v>
      </c>
      <c r="C438" s="4" t="str">
        <f>CHOOSE(2, "5462030031", "Jul 26")</f>
        <v>Jul 26</v>
      </c>
      <c r="D438" s="14">
        <v>5562</v>
      </c>
    </row>
    <row r="439" spans="1:4" x14ac:dyDescent="0.35">
      <c r="A439" s="8" t="str">
        <f t="shared" si="216"/>
        <v>Hong Kong</v>
      </c>
      <c r="B439" s="3" t="str">
        <f t="shared" ref="B439:B440" si="224">CHOOSE(2, "1395000000734", "# of 1-Month Active Agents in UM")</f>
        <v># of 1-Month Active Agents in UM</v>
      </c>
      <c r="C439" s="4" t="str">
        <f>CHOOSE(2, "5461730030", "Jun 26")</f>
        <v>Jun 26</v>
      </c>
      <c r="D439" s="14">
        <v>646</v>
      </c>
    </row>
    <row r="440" spans="1:4" x14ac:dyDescent="0.35">
      <c r="A440" s="8" t="str">
        <f t="shared" si="216"/>
        <v>Hong Kong</v>
      </c>
      <c r="B440" s="6" t="str">
        <f t="shared" si="224"/>
        <v># of 1-Month Active Agents in UM</v>
      </c>
      <c r="C440" s="4" t="str">
        <f>CHOOSE(2, "5462030031", "Jul 26")</f>
        <v>Jul 26</v>
      </c>
      <c r="D440" s="14">
        <v>1172</v>
      </c>
    </row>
    <row r="441" spans="1:4" x14ac:dyDescent="0.35">
      <c r="A441" s="8" t="str">
        <f t="shared" si="216"/>
        <v>Hong Kong</v>
      </c>
      <c r="B441" s="3" t="str">
        <f t="shared" ref="B441:B442" si="225">CHOOSE(2, "1395000000733", "# of 1-Month Active Agents in Leaders above UM")</f>
        <v># of 1-Month Active Agents in Leaders above UM</v>
      </c>
      <c r="C441" s="4" t="str">
        <f>CHOOSE(2, "5461730030", "Jun 26")</f>
        <v>Jun 26</v>
      </c>
      <c r="D441" s="14">
        <v>695</v>
      </c>
    </row>
    <row r="442" spans="1:4" x14ac:dyDescent="0.35">
      <c r="A442" s="8" t="str">
        <f t="shared" si="216"/>
        <v>Hong Kong</v>
      </c>
      <c r="B442" s="6" t="str">
        <f t="shared" si="225"/>
        <v># of 1-Month Active Agents in Leaders above UM</v>
      </c>
      <c r="C442" s="4" t="str">
        <f>CHOOSE(2, "5462030031", "Jul 26")</f>
        <v>Jul 26</v>
      </c>
      <c r="D442" s="14">
        <v>1380</v>
      </c>
    </row>
    <row r="443" spans="1:4" x14ac:dyDescent="0.35">
      <c r="A443" s="8" t="str">
        <f t="shared" si="216"/>
        <v>Hong Kong</v>
      </c>
      <c r="B443" s="3" t="str">
        <f t="shared" ref="B443:B444" si="226">CHOOSE(2, "1395000000732", "# of 1-Month Active Top-tier Agents")</f>
        <v># of 1-Month Active Top-tier Agents</v>
      </c>
      <c r="C443" s="4" t="str">
        <f>CHOOSE(2, "5461730030", "Jun 26")</f>
        <v>Jun 26</v>
      </c>
      <c r="D443" s="14">
        <v>2681</v>
      </c>
    </row>
    <row r="444" spans="1:4" x14ac:dyDescent="0.35">
      <c r="A444" s="8" t="str">
        <f t="shared" si="216"/>
        <v>Hong Kong</v>
      </c>
      <c r="B444" s="6" t="str">
        <f t="shared" si="226"/>
        <v># of 1-Month Active Top-tier Agents</v>
      </c>
      <c r="C444" s="4" t="str">
        <f>CHOOSE(2, "5462030031", "Jul 26")</f>
        <v>Jul 26</v>
      </c>
      <c r="D444" s="14">
        <v>4796</v>
      </c>
    </row>
    <row r="445" spans="1:4" x14ac:dyDescent="0.35">
      <c r="A445" s="8" t="str">
        <f t="shared" si="216"/>
        <v>Hong Kong</v>
      </c>
      <c r="B445" s="3" t="str">
        <f t="shared" ref="B445:B446" si="227">CHOOSE(2, "1395000000731", "# of 1-Month Active Agents in pro-rated MDRT agents (&gt;100%)")</f>
        <v># of 1-Month Active Agents in pro-rated MDRT agents (&gt;100%)</v>
      </c>
      <c r="C445" s="4" t="str">
        <f>CHOOSE(2, "5461730030", "Jun 26")</f>
        <v>Jun 26</v>
      </c>
      <c r="D445" s="14">
        <v>1593</v>
      </c>
    </row>
    <row r="446" spans="1:4" x14ac:dyDescent="0.35">
      <c r="A446" s="8" t="str">
        <f t="shared" si="216"/>
        <v>Hong Kong</v>
      </c>
      <c r="B446" s="6" t="str">
        <f t="shared" si="227"/>
        <v># of 1-Month Active Agents in pro-rated MDRT agents (&gt;100%)</v>
      </c>
      <c r="C446" s="4" t="str">
        <f>CHOOSE(2, "5462030031", "Jul 26")</f>
        <v>Jul 26</v>
      </c>
      <c r="D446" s="14">
        <v>2746</v>
      </c>
    </row>
    <row r="447" spans="1:4" x14ac:dyDescent="0.35">
      <c r="A447" s="8" t="str">
        <f t="shared" si="216"/>
        <v>Hong Kong</v>
      </c>
      <c r="B447" s="3" t="str">
        <f t="shared" ref="B447:B448" si="228">CHOOSE(2, "1395000000730", "# of 1-Month Active Agents in pro-rated MDRT agents (70-99%)")</f>
        <v># of 1-Month Active Agents in pro-rated MDRT agents (70-99%)</v>
      </c>
      <c r="C447" s="4" t="str">
        <f>CHOOSE(2, "5461730030", "Jun 26")</f>
        <v>Jun 26</v>
      </c>
      <c r="D447" s="14">
        <v>559</v>
      </c>
    </row>
    <row r="448" spans="1:4" x14ac:dyDescent="0.35">
      <c r="A448" s="8" t="str">
        <f t="shared" si="216"/>
        <v>Hong Kong</v>
      </c>
      <c r="B448" s="6" t="str">
        <f t="shared" si="228"/>
        <v># of 1-Month Active Agents in pro-rated MDRT agents (70-99%)</v>
      </c>
      <c r="C448" s="4" t="str">
        <f>CHOOSE(2, "5462030031", "Jul 26")</f>
        <v>Jul 26</v>
      </c>
      <c r="D448" s="14">
        <v>1014</v>
      </c>
    </row>
    <row r="449" spans="1:4" x14ac:dyDescent="0.35">
      <c r="A449" s="8" t="str">
        <f t="shared" si="216"/>
        <v>Hong Kong</v>
      </c>
      <c r="B449" s="3" t="str">
        <f t="shared" ref="B449:B450" si="229">CHOOSE(2, "1395000000729", "# of 1-Month Active Agents in pro-rated MDRT agents (50-69%)")</f>
        <v># of 1-Month Active Agents in pro-rated MDRT agents (50-69%)</v>
      </c>
      <c r="C449" s="4" t="str">
        <f>CHOOSE(2, "5461730030", "Jun 26")</f>
        <v>Jun 26</v>
      </c>
      <c r="D449" s="14">
        <v>529</v>
      </c>
    </row>
    <row r="450" spans="1:4" x14ac:dyDescent="0.35">
      <c r="A450" s="8" t="str">
        <f t="shared" si="216"/>
        <v>Hong Kong</v>
      </c>
      <c r="B450" s="6" t="str">
        <f t="shared" si="229"/>
        <v># of 1-Month Active Agents in pro-rated MDRT agents (50-69%)</v>
      </c>
      <c r="C450" s="4" t="str">
        <f>CHOOSE(2, "5462030031", "Jul 26")</f>
        <v>Jul 26</v>
      </c>
      <c r="D450" s="14">
        <v>1036</v>
      </c>
    </row>
    <row r="451" spans="1:4" x14ac:dyDescent="0.35">
      <c r="A451" s="8" t="str">
        <f t="shared" si="216"/>
        <v>Hong Kong</v>
      </c>
      <c r="B451" s="3" t="str">
        <f t="shared" ref="B451:B452" si="230">CHOOSE(2, "1395000000728", "# of 1-Month Active Agents in Manulife Pro Qualifiers -Total")</f>
        <v># of 1-Month Active Agents in Manulife Pro Qualifiers -Total</v>
      </c>
      <c r="C451" s="4" t="str">
        <f>CHOOSE(2, "5461730030", "Jun 26")</f>
        <v>Jun 26</v>
      </c>
      <c r="D451" s="2" t="s">
        <v>5</v>
      </c>
    </row>
    <row r="452" spans="1:4" x14ac:dyDescent="0.35">
      <c r="A452" s="8" t="str">
        <f t="shared" si="216"/>
        <v>Hong Kong</v>
      </c>
      <c r="B452" s="6" t="str">
        <f t="shared" si="230"/>
        <v># of 1-Month Active Agents in Manulife Pro Qualifiers -Total</v>
      </c>
      <c r="C452" s="4" t="str">
        <f>CHOOSE(2, "5462030031", "Jul 26")</f>
        <v>Jul 26</v>
      </c>
      <c r="D452" s="2" t="s">
        <v>5</v>
      </c>
    </row>
    <row r="453" spans="1:4" x14ac:dyDescent="0.35">
      <c r="A453" s="8" t="str">
        <f t="shared" si="216"/>
        <v>Hong Kong</v>
      </c>
      <c r="B453" s="3" t="str">
        <f t="shared" ref="B453:B454" si="231">CHOOSE(2, "1395000000727", "# of 3-Month Active Agents")</f>
        <v># of 3-Month Active Agents</v>
      </c>
      <c r="C453" s="4" t="str">
        <f>CHOOSE(2, "5461730030", "Jun 26")</f>
        <v>Jun 26</v>
      </c>
      <c r="D453" s="14">
        <v>7289</v>
      </c>
    </row>
    <row r="454" spans="1:4" x14ac:dyDescent="0.35">
      <c r="A454" s="8" t="str">
        <f t="shared" si="216"/>
        <v>Hong Kong</v>
      </c>
      <c r="B454" s="6" t="str">
        <f t="shared" si="231"/>
        <v># of 3-Month Active Agents</v>
      </c>
      <c r="C454" s="4" t="str">
        <f>CHOOSE(2, "5462030031", "Jul 26")</f>
        <v>Jul 26</v>
      </c>
      <c r="D454" s="14">
        <v>7213</v>
      </c>
    </row>
    <row r="455" spans="1:4" x14ac:dyDescent="0.35">
      <c r="A455" s="8" t="str">
        <f t="shared" si="216"/>
        <v>Hong Kong</v>
      </c>
      <c r="B455" s="3" t="str">
        <f t="shared" ref="B455:B456" si="232">CHOOSE(2, "1395000000726", "# of 3-Month Active Agents in 0-1M")</f>
        <v># of 3-Month Active Agents in 0-1M</v>
      </c>
      <c r="C455" s="4" t="str">
        <f>CHOOSE(2, "5461730030", "Jun 26")</f>
        <v>Jun 26</v>
      </c>
      <c r="D455" s="14">
        <v>71</v>
      </c>
    </row>
    <row r="456" spans="1:4" x14ac:dyDescent="0.35">
      <c r="A456" s="8" t="str">
        <f t="shared" si="216"/>
        <v>Hong Kong</v>
      </c>
      <c r="B456" s="6" t="str">
        <f t="shared" si="232"/>
        <v># of 3-Month Active Agents in 0-1M</v>
      </c>
      <c r="C456" s="4" t="str">
        <f>CHOOSE(2, "5462030031", "Jul 26")</f>
        <v>Jul 26</v>
      </c>
      <c r="D456" s="14">
        <v>57</v>
      </c>
    </row>
    <row r="457" spans="1:4" x14ac:dyDescent="0.35">
      <c r="A457" s="8" t="str">
        <f t="shared" si="216"/>
        <v>Hong Kong</v>
      </c>
      <c r="B457" s="3" t="str">
        <f t="shared" ref="B457:B458" si="233">CHOOSE(2, "1395000000725", "# of 3-Month Active Agents in 2-3M")</f>
        <v># of 3-Month Active Agents in 2-3M</v>
      </c>
      <c r="C457" s="4" t="str">
        <f>CHOOSE(2, "5461730030", "Jun 26")</f>
        <v>Jun 26</v>
      </c>
      <c r="D457" s="14">
        <v>214</v>
      </c>
    </row>
    <row r="458" spans="1:4" x14ac:dyDescent="0.35">
      <c r="A458" s="8" t="str">
        <f t="shared" si="216"/>
        <v>Hong Kong</v>
      </c>
      <c r="B458" s="6" t="str">
        <f t="shared" si="233"/>
        <v># of 3-Month Active Agents in 2-3M</v>
      </c>
      <c r="C458" s="4" t="str">
        <f>CHOOSE(2, "5462030031", "Jul 26")</f>
        <v>Jul 26</v>
      </c>
      <c r="D458" s="14">
        <v>237</v>
      </c>
    </row>
    <row r="459" spans="1:4" x14ac:dyDescent="0.35">
      <c r="A459" s="8" t="str">
        <f t="shared" si="216"/>
        <v>Hong Kong</v>
      </c>
      <c r="B459" s="3" t="str">
        <f t="shared" ref="B459:B460" si="234">CHOOSE(2, "1395000000724", "# of 3-Month Active Agents in 4-12M")</f>
        <v># of 3-Month Active Agents in 4-12M</v>
      </c>
      <c r="C459" s="4" t="str">
        <f>CHOOSE(2, "5461730030", "Jun 26")</f>
        <v>Jun 26</v>
      </c>
      <c r="D459" s="14">
        <v>1198</v>
      </c>
    </row>
    <row r="460" spans="1:4" x14ac:dyDescent="0.35">
      <c r="A460" s="8" t="str">
        <f t="shared" si="216"/>
        <v>Hong Kong</v>
      </c>
      <c r="B460" s="6" t="str">
        <f t="shared" si="234"/>
        <v># of 3-Month Active Agents in 4-12M</v>
      </c>
      <c r="C460" s="4" t="str">
        <f>CHOOSE(2, "5462030031", "Jul 26")</f>
        <v>Jul 26</v>
      </c>
      <c r="D460" s="14">
        <v>1137</v>
      </c>
    </row>
    <row r="461" spans="1:4" x14ac:dyDescent="0.35">
      <c r="A461" s="8" t="str">
        <f t="shared" si="216"/>
        <v>Hong Kong</v>
      </c>
      <c r="B461" s="3" t="str">
        <f t="shared" ref="B461:B462" si="235">CHOOSE(2, "1395000000723", "# of 3-Month Active Agents 13+M")</f>
        <v># of 3-Month Active Agents 13+M</v>
      </c>
      <c r="C461" s="4" t="str">
        <f>CHOOSE(2, "5461730030", "Jun 26")</f>
        <v>Jun 26</v>
      </c>
      <c r="D461" s="14">
        <v>5806</v>
      </c>
    </row>
    <row r="462" spans="1:4" x14ac:dyDescent="0.35">
      <c r="A462" s="8" t="str">
        <f t="shared" si="216"/>
        <v>Hong Kong</v>
      </c>
      <c r="B462" s="6" t="str">
        <f t="shared" si="235"/>
        <v># of 3-Month Active Agents 13+M</v>
      </c>
      <c r="C462" s="4" t="str">
        <f>CHOOSE(2, "5462030031", "Jul 26")</f>
        <v>Jul 26</v>
      </c>
      <c r="D462" s="14">
        <v>5782</v>
      </c>
    </row>
    <row r="463" spans="1:4" x14ac:dyDescent="0.35">
      <c r="A463" s="8" t="str">
        <f t="shared" si="216"/>
        <v>Hong Kong</v>
      </c>
      <c r="B463" s="3" t="str">
        <f t="shared" ref="B463:B464" si="236">CHOOSE(2, "1395000000722", "# of 3-Month Active Agents in UM")</f>
        <v># of 3-Month Active Agents in UM</v>
      </c>
      <c r="C463" s="4" t="str">
        <f>CHOOSE(2, "5461730030", "Jun 26")</f>
        <v>Jun 26</v>
      </c>
      <c r="D463" s="2" t="s">
        <v>5</v>
      </c>
    </row>
    <row r="464" spans="1:4" x14ac:dyDescent="0.35">
      <c r="A464" s="8" t="str">
        <f t="shared" si="216"/>
        <v>Hong Kong</v>
      </c>
      <c r="B464" s="6" t="str">
        <f t="shared" si="236"/>
        <v># of 3-Month Active Agents in UM</v>
      </c>
      <c r="C464" s="4" t="str">
        <f>CHOOSE(2, "5462030031", "Jul 26")</f>
        <v>Jul 26</v>
      </c>
      <c r="D464" s="2" t="s">
        <v>5</v>
      </c>
    </row>
    <row r="465" spans="1:4" x14ac:dyDescent="0.35">
      <c r="A465" s="8" t="str">
        <f t="shared" si="216"/>
        <v>Hong Kong</v>
      </c>
      <c r="B465" s="3" t="str">
        <f t="shared" ref="B465:B466" si="237">CHOOSE(2, "1395000000721", "# of 3-Month Active Agents in Leaders above UM")</f>
        <v># of 3-Month Active Agents in Leaders above UM</v>
      </c>
      <c r="C465" s="4" t="str">
        <f>CHOOSE(2, "5461730030", "Jun 26")</f>
        <v>Jun 26</v>
      </c>
      <c r="D465" s="2" t="s">
        <v>5</v>
      </c>
    </row>
    <row r="466" spans="1:4" x14ac:dyDescent="0.35">
      <c r="A466" s="8" t="str">
        <f t="shared" si="216"/>
        <v>Hong Kong</v>
      </c>
      <c r="B466" s="6" t="str">
        <f t="shared" si="237"/>
        <v># of 3-Month Active Agents in Leaders above UM</v>
      </c>
      <c r="C466" s="4" t="str">
        <f>CHOOSE(2, "5462030031", "Jul 26")</f>
        <v>Jul 26</v>
      </c>
      <c r="D466" s="2" t="s">
        <v>5</v>
      </c>
    </row>
    <row r="467" spans="1:4" x14ac:dyDescent="0.35">
      <c r="A467" s="8" t="str">
        <f t="shared" si="216"/>
        <v>Hong Kong</v>
      </c>
      <c r="B467" s="3" t="str">
        <f t="shared" ref="B467:B468" si="238">CHOOSE(2, "1395000000720", "# of 3-Month Active Agents in FA or equivalent")</f>
        <v># of 3-Month Active Agents in FA or equivalent</v>
      </c>
      <c r="C467" s="4" t="str">
        <f>CHOOSE(2, "5461730030", "Jun 26")</f>
        <v>Jun 26</v>
      </c>
      <c r="D467" s="2" t="s">
        <v>5</v>
      </c>
    </row>
    <row r="468" spans="1:4" x14ac:dyDescent="0.35">
      <c r="A468" s="8" t="str">
        <f t="shared" si="216"/>
        <v>Hong Kong</v>
      </c>
      <c r="B468" s="6" t="str">
        <f t="shared" si="238"/>
        <v># of 3-Month Active Agents in FA or equivalent</v>
      </c>
      <c r="C468" s="4" t="str">
        <f>CHOOSE(2, "5462030031", "Jul 26")</f>
        <v>Jul 26</v>
      </c>
      <c r="D468" s="2" t="s">
        <v>5</v>
      </c>
    </row>
    <row r="469" spans="1:4" x14ac:dyDescent="0.35">
      <c r="A469" s="8" t="str">
        <f t="shared" si="216"/>
        <v>Hong Kong</v>
      </c>
      <c r="B469" s="3" t="str">
        <f t="shared" ref="B469:B470" si="239">CHOOSE(2, "1395000000719", "Net Case Count - Agency")</f>
        <v>Net Case Count - Agency</v>
      </c>
      <c r="C469" s="4" t="str">
        <f>CHOOSE(2, "5461730030", "Jun 26")</f>
        <v>Jun 26</v>
      </c>
      <c r="D469" s="14">
        <v>7013</v>
      </c>
    </row>
    <row r="470" spans="1:4" x14ac:dyDescent="0.35">
      <c r="A470" s="8" t="str">
        <f t="shared" si="216"/>
        <v>Hong Kong</v>
      </c>
      <c r="B470" s="6" t="str">
        <f t="shared" si="239"/>
        <v>Net Case Count - Agency</v>
      </c>
      <c r="C470" s="4" t="str">
        <f>CHOOSE(2, "5462030031", "Jul 26")</f>
        <v>Jul 26</v>
      </c>
      <c r="D470" s="14">
        <v>7527</v>
      </c>
    </row>
    <row r="471" spans="1:4" x14ac:dyDescent="0.35">
      <c r="A471" s="8" t="str">
        <f t="shared" si="216"/>
        <v>Hong Kong</v>
      </c>
      <c r="B471" s="3" t="str">
        <f t="shared" ref="B471:B472" si="240">CHOOSE(2, "1395000000718", "Net Case Count - Agency in 0-1M")</f>
        <v>Net Case Count - Agency in 0-1M</v>
      </c>
      <c r="C471" s="4" t="str">
        <f>CHOOSE(2, "5461730030", "Jun 26")</f>
        <v>Jun 26</v>
      </c>
      <c r="D471" s="14">
        <v>114</v>
      </c>
    </row>
    <row r="472" spans="1:4" x14ac:dyDescent="0.35">
      <c r="A472" s="8" t="str">
        <f t="shared" si="216"/>
        <v>Hong Kong</v>
      </c>
      <c r="B472" s="6" t="str">
        <f t="shared" si="240"/>
        <v>Net Case Count - Agency in 0-1M</v>
      </c>
      <c r="C472" s="4" t="str">
        <f>CHOOSE(2, "5462030031", "Jul 26")</f>
        <v>Jul 26</v>
      </c>
      <c r="D472" s="14">
        <v>442</v>
      </c>
    </row>
    <row r="473" spans="1:4" x14ac:dyDescent="0.35">
      <c r="A473" s="8" t="str">
        <f t="shared" si="216"/>
        <v>Hong Kong</v>
      </c>
      <c r="B473" s="3" t="str">
        <f t="shared" ref="B473:B474" si="241">CHOOSE(2, "1395000000717", "Net Case Count - Agency in 2-3M")</f>
        <v>Net Case Count - Agency in 2-3M</v>
      </c>
      <c r="C473" s="4" t="str">
        <f>CHOOSE(2, "5461730030", "Jun 26")</f>
        <v>Jun 26</v>
      </c>
      <c r="D473" s="14">
        <v>278</v>
      </c>
    </row>
    <row r="474" spans="1:4" x14ac:dyDescent="0.35">
      <c r="A474" s="8" t="str">
        <f t="shared" si="216"/>
        <v>Hong Kong</v>
      </c>
      <c r="B474" s="6" t="str">
        <f t="shared" si="241"/>
        <v>Net Case Count - Agency in 2-3M</v>
      </c>
      <c r="C474" s="4" t="str">
        <f>CHOOSE(2, "5462030031", "Jul 26")</f>
        <v>Jul 26</v>
      </c>
      <c r="D474" s="14">
        <v>885</v>
      </c>
    </row>
    <row r="475" spans="1:4" x14ac:dyDescent="0.35">
      <c r="A475" s="8" t="str">
        <f t="shared" si="216"/>
        <v>Hong Kong</v>
      </c>
      <c r="B475" s="3" t="str">
        <f t="shared" ref="B475:B476" si="242">CHOOSE(2, "1395000000716", "Net Case Count - Agency in 4-12M")</f>
        <v>Net Case Count - Agency in 4-12M</v>
      </c>
      <c r="C475" s="4" t="str">
        <f>CHOOSE(2, "5461730030", "Jun 26")</f>
        <v>Jun 26</v>
      </c>
      <c r="D475" s="14">
        <v>1068</v>
      </c>
    </row>
    <row r="476" spans="1:4" x14ac:dyDescent="0.35">
      <c r="A476" s="8" t="str">
        <f t="shared" si="216"/>
        <v>Hong Kong</v>
      </c>
      <c r="B476" s="6" t="str">
        <f t="shared" si="242"/>
        <v>Net Case Count - Agency in 4-12M</v>
      </c>
      <c r="C476" s="4" t="str">
        <f>CHOOSE(2, "5462030031", "Jul 26")</f>
        <v>Jul 26</v>
      </c>
      <c r="D476" s="14">
        <v>3297</v>
      </c>
    </row>
    <row r="477" spans="1:4" x14ac:dyDescent="0.35">
      <c r="A477" s="8" t="str">
        <f t="shared" si="216"/>
        <v>Hong Kong</v>
      </c>
      <c r="B477" s="3" t="str">
        <f t="shared" ref="B477:B478" si="243">CHOOSE(2, "1395000000715", "Net Case Count - Agency 13+M")</f>
        <v>Net Case Count - Agency 13+M</v>
      </c>
      <c r="C477" s="4" t="str">
        <f>CHOOSE(2, "5461730030", "Jun 26")</f>
        <v>Jun 26</v>
      </c>
      <c r="D477" s="14">
        <v>7106</v>
      </c>
    </row>
    <row r="478" spans="1:4" x14ac:dyDescent="0.35">
      <c r="A478" s="8" t="str">
        <f t="shared" si="216"/>
        <v>Hong Kong</v>
      </c>
      <c r="B478" s="6" t="str">
        <f t="shared" si="243"/>
        <v>Net Case Count - Agency 13+M</v>
      </c>
      <c r="C478" s="4" t="str">
        <f>CHOOSE(2, "5462030031", "Jul 26")</f>
        <v>Jul 26</v>
      </c>
      <c r="D478" s="14">
        <v>27178</v>
      </c>
    </row>
    <row r="479" spans="1:4" x14ac:dyDescent="0.35">
      <c r="A479" s="8" t="str">
        <f t="shared" si="216"/>
        <v>Hong Kong</v>
      </c>
      <c r="B479" s="3" t="str">
        <f t="shared" ref="B479:B480" si="244">CHOOSE(2, "1395000000714", "Net Case Count - Agency in FA or equivalent")</f>
        <v>Net Case Count - Agency in FA or equivalent</v>
      </c>
      <c r="C479" s="4" t="str">
        <f>CHOOSE(2, "5461730030", "Jun 26")</f>
        <v>Jun 26</v>
      </c>
      <c r="D479" s="14">
        <v>5373</v>
      </c>
    </row>
    <row r="480" spans="1:4" x14ac:dyDescent="0.35">
      <c r="A480" s="8" t="str">
        <f t="shared" si="216"/>
        <v>Hong Kong</v>
      </c>
      <c r="B480" s="6" t="str">
        <f t="shared" si="244"/>
        <v>Net Case Count - Agency in FA or equivalent</v>
      </c>
      <c r="C480" s="4" t="str">
        <f>CHOOSE(2, "5462030031", "Jul 26")</f>
        <v>Jul 26</v>
      </c>
      <c r="D480" s="14">
        <v>19099</v>
      </c>
    </row>
    <row r="481" spans="1:4" x14ac:dyDescent="0.35">
      <c r="A481" s="8" t="str">
        <f t="shared" si="216"/>
        <v>Hong Kong</v>
      </c>
      <c r="B481" s="3" t="str">
        <f t="shared" ref="B481:B482" si="245">CHOOSE(2, "1395000000713", "Net Case Count - Agency in UM")</f>
        <v>Net Case Count - Agency in UM</v>
      </c>
      <c r="C481" s="4" t="str">
        <f>CHOOSE(2, "5461730030", "Jun 26")</f>
        <v>Jun 26</v>
      </c>
      <c r="D481" s="14">
        <v>1484</v>
      </c>
    </row>
    <row r="482" spans="1:4" x14ac:dyDescent="0.35">
      <c r="A482" s="8" t="str">
        <f t="shared" si="216"/>
        <v>Hong Kong</v>
      </c>
      <c r="B482" s="6" t="str">
        <f t="shared" si="245"/>
        <v>Net Case Count - Agency in UM</v>
      </c>
      <c r="C482" s="4" t="str">
        <f>CHOOSE(2, "5462030031", "Jul 26")</f>
        <v>Jul 26</v>
      </c>
      <c r="D482" s="14">
        <v>5492</v>
      </c>
    </row>
    <row r="483" spans="1:4" x14ac:dyDescent="0.35">
      <c r="A483" s="8" t="str">
        <f t="shared" si="216"/>
        <v>Hong Kong</v>
      </c>
      <c r="B483" s="3" t="str">
        <f t="shared" ref="B483:B484" si="246">CHOOSE(2, "1395000000712", "Net Case Count - Agency in Leaders above UM")</f>
        <v>Net Case Count - Agency in Leaders above UM</v>
      </c>
      <c r="C483" s="4" t="str">
        <f>CHOOSE(2, "5461730030", "Jun 26")</f>
        <v>Jun 26</v>
      </c>
      <c r="D483" s="14">
        <v>1710</v>
      </c>
    </row>
    <row r="484" spans="1:4" x14ac:dyDescent="0.35">
      <c r="A484" s="8" t="str">
        <f t="shared" si="216"/>
        <v>Hong Kong</v>
      </c>
      <c r="B484" s="6" t="str">
        <f t="shared" si="246"/>
        <v>Net Case Count - Agency in Leaders above UM</v>
      </c>
      <c r="C484" s="4" t="str">
        <f>CHOOSE(2, "5462030031", "Jul 26")</f>
        <v>Jul 26</v>
      </c>
      <c r="D484" s="14">
        <v>7212</v>
      </c>
    </row>
    <row r="485" spans="1:4" x14ac:dyDescent="0.35">
      <c r="A485" s="8" t="str">
        <f t="shared" si="216"/>
        <v>Hong Kong</v>
      </c>
      <c r="B485" s="3" t="str">
        <f t="shared" ref="B485:B486" si="247">CHOOSE(2, "1395000000711", "Net Case Count - Agency in Top-tier Agents")</f>
        <v>Net Case Count - Agency in Top-tier Agents</v>
      </c>
      <c r="C485" s="4" t="str">
        <f>CHOOSE(2, "5461730030", "Jun 26")</f>
        <v>Jun 26</v>
      </c>
      <c r="D485" s="14">
        <v>6101</v>
      </c>
    </row>
    <row r="486" spans="1:4" x14ac:dyDescent="0.35">
      <c r="A486" s="8" t="str">
        <f t="shared" si="216"/>
        <v>Hong Kong</v>
      </c>
      <c r="B486" s="6" t="str">
        <f t="shared" si="247"/>
        <v>Net Case Count - Agency in Top-tier Agents</v>
      </c>
      <c r="C486" s="4" t="str">
        <f>CHOOSE(2, "5462030031", "Jul 26")</f>
        <v>Jul 26</v>
      </c>
      <c r="D486" s="14">
        <v>22554</v>
      </c>
    </row>
    <row r="487" spans="1:4" x14ac:dyDescent="0.35">
      <c r="A487" s="8" t="str">
        <f t="shared" si="216"/>
        <v>Hong Kong</v>
      </c>
      <c r="B487" s="3" t="str">
        <f t="shared" ref="B487:B488" si="248">CHOOSE(2, "1395000000710", "Net Case Count - Agency in pro-rated MDRT agents (&gt;100%)")</f>
        <v>Net Case Count - Agency in pro-rated MDRT agents (&gt;100%)</v>
      </c>
      <c r="C487" s="4" t="str">
        <f>CHOOSE(2, "5461730030", "Jun 26")</f>
        <v>Jun 26</v>
      </c>
      <c r="D487" s="14">
        <v>4150</v>
      </c>
    </row>
    <row r="488" spans="1:4" x14ac:dyDescent="0.35">
      <c r="A488" s="8" t="str">
        <f t="shared" si="216"/>
        <v>Hong Kong</v>
      </c>
      <c r="B488" s="6" t="str">
        <f t="shared" si="248"/>
        <v>Net Case Count - Agency in pro-rated MDRT agents (&gt;100%)</v>
      </c>
      <c r="C488" s="4" t="str">
        <f>CHOOSE(2, "5462030031", "Jul 26")</f>
        <v>Jul 26</v>
      </c>
      <c r="D488" s="14">
        <v>14754</v>
      </c>
    </row>
    <row r="489" spans="1:4" x14ac:dyDescent="0.35">
      <c r="A489" s="8" t="str">
        <f t="shared" ref="A489:A552" si="249">CHOOSE(2, "204000000001", "Hong Kong")</f>
        <v>Hong Kong</v>
      </c>
      <c r="B489" s="3" t="str">
        <f t="shared" ref="B489:B490" si="250">CHOOSE(2, "1395000000709", "Net Case Count - Agency in pro-rated MDRT agents (70-99%)")</f>
        <v>Net Case Count - Agency in pro-rated MDRT agents (70-99%)</v>
      </c>
      <c r="C489" s="4" t="str">
        <f>CHOOSE(2, "5461730030", "Jun 26")</f>
        <v>Jun 26</v>
      </c>
      <c r="D489" s="14">
        <v>1058</v>
      </c>
    </row>
    <row r="490" spans="1:4" x14ac:dyDescent="0.35">
      <c r="A490" s="8" t="str">
        <f t="shared" si="249"/>
        <v>Hong Kong</v>
      </c>
      <c r="B490" s="6" t="str">
        <f t="shared" si="250"/>
        <v>Net Case Count - Agency in pro-rated MDRT agents (70-99%)</v>
      </c>
      <c r="C490" s="4" t="str">
        <f>CHOOSE(2, "5462030031", "Jul 26")</f>
        <v>Jul 26</v>
      </c>
      <c r="D490" s="14">
        <v>3891</v>
      </c>
    </row>
    <row r="491" spans="1:4" x14ac:dyDescent="0.35">
      <c r="A491" s="8" t="str">
        <f t="shared" si="249"/>
        <v>Hong Kong</v>
      </c>
      <c r="B491" s="3" t="str">
        <f t="shared" ref="B491:B492" si="251">CHOOSE(2, "1395000000708", "Net Case Count - Agency in pro-rated MDRT agents (50-69%)")</f>
        <v>Net Case Count - Agency in pro-rated MDRT agents (50-69%)</v>
      </c>
      <c r="C491" s="4" t="str">
        <f>CHOOSE(2, "5461730030", "Jun 26")</f>
        <v>Jun 26</v>
      </c>
      <c r="D491" s="14">
        <v>891</v>
      </c>
    </row>
    <row r="492" spans="1:4" x14ac:dyDescent="0.35">
      <c r="A492" s="8" t="str">
        <f t="shared" si="249"/>
        <v>Hong Kong</v>
      </c>
      <c r="B492" s="6" t="str">
        <f t="shared" si="251"/>
        <v>Net Case Count - Agency in pro-rated MDRT agents (50-69%)</v>
      </c>
      <c r="C492" s="4" t="str">
        <f>CHOOSE(2, "5462030031", "Jul 26")</f>
        <v>Jul 26</v>
      </c>
      <c r="D492" s="14">
        <v>3907</v>
      </c>
    </row>
    <row r="493" spans="1:4" x14ac:dyDescent="0.35">
      <c r="A493" s="8" t="str">
        <f t="shared" si="249"/>
        <v>Hong Kong</v>
      </c>
      <c r="B493" s="3" t="str">
        <f t="shared" ref="B493:B494" si="252">CHOOSE(2, "1395000000707", "Net Case Count - Agency in Manulife Pro Qualifiers - Total")</f>
        <v>Net Case Count - Agency in Manulife Pro Qualifiers - Total</v>
      </c>
      <c r="C493" s="4" t="str">
        <f>CHOOSE(2, "5461730030", "Jun 26")</f>
        <v>Jun 26</v>
      </c>
      <c r="D493" s="2" t="s">
        <v>5</v>
      </c>
    </row>
    <row r="494" spans="1:4" x14ac:dyDescent="0.35">
      <c r="A494" s="8" t="str">
        <f t="shared" si="249"/>
        <v>Hong Kong</v>
      </c>
      <c r="B494" s="6" t="str">
        <f t="shared" si="252"/>
        <v>Net Case Count - Agency in Manulife Pro Qualifiers - Total</v>
      </c>
      <c r="C494" s="4" t="str">
        <f>CHOOSE(2, "5462030031", "Jul 26")</f>
        <v>Jul 26</v>
      </c>
      <c r="D494" s="2" t="s">
        <v>5</v>
      </c>
    </row>
    <row r="495" spans="1:4" x14ac:dyDescent="0.35">
      <c r="A495" s="8" t="str">
        <f t="shared" si="249"/>
        <v>Hong Kong</v>
      </c>
      <c r="B495" s="3" t="str">
        <f t="shared" ref="B495:B496" si="253">CHOOSE(2, "1395000000706", "No. of Sales Proposal Generated")</f>
        <v>No. of Sales Proposal Generated</v>
      </c>
      <c r="C495" s="4" t="str">
        <f>CHOOSE(2, "5461730030", "Jun 26")</f>
        <v>Jun 26</v>
      </c>
      <c r="D495" s="14">
        <v>84697</v>
      </c>
    </row>
    <row r="496" spans="1:4" x14ac:dyDescent="0.35">
      <c r="A496" s="8" t="str">
        <f t="shared" si="249"/>
        <v>Hong Kong</v>
      </c>
      <c r="B496" s="6" t="str">
        <f t="shared" si="253"/>
        <v>No. of Sales Proposal Generated</v>
      </c>
      <c r="C496" s="4" t="str">
        <f>CHOOSE(2, "5462030031", "Jul 26")</f>
        <v>Jul 26</v>
      </c>
      <c r="D496" s="14">
        <v>86417</v>
      </c>
    </row>
    <row r="497" spans="1:4" x14ac:dyDescent="0.35">
      <c r="A497" s="8" t="str">
        <f t="shared" si="249"/>
        <v>Hong Kong</v>
      </c>
      <c r="B497" s="3" t="str">
        <f t="shared" ref="B497:B498" si="254">CHOOSE(2, "1395000000705", "$ APE from Agents in X tenure")</f>
        <v>$ APE from Agents in X tenure</v>
      </c>
      <c r="C497" s="4" t="str">
        <f>CHOOSE(2, "5461730030", "Jun 26")</f>
        <v>Jun 26</v>
      </c>
      <c r="D497" s="14">
        <v>57894215.950000003</v>
      </c>
    </row>
    <row r="498" spans="1:4" x14ac:dyDescent="0.35">
      <c r="A498" s="8" t="str">
        <f t="shared" si="249"/>
        <v>Hong Kong</v>
      </c>
      <c r="B498" s="6" t="str">
        <f t="shared" si="254"/>
        <v>$ APE from Agents in X tenure</v>
      </c>
      <c r="C498" s="4" t="str">
        <f>CHOOSE(2, "5462030031", "Jul 26")</f>
        <v>Jul 26</v>
      </c>
      <c r="D498" s="14">
        <v>44582340.840000004</v>
      </c>
    </row>
    <row r="499" spans="1:4" x14ac:dyDescent="0.35">
      <c r="A499" s="8" t="str">
        <f t="shared" si="249"/>
        <v>Hong Kong</v>
      </c>
      <c r="B499" s="3" t="str">
        <f t="shared" ref="B499:B500" si="255">CHOOSE(2, "1395000000704", "$ APE from Agents in X tenure in 0-1M")</f>
        <v>$ APE from Agents in X tenure in 0-1M</v>
      </c>
      <c r="C499" s="4" t="str">
        <f>CHOOSE(2, "5461730030", "Jun 26")</f>
        <v>Jun 26</v>
      </c>
      <c r="D499" s="14">
        <v>5789421.5950000007</v>
      </c>
    </row>
    <row r="500" spans="1:4" x14ac:dyDescent="0.35">
      <c r="A500" s="8" t="str">
        <f t="shared" si="249"/>
        <v>Hong Kong</v>
      </c>
      <c r="B500" s="6" t="str">
        <f t="shared" si="255"/>
        <v>$ APE from Agents in X tenure in 0-1M</v>
      </c>
      <c r="C500" s="4" t="str">
        <f>CHOOSE(2, "5462030031", "Jul 26")</f>
        <v>Jul 26</v>
      </c>
      <c r="D500" s="14">
        <v>4458234.0840000007</v>
      </c>
    </row>
    <row r="501" spans="1:4" x14ac:dyDescent="0.35">
      <c r="A501" s="8" t="str">
        <f t="shared" si="249"/>
        <v>Hong Kong</v>
      </c>
      <c r="B501" s="3" t="str">
        <f t="shared" ref="B501:B502" si="256">CHOOSE(2, "1395000000703", "$ APE from Agents in X tenure in 2-3M")</f>
        <v>$ APE from Agents in X tenure in 2-3M</v>
      </c>
      <c r="C501" s="4" t="str">
        <f>CHOOSE(2, "5461730030", "Jun 26")</f>
        <v>Jun 26</v>
      </c>
      <c r="D501" s="14">
        <v>11578843.190000001</v>
      </c>
    </row>
    <row r="502" spans="1:4" x14ac:dyDescent="0.35">
      <c r="A502" s="8" t="str">
        <f t="shared" si="249"/>
        <v>Hong Kong</v>
      </c>
      <c r="B502" s="6" t="str">
        <f t="shared" si="256"/>
        <v>$ APE from Agents in X tenure in 2-3M</v>
      </c>
      <c r="C502" s="4" t="str">
        <f>CHOOSE(2, "5462030031", "Jul 26")</f>
        <v>Jul 26</v>
      </c>
      <c r="D502" s="14">
        <v>8916468.1680000015</v>
      </c>
    </row>
    <row r="503" spans="1:4" x14ac:dyDescent="0.35">
      <c r="A503" s="8" t="str">
        <f t="shared" si="249"/>
        <v>Hong Kong</v>
      </c>
      <c r="B503" s="3" t="str">
        <f t="shared" ref="B503:B504" si="257">CHOOSE(2, "1395000000702", "$ APE from Agents in X tenure in 4-12M")</f>
        <v>$ APE from Agents in X tenure in 4-12M</v>
      </c>
      <c r="C503" s="4" t="str">
        <f>CHOOSE(2, "5461730030", "Jun 26")</f>
        <v>Jun 26</v>
      </c>
      <c r="D503" s="14">
        <v>17368264.785</v>
      </c>
    </row>
    <row r="504" spans="1:4" x14ac:dyDescent="0.35">
      <c r="A504" s="8" t="str">
        <f t="shared" si="249"/>
        <v>Hong Kong</v>
      </c>
      <c r="B504" s="6" t="str">
        <f t="shared" si="257"/>
        <v>$ APE from Agents in X tenure in 4-12M</v>
      </c>
      <c r="C504" s="4" t="str">
        <f>CHOOSE(2, "5462030031", "Jul 26")</f>
        <v>Jul 26</v>
      </c>
      <c r="D504" s="14">
        <v>13374702.252</v>
      </c>
    </row>
    <row r="505" spans="1:4" x14ac:dyDescent="0.35">
      <c r="A505" s="8" t="str">
        <f t="shared" si="249"/>
        <v>Hong Kong</v>
      </c>
      <c r="B505" s="3" t="str">
        <f t="shared" ref="B505:B506" si="258">CHOOSE(2, "1395000000701", "$ APE from Agents in X tenure 13+M")</f>
        <v>$ APE from Agents in X tenure 13+M</v>
      </c>
      <c r="C505" s="4" t="str">
        <f>CHOOSE(2, "5461730030", "Jun 26")</f>
        <v>Jun 26</v>
      </c>
      <c r="D505" s="14">
        <v>23157686.380000003</v>
      </c>
    </row>
    <row r="506" spans="1:4" x14ac:dyDescent="0.35">
      <c r="A506" s="8" t="str">
        <f t="shared" si="249"/>
        <v>Hong Kong</v>
      </c>
      <c r="B506" s="6" t="str">
        <f t="shared" si="258"/>
        <v>$ APE from Agents in X tenure 13+M</v>
      </c>
      <c r="C506" s="4" t="str">
        <f>CHOOSE(2, "5462030031", "Jul 26")</f>
        <v>Jul 26</v>
      </c>
      <c r="D506" s="14">
        <v>17832936.336000003</v>
      </c>
    </row>
    <row r="507" spans="1:4" x14ac:dyDescent="0.35">
      <c r="A507" s="8" t="str">
        <f t="shared" si="249"/>
        <v>Hong Kong</v>
      </c>
      <c r="B507" s="3" t="str">
        <f t="shared" ref="B507:B508" si="259">CHOOSE(2, "1395000000700", "Total agent headcount (end of period)")</f>
        <v>Total agent headcount (end of period)</v>
      </c>
      <c r="C507" s="4" t="str">
        <f>CHOOSE(2, "5461730030", "Jun 26")</f>
        <v>Jun 26</v>
      </c>
      <c r="D507" s="14">
        <v>11236</v>
      </c>
    </row>
    <row r="508" spans="1:4" x14ac:dyDescent="0.35">
      <c r="A508" s="8" t="str">
        <f t="shared" si="249"/>
        <v>Hong Kong</v>
      </c>
      <c r="B508" s="6" t="str">
        <f t="shared" si="259"/>
        <v>Total agent headcount (end of period)</v>
      </c>
      <c r="C508" s="4" t="str">
        <f>CHOOSE(2, "5462030031", "Jul 26")</f>
        <v>Jul 26</v>
      </c>
      <c r="D508" s="14">
        <v>11245</v>
      </c>
    </row>
    <row r="509" spans="1:4" x14ac:dyDescent="0.35">
      <c r="A509" s="8" t="str">
        <f t="shared" si="249"/>
        <v>Hong Kong</v>
      </c>
      <c r="B509" s="3" t="str">
        <f t="shared" ref="B509:B510" si="260">CHOOSE(2, "1395000000699", "Total agent headcount (end of period) in 0-1M")</f>
        <v>Total agent headcount (end of period) in 0-1M</v>
      </c>
      <c r="C509" s="4" t="str">
        <f>CHOOSE(2, "5461730030", "Jun 26")</f>
        <v>Jun 26</v>
      </c>
      <c r="D509" s="14">
        <v>262</v>
      </c>
    </row>
    <row r="510" spans="1:4" x14ac:dyDescent="0.35">
      <c r="A510" s="8" t="str">
        <f t="shared" si="249"/>
        <v>Hong Kong</v>
      </c>
      <c r="B510" s="6" t="str">
        <f t="shared" si="260"/>
        <v>Total agent headcount (end of period) in 0-1M</v>
      </c>
      <c r="C510" s="4" t="str">
        <f>CHOOSE(2, "5462030031", "Jul 26")</f>
        <v>Jul 26</v>
      </c>
      <c r="D510" s="14">
        <v>285</v>
      </c>
    </row>
    <row r="511" spans="1:4" x14ac:dyDescent="0.35">
      <c r="A511" s="8" t="str">
        <f t="shared" si="249"/>
        <v>Hong Kong</v>
      </c>
      <c r="B511" s="3" t="str">
        <f t="shared" ref="B511:B512" si="261">CHOOSE(2, "1395000000698", "Total agent headcount (end of period) in 2-3M")</f>
        <v>Total agent headcount (end of period) in 2-3M</v>
      </c>
      <c r="C511" s="4" t="str">
        <f>CHOOSE(2, "5461730030", "Jun 26")</f>
        <v>Jun 26</v>
      </c>
      <c r="D511" s="14">
        <v>464</v>
      </c>
    </row>
    <row r="512" spans="1:4" x14ac:dyDescent="0.35">
      <c r="A512" s="8" t="str">
        <f t="shared" si="249"/>
        <v>Hong Kong</v>
      </c>
      <c r="B512" s="6" t="str">
        <f t="shared" si="261"/>
        <v>Total agent headcount (end of period) in 2-3M</v>
      </c>
      <c r="C512" s="4" t="str">
        <f>CHOOSE(2, "5462030031", "Jul 26")</f>
        <v>Jul 26</v>
      </c>
      <c r="D512" s="14">
        <v>508</v>
      </c>
    </row>
    <row r="513" spans="1:4" x14ac:dyDescent="0.35">
      <c r="A513" s="8" t="str">
        <f t="shared" si="249"/>
        <v>Hong Kong</v>
      </c>
      <c r="B513" s="3" t="str">
        <f t="shared" ref="B513:B514" si="262">CHOOSE(2, "1395000000697", "Total agent headcount (end of period) in 4-12M")</f>
        <v>Total agent headcount (end of period) in 4-12M</v>
      </c>
      <c r="C513" s="4" t="str">
        <f>CHOOSE(2, "5461730030", "Jun 26")</f>
        <v>Jun 26</v>
      </c>
      <c r="D513" s="14">
        <v>2171</v>
      </c>
    </row>
    <row r="514" spans="1:4" x14ac:dyDescent="0.35">
      <c r="A514" s="8" t="str">
        <f t="shared" si="249"/>
        <v>Hong Kong</v>
      </c>
      <c r="B514" s="6" t="str">
        <f t="shared" si="262"/>
        <v>Total agent headcount (end of period) in 4-12M</v>
      </c>
      <c r="C514" s="4" t="str">
        <f>CHOOSE(2, "5462030031", "Jul 26")</f>
        <v>Jul 26</v>
      </c>
      <c r="D514" s="14">
        <v>2074</v>
      </c>
    </row>
    <row r="515" spans="1:4" x14ac:dyDescent="0.35">
      <c r="A515" s="8" t="str">
        <f t="shared" si="249"/>
        <v>Hong Kong</v>
      </c>
      <c r="B515" s="3" t="str">
        <f t="shared" ref="B515:B516" si="263">CHOOSE(2, "1395000000696", "Total agent headcount (end of period) 13+M")</f>
        <v>Total agent headcount (end of period) 13+M</v>
      </c>
      <c r="C515" s="4" t="str">
        <f>CHOOSE(2, "5461730030", "Jun 26")</f>
        <v>Jun 26</v>
      </c>
      <c r="D515" s="14">
        <v>8339</v>
      </c>
    </row>
    <row r="516" spans="1:4" x14ac:dyDescent="0.35">
      <c r="A516" s="8" t="str">
        <f t="shared" si="249"/>
        <v>Hong Kong</v>
      </c>
      <c r="B516" s="6" t="str">
        <f t="shared" si="263"/>
        <v>Total agent headcount (end of period) 13+M</v>
      </c>
      <c r="C516" s="4" t="str">
        <f>CHOOSE(2, "5462030031", "Jul 26")</f>
        <v>Jul 26</v>
      </c>
      <c r="D516" s="14">
        <v>8378</v>
      </c>
    </row>
    <row r="517" spans="1:4" x14ac:dyDescent="0.35">
      <c r="A517" s="8" t="str">
        <f t="shared" si="249"/>
        <v>Hong Kong</v>
      </c>
      <c r="B517" s="3" t="str">
        <f t="shared" ref="B517:B518" si="264">CHOOSE(2, "1395000000695", "Total agent headcount (end of period) in FA or equivalent")</f>
        <v>Total agent headcount (end of period) in FA or equivalent</v>
      </c>
      <c r="C517" s="4" t="str">
        <f>CHOOSE(2, "5461730030", "Jun 26")</f>
        <v>Jun 26</v>
      </c>
      <c r="D517" s="14">
        <v>8901</v>
      </c>
    </row>
    <row r="518" spans="1:4" x14ac:dyDescent="0.35">
      <c r="A518" s="8" t="str">
        <f t="shared" si="249"/>
        <v>Hong Kong</v>
      </c>
      <c r="B518" s="6" t="str">
        <f t="shared" si="264"/>
        <v>Total agent headcount (end of period) in FA or equivalent</v>
      </c>
      <c r="C518" s="4" t="str">
        <f>CHOOSE(2, "5462030031", "Jul 26")</f>
        <v>Jul 26</v>
      </c>
      <c r="D518" s="14">
        <v>8897</v>
      </c>
    </row>
    <row r="519" spans="1:4" x14ac:dyDescent="0.35">
      <c r="A519" s="8" t="str">
        <f t="shared" si="249"/>
        <v>Hong Kong</v>
      </c>
      <c r="B519" s="3" t="str">
        <f t="shared" ref="B519:B520" si="265">CHOOSE(2, "1395000000694", "Total agent headcount (end of period) in UM")</f>
        <v>Total agent headcount (end of period) in UM</v>
      </c>
      <c r="C519" s="4" t="str">
        <f>CHOOSE(2, "5461730030", "Jun 26")</f>
        <v>Jun 26</v>
      </c>
      <c r="D519" s="14">
        <v>1114</v>
      </c>
    </row>
    <row r="520" spans="1:4" x14ac:dyDescent="0.35">
      <c r="A520" s="8" t="str">
        <f t="shared" si="249"/>
        <v>Hong Kong</v>
      </c>
      <c r="B520" s="6" t="str">
        <f t="shared" si="265"/>
        <v>Total agent headcount (end of period) in UM</v>
      </c>
      <c r="C520" s="4" t="str">
        <f>CHOOSE(2, "5462030031", "Jul 26")</f>
        <v>Jul 26</v>
      </c>
      <c r="D520" s="14">
        <v>1124</v>
      </c>
    </row>
    <row r="521" spans="1:4" x14ac:dyDescent="0.35">
      <c r="A521" s="8" t="str">
        <f t="shared" si="249"/>
        <v>Hong Kong</v>
      </c>
      <c r="B521" s="3" t="str">
        <f t="shared" ref="B521:B522" si="266">CHOOSE(2, "1395000000693", "Total agent headcount (end of period) in Leaders above UM")</f>
        <v>Total agent headcount (end of period) in Leaders above UM</v>
      </c>
      <c r="C521" s="4" t="str">
        <f>CHOOSE(2, "5461730030", "Jun 26")</f>
        <v>Jun 26</v>
      </c>
      <c r="D521" s="14">
        <v>1221</v>
      </c>
    </row>
    <row r="522" spans="1:4" x14ac:dyDescent="0.35">
      <c r="A522" s="8" t="str">
        <f t="shared" si="249"/>
        <v>Hong Kong</v>
      </c>
      <c r="B522" s="6" t="str">
        <f t="shared" si="266"/>
        <v>Total agent headcount (end of period) in Leaders above UM</v>
      </c>
      <c r="C522" s="4" t="str">
        <f>CHOOSE(2, "5462030031", "Jul 26")</f>
        <v>Jul 26</v>
      </c>
      <c r="D522" s="14">
        <v>1224</v>
      </c>
    </row>
    <row r="523" spans="1:4" x14ac:dyDescent="0.35">
      <c r="A523" s="8" t="str">
        <f t="shared" si="249"/>
        <v>Hong Kong</v>
      </c>
      <c r="B523" s="3" t="str">
        <f t="shared" ref="B523:B524" si="267">CHOOSE(2, "1395000000692", "Total agent headcount (end of period) in Top-tier agents")</f>
        <v>Total agent headcount (end of period) in Top-tier agents</v>
      </c>
      <c r="C523" s="4" t="str">
        <f>CHOOSE(2, "5461730030", "Jun 26")</f>
        <v>Jun 26</v>
      </c>
      <c r="D523" s="14">
        <v>4264</v>
      </c>
    </row>
    <row r="524" spans="1:4" x14ac:dyDescent="0.35">
      <c r="A524" s="8" t="str">
        <f t="shared" si="249"/>
        <v>Hong Kong</v>
      </c>
      <c r="B524" s="6" t="str">
        <f t="shared" si="267"/>
        <v>Total agent headcount (end of period) in Top-tier agents</v>
      </c>
      <c r="C524" s="4" t="str">
        <f>CHOOSE(2, "5462030031", "Jul 26")</f>
        <v>Jul 26</v>
      </c>
      <c r="D524" s="14">
        <v>4005</v>
      </c>
    </row>
    <row r="525" spans="1:4" x14ac:dyDescent="0.35">
      <c r="A525" s="8" t="str">
        <f t="shared" si="249"/>
        <v>Hong Kong</v>
      </c>
      <c r="B525" s="3" t="str">
        <f t="shared" ref="B525:B526" si="268">CHOOSE(2, "1395000000691", "Total agent headcount  in pro-rated MDRT agents (&gt;100%)")</f>
        <v>Total agent headcount  in pro-rated MDRT agents (&gt;100%)</v>
      </c>
      <c r="C525" s="4" t="str">
        <f>CHOOSE(2, "5461730030", "Jun 26")</f>
        <v>Jun 26</v>
      </c>
      <c r="D525" s="14">
        <v>2343</v>
      </c>
    </row>
    <row r="526" spans="1:4" x14ac:dyDescent="0.35">
      <c r="A526" s="8" t="str">
        <f t="shared" si="249"/>
        <v>Hong Kong</v>
      </c>
      <c r="B526" s="6" t="str">
        <f t="shared" si="268"/>
        <v>Total agent headcount  in pro-rated MDRT agents (&gt;100%)</v>
      </c>
      <c r="C526" s="4" t="str">
        <f>CHOOSE(2, "5462030031", "Jul 26")</f>
        <v>Jul 26</v>
      </c>
      <c r="D526" s="14">
        <v>2080</v>
      </c>
    </row>
    <row r="527" spans="1:4" x14ac:dyDescent="0.35">
      <c r="A527" s="8" t="str">
        <f t="shared" si="249"/>
        <v>Hong Kong</v>
      </c>
      <c r="B527" s="3" t="str">
        <f t="shared" ref="B527:B528" si="269">CHOOSE(2, "1395000000690", "Total agent headcount  in pro-rated MDRT agents (70-99%)")</f>
        <v>Total agent headcount  in pro-rated MDRT agents (70-99%)</v>
      </c>
      <c r="C527" s="4" t="str">
        <f>CHOOSE(2, "5461730030", "Jun 26")</f>
        <v>Jun 26</v>
      </c>
      <c r="D527" s="14">
        <v>946</v>
      </c>
    </row>
    <row r="528" spans="1:4" x14ac:dyDescent="0.35">
      <c r="A528" s="8" t="str">
        <f t="shared" si="249"/>
        <v>Hong Kong</v>
      </c>
      <c r="B528" s="6" t="str">
        <f t="shared" si="269"/>
        <v>Total agent headcount  in pro-rated MDRT agents (70-99%)</v>
      </c>
      <c r="C528" s="4" t="str">
        <f>CHOOSE(2, "5462030031", "Jul 26")</f>
        <v>Jul 26</v>
      </c>
      <c r="D528" s="14">
        <v>878</v>
      </c>
    </row>
    <row r="529" spans="1:4" x14ac:dyDescent="0.35">
      <c r="A529" s="8" t="str">
        <f t="shared" si="249"/>
        <v>Hong Kong</v>
      </c>
      <c r="B529" s="3" t="str">
        <f t="shared" ref="B529:B530" si="270">CHOOSE(2, "1395000000689", "Total agent headcount  in pro-rated MDRT agents (50-69%)")</f>
        <v>Total agent headcount  in pro-rated MDRT agents (50-69%)</v>
      </c>
      <c r="C529" s="4" t="str">
        <f>CHOOSE(2, "5461730030", "Jun 26")</f>
        <v>Jun 26</v>
      </c>
      <c r="D529" s="14">
        <v>975</v>
      </c>
    </row>
    <row r="530" spans="1:4" x14ac:dyDescent="0.35">
      <c r="A530" s="8" t="str">
        <f t="shared" si="249"/>
        <v>Hong Kong</v>
      </c>
      <c r="B530" s="6" t="str">
        <f t="shared" si="270"/>
        <v>Total agent headcount  in pro-rated MDRT agents (50-69%)</v>
      </c>
      <c r="C530" s="4" t="str">
        <f>CHOOSE(2, "5462030031", "Jul 26")</f>
        <v>Jul 26</v>
      </c>
      <c r="D530" s="14">
        <v>1047</v>
      </c>
    </row>
    <row r="531" spans="1:4" x14ac:dyDescent="0.35">
      <c r="A531" s="8" t="str">
        <f t="shared" si="249"/>
        <v>Hong Kong</v>
      </c>
      <c r="B531" s="3" t="str">
        <f t="shared" ref="B531:B532" si="271">CHOOSE(2, "1395000000688", "Total agent headcount  in Manulife Pro Qualifiers - Total")</f>
        <v>Total agent headcount  in Manulife Pro Qualifiers - Total</v>
      </c>
      <c r="C531" s="4" t="str">
        <f>CHOOSE(2, "5461730030", "Jun 26")</f>
        <v>Jun 26</v>
      </c>
      <c r="D531" s="2" t="s">
        <v>5</v>
      </c>
    </row>
    <row r="532" spans="1:4" x14ac:dyDescent="0.35">
      <c r="A532" s="8" t="str">
        <f t="shared" si="249"/>
        <v>Hong Kong</v>
      </c>
      <c r="B532" s="6" t="str">
        <f t="shared" si="271"/>
        <v>Total agent headcount  in Manulife Pro Qualifiers - Total</v>
      </c>
      <c r="C532" s="4" t="str">
        <f>CHOOSE(2, "5462030031", "Jul 26")</f>
        <v>Jul 26</v>
      </c>
      <c r="D532" s="2" t="s">
        <v>5</v>
      </c>
    </row>
    <row r="533" spans="1:4" x14ac:dyDescent="0.35">
      <c r="A533" s="8" t="str">
        <f t="shared" si="249"/>
        <v>Hong Kong</v>
      </c>
      <c r="B533" s="3" t="str">
        <f t="shared" ref="B533:B534" si="272">CHOOSE(2, "1395000000687", "New recruits")</f>
        <v>New recruits</v>
      </c>
      <c r="C533" s="4" t="str">
        <f>CHOOSE(2, "5461730030", "Jun 26")</f>
        <v>Jun 26</v>
      </c>
      <c r="D533" s="14">
        <v>263</v>
      </c>
    </row>
    <row r="534" spans="1:4" x14ac:dyDescent="0.35">
      <c r="A534" s="8" t="str">
        <f t="shared" si="249"/>
        <v>Hong Kong</v>
      </c>
      <c r="B534" s="6" t="str">
        <f t="shared" si="272"/>
        <v>New recruits</v>
      </c>
      <c r="C534" s="4" t="str">
        <f>CHOOSE(2, "5462030031", "Jul 26")</f>
        <v>Jul 26</v>
      </c>
      <c r="D534" s="14">
        <v>285</v>
      </c>
    </row>
    <row r="535" spans="1:4" x14ac:dyDescent="0.35">
      <c r="A535" s="8" t="str">
        <f t="shared" si="249"/>
        <v>Hong Kong</v>
      </c>
      <c r="B535" s="3" t="str">
        <f t="shared" ref="B535:B536" si="273">CHOOSE(2, "1395000000686", "New recruits - Leader level")</f>
        <v>New recruits - Leader level</v>
      </c>
      <c r="C535" s="4" t="str">
        <f>CHOOSE(2, "5461730030", "Jun 26")</f>
        <v>Jun 26</v>
      </c>
      <c r="D535" s="2" t="s">
        <v>5</v>
      </c>
    </row>
    <row r="536" spans="1:4" x14ac:dyDescent="0.35">
      <c r="A536" s="8" t="str">
        <f t="shared" si="249"/>
        <v>Hong Kong</v>
      </c>
      <c r="B536" s="6" t="str">
        <f t="shared" si="273"/>
        <v>New recruits - Leader level</v>
      </c>
      <c r="C536" s="4" t="str">
        <f>CHOOSE(2, "5462030031", "Jul 26")</f>
        <v>Jul 26</v>
      </c>
      <c r="D536" s="2" t="s">
        <v>5</v>
      </c>
    </row>
    <row r="537" spans="1:4" x14ac:dyDescent="0.35">
      <c r="A537" s="8" t="str">
        <f t="shared" si="249"/>
        <v>Hong Kong</v>
      </c>
      <c r="B537" s="3" t="str">
        <f t="shared" ref="B537:B538" si="274">CHOOSE(2, "1395000000685", "New recruits - FA or equivalent")</f>
        <v>New recruits - FA or equivalent</v>
      </c>
      <c r="C537" s="4" t="str">
        <f>CHOOSE(2, "5461730030", "Jun 26")</f>
        <v>Jun 26</v>
      </c>
      <c r="D537" s="14">
        <v>254</v>
      </c>
    </row>
    <row r="538" spans="1:4" x14ac:dyDescent="0.35">
      <c r="A538" s="8" t="str">
        <f t="shared" si="249"/>
        <v>Hong Kong</v>
      </c>
      <c r="B538" s="6" t="str">
        <f t="shared" si="274"/>
        <v>New recruits - FA or equivalent</v>
      </c>
      <c r="C538" s="4" t="str">
        <f>CHOOSE(2, "5462030031", "Jul 26")</f>
        <v>Jul 26</v>
      </c>
      <c r="D538" s="14">
        <v>274</v>
      </c>
    </row>
    <row r="539" spans="1:4" x14ac:dyDescent="0.35">
      <c r="A539" s="8" t="str">
        <f t="shared" si="249"/>
        <v>Hong Kong</v>
      </c>
      <c r="B539" s="3" t="str">
        <f t="shared" ref="B539:B540" si="275">CHOOSE(2, "1395000000684", "New recruits in UM")</f>
        <v>New recruits in UM</v>
      </c>
      <c r="C539" s="4" t="str">
        <f>CHOOSE(2, "5461730030", "Jun 26")</f>
        <v>Jun 26</v>
      </c>
      <c r="D539" s="14">
        <v>6</v>
      </c>
    </row>
    <row r="540" spans="1:4" x14ac:dyDescent="0.35">
      <c r="A540" s="8" t="str">
        <f t="shared" si="249"/>
        <v>Hong Kong</v>
      </c>
      <c r="B540" s="6" t="str">
        <f t="shared" si="275"/>
        <v>New recruits in UM</v>
      </c>
      <c r="C540" s="4" t="str">
        <f>CHOOSE(2, "5462030031", "Jul 26")</f>
        <v>Jul 26</v>
      </c>
      <c r="D540" s="14">
        <v>10</v>
      </c>
    </row>
    <row r="541" spans="1:4" x14ac:dyDescent="0.35">
      <c r="A541" s="8" t="str">
        <f t="shared" si="249"/>
        <v>Hong Kong</v>
      </c>
      <c r="B541" s="3" t="str">
        <f t="shared" ref="B541:B542" si="276">CHOOSE(2, "1395000000683", "New recruits in Leaders above UM")</f>
        <v>New recruits in Leaders above UM</v>
      </c>
      <c r="C541" s="4" t="str">
        <f>CHOOSE(2, "5461730030", "Jun 26")</f>
        <v>Jun 26</v>
      </c>
      <c r="D541" s="14">
        <v>2</v>
      </c>
    </row>
    <row r="542" spans="1:4" x14ac:dyDescent="0.35">
      <c r="A542" s="8" t="str">
        <f t="shared" si="249"/>
        <v>Hong Kong</v>
      </c>
      <c r="B542" s="6" t="str">
        <f t="shared" si="276"/>
        <v>New recruits in Leaders above UM</v>
      </c>
      <c r="C542" s="4" t="str">
        <f>CHOOSE(2, "5462030031", "Jul 26")</f>
        <v>Jul 26</v>
      </c>
      <c r="D542" s="14">
        <v>1</v>
      </c>
    </row>
    <row r="543" spans="1:4" x14ac:dyDescent="0.35">
      <c r="A543" s="8" t="str">
        <f t="shared" si="249"/>
        <v>Hong Kong</v>
      </c>
      <c r="B543" s="3" t="str">
        <f t="shared" ref="B543:B544" si="277">CHOOSE(2, "1395000000682", "# of 6-90 agents")</f>
        <v># of 6-90 agents</v>
      </c>
      <c r="C543" s="4" t="str">
        <f>CHOOSE(2, "5461730030", "Jun 26")</f>
        <v>Jun 26</v>
      </c>
      <c r="D543" s="14">
        <v>28</v>
      </c>
    </row>
    <row r="544" spans="1:4" x14ac:dyDescent="0.35">
      <c r="A544" s="8" t="str">
        <f t="shared" si="249"/>
        <v>Hong Kong</v>
      </c>
      <c r="B544" s="6" t="str">
        <f t="shared" si="277"/>
        <v># of 6-90 agents</v>
      </c>
      <c r="C544" s="4" t="str">
        <f>CHOOSE(2, "5462030031", "Jul 26")</f>
        <v>Jul 26</v>
      </c>
      <c r="D544" s="14">
        <v>38</v>
      </c>
    </row>
    <row r="545" spans="1:4" x14ac:dyDescent="0.35">
      <c r="A545" s="8" t="str">
        <f t="shared" si="249"/>
        <v>Hong Kong</v>
      </c>
      <c r="B545" s="3" t="str">
        <f t="shared" ref="B545:B546" si="278">CHOOSE(2, "1395000000681", "New Recruits 3M Activation #")</f>
        <v>New Recruits 3M Activation #</v>
      </c>
      <c r="C545" s="4" t="str">
        <f>CHOOSE(2, "5461730030", "Jun 26")</f>
        <v>Jun 26</v>
      </c>
      <c r="D545" s="14">
        <v>206</v>
      </c>
    </row>
    <row r="546" spans="1:4" x14ac:dyDescent="0.35">
      <c r="A546" s="8" t="str">
        <f t="shared" si="249"/>
        <v>Hong Kong</v>
      </c>
      <c r="B546" s="6" t="str">
        <f t="shared" si="278"/>
        <v>New Recruits 3M Activation #</v>
      </c>
      <c r="C546" s="4" t="str">
        <f>CHOOSE(2, "5462030031", "Jul 26")</f>
        <v>Jul 26</v>
      </c>
      <c r="D546" s="14">
        <v>125</v>
      </c>
    </row>
    <row r="547" spans="1:4" x14ac:dyDescent="0.35">
      <c r="A547" s="8" t="str">
        <f t="shared" si="249"/>
        <v>Hong Kong</v>
      </c>
      <c r="B547" s="3" t="str">
        <f t="shared" ref="B547:B548" si="279">CHOOSE(2, "1395000000680", "No of Terminations")</f>
        <v>No of Terminations</v>
      </c>
      <c r="C547" s="4" t="str">
        <f>CHOOSE(2, "5461730030", "Jun 26")</f>
        <v>Jun 26</v>
      </c>
      <c r="D547" s="14">
        <v>413</v>
      </c>
    </row>
    <row r="548" spans="1:4" x14ac:dyDescent="0.35">
      <c r="A548" s="8" t="str">
        <f t="shared" si="249"/>
        <v>Hong Kong</v>
      </c>
      <c r="B548" s="6" t="str">
        <f t="shared" si="279"/>
        <v>No of Terminations</v>
      </c>
      <c r="C548" s="4" t="str">
        <f>CHOOSE(2, "5462030031", "Jul 26")</f>
        <v>Jul 26</v>
      </c>
      <c r="D548" s="14">
        <v>266</v>
      </c>
    </row>
    <row r="549" spans="1:4" x14ac:dyDescent="0.35">
      <c r="A549" s="8" t="str">
        <f t="shared" si="249"/>
        <v>Hong Kong</v>
      </c>
      <c r="B549" s="3" t="str">
        <f t="shared" ref="B549:B550" si="280">CHOOSE(2, "1395000000679", "No of Terminations in FA or equivalent")</f>
        <v>No of Terminations in FA or equivalent</v>
      </c>
      <c r="C549" s="4" t="str">
        <f>CHOOSE(2, "5461730030", "Jun 26")</f>
        <v>Jun 26</v>
      </c>
      <c r="D549" s="14">
        <v>400</v>
      </c>
    </row>
    <row r="550" spans="1:4" x14ac:dyDescent="0.35">
      <c r="A550" s="8" t="str">
        <f t="shared" si="249"/>
        <v>Hong Kong</v>
      </c>
      <c r="B550" s="6" t="str">
        <f t="shared" si="280"/>
        <v>No of Terminations in FA or equivalent</v>
      </c>
      <c r="C550" s="4" t="str">
        <f>CHOOSE(2, "5462030031", "Jul 26")</f>
        <v>Jul 26</v>
      </c>
      <c r="D550" s="14">
        <v>255</v>
      </c>
    </row>
    <row r="551" spans="1:4" x14ac:dyDescent="0.35">
      <c r="A551" s="8" t="str">
        <f t="shared" si="249"/>
        <v>Hong Kong</v>
      </c>
      <c r="B551" s="3" t="str">
        <f t="shared" ref="B551:B552" si="281">CHOOSE(2, "1395000000678", "No of Terminations in UM")</f>
        <v>No of Terminations in UM</v>
      </c>
      <c r="C551" s="4" t="str">
        <f>CHOOSE(2, "5461730030", "Jun 26")</f>
        <v>Jun 26</v>
      </c>
      <c r="D551" s="14">
        <v>7</v>
      </c>
    </row>
    <row r="552" spans="1:4" x14ac:dyDescent="0.35">
      <c r="A552" s="8" t="str">
        <f t="shared" si="249"/>
        <v>Hong Kong</v>
      </c>
      <c r="B552" s="6" t="str">
        <f t="shared" si="281"/>
        <v>No of Terminations in UM</v>
      </c>
      <c r="C552" s="4" t="str">
        <f>CHOOSE(2, "5462030031", "Jul 26")</f>
        <v>Jul 26</v>
      </c>
      <c r="D552" s="14">
        <v>7</v>
      </c>
    </row>
    <row r="553" spans="1:4" x14ac:dyDescent="0.35">
      <c r="A553" s="8" t="str">
        <f t="shared" ref="A553:A616" si="282">CHOOSE(2, "204000000001", "Hong Kong")</f>
        <v>Hong Kong</v>
      </c>
      <c r="B553" s="3" t="str">
        <f t="shared" ref="B553:B554" si="283">CHOOSE(2, "1395000000677", "No of Terminations in Leaders above UM")</f>
        <v>No of Terminations in Leaders above UM</v>
      </c>
      <c r="C553" s="4" t="str">
        <f>CHOOSE(2, "5461730030", "Jun 26")</f>
        <v>Jun 26</v>
      </c>
      <c r="D553" s="14">
        <v>6</v>
      </c>
    </row>
    <row r="554" spans="1:4" x14ac:dyDescent="0.35">
      <c r="A554" s="8" t="str">
        <f t="shared" si="282"/>
        <v>Hong Kong</v>
      </c>
      <c r="B554" s="6" t="str">
        <f t="shared" si="283"/>
        <v>No of Terminations in Leaders above UM</v>
      </c>
      <c r="C554" s="4" t="str">
        <f>CHOOSE(2, "5462030031", "Jul 26")</f>
        <v>Jul 26</v>
      </c>
      <c r="D554" s="14">
        <v>4</v>
      </c>
    </row>
    <row r="555" spans="1:4" x14ac:dyDescent="0.35">
      <c r="A555" s="8" t="str">
        <f t="shared" si="282"/>
        <v>Hong Kong</v>
      </c>
      <c r="B555" s="3" t="str">
        <f t="shared" ref="B555:B556" si="284">CHOOSE(2, "1395000000676", "No of Terminations in Top-tier Agents")</f>
        <v>No of Terminations in Top-tier Agents</v>
      </c>
      <c r="C555" s="4" t="str">
        <f>CHOOSE(2, "5461730030", "Jun 26")</f>
        <v>Jun 26</v>
      </c>
      <c r="D555" s="14">
        <v>0</v>
      </c>
    </row>
    <row r="556" spans="1:4" x14ac:dyDescent="0.35">
      <c r="A556" s="8" t="str">
        <f t="shared" si="282"/>
        <v>Hong Kong</v>
      </c>
      <c r="B556" s="6" t="str">
        <f t="shared" si="284"/>
        <v>No of Terminations in Top-tier Agents</v>
      </c>
      <c r="C556" s="4" t="str">
        <f>CHOOSE(2, "5462030031", "Jul 26")</f>
        <v>Jul 26</v>
      </c>
      <c r="D556" s="14">
        <v>0</v>
      </c>
    </row>
    <row r="557" spans="1:4" x14ac:dyDescent="0.35">
      <c r="A557" s="8" t="str">
        <f t="shared" si="282"/>
        <v>Hong Kong</v>
      </c>
      <c r="B557" s="3" t="str">
        <f t="shared" ref="B557:B558" si="285">CHOOSE(2, "1395000000675", "No of Terminations in pro-rated MDRT agents (&gt;100%)")</f>
        <v>No of Terminations in pro-rated MDRT agents (&gt;100%)</v>
      </c>
      <c r="C557" s="4" t="str">
        <f>CHOOSE(2, "5461730030", "Jun 26")</f>
        <v>Jun 26</v>
      </c>
      <c r="D557" s="14">
        <v>0</v>
      </c>
    </row>
    <row r="558" spans="1:4" x14ac:dyDescent="0.35">
      <c r="A558" s="8" t="str">
        <f t="shared" si="282"/>
        <v>Hong Kong</v>
      </c>
      <c r="B558" s="6" t="str">
        <f t="shared" si="285"/>
        <v>No of Terminations in pro-rated MDRT agents (&gt;100%)</v>
      </c>
      <c r="C558" s="4" t="str">
        <f>CHOOSE(2, "5462030031", "Jul 26")</f>
        <v>Jul 26</v>
      </c>
      <c r="D558" s="14">
        <v>0</v>
      </c>
    </row>
    <row r="559" spans="1:4" x14ac:dyDescent="0.35">
      <c r="A559" s="8" t="str">
        <f t="shared" si="282"/>
        <v>Hong Kong</v>
      </c>
      <c r="B559" s="3" t="str">
        <f t="shared" ref="B559:B560" si="286">CHOOSE(2, "1395000000674", "No of Terminations in pro-rated MDRT agents (70-99%)")</f>
        <v>No of Terminations in pro-rated MDRT agents (70-99%)</v>
      </c>
      <c r="C559" s="4" t="str">
        <f>CHOOSE(2, "5461730030", "Jun 26")</f>
        <v>Jun 26</v>
      </c>
      <c r="D559" s="14">
        <v>0</v>
      </c>
    </row>
    <row r="560" spans="1:4" x14ac:dyDescent="0.35">
      <c r="A560" s="8" t="str">
        <f t="shared" si="282"/>
        <v>Hong Kong</v>
      </c>
      <c r="B560" s="6" t="str">
        <f t="shared" si="286"/>
        <v>No of Terminations in pro-rated MDRT agents (70-99%)</v>
      </c>
      <c r="C560" s="4" t="str">
        <f>CHOOSE(2, "5462030031", "Jul 26")</f>
        <v>Jul 26</v>
      </c>
      <c r="D560" s="14">
        <v>0</v>
      </c>
    </row>
    <row r="561" spans="1:4" x14ac:dyDescent="0.35">
      <c r="A561" s="8" t="str">
        <f t="shared" si="282"/>
        <v>Hong Kong</v>
      </c>
      <c r="B561" s="3" t="str">
        <f t="shared" ref="B561:B562" si="287">CHOOSE(2, "1395000000673", "No of Terminations in pro-rated MDRT agents (50-69%)")</f>
        <v>No of Terminations in pro-rated MDRT agents (50-69%)</v>
      </c>
      <c r="C561" s="4" t="str">
        <f>CHOOSE(2, "5461730030", "Jun 26")</f>
        <v>Jun 26</v>
      </c>
      <c r="D561" s="14">
        <v>0</v>
      </c>
    </row>
    <row r="562" spans="1:4" x14ac:dyDescent="0.35">
      <c r="A562" s="8" t="str">
        <f t="shared" si="282"/>
        <v>Hong Kong</v>
      </c>
      <c r="B562" s="6" t="str">
        <f t="shared" si="287"/>
        <v>No of Terminations in pro-rated MDRT agents (50-69%)</v>
      </c>
      <c r="C562" s="4" t="str">
        <f>CHOOSE(2, "5462030031", "Jul 26")</f>
        <v>Jul 26</v>
      </c>
      <c r="D562" s="14">
        <v>0</v>
      </c>
    </row>
    <row r="563" spans="1:4" x14ac:dyDescent="0.35">
      <c r="A563" s="8" t="str">
        <f t="shared" si="282"/>
        <v>Hong Kong</v>
      </c>
      <c r="B563" s="3" t="str">
        <f t="shared" ref="B563:B564" si="288">CHOOSE(2, "1395000000672", "No of Terminations in Manulife Pro Qualifiers - Total")</f>
        <v>No of Terminations in Manulife Pro Qualifiers - Total</v>
      </c>
      <c r="C563" s="4" t="str">
        <f>CHOOSE(2, "5461730030", "Jun 26")</f>
        <v>Jun 26</v>
      </c>
      <c r="D563" s="2" t="s">
        <v>5</v>
      </c>
    </row>
    <row r="564" spans="1:4" x14ac:dyDescent="0.35">
      <c r="A564" s="8" t="str">
        <f t="shared" si="282"/>
        <v>Hong Kong</v>
      </c>
      <c r="B564" s="6" t="str">
        <f t="shared" si="288"/>
        <v>No of Terminations in Manulife Pro Qualifiers - Total</v>
      </c>
      <c r="C564" s="4" t="str">
        <f>CHOOSE(2, "5462030031", "Jul 26")</f>
        <v>Jul 26</v>
      </c>
      <c r="D564" s="2" t="s">
        <v>5</v>
      </c>
    </row>
    <row r="565" spans="1:4" x14ac:dyDescent="0.35">
      <c r="A565" s="8" t="str">
        <f t="shared" si="282"/>
        <v>Hong Kong</v>
      </c>
      <c r="B565" s="3" t="str">
        <f t="shared" ref="B565:B566" si="289">CHOOSE(2, "1395000000671", "First Year Agents Terminated without Sales")</f>
        <v>First Year Agents Terminated without Sales</v>
      </c>
      <c r="C565" s="4" t="str">
        <f>CHOOSE(2, "5461730030", "Jun 26")</f>
        <v>Jun 26</v>
      </c>
      <c r="D565" s="14">
        <v>109</v>
      </c>
    </row>
    <row r="566" spans="1:4" x14ac:dyDescent="0.35">
      <c r="A566" s="8" t="str">
        <f t="shared" si="282"/>
        <v>Hong Kong</v>
      </c>
      <c r="B566" s="6" t="str">
        <f t="shared" si="289"/>
        <v>First Year Agents Terminated without Sales</v>
      </c>
      <c r="C566" s="4" t="str">
        <f>CHOOSE(2, "5462030031", "Jul 26")</f>
        <v>Jul 26</v>
      </c>
      <c r="D566" s="14">
        <v>70</v>
      </c>
    </row>
    <row r="567" spans="1:4" x14ac:dyDescent="0.35">
      <c r="A567" s="8" t="str">
        <f t="shared" si="282"/>
        <v>Hong Kong</v>
      </c>
      <c r="B567" s="3" t="str">
        <f t="shared" ref="B567:B568" si="290">CHOOSE(2, "1395000000670", "6mth Agency Retention Ratio")</f>
        <v>6mth Agency Retention Ratio</v>
      </c>
      <c r="C567" s="4" t="str">
        <f>CHOOSE(2, "5461730030", "Jun 26")</f>
        <v>Jun 26</v>
      </c>
      <c r="D567" s="14">
        <v>0.85771900000000001</v>
      </c>
    </row>
    <row r="568" spans="1:4" x14ac:dyDescent="0.35">
      <c r="A568" s="8" t="str">
        <f t="shared" si="282"/>
        <v>Hong Kong</v>
      </c>
      <c r="B568" s="6" t="str">
        <f t="shared" si="290"/>
        <v>6mth Agency Retention Ratio</v>
      </c>
      <c r="C568" s="4" t="str">
        <f>CHOOSE(2, "5462030031", "Jul 26")</f>
        <v>Jul 26</v>
      </c>
      <c r="D568" s="14">
        <v>0.85441</v>
      </c>
    </row>
    <row r="569" spans="1:4" x14ac:dyDescent="0.35">
      <c r="A569" s="8" t="str">
        <f t="shared" si="282"/>
        <v>Hong Kong</v>
      </c>
      <c r="B569" s="3" t="str">
        <f t="shared" ref="B569:B570" si="291">CHOOSE(2, "1395000000669", "12mth Agency Retention Ratio")</f>
        <v>12mth Agency Retention Ratio</v>
      </c>
      <c r="C569" s="4" t="str">
        <f>CHOOSE(2, "5461730030", "Jun 26")</f>
        <v>Jun 26</v>
      </c>
      <c r="D569" s="14">
        <v>0.65945200000000004</v>
      </c>
    </row>
    <row r="570" spans="1:4" x14ac:dyDescent="0.35">
      <c r="A570" s="8" t="str">
        <f t="shared" si="282"/>
        <v>Hong Kong</v>
      </c>
      <c r="B570" s="6" t="str">
        <f t="shared" si="291"/>
        <v>12mth Agency Retention Ratio</v>
      </c>
      <c r="C570" s="4" t="str">
        <f>CHOOSE(2, "5462030031", "Jul 26")</f>
        <v>Jul 26</v>
      </c>
      <c r="D570" s="14">
        <v>0.66395400000000004</v>
      </c>
    </row>
    <row r="571" spans="1:4" x14ac:dyDescent="0.35">
      <c r="A571" s="8" t="str">
        <f t="shared" si="282"/>
        <v>Hong Kong</v>
      </c>
      <c r="B571" s="3" t="str">
        <f t="shared" ref="B571:B572" si="292">CHOOSE(2, "1395000000668", "24mth Agency Retention Ratio")</f>
        <v>24mth Agency Retention Ratio</v>
      </c>
      <c r="C571" s="4" t="str">
        <f>CHOOSE(2, "5461730030", "Jun 26")</f>
        <v>Jun 26</v>
      </c>
      <c r="D571" s="14">
        <v>0.48400300000000002</v>
      </c>
    </row>
    <row r="572" spans="1:4" x14ac:dyDescent="0.35">
      <c r="A572" s="8" t="str">
        <f t="shared" si="282"/>
        <v>Hong Kong</v>
      </c>
      <c r="B572" s="6" t="str">
        <f t="shared" si="292"/>
        <v>24mth Agency Retention Ratio</v>
      </c>
      <c r="C572" s="4" t="str">
        <f>CHOOSE(2, "5462030031", "Jul 26")</f>
        <v>Jul 26</v>
      </c>
      <c r="D572" s="14">
        <v>0.47936499999999999</v>
      </c>
    </row>
    <row r="573" spans="1:4" x14ac:dyDescent="0.35">
      <c r="A573" s="8" t="str">
        <f t="shared" si="282"/>
        <v>Hong Kong</v>
      </c>
      <c r="B573" s="3" t="str">
        <f t="shared" ref="B573:B574" si="293">CHOOSE(2, "1395000000667", "Total # of Leaders (end of period)")</f>
        <v>Total # of Leaders (end of period)</v>
      </c>
      <c r="C573" s="4" t="str">
        <f>CHOOSE(2, "5461730030", "Jun 26")</f>
        <v>Jun 26</v>
      </c>
      <c r="D573" s="14">
        <v>2335</v>
      </c>
    </row>
    <row r="574" spans="1:4" x14ac:dyDescent="0.35">
      <c r="A574" s="8" t="str">
        <f t="shared" si="282"/>
        <v>Hong Kong</v>
      </c>
      <c r="B574" s="6" t="str">
        <f t="shared" si="293"/>
        <v>Total # of Leaders (end of period)</v>
      </c>
      <c r="C574" s="4" t="str">
        <f>CHOOSE(2, "5462030031", "Jul 26")</f>
        <v>Jul 26</v>
      </c>
      <c r="D574" s="14">
        <v>2088</v>
      </c>
    </row>
    <row r="575" spans="1:4" x14ac:dyDescent="0.35">
      <c r="A575" s="8" t="str">
        <f t="shared" si="282"/>
        <v>Hong Kong</v>
      </c>
      <c r="B575" s="3" t="str">
        <f t="shared" ref="B575:B576" si="294">CHOOSE(2, "1395000000666", "Total # of Unit Managers")</f>
        <v>Total # of Unit Managers</v>
      </c>
      <c r="C575" s="4" t="str">
        <f>CHOOSE(2, "5461730030", "Jun 26")</f>
        <v>Jun 26</v>
      </c>
      <c r="D575" s="14">
        <v>1114</v>
      </c>
    </row>
    <row r="576" spans="1:4" x14ac:dyDescent="0.35">
      <c r="A576" s="8" t="str">
        <f t="shared" si="282"/>
        <v>Hong Kong</v>
      </c>
      <c r="B576" s="6" t="str">
        <f t="shared" si="294"/>
        <v>Total # of Unit Managers</v>
      </c>
      <c r="C576" s="4" t="str">
        <f>CHOOSE(2, "5462030031", "Jul 26")</f>
        <v>Jul 26</v>
      </c>
      <c r="D576" s="14">
        <v>1124</v>
      </c>
    </row>
    <row r="577" spans="1:4" x14ac:dyDescent="0.35">
      <c r="A577" s="8" t="str">
        <f t="shared" si="282"/>
        <v>Hong Kong</v>
      </c>
      <c r="B577" s="3" t="str">
        <f t="shared" ref="B577:B578" si="295">CHOOSE(2, "1395000000665", "Total # of Leaders above Unit Manager level")</f>
        <v>Total # of Leaders above Unit Manager level</v>
      </c>
      <c r="C577" s="4" t="str">
        <f>CHOOSE(2, "5461730030", "Jun 26")</f>
        <v>Jun 26</v>
      </c>
      <c r="D577" s="14">
        <v>1221</v>
      </c>
    </row>
    <row r="578" spans="1:4" x14ac:dyDescent="0.35">
      <c r="A578" s="8" t="str">
        <f t="shared" si="282"/>
        <v>Hong Kong</v>
      </c>
      <c r="B578" s="6" t="str">
        <f t="shared" si="295"/>
        <v>Total # of Leaders above Unit Manager level</v>
      </c>
      <c r="C578" s="4" t="str">
        <f>CHOOSE(2, "5462030031", "Jul 26")</f>
        <v>Jul 26</v>
      </c>
      <c r="D578" s="14">
        <v>1224</v>
      </c>
    </row>
    <row r="579" spans="1:4" x14ac:dyDescent="0.35">
      <c r="A579" s="8" t="str">
        <f t="shared" si="282"/>
        <v>Hong Kong</v>
      </c>
      <c r="B579" s="3" t="str">
        <f t="shared" ref="B579:B580" si="296">CHOOSE(2, "1395000000664", "Total # of Agents below Unit Manager level (end of period)")</f>
        <v>Total # of Agents below Unit Manager level (end of period)</v>
      </c>
      <c r="C579" s="4" t="str">
        <f>CHOOSE(2, "5461730030", "Jun 26")</f>
        <v>Jun 26</v>
      </c>
      <c r="D579" s="14">
        <v>8901</v>
      </c>
    </row>
    <row r="580" spans="1:4" x14ac:dyDescent="0.35">
      <c r="A580" s="8" t="str">
        <f t="shared" si="282"/>
        <v>Hong Kong</v>
      </c>
      <c r="B580" s="6" t="str">
        <f t="shared" si="296"/>
        <v>Total # of Agents below Unit Manager level (end of period)</v>
      </c>
      <c r="C580" s="4" t="str">
        <f>CHOOSE(2, "5462030031", "Jul 26")</f>
        <v>Jul 26</v>
      </c>
      <c r="D580" s="14">
        <v>8897</v>
      </c>
    </row>
    <row r="581" spans="1:4" x14ac:dyDescent="0.35">
      <c r="A581" s="8" t="str">
        <f t="shared" si="282"/>
        <v>Hong Kong</v>
      </c>
      <c r="B581" s="3" t="str">
        <f t="shared" ref="B581:B582" si="297">CHOOSE(2, "1395000000663", "# of Active Recruiting Leaders")</f>
        <v># of Active Recruiting Leaders</v>
      </c>
      <c r="C581" s="4" t="str">
        <f>CHOOSE(2, "5461730030", "Jun 26")</f>
        <v>Jun 26</v>
      </c>
      <c r="D581" s="14">
        <v>227</v>
      </c>
    </row>
    <row r="582" spans="1:4" x14ac:dyDescent="0.35">
      <c r="A582" s="8" t="str">
        <f t="shared" si="282"/>
        <v>Hong Kong</v>
      </c>
      <c r="B582" s="6" t="str">
        <f t="shared" si="297"/>
        <v># of Active Recruiting Leaders</v>
      </c>
      <c r="C582" s="4" t="str">
        <f>CHOOSE(2, "5462030031", "Jul 26")</f>
        <v>Jul 26</v>
      </c>
      <c r="D582" s="14">
        <v>160</v>
      </c>
    </row>
    <row r="583" spans="1:4" x14ac:dyDescent="0.35">
      <c r="A583" s="8" t="str">
        <f t="shared" si="282"/>
        <v>Hong Kong</v>
      </c>
      <c r="B583" s="3" t="str">
        <f t="shared" ref="B583:B584" si="298">CHOOSE(2, "1395000000662", "# of leaders with &gt;1 YTD recruit")</f>
        <v># of leaders with &gt;1 YTD recruit</v>
      </c>
      <c r="C583" s="4" t="str">
        <f>CHOOSE(2, "5461730030", "Jun 26")</f>
        <v>Jun 26</v>
      </c>
      <c r="D583" s="14">
        <v>932</v>
      </c>
    </row>
    <row r="584" spans="1:4" x14ac:dyDescent="0.35">
      <c r="A584" s="8" t="str">
        <f t="shared" si="282"/>
        <v>Hong Kong</v>
      </c>
      <c r="B584" s="6" t="str">
        <f t="shared" si="298"/>
        <v># of leaders with &gt;1 YTD recruit</v>
      </c>
      <c r="C584" s="4" t="str">
        <f>CHOOSE(2, "5462030031", "Jul 26")</f>
        <v>Jul 26</v>
      </c>
      <c r="D584" s="14">
        <v>1044</v>
      </c>
    </row>
    <row r="585" spans="1:4" x14ac:dyDescent="0.35">
      <c r="A585" s="8" t="str">
        <f t="shared" si="282"/>
        <v>Hong Kong</v>
      </c>
      <c r="B585" s="3" t="str">
        <f t="shared" ref="B585:B586" si="299">CHOOSE(2, "1395000000661", "Income ratio from personal sales (UM)")</f>
        <v>Income ratio from personal sales (UM)</v>
      </c>
      <c r="C585" s="4" t="str">
        <f>CHOOSE(2, "5461730030", "Jun 26")</f>
        <v>Jun 26</v>
      </c>
      <c r="D585" s="14">
        <v>0.87201672547377984</v>
      </c>
    </row>
    <row r="586" spans="1:4" x14ac:dyDescent="0.35">
      <c r="A586" s="8" t="str">
        <f t="shared" si="282"/>
        <v>Hong Kong</v>
      </c>
      <c r="B586" s="6" t="str">
        <f t="shared" si="299"/>
        <v>Income ratio from personal sales (UM)</v>
      </c>
      <c r="C586" s="4" t="str">
        <f>CHOOSE(2, "5462030031", "Jul 26")</f>
        <v>Jul 26</v>
      </c>
      <c r="D586" s="14">
        <v>0.87453397293544077</v>
      </c>
    </row>
    <row r="587" spans="1:4" x14ac:dyDescent="0.35">
      <c r="A587" s="8" t="str">
        <f t="shared" si="282"/>
        <v>Hong Kong</v>
      </c>
      <c r="B587" s="3" t="str">
        <f t="shared" ref="B587:B588" si="300">CHOOSE(2, "1395000000660", "Income ratio from personal sales (UM) (numerator)")</f>
        <v>Income ratio from personal sales (UM) (numerator)</v>
      </c>
      <c r="C587" s="4" t="str">
        <f>CHOOSE(2, "5461730030", "Jun 26")</f>
        <v>Jun 26</v>
      </c>
      <c r="D587" s="14">
        <v>51238942.851159997</v>
      </c>
    </row>
    <row r="588" spans="1:4" x14ac:dyDescent="0.35">
      <c r="A588" s="8" t="str">
        <f t="shared" si="282"/>
        <v>Hong Kong</v>
      </c>
      <c r="B588" s="6" t="str">
        <f t="shared" si="300"/>
        <v>Income ratio from personal sales (UM) (numerator)</v>
      </c>
      <c r="C588" s="4" t="str">
        <f>CHOOSE(2, "5462030031", "Jul 26")</f>
        <v>Jul 26</v>
      </c>
      <c r="D588" s="14">
        <v>56431845.953713</v>
      </c>
    </row>
    <row r="589" spans="1:4" x14ac:dyDescent="0.35">
      <c r="A589" s="8" t="str">
        <f t="shared" si="282"/>
        <v>Hong Kong</v>
      </c>
      <c r="B589" s="3" t="str">
        <f t="shared" ref="B589:B590" si="301">CHOOSE(2, "1395000000659", "Income ratio from personal sales (UM) (denominator)")</f>
        <v>Income ratio from personal sales (UM) (denominator)</v>
      </c>
      <c r="C589" s="4" t="str">
        <f>CHOOSE(2, "5461730030", "Jun 26")</f>
        <v>Jun 26</v>
      </c>
      <c r="D589" s="14">
        <v>58759128.528550997</v>
      </c>
    </row>
    <row r="590" spans="1:4" x14ac:dyDescent="0.35">
      <c r="A590" s="8" t="str">
        <f t="shared" si="282"/>
        <v>Hong Kong</v>
      </c>
      <c r="B590" s="6" t="str">
        <f t="shared" si="301"/>
        <v>Income ratio from personal sales (UM) (denominator)</v>
      </c>
      <c r="C590" s="4" t="str">
        <f>CHOOSE(2, "5462030031", "Jul 26")</f>
        <v>Jul 26</v>
      </c>
      <c r="D590" s="14">
        <v>64527905.947775997</v>
      </c>
    </row>
    <row r="591" spans="1:4" x14ac:dyDescent="0.35">
      <c r="A591" s="8" t="str">
        <f t="shared" si="282"/>
        <v>Hong Kong</v>
      </c>
      <c r="B591" s="3" t="str">
        <f t="shared" ref="B591:B592" si="302">CHOOSE(2, "1395000000658", "Income ratio from personal sales (Leader above UM)")</f>
        <v>Income ratio from personal sales (Leader above UM)</v>
      </c>
      <c r="C591" s="4" t="str">
        <f>CHOOSE(2, "5461730030", "Jun 26")</f>
        <v>Jun 26</v>
      </c>
      <c r="D591" s="14">
        <v>0.51051026372302233</v>
      </c>
    </row>
    <row r="592" spans="1:4" x14ac:dyDescent="0.35">
      <c r="A592" s="8" t="str">
        <f t="shared" si="282"/>
        <v>Hong Kong</v>
      </c>
      <c r="B592" s="6" t="str">
        <f t="shared" si="302"/>
        <v>Income ratio from personal sales (Leader above UM)</v>
      </c>
      <c r="C592" s="4" t="str">
        <f>CHOOSE(2, "5462030031", "Jul 26")</f>
        <v>Jul 26</v>
      </c>
      <c r="D592" s="14">
        <v>0.46267987923506365</v>
      </c>
    </row>
    <row r="593" spans="1:4" x14ac:dyDescent="0.35">
      <c r="A593" s="8" t="str">
        <f t="shared" si="282"/>
        <v>Hong Kong</v>
      </c>
      <c r="B593" s="3" t="str">
        <f t="shared" ref="B593:B594" si="303">CHOOSE(2, "1395000000657", "Income ratio from personal sales (Leader above UM) (num)")</f>
        <v>Income ratio from personal sales (Leader above UM) (num)</v>
      </c>
      <c r="C593" s="4" t="str">
        <f>CHOOSE(2, "5461730030", "Jun 26")</f>
        <v>Jun 26</v>
      </c>
      <c r="D593" s="14">
        <v>73769918.320383996</v>
      </c>
    </row>
    <row r="594" spans="1:4" x14ac:dyDescent="0.35">
      <c r="A594" s="8" t="str">
        <f t="shared" si="282"/>
        <v>Hong Kong</v>
      </c>
      <c r="B594" s="6" t="str">
        <f t="shared" si="303"/>
        <v>Income ratio from personal sales (Leader above UM) (num)</v>
      </c>
      <c r="C594" s="4" t="str">
        <f>CHOOSE(2, "5462030031", "Jul 26")</f>
        <v>Jul 26</v>
      </c>
      <c r="D594" s="14">
        <v>82669281.844313994</v>
      </c>
    </row>
    <row r="595" spans="1:4" x14ac:dyDescent="0.35">
      <c r="A595" s="8" t="str">
        <f t="shared" si="282"/>
        <v>Hong Kong</v>
      </c>
      <c r="B595" s="3" t="str">
        <f t="shared" ref="B595:B596" si="304">CHOOSE(2, "1395000000656", "Income ratio from personal sales (Leader above UM) (den)")</f>
        <v>Income ratio from personal sales (Leader above UM) (den)</v>
      </c>
      <c r="C595" s="4" t="str">
        <f>CHOOSE(2, "5461730030", "Jun 26")</f>
        <v>Jun 26</v>
      </c>
      <c r="D595" s="14">
        <v>144502321.62307301</v>
      </c>
    </row>
    <row r="596" spans="1:4" x14ac:dyDescent="0.35">
      <c r="A596" s="8" t="str">
        <f t="shared" si="282"/>
        <v>Hong Kong</v>
      </c>
      <c r="B596" s="6" t="str">
        <f t="shared" si="304"/>
        <v>Income ratio from personal sales (Leader above UM) (den)</v>
      </c>
      <c r="C596" s="4" t="str">
        <f>CHOOSE(2, "5462030031", "Jul 26")</f>
        <v>Jul 26</v>
      </c>
      <c r="D596" s="14">
        <v>178674901.49126199</v>
      </c>
    </row>
    <row r="597" spans="1:4" x14ac:dyDescent="0.35">
      <c r="A597" s="8" t="str">
        <f t="shared" si="282"/>
        <v>Hong Kong</v>
      </c>
      <c r="B597" s="3" t="str">
        <f t="shared" ref="B597:B598" si="305">CHOOSE(2, "1395000000655", "Total agent earnings")</f>
        <v>Total agent earnings</v>
      </c>
      <c r="C597" s="4" t="str">
        <f>CHOOSE(2, "5461730030", "Jun 26")</f>
        <v>Jun 26</v>
      </c>
      <c r="D597" s="14">
        <v>336452970.82730299</v>
      </c>
    </row>
    <row r="598" spans="1:4" x14ac:dyDescent="0.35">
      <c r="A598" s="8" t="str">
        <f t="shared" si="282"/>
        <v>Hong Kong</v>
      </c>
      <c r="B598" s="6" t="str">
        <f t="shared" si="305"/>
        <v>Total agent earnings</v>
      </c>
      <c r="C598" s="4" t="str">
        <f>CHOOSE(2, "5462030031", "Jul 26")</f>
        <v>Jul 26</v>
      </c>
      <c r="D598" s="14">
        <v>393178134.02186102</v>
      </c>
    </row>
    <row r="599" spans="1:4" x14ac:dyDescent="0.35">
      <c r="A599" s="8" t="str">
        <f t="shared" si="282"/>
        <v>Hong Kong</v>
      </c>
      <c r="B599" s="3" t="str">
        <f t="shared" ref="B599:B600" si="306">CHOOSE(2, "1395000000654", "Total agent earnings in FA or equivalent")</f>
        <v>Total agent earnings in FA or equivalent</v>
      </c>
      <c r="C599" s="4" t="str">
        <f>CHOOSE(2, "5461730030", "Jun 26")</f>
        <v>Jun 26</v>
      </c>
      <c r="D599" s="14">
        <v>133191520.675679</v>
      </c>
    </row>
    <row r="600" spans="1:4" x14ac:dyDescent="0.35">
      <c r="A600" s="8" t="str">
        <f t="shared" si="282"/>
        <v>Hong Kong</v>
      </c>
      <c r="B600" s="6" t="str">
        <f t="shared" si="306"/>
        <v>Total agent earnings in FA or equivalent</v>
      </c>
      <c r="C600" s="4" t="str">
        <f>CHOOSE(2, "5462030031", "Jul 26")</f>
        <v>Jul 26</v>
      </c>
      <c r="D600" s="14">
        <v>149975326.58282301</v>
      </c>
    </row>
    <row r="601" spans="1:4" x14ac:dyDescent="0.35">
      <c r="A601" s="8" t="str">
        <f t="shared" si="282"/>
        <v>Hong Kong</v>
      </c>
      <c r="B601" s="3" t="str">
        <f t="shared" ref="B601:B602" si="307">CHOOSE(2, "1395000000653", "Total agent earnings in UM")</f>
        <v>Total agent earnings in UM</v>
      </c>
      <c r="C601" s="4" t="str">
        <f>CHOOSE(2, "5461730030", "Jun 26")</f>
        <v>Jun 26</v>
      </c>
      <c r="D601" s="14">
        <v>58759128.528550997</v>
      </c>
    </row>
    <row r="602" spans="1:4" x14ac:dyDescent="0.35">
      <c r="A602" s="8" t="str">
        <f t="shared" si="282"/>
        <v>Hong Kong</v>
      </c>
      <c r="B602" s="6" t="str">
        <f t="shared" si="307"/>
        <v>Total agent earnings in UM</v>
      </c>
      <c r="C602" s="4" t="str">
        <f>CHOOSE(2, "5462030031", "Jul 26")</f>
        <v>Jul 26</v>
      </c>
      <c r="D602" s="14">
        <v>64527905.947775997</v>
      </c>
    </row>
    <row r="603" spans="1:4" x14ac:dyDescent="0.35">
      <c r="A603" s="8" t="str">
        <f t="shared" si="282"/>
        <v>Hong Kong</v>
      </c>
      <c r="B603" s="3" t="str">
        <f t="shared" ref="B603:B604" si="308">CHOOSE(2, "1395000000652", "Total agent earnings in Leaders above UM")</f>
        <v>Total agent earnings in Leaders above UM</v>
      </c>
      <c r="C603" s="4" t="str">
        <f>CHOOSE(2, "5461730030", "Jun 26")</f>
        <v>Jun 26</v>
      </c>
      <c r="D603" s="14">
        <v>144502321.62307301</v>
      </c>
    </row>
    <row r="604" spans="1:4" x14ac:dyDescent="0.35">
      <c r="A604" s="8" t="str">
        <f t="shared" si="282"/>
        <v>Hong Kong</v>
      </c>
      <c r="B604" s="6" t="str">
        <f t="shared" si="308"/>
        <v>Total agent earnings in Leaders above UM</v>
      </c>
      <c r="C604" s="4" t="str">
        <f>CHOOSE(2, "5462030031", "Jul 26")</f>
        <v>Jul 26</v>
      </c>
      <c r="D604" s="14">
        <v>178674901.49126199</v>
      </c>
    </row>
    <row r="605" spans="1:4" x14ac:dyDescent="0.35">
      <c r="A605" s="8" t="str">
        <f t="shared" si="282"/>
        <v>Hong Kong</v>
      </c>
      <c r="B605" s="3" t="str">
        <f t="shared" ref="B605:B606" si="309">CHOOSE(2, "1395000000651", "# of Newly Promoted UM")</f>
        <v># of Newly Promoted UM</v>
      </c>
      <c r="C605" s="4" t="str">
        <f>CHOOSE(2, "5461730030", "Jun 26")</f>
        <v>Jun 26</v>
      </c>
      <c r="D605" s="14">
        <v>17</v>
      </c>
    </row>
    <row r="606" spans="1:4" x14ac:dyDescent="0.35">
      <c r="A606" s="8" t="str">
        <f t="shared" si="282"/>
        <v>Hong Kong</v>
      </c>
      <c r="B606" s="6" t="str">
        <f t="shared" si="309"/>
        <v># of Newly Promoted UM</v>
      </c>
      <c r="C606" s="4" t="str">
        <f>CHOOSE(2, "5462030031", "Jul 26")</f>
        <v>Jul 26</v>
      </c>
      <c r="D606" s="14">
        <v>27</v>
      </c>
    </row>
    <row r="607" spans="1:4" x14ac:dyDescent="0.35">
      <c r="A607" s="8" t="str">
        <f t="shared" si="282"/>
        <v>Hong Kong</v>
      </c>
      <c r="B607" s="3" t="str">
        <f t="shared" ref="B607:B608" si="310">CHOOSE(2, "1395000000650", "# of Newly Promoted Leaders above UM")</f>
        <v># of Newly Promoted Leaders above UM</v>
      </c>
      <c r="C607" s="4" t="str">
        <f>CHOOSE(2, "5461730030", "Jun 26")</f>
        <v>Jun 26</v>
      </c>
      <c r="D607" s="14">
        <v>9</v>
      </c>
    </row>
    <row r="608" spans="1:4" x14ac:dyDescent="0.35">
      <c r="A608" s="8" t="str">
        <f t="shared" si="282"/>
        <v>Hong Kong</v>
      </c>
      <c r="B608" s="6" t="str">
        <f t="shared" si="310"/>
        <v># of Newly Promoted Leaders above UM</v>
      </c>
      <c r="C608" s="4" t="str">
        <f>CHOOSE(2, "5462030031", "Jul 26")</f>
        <v>Jul 26</v>
      </c>
      <c r="D608" s="14">
        <v>27</v>
      </c>
    </row>
    <row r="609" spans="1:4" x14ac:dyDescent="0.35">
      <c r="A609" s="8" t="str">
        <f t="shared" si="282"/>
        <v>Hong Kong</v>
      </c>
      <c r="B609" s="3" t="str">
        <f t="shared" ref="B609:B610" si="311">CHOOSE(2, "1395000000649", "# of Total Leader Promotions")</f>
        <v># of Total Leader Promotions</v>
      </c>
      <c r="C609" s="4" t="str">
        <f>CHOOSE(2, "5461730030", "Jun 26")</f>
        <v>Jun 26</v>
      </c>
      <c r="D609" s="14">
        <v>26</v>
      </c>
    </row>
    <row r="610" spans="1:4" x14ac:dyDescent="0.35">
      <c r="A610" s="8" t="str">
        <f t="shared" si="282"/>
        <v>Hong Kong</v>
      </c>
      <c r="B610" s="6" t="str">
        <f t="shared" si="311"/>
        <v># of Total Leader Promotions</v>
      </c>
      <c r="C610" s="4" t="str">
        <f>CHOOSE(2, "5462030031", "Jul 26")</f>
        <v>Jul 26</v>
      </c>
      <c r="D610" s="14">
        <v>54</v>
      </c>
    </row>
    <row r="611" spans="1:4" x14ac:dyDescent="0.35">
      <c r="A611" s="8" t="str">
        <f t="shared" si="282"/>
        <v>Hong Kong</v>
      </c>
      <c r="B611" s="3" t="str">
        <f t="shared" ref="B611:B612" si="312">CHOOSE(2, "1395000000648", "# of Newly Demoted UM")</f>
        <v># of Newly Demoted UM</v>
      </c>
      <c r="C611" s="4" t="str">
        <f>CHOOSE(2, "5461730030", "Jun 26")</f>
        <v>Jun 26</v>
      </c>
      <c r="D611" s="14">
        <v>0</v>
      </c>
    </row>
    <row r="612" spans="1:4" x14ac:dyDescent="0.35">
      <c r="A612" s="8" t="str">
        <f t="shared" si="282"/>
        <v>Hong Kong</v>
      </c>
      <c r="B612" s="6" t="str">
        <f t="shared" si="312"/>
        <v># of Newly Demoted UM</v>
      </c>
      <c r="C612" s="4" t="str">
        <f>CHOOSE(2, "5462030031", "Jul 26")</f>
        <v>Jul 26</v>
      </c>
      <c r="D612" s="14">
        <v>5</v>
      </c>
    </row>
    <row r="613" spans="1:4" x14ac:dyDescent="0.35">
      <c r="A613" s="8" t="str">
        <f t="shared" si="282"/>
        <v>Hong Kong</v>
      </c>
      <c r="B613" s="3" t="str">
        <f t="shared" ref="B613:B614" si="313">CHOOSE(2, "1395000000647", "# of Newly Demoted Leaders above UM")</f>
        <v># of Newly Demoted Leaders above UM</v>
      </c>
      <c r="C613" s="4" t="str">
        <f>CHOOSE(2, "5461730030", "Jun 26")</f>
        <v>Jun 26</v>
      </c>
      <c r="D613" s="14">
        <v>0</v>
      </c>
    </row>
    <row r="614" spans="1:4" x14ac:dyDescent="0.35">
      <c r="A614" s="8" t="str">
        <f t="shared" si="282"/>
        <v>Hong Kong</v>
      </c>
      <c r="B614" s="6" t="str">
        <f t="shared" si="313"/>
        <v># of Newly Demoted Leaders above UM</v>
      </c>
      <c r="C614" s="4" t="str">
        <f>CHOOSE(2, "5462030031", "Jul 26")</f>
        <v>Jul 26</v>
      </c>
      <c r="D614" s="14">
        <v>7</v>
      </c>
    </row>
    <row r="615" spans="1:4" x14ac:dyDescent="0.35">
      <c r="A615" s="8" t="str">
        <f t="shared" si="282"/>
        <v>Hong Kong</v>
      </c>
      <c r="B615" s="3" t="str">
        <f t="shared" ref="B615:B616" si="314">CHOOSE(2, "1395000000646", "# of Total Leader Demotions")</f>
        <v># of Total Leader Demotions</v>
      </c>
      <c r="C615" s="4" t="str">
        <f>CHOOSE(2, "5461730030", "Jun 26")</f>
        <v>Jun 26</v>
      </c>
      <c r="D615" s="14">
        <v>0</v>
      </c>
    </row>
    <row r="616" spans="1:4" x14ac:dyDescent="0.35">
      <c r="A616" s="8" t="str">
        <f t="shared" si="282"/>
        <v>Hong Kong</v>
      </c>
      <c r="B616" s="6" t="str">
        <f t="shared" si="314"/>
        <v># of Total Leader Demotions</v>
      </c>
      <c r="C616" s="4" t="str">
        <f>CHOOSE(2, "5462030031", "Jul 26")</f>
        <v>Jul 26</v>
      </c>
      <c r="D616" s="14">
        <v>12</v>
      </c>
    </row>
    <row r="617" spans="1:4" x14ac:dyDescent="0.35">
      <c r="A617" s="8" t="str">
        <f t="shared" ref="A617:A680" si="315">CHOOSE(2, "204000000001", "Hong Kong")</f>
        <v>Hong Kong</v>
      </c>
      <c r="B617" s="3" t="str">
        <f t="shared" ref="B617:B618" si="316">CHOOSE(2, "1395000000645", "# of agents meeting MOC")</f>
        <v># of agents meeting MOC</v>
      </c>
      <c r="C617" s="4" t="str">
        <f>CHOOSE(2, "5461730030", "Jun 26")</f>
        <v>Jun 26</v>
      </c>
      <c r="D617" s="14">
        <v>10915</v>
      </c>
    </row>
    <row r="618" spans="1:4" x14ac:dyDescent="0.35">
      <c r="A618" s="8" t="str">
        <f t="shared" si="315"/>
        <v>Hong Kong</v>
      </c>
      <c r="B618" s="6" t="str">
        <f t="shared" si="316"/>
        <v># of agents meeting MOC</v>
      </c>
      <c r="C618" s="4" t="str">
        <f>CHOOSE(2, "5462030031", "Jul 26")</f>
        <v>Jul 26</v>
      </c>
      <c r="D618" s="14">
        <v>10898</v>
      </c>
    </row>
    <row r="619" spans="1:4" x14ac:dyDescent="0.35">
      <c r="A619" s="8" t="str">
        <f t="shared" si="315"/>
        <v>Hong Kong</v>
      </c>
      <c r="B619" s="3" t="str">
        <f t="shared" ref="B619:B620" si="317">CHOOSE(2, "1395000000644", "# of agents meeting MOC in FA or equivalent")</f>
        <v># of agents meeting MOC in FA or equivalent</v>
      </c>
      <c r="C619" s="4" t="str">
        <f>CHOOSE(2, "5461730030", "Jun 26")</f>
        <v>Jun 26</v>
      </c>
      <c r="D619" s="14">
        <v>8615</v>
      </c>
    </row>
    <row r="620" spans="1:4" x14ac:dyDescent="0.35">
      <c r="A620" s="8" t="str">
        <f t="shared" si="315"/>
        <v>Hong Kong</v>
      </c>
      <c r="B620" s="6" t="str">
        <f t="shared" si="317"/>
        <v># of agents meeting MOC in FA or equivalent</v>
      </c>
      <c r="C620" s="4" t="str">
        <f>CHOOSE(2, "5462030031", "Jul 26")</f>
        <v>Jul 26</v>
      </c>
      <c r="D620" s="14">
        <v>8594</v>
      </c>
    </row>
    <row r="621" spans="1:4" x14ac:dyDescent="0.35">
      <c r="A621" s="8" t="str">
        <f t="shared" si="315"/>
        <v>Hong Kong</v>
      </c>
      <c r="B621" s="3" t="str">
        <f t="shared" ref="B621:B622" si="318">CHOOSE(2, "1395000000643", "# of agents meeting MOC in UM")</f>
        <v># of agents meeting MOC in UM</v>
      </c>
      <c r="C621" s="4" t="str">
        <f>CHOOSE(2, "5461730030", "Jun 26")</f>
        <v>Jun 26</v>
      </c>
      <c r="D621" s="14">
        <v>1091</v>
      </c>
    </row>
    <row r="622" spans="1:4" x14ac:dyDescent="0.35">
      <c r="A622" s="8" t="str">
        <f t="shared" si="315"/>
        <v>Hong Kong</v>
      </c>
      <c r="B622" s="6" t="str">
        <f t="shared" si="318"/>
        <v># of agents meeting MOC in UM</v>
      </c>
      <c r="C622" s="4" t="str">
        <f>CHOOSE(2, "5462030031", "Jul 26")</f>
        <v>Jul 26</v>
      </c>
      <c r="D622" s="14">
        <v>1096</v>
      </c>
    </row>
    <row r="623" spans="1:4" x14ac:dyDescent="0.35">
      <c r="A623" s="8" t="str">
        <f t="shared" si="315"/>
        <v>Hong Kong</v>
      </c>
      <c r="B623" s="3" t="str">
        <f t="shared" ref="B623:B624" si="319">CHOOSE(2, "1395000000642", "# of agents meeting MOC in Leaders above UM")</f>
        <v># of agents meeting MOC in Leaders above UM</v>
      </c>
      <c r="C623" s="4" t="str">
        <f>CHOOSE(2, "5461730030", "Jun 26")</f>
        <v>Jun 26</v>
      </c>
      <c r="D623" s="14">
        <v>1209</v>
      </c>
    </row>
    <row r="624" spans="1:4" x14ac:dyDescent="0.35">
      <c r="A624" s="8" t="str">
        <f t="shared" si="315"/>
        <v>Hong Kong</v>
      </c>
      <c r="B624" s="6" t="str">
        <f t="shared" si="319"/>
        <v># of agents meeting MOC in Leaders above UM</v>
      </c>
      <c r="C624" s="4" t="str">
        <f>CHOOSE(2, "5462030031", "Jul 26")</f>
        <v>Jul 26</v>
      </c>
      <c r="D624" s="14">
        <v>1208</v>
      </c>
    </row>
    <row r="625" spans="1:4" x14ac:dyDescent="0.35">
      <c r="A625" s="8" t="str">
        <f t="shared" si="315"/>
        <v>Hong Kong</v>
      </c>
      <c r="B625" s="3" t="str">
        <f t="shared" ref="B625:B626" si="320">CHOOSE(2, "1395000000641", "New Leaders 3M Activation Rate (by cohort)")</f>
        <v>New Leaders 3M Activation Rate (by cohort)</v>
      </c>
      <c r="C625" s="4" t="str">
        <f>CHOOSE(2, "5461730030", "Jun 26")</f>
        <v>Jun 26</v>
      </c>
      <c r="D625" s="14">
        <v>0.4</v>
      </c>
    </row>
    <row r="626" spans="1:4" x14ac:dyDescent="0.35">
      <c r="A626" s="8" t="str">
        <f t="shared" si="315"/>
        <v>Hong Kong</v>
      </c>
      <c r="B626" s="6" t="str">
        <f t="shared" si="320"/>
        <v>New Leaders 3M Activation Rate (by cohort)</v>
      </c>
      <c r="C626" s="4" t="str">
        <f>CHOOSE(2, "5462030031", "Jul 26")</f>
        <v>Jul 26</v>
      </c>
      <c r="D626" s="14">
        <v>0.25925925925925924</v>
      </c>
    </row>
    <row r="627" spans="1:4" x14ac:dyDescent="0.35">
      <c r="A627" s="8" t="str">
        <f t="shared" si="315"/>
        <v>Hong Kong</v>
      </c>
      <c r="B627" s="3" t="str">
        <f t="shared" ref="B627:B628" si="321">CHOOSE(2, "1395000000640", "New Leaders 3M Activation Rate (by cohort) (numerator)")</f>
        <v>New Leaders 3M Activation Rate (by cohort) (numerator)</v>
      </c>
      <c r="C627" s="4" t="str">
        <f>CHOOSE(2, "5461730030", "Jun 26")</f>
        <v>Jun 26</v>
      </c>
      <c r="D627" s="14">
        <v>4</v>
      </c>
    </row>
    <row r="628" spans="1:4" x14ac:dyDescent="0.35">
      <c r="A628" s="8" t="str">
        <f t="shared" si="315"/>
        <v>Hong Kong</v>
      </c>
      <c r="B628" s="6" t="str">
        <f t="shared" si="321"/>
        <v>New Leaders 3M Activation Rate (by cohort) (numerator)</v>
      </c>
      <c r="C628" s="4" t="str">
        <f>CHOOSE(2, "5462030031", "Jul 26")</f>
        <v>Jul 26</v>
      </c>
      <c r="D628" s="14">
        <v>7</v>
      </c>
    </row>
    <row r="629" spans="1:4" x14ac:dyDescent="0.35">
      <c r="A629" s="8" t="str">
        <f t="shared" si="315"/>
        <v>Hong Kong</v>
      </c>
      <c r="B629" s="3" t="str">
        <f t="shared" ref="B629:B630" si="322">CHOOSE(2, "1395000000639", "New Leaders 3M Activation Rate (by cohort) (denominator)")</f>
        <v>New Leaders 3M Activation Rate (by cohort) (denominator)</v>
      </c>
      <c r="C629" s="4" t="str">
        <f>CHOOSE(2, "5461730030", "Jun 26")</f>
        <v>Jun 26</v>
      </c>
      <c r="D629" s="14">
        <v>10</v>
      </c>
    </row>
    <row r="630" spans="1:4" x14ac:dyDescent="0.35">
      <c r="A630" s="8" t="str">
        <f t="shared" si="315"/>
        <v>Hong Kong</v>
      </c>
      <c r="B630" s="6" t="str">
        <f t="shared" si="322"/>
        <v>New Leaders 3M Activation Rate (by cohort) (denominator)</v>
      </c>
      <c r="C630" s="4" t="str">
        <f>CHOOSE(2, "5462030031", "Jul 26")</f>
        <v>Jul 26</v>
      </c>
      <c r="D630" s="14">
        <v>27</v>
      </c>
    </row>
    <row r="631" spans="1:4" x14ac:dyDescent="0.35">
      <c r="A631" s="8" t="str">
        <f t="shared" si="315"/>
        <v>Hong Kong</v>
      </c>
      <c r="B631" s="3" t="str">
        <f t="shared" ref="B631:B632" si="323">CHOOSE(2, "1395000000638", "# of pro-rated MDRT agents (100%)")</f>
        <v># of pro-rated MDRT agents (100%)</v>
      </c>
      <c r="C631" s="4" t="str">
        <f>CHOOSE(2, "5461730030", "Jun 26")</f>
        <v>Jun 26</v>
      </c>
      <c r="D631" s="14">
        <v>2343</v>
      </c>
    </row>
    <row r="632" spans="1:4" x14ac:dyDescent="0.35">
      <c r="A632" s="8" t="str">
        <f t="shared" si="315"/>
        <v>Hong Kong</v>
      </c>
      <c r="B632" s="6" t="str">
        <f t="shared" si="323"/>
        <v># of pro-rated MDRT agents (100%)</v>
      </c>
      <c r="C632" s="4" t="str">
        <f>CHOOSE(2, "5462030031", "Jul 26")</f>
        <v>Jul 26</v>
      </c>
      <c r="D632" s="14">
        <v>2200</v>
      </c>
    </row>
    <row r="633" spans="1:4" x14ac:dyDescent="0.35">
      <c r="A633" s="8" t="str">
        <f t="shared" si="315"/>
        <v>Hong Kong</v>
      </c>
      <c r="B633" s="3" t="str">
        <f t="shared" ref="B633:B634" si="324">CHOOSE(2, "1395000000637", "# of pro-rated MDRT agents (90%-99%)")</f>
        <v># of pro-rated MDRT agents (90%-99%)</v>
      </c>
      <c r="C633" s="4" t="str">
        <f>CHOOSE(2, "5461730030", "Jun 26")</f>
        <v>Jun 26</v>
      </c>
      <c r="D633" s="2" t="s">
        <v>5</v>
      </c>
    </row>
    <row r="634" spans="1:4" x14ac:dyDescent="0.35">
      <c r="A634" s="8" t="str">
        <f t="shared" si="315"/>
        <v>Hong Kong</v>
      </c>
      <c r="B634" s="6" t="str">
        <f t="shared" si="324"/>
        <v># of pro-rated MDRT agents (90%-99%)</v>
      </c>
      <c r="C634" s="4" t="str">
        <f>CHOOSE(2, "5462030031", "Jul 26")</f>
        <v>Jul 26</v>
      </c>
      <c r="D634" s="2" t="s">
        <v>5</v>
      </c>
    </row>
    <row r="635" spans="1:4" x14ac:dyDescent="0.35">
      <c r="A635" s="8" t="str">
        <f t="shared" si="315"/>
        <v>Hong Kong</v>
      </c>
      <c r="B635" s="3" t="str">
        <f t="shared" ref="B635:B636" si="325">CHOOSE(2, "1395000000636", "# of pro-rated MDRT agents (70%-90%)")</f>
        <v># of pro-rated MDRT agents (70%-90%)</v>
      </c>
      <c r="C635" s="4" t="str">
        <f>CHOOSE(2, "5461730030", "Jun 26")</f>
        <v>Jun 26</v>
      </c>
      <c r="D635" s="2" t="s">
        <v>5</v>
      </c>
    </row>
    <row r="636" spans="1:4" x14ac:dyDescent="0.35">
      <c r="A636" s="8" t="str">
        <f t="shared" si="315"/>
        <v>Hong Kong</v>
      </c>
      <c r="B636" s="6" t="str">
        <f t="shared" si="325"/>
        <v># of pro-rated MDRT agents (70%-90%)</v>
      </c>
      <c r="C636" s="4" t="str">
        <f>CHOOSE(2, "5462030031", "Jul 26")</f>
        <v>Jul 26</v>
      </c>
      <c r="D636" s="2" t="s">
        <v>5</v>
      </c>
    </row>
    <row r="637" spans="1:4" x14ac:dyDescent="0.35">
      <c r="A637" s="8" t="str">
        <f t="shared" si="315"/>
        <v>Hong Kong</v>
      </c>
      <c r="B637" s="3" t="str">
        <f t="shared" ref="B637:B638" si="326">CHOOSE(2, "1395000000635", "# of pro-rated MDRT agents (&lt;70%)")</f>
        <v># of pro-rated MDRT agents (&lt;70%)</v>
      </c>
      <c r="C637" s="4" t="str">
        <f>CHOOSE(2, "5461730030", "Jun 26")</f>
        <v>Jun 26</v>
      </c>
      <c r="D637" s="2" t="s">
        <v>5</v>
      </c>
    </row>
    <row r="638" spans="1:4" x14ac:dyDescent="0.35">
      <c r="A638" s="8" t="str">
        <f t="shared" si="315"/>
        <v>Hong Kong</v>
      </c>
      <c r="B638" s="6" t="str">
        <f t="shared" si="326"/>
        <v># of pro-rated MDRT agents (&lt;70%)</v>
      </c>
      <c r="C638" s="4" t="str">
        <f>CHOOSE(2, "5462030031", "Jul 26")</f>
        <v>Jul 26</v>
      </c>
      <c r="D638" s="2" t="s">
        <v>5</v>
      </c>
    </row>
    <row r="639" spans="1:4" x14ac:dyDescent="0.35">
      <c r="A639" s="8" t="str">
        <f t="shared" si="315"/>
        <v>Hong Kong</v>
      </c>
      <c r="B639" s="3" t="str">
        <f t="shared" ref="B639:B640" si="327">CHOOSE(2, "1395000000634", "# of pro-rated MDRT agents (50%-70%)")</f>
        <v># of pro-rated MDRT agents (50%-70%)</v>
      </c>
      <c r="C639" s="4" t="str">
        <f>CHOOSE(2, "5461730030", "Jun 26")</f>
        <v>Jun 26</v>
      </c>
      <c r="D639" s="2" t="s">
        <v>5</v>
      </c>
    </row>
    <row r="640" spans="1:4" x14ac:dyDescent="0.35">
      <c r="A640" s="8" t="str">
        <f t="shared" si="315"/>
        <v>Hong Kong</v>
      </c>
      <c r="B640" s="6" t="str">
        <f t="shared" si="327"/>
        <v># of pro-rated MDRT agents (50%-70%)</v>
      </c>
      <c r="C640" s="4" t="str">
        <f>CHOOSE(2, "5462030031", "Jul 26")</f>
        <v>Jul 26</v>
      </c>
      <c r="D640" s="2" t="s">
        <v>5</v>
      </c>
    </row>
    <row r="641" spans="1:4" x14ac:dyDescent="0.35">
      <c r="A641" s="8" t="str">
        <f t="shared" si="315"/>
        <v>Hong Kong</v>
      </c>
      <c r="B641" s="3" t="str">
        <f t="shared" ref="B641:B642" si="328">CHOOSE(2, "1395000000633", "# of pro-rated MDRT agents (&lt;50%)")</f>
        <v># of pro-rated MDRT agents (&lt;50%)</v>
      </c>
      <c r="C641" s="4" t="str">
        <f>CHOOSE(2, "5461730030", "Jun 26")</f>
        <v>Jun 26</v>
      </c>
      <c r="D641" s="2" t="s">
        <v>5</v>
      </c>
    </row>
    <row r="642" spans="1:4" x14ac:dyDescent="0.35">
      <c r="A642" s="8" t="str">
        <f t="shared" si="315"/>
        <v>Hong Kong</v>
      </c>
      <c r="B642" s="6" t="str">
        <f t="shared" si="328"/>
        <v># of pro-rated MDRT agents (&lt;50%)</v>
      </c>
      <c r="C642" s="4" t="str">
        <f>CHOOSE(2, "5462030031", "Jul 26")</f>
        <v>Jul 26</v>
      </c>
      <c r="D642" s="2" t="s">
        <v>5</v>
      </c>
    </row>
    <row r="643" spans="1:4" x14ac:dyDescent="0.35">
      <c r="A643" s="8" t="str">
        <f t="shared" si="315"/>
        <v>Hong Kong</v>
      </c>
      <c r="B643" s="3" t="str">
        <f t="shared" ref="B643:B644" si="329">CHOOSE(2, "1395000000632", "# of pro-rated MDRT agents (70-99%)")</f>
        <v># of pro-rated MDRT agents (70-99%)</v>
      </c>
      <c r="C643" s="4" t="str">
        <f>CHOOSE(2, "5461730030", "Jun 26")</f>
        <v>Jun 26</v>
      </c>
      <c r="D643" s="14">
        <v>944</v>
      </c>
    </row>
    <row r="644" spans="1:4" x14ac:dyDescent="0.35">
      <c r="A644" s="8" t="str">
        <f t="shared" si="315"/>
        <v>Hong Kong</v>
      </c>
      <c r="B644" s="6" t="str">
        <f t="shared" si="329"/>
        <v># of pro-rated MDRT agents (70-99%)</v>
      </c>
      <c r="C644" s="4" t="str">
        <f>CHOOSE(2, "5462030031", "Jul 26")</f>
        <v>Jul 26</v>
      </c>
      <c r="D644" s="14">
        <v>878</v>
      </c>
    </row>
    <row r="645" spans="1:4" x14ac:dyDescent="0.35">
      <c r="A645" s="8" t="str">
        <f t="shared" si="315"/>
        <v>Hong Kong</v>
      </c>
      <c r="B645" s="3" t="str">
        <f t="shared" ref="B645:B646" si="330">CHOOSE(2, "1395000000631", "# of pro-rated MDRT agents (50-69%)")</f>
        <v># of pro-rated MDRT agents (50-69%)</v>
      </c>
      <c r="C645" s="4" t="str">
        <f>CHOOSE(2, "5461730030", "Jun 26")</f>
        <v>Jun 26</v>
      </c>
      <c r="D645" s="14">
        <v>823</v>
      </c>
    </row>
    <row r="646" spans="1:4" x14ac:dyDescent="0.35">
      <c r="A646" s="8" t="str">
        <f t="shared" si="315"/>
        <v>Hong Kong</v>
      </c>
      <c r="B646" s="6" t="str">
        <f t="shared" si="330"/>
        <v># of pro-rated MDRT agents (50-69%)</v>
      </c>
      <c r="C646" s="4" t="str">
        <f>CHOOSE(2, "5462030031", "Jul 26")</f>
        <v>Jul 26</v>
      </c>
      <c r="D646" s="14">
        <v>803</v>
      </c>
    </row>
    <row r="647" spans="1:4" x14ac:dyDescent="0.35">
      <c r="A647" s="8" t="str">
        <f t="shared" si="315"/>
        <v>Hong Kong</v>
      </c>
      <c r="B647" s="3" t="str">
        <f t="shared" ref="B647:B648" si="331">CHOOSE(2, "1395000000630", "# of Top-tier agents")</f>
        <v># of Top-tier agents</v>
      </c>
      <c r="C647" s="4" t="str">
        <f>CHOOSE(2, "5461730030", "Jun 26")</f>
        <v>Jun 26</v>
      </c>
      <c r="D647" s="14">
        <v>3967</v>
      </c>
    </row>
    <row r="648" spans="1:4" x14ac:dyDescent="0.35">
      <c r="A648" s="8" t="str">
        <f t="shared" si="315"/>
        <v>Hong Kong</v>
      </c>
      <c r="B648" s="6" t="str">
        <f t="shared" si="331"/>
        <v># of Top-tier agents</v>
      </c>
      <c r="C648" s="4" t="str">
        <f>CHOOSE(2, "5462030031", "Jul 26")</f>
        <v>Jul 26</v>
      </c>
      <c r="D648" s="14">
        <v>4005</v>
      </c>
    </row>
    <row r="649" spans="1:4" x14ac:dyDescent="0.35">
      <c r="A649" s="8" t="str">
        <f t="shared" si="315"/>
        <v>Hong Kong</v>
      </c>
      <c r="B649" s="3" t="str">
        <f t="shared" ref="B649:B650" si="332">CHOOSE(2, "1395000000629", "$ APE from pro-rated MDRT agents (100%)")</f>
        <v>$ APE from pro-rated MDRT agents (100%)</v>
      </c>
      <c r="C649" s="4" t="str">
        <f>CHOOSE(2, "5461730030", "Jun 26")</f>
        <v>Jun 26</v>
      </c>
      <c r="D649" s="14">
        <v>39869191</v>
      </c>
    </row>
    <row r="650" spans="1:4" x14ac:dyDescent="0.35">
      <c r="A650" s="8" t="str">
        <f t="shared" si="315"/>
        <v>Hong Kong</v>
      </c>
      <c r="B650" s="6" t="str">
        <f t="shared" si="332"/>
        <v>$ APE from pro-rated MDRT agents (100%)</v>
      </c>
      <c r="C650" s="4" t="str">
        <f>CHOOSE(2, "5462030031", "Jul 26")</f>
        <v>Jul 26</v>
      </c>
      <c r="D650" s="14">
        <v>27759909</v>
      </c>
    </row>
    <row r="651" spans="1:4" x14ac:dyDescent="0.35">
      <c r="A651" s="8" t="str">
        <f t="shared" si="315"/>
        <v>Hong Kong</v>
      </c>
      <c r="B651" s="3" t="str">
        <f t="shared" ref="B651:B652" si="333">CHOOSE(2, "1395000000628", "$ APE from pro-rated MDRT agents (70-99%)")</f>
        <v>$ APE from pro-rated MDRT agents (70-99%)</v>
      </c>
      <c r="C651" s="4" t="str">
        <f>CHOOSE(2, "5461730030", "Jun 26")</f>
        <v>Jun 26</v>
      </c>
      <c r="D651" s="14">
        <v>5252841</v>
      </c>
    </row>
    <row r="652" spans="1:4" x14ac:dyDescent="0.35">
      <c r="A652" s="8" t="str">
        <f t="shared" si="315"/>
        <v>Hong Kong</v>
      </c>
      <c r="B652" s="6" t="str">
        <f t="shared" si="333"/>
        <v>$ APE from pro-rated MDRT agents (70-99%)</v>
      </c>
      <c r="C652" s="4" t="str">
        <f>CHOOSE(2, "5462030031", "Jul 26")</f>
        <v>Jul 26</v>
      </c>
      <c r="D652" s="14">
        <v>5160132</v>
      </c>
    </row>
    <row r="653" spans="1:4" x14ac:dyDescent="0.35">
      <c r="A653" s="8" t="str">
        <f t="shared" si="315"/>
        <v>Hong Kong</v>
      </c>
      <c r="B653" s="3" t="str">
        <f t="shared" ref="B653:B654" si="334">CHOOSE(2, "1395000000627", "$ APE from pro-rated MDRT agents (50-69%)")</f>
        <v>$ APE from pro-rated MDRT agents (50-69%)</v>
      </c>
      <c r="C653" s="4" t="str">
        <f>CHOOSE(2, "5461730030", "Jun 26")</f>
        <v>Jun 26</v>
      </c>
      <c r="D653" s="14">
        <v>3960189</v>
      </c>
    </row>
    <row r="654" spans="1:4" x14ac:dyDescent="0.35">
      <c r="A654" s="8" t="str">
        <f t="shared" si="315"/>
        <v>Hong Kong</v>
      </c>
      <c r="B654" s="6" t="str">
        <f t="shared" si="334"/>
        <v>$ APE from pro-rated MDRT agents (50-69%)</v>
      </c>
      <c r="C654" s="4" t="str">
        <f>CHOOSE(2, "5462030031", "Jul 26")</f>
        <v>Jul 26</v>
      </c>
      <c r="D654" s="14">
        <v>4014822</v>
      </c>
    </row>
    <row r="655" spans="1:4" x14ac:dyDescent="0.35">
      <c r="A655" s="8" t="str">
        <f t="shared" si="315"/>
        <v>Hong Kong</v>
      </c>
      <c r="B655" s="3" t="str">
        <f t="shared" ref="B655:B656" si="335">CHOOSE(2, "1395000000626", "$ APE from Top-tier agents")</f>
        <v>$ APE from Top-tier agents</v>
      </c>
      <c r="C655" s="4" t="str">
        <f>CHOOSE(2, "5461730030", "Jun 26")</f>
        <v>Jun 26</v>
      </c>
      <c r="D655" s="14">
        <v>49082222</v>
      </c>
    </row>
    <row r="656" spans="1:4" x14ac:dyDescent="0.35">
      <c r="A656" s="8" t="str">
        <f t="shared" si="315"/>
        <v>Hong Kong</v>
      </c>
      <c r="B656" s="6" t="str">
        <f t="shared" si="335"/>
        <v>$ APE from Top-tier agents</v>
      </c>
      <c r="C656" s="4" t="str">
        <f>CHOOSE(2, "5462030031", "Jul 26")</f>
        <v>Jul 26</v>
      </c>
      <c r="D656" s="14">
        <v>36934865</v>
      </c>
    </row>
    <row r="657" spans="1:4" x14ac:dyDescent="0.35">
      <c r="A657" s="8" t="str">
        <f t="shared" si="315"/>
        <v>Hong Kong</v>
      </c>
      <c r="B657" s="3" t="str">
        <f t="shared" ref="B657:B658" si="336">CHOOSE(2, "1395000000625", "# of MDRT qualifiers - YTD")</f>
        <v># of MDRT qualifiers - YTD</v>
      </c>
      <c r="C657" s="4" t="str">
        <f>CHOOSE(2, "5461730030", "Jun 26")</f>
        <v>Jun 26</v>
      </c>
      <c r="D657" s="14">
        <v>496</v>
      </c>
    </row>
    <row r="658" spans="1:4" x14ac:dyDescent="0.35">
      <c r="A658" s="8" t="str">
        <f t="shared" si="315"/>
        <v>Hong Kong</v>
      </c>
      <c r="B658" s="6" t="str">
        <f t="shared" si="336"/>
        <v># of MDRT qualifiers - YTD</v>
      </c>
      <c r="C658" s="4" t="str">
        <f>CHOOSE(2, "5462030031", "Jul 26")</f>
        <v>Jul 26</v>
      </c>
      <c r="D658" s="14">
        <v>581</v>
      </c>
    </row>
    <row r="659" spans="1:4" x14ac:dyDescent="0.35">
      <c r="A659" s="8" t="str">
        <f t="shared" si="315"/>
        <v>Hong Kong</v>
      </c>
      <c r="B659" s="3" t="str">
        <f t="shared" ref="B659:B660" si="337">CHOOSE(2, "1395000000624", "# of MDRT COT qualifiers - YTD")</f>
        <v># of MDRT COT qualifiers - YTD</v>
      </c>
      <c r="C659" s="4" t="str">
        <f>CHOOSE(2, "5461730030", "Jun 26")</f>
        <v>Jun 26</v>
      </c>
      <c r="D659" s="14">
        <v>30</v>
      </c>
    </row>
    <row r="660" spans="1:4" x14ac:dyDescent="0.35">
      <c r="A660" s="8" t="str">
        <f t="shared" si="315"/>
        <v>Hong Kong</v>
      </c>
      <c r="B660" s="6" t="str">
        <f t="shared" si="337"/>
        <v># of MDRT COT qualifiers - YTD</v>
      </c>
      <c r="C660" s="4" t="str">
        <f>CHOOSE(2, "5462030031", "Jul 26")</f>
        <v>Jul 26</v>
      </c>
      <c r="D660" s="14">
        <v>41</v>
      </c>
    </row>
    <row r="661" spans="1:4" x14ac:dyDescent="0.35">
      <c r="A661" s="8" t="str">
        <f t="shared" si="315"/>
        <v>Hong Kong</v>
      </c>
      <c r="B661" s="3" t="str">
        <f t="shared" ref="B661:B662" si="338">CHOOSE(2, "1395000000623", "# of MDRT TOT qualifiers - YTD")</f>
        <v># of MDRT TOT qualifiers - YTD</v>
      </c>
      <c r="C661" s="4" t="str">
        <f>CHOOSE(2, "5461730030", "Jun 26")</f>
        <v>Jun 26</v>
      </c>
      <c r="D661" s="14">
        <v>13</v>
      </c>
    </row>
    <row r="662" spans="1:4" x14ac:dyDescent="0.35">
      <c r="A662" s="8" t="str">
        <f t="shared" si="315"/>
        <v>Hong Kong</v>
      </c>
      <c r="B662" s="6" t="str">
        <f t="shared" si="338"/>
        <v># of MDRT TOT qualifiers - YTD</v>
      </c>
      <c r="C662" s="4" t="str">
        <f>CHOOSE(2, "5462030031", "Jul 26")</f>
        <v>Jul 26</v>
      </c>
      <c r="D662" s="14">
        <v>13</v>
      </c>
    </row>
    <row r="663" spans="1:4" x14ac:dyDescent="0.35">
      <c r="A663" s="8" t="str">
        <f t="shared" si="315"/>
        <v>Hong Kong</v>
      </c>
      <c r="B663" s="3" t="str">
        <f t="shared" ref="B663:B664" si="339">CHOOSE(2, "1395000000622", "Manulife Pro Qualifiers - Total")</f>
        <v>Manulife Pro Qualifiers - Total</v>
      </c>
      <c r="C663" s="4" t="str">
        <f>CHOOSE(2, "5461730030", "Jun 26")</f>
        <v>Jun 26</v>
      </c>
      <c r="D663" s="14">
        <v>3144</v>
      </c>
    </row>
    <row r="664" spans="1:4" x14ac:dyDescent="0.35">
      <c r="A664" s="8" t="str">
        <f t="shared" si="315"/>
        <v>Hong Kong</v>
      </c>
      <c r="B664" s="6" t="str">
        <f t="shared" si="339"/>
        <v>Manulife Pro Qualifiers - Total</v>
      </c>
      <c r="C664" s="4" t="str">
        <f>CHOOSE(2, "5462030031", "Jul 26")</f>
        <v>Jul 26</v>
      </c>
      <c r="D664" s="14">
        <v>3019</v>
      </c>
    </row>
    <row r="665" spans="1:4" x14ac:dyDescent="0.35">
      <c r="A665" s="8" t="str">
        <f t="shared" si="315"/>
        <v>Hong Kong</v>
      </c>
      <c r="B665" s="3" t="str">
        <f t="shared" ref="B665:B666" si="340">CHOOSE(2, "1395000000621", "Manulife Pro Qualifiers - Silver")</f>
        <v>Manulife Pro Qualifiers - Silver</v>
      </c>
      <c r="C665" s="4" t="str">
        <f>CHOOSE(2, "5461730030", "Jun 26")</f>
        <v>Jun 26</v>
      </c>
      <c r="D665" s="2" t="s">
        <v>5</v>
      </c>
    </row>
    <row r="666" spans="1:4" x14ac:dyDescent="0.35">
      <c r="A666" s="8" t="str">
        <f t="shared" si="315"/>
        <v>Hong Kong</v>
      </c>
      <c r="B666" s="6" t="str">
        <f t="shared" si="340"/>
        <v>Manulife Pro Qualifiers - Silver</v>
      </c>
      <c r="C666" s="4" t="str">
        <f>CHOOSE(2, "5462030031", "Jul 26")</f>
        <v>Jul 26</v>
      </c>
      <c r="D666" s="2" t="s">
        <v>5</v>
      </c>
    </row>
    <row r="667" spans="1:4" x14ac:dyDescent="0.35">
      <c r="A667" s="8" t="str">
        <f t="shared" si="315"/>
        <v>Hong Kong</v>
      </c>
      <c r="B667" s="3" t="str">
        <f t="shared" ref="B667:B668" si="341">CHOOSE(2, "1395000000620", "Manulife Pro Qualifiers - Gold")</f>
        <v>Manulife Pro Qualifiers - Gold</v>
      </c>
      <c r="C667" s="4" t="str">
        <f>CHOOSE(2, "5461730030", "Jun 26")</f>
        <v>Jun 26</v>
      </c>
      <c r="D667" s="2" t="s">
        <v>5</v>
      </c>
    </row>
    <row r="668" spans="1:4" x14ac:dyDescent="0.35">
      <c r="A668" s="8" t="str">
        <f t="shared" si="315"/>
        <v>Hong Kong</v>
      </c>
      <c r="B668" s="6" t="str">
        <f t="shared" si="341"/>
        <v>Manulife Pro Qualifiers - Gold</v>
      </c>
      <c r="C668" s="4" t="str">
        <f>CHOOSE(2, "5462030031", "Jul 26")</f>
        <v>Jul 26</v>
      </c>
      <c r="D668" s="2" t="s">
        <v>5</v>
      </c>
    </row>
    <row r="669" spans="1:4" x14ac:dyDescent="0.35">
      <c r="A669" s="8" t="str">
        <f t="shared" si="315"/>
        <v>Hong Kong</v>
      </c>
      <c r="B669" s="3" t="str">
        <f t="shared" ref="B669:B670" si="342">CHOOSE(2, "1395000000619", "Manulife Pro Qualifiers  - Platinum")</f>
        <v>Manulife Pro Qualifiers  - Platinum</v>
      </c>
      <c r="C669" s="4" t="str">
        <f>CHOOSE(2, "5461730030", "Jun 26")</f>
        <v>Jun 26</v>
      </c>
      <c r="D669" s="2" t="s">
        <v>5</v>
      </c>
    </row>
    <row r="670" spans="1:4" x14ac:dyDescent="0.35">
      <c r="A670" s="8" t="str">
        <f t="shared" si="315"/>
        <v>Hong Kong</v>
      </c>
      <c r="B670" s="6" t="str">
        <f t="shared" si="342"/>
        <v>Manulife Pro Qualifiers  - Platinum</v>
      </c>
      <c r="C670" s="4" t="str">
        <f>CHOOSE(2, "5462030031", "Jul 26")</f>
        <v>Jul 26</v>
      </c>
      <c r="D670" s="2" t="s">
        <v>5</v>
      </c>
    </row>
    <row r="671" spans="1:4" x14ac:dyDescent="0.35">
      <c r="A671" s="8" t="str">
        <f t="shared" si="315"/>
        <v>Hong Kong</v>
      </c>
      <c r="B671" s="3" t="str">
        <f t="shared" ref="B671:B672" si="343">CHOOSE(2, "1395000000618", "$ APE from Manulife Pro - Total")</f>
        <v>$ APE from Manulife Pro - Total</v>
      </c>
      <c r="C671" s="4" t="str">
        <f>CHOOSE(2, "5461730030", "Jun 26")</f>
        <v>Jun 26</v>
      </c>
      <c r="D671" s="2" t="s">
        <v>5</v>
      </c>
    </row>
    <row r="672" spans="1:4" x14ac:dyDescent="0.35">
      <c r="A672" s="8" t="str">
        <f t="shared" si="315"/>
        <v>Hong Kong</v>
      </c>
      <c r="B672" s="6" t="str">
        <f t="shared" si="343"/>
        <v>$ APE from Manulife Pro - Total</v>
      </c>
      <c r="C672" s="4" t="str">
        <f>CHOOSE(2, "5462030031", "Jul 26")</f>
        <v>Jul 26</v>
      </c>
      <c r="D672" s="2" t="s">
        <v>5</v>
      </c>
    </row>
    <row r="673" spans="1:4" x14ac:dyDescent="0.35">
      <c r="A673" s="8" t="str">
        <f t="shared" si="315"/>
        <v>Hong Kong</v>
      </c>
      <c r="B673" s="3" t="str">
        <f t="shared" ref="B673:B674" si="344">CHOOSE(2, "1395000000617", "$ APE from Manulife Pro - Silver")</f>
        <v>$ APE from Manulife Pro - Silver</v>
      </c>
      <c r="C673" s="4" t="str">
        <f>CHOOSE(2, "5461730030", "Jun 26")</f>
        <v>Jun 26</v>
      </c>
      <c r="D673" s="2" t="s">
        <v>5</v>
      </c>
    </row>
    <row r="674" spans="1:4" x14ac:dyDescent="0.35">
      <c r="A674" s="8" t="str">
        <f t="shared" si="315"/>
        <v>Hong Kong</v>
      </c>
      <c r="B674" s="6" t="str">
        <f t="shared" si="344"/>
        <v>$ APE from Manulife Pro - Silver</v>
      </c>
      <c r="C674" s="4" t="str">
        <f>CHOOSE(2, "5462030031", "Jul 26")</f>
        <v>Jul 26</v>
      </c>
      <c r="D674" s="2" t="s">
        <v>5</v>
      </c>
    </row>
    <row r="675" spans="1:4" x14ac:dyDescent="0.35">
      <c r="A675" s="8" t="str">
        <f t="shared" si="315"/>
        <v>Hong Kong</v>
      </c>
      <c r="B675" s="3" t="str">
        <f t="shared" ref="B675:B676" si="345">CHOOSE(2, "1395000000616", "$ APE from Manulife Pro - Gold")</f>
        <v>$ APE from Manulife Pro - Gold</v>
      </c>
      <c r="C675" s="4" t="str">
        <f>CHOOSE(2, "5461730030", "Jun 26")</f>
        <v>Jun 26</v>
      </c>
      <c r="D675" s="2" t="s">
        <v>5</v>
      </c>
    </row>
    <row r="676" spans="1:4" x14ac:dyDescent="0.35">
      <c r="A676" s="8" t="str">
        <f t="shared" si="315"/>
        <v>Hong Kong</v>
      </c>
      <c r="B676" s="6" t="str">
        <f t="shared" si="345"/>
        <v>$ APE from Manulife Pro - Gold</v>
      </c>
      <c r="C676" s="4" t="str">
        <f>CHOOSE(2, "5462030031", "Jul 26")</f>
        <v>Jul 26</v>
      </c>
      <c r="D676" s="2" t="s">
        <v>5</v>
      </c>
    </row>
    <row r="677" spans="1:4" x14ac:dyDescent="0.35">
      <c r="A677" s="8" t="str">
        <f t="shared" si="315"/>
        <v>Hong Kong</v>
      </c>
      <c r="B677" s="3" t="str">
        <f t="shared" ref="B677:B678" si="346">CHOOSE(2, "1395000000615", "$ APE from Manulife Pro  - Platinum")</f>
        <v>$ APE from Manulife Pro  - Platinum</v>
      </c>
      <c r="C677" s="4" t="str">
        <f>CHOOSE(2, "5461730030", "Jun 26")</f>
        <v>Jun 26</v>
      </c>
      <c r="D677" s="2" t="s">
        <v>5</v>
      </c>
    </row>
    <row r="678" spans="1:4" x14ac:dyDescent="0.35">
      <c r="A678" s="8" t="str">
        <f t="shared" si="315"/>
        <v>Hong Kong</v>
      </c>
      <c r="B678" s="6" t="str">
        <f t="shared" si="346"/>
        <v>$ APE from Manulife Pro  - Platinum</v>
      </c>
      <c r="C678" s="4" t="str">
        <f>CHOOSE(2, "5462030031", "Jul 26")</f>
        <v>Jul 26</v>
      </c>
      <c r="D678" s="2" t="s">
        <v>5</v>
      </c>
    </row>
    <row r="679" spans="1:4" x14ac:dyDescent="0.35">
      <c r="A679" s="8" t="str">
        <f t="shared" si="315"/>
        <v>Hong Kong</v>
      </c>
      <c r="B679" s="3" t="str">
        <f t="shared" ref="B679:B680" si="347">CHOOSE(2, "1395000000614", "Issued APE")</f>
        <v>Issued APE</v>
      </c>
      <c r="C679" s="4" t="str">
        <f>CHOOSE(2, "5461730030", "Jun 26")</f>
        <v>Jun 26</v>
      </c>
      <c r="D679" s="14">
        <v>57894215.950000003</v>
      </c>
    </row>
    <row r="680" spans="1:4" x14ac:dyDescent="0.35">
      <c r="A680" s="8" t="str">
        <f t="shared" si="315"/>
        <v>Hong Kong</v>
      </c>
      <c r="B680" s="6" t="str">
        <f t="shared" si="347"/>
        <v>Issued APE</v>
      </c>
      <c r="C680" s="4" t="str">
        <f>CHOOSE(2, "5462030031", "Jul 26")</f>
        <v>Jul 26</v>
      </c>
      <c r="D680" s="14">
        <v>44582340.840000004</v>
      </c>
    </row>
    <row r="681" spans="1:4" x14ac:dyDescent="0.35">
      <c r="A681" s="8" t="str">
        <f t="shared" ref="A681:A744" si="348">CHOOSE(2, "204000000001", "Hong Kong")</f>
        <v>Hong Kong</v>
      </c>
      <c r="B681" s="3" t="str">
        <f t="shared" ref="B681:B682" si="349">CHOOSE(2, "1395000000613", "Post-MI APE")</f>
        <v>Post-MI APE</v>
      </c>
      <c r="C681" s="4" t="str">
        <f>CHOOSE(2, "5461730030", "Jun 26")</f>
        <v>Jun 26</v>
      </c>
      <c r="D681" s="14">
        <v>57894215.950000003</v>
      </c>
    </row>
    <row r="682" spans="1:4" x14ac:dyDescent="0.35">
      <c r="A682" s="8" t="str">
        <f t="shared" si="348"/>
        <v>Hong Kong</v>
      </c>
      <c r="B682" s="6" t="str">
        <f t="shared" si="349"/>
        <v>Post-MI APE</v>
      </c>
      <c r="C682" s="4" t="str">
        <f>CHOOSE(2, "5462030031", "Jul 26")</f>
        <v>Jul 26</v>
      </c>
      <c r="D682" s="14">
        <v>44582340.840000004</v>
      </c>
    </row>
    <row r="683" spans="1:4" x14ac:dyDescent="0.35">
      <c r="A683" s="8" t="str">
        <f t="shared" si="348"/>
        <v>Hong Kong</v>
      </c>
      <c r="B683" s="3" t="str">
        <f t="shared" ref="B683:B684" si="350">CHOOSE(2, "1395000000610", "Pre-gap NBV")</f>
        <v>Pre-gap NBV</v>
      </c>
      <c r="C683" s="4" t="str">
        <f>CHOOSE(2, "5461730030", "Jun 26")</f>
        <v>Jun 26</v>
      </c>
      <c r="D683" s="14">
        <v>21852198.039999999</v>
      </c>
    </row>
    <row r="684" spans="1:4" x14ac:dyDescent="0.35">
      <c r="A684" s="8" t="str">
        <f t="shared" si="348"/>
        <v>Hong Kong</v>
      </c>
      <c r="B684" s="6" t="str">
        <f t="shared" si="350"/>
        <v>Pre-gap NBV</v>
      </c>
      <c r="C684" s="4" t="str">
        <f>CHOOSE(2, "5462030031", "Jul 26")</f>
        <v>Jul 26</v>
      </c>
      <c r="D684" s="14">
        <v>27654806.989999998</v>
      </c>
    </row>
    <row r="685" spans="1:4" x14ac:dyDescent="0.35">
      <c r="A685" s="8" t="str">
        <f t="shared" si="348"/>
        <v>Hong Kong</v>
      </c>
      <c r="B685" s="3" t="str">
        <f t="shared" ref="B685:B686" si="351">CHOOSE(2, "1395000000609", "Pre-gap NBV Margin %")</f>
        <v>Pre-gap NBV Margin %</v>
      </c>
      <c r="C685" s="4" t="str">
        <f>CHOOSE(2, "5461730030", "Jun 26")</f>
        <v>Jun 26</v>
      </c>
      <c r="D685" s="14">
        <v>0.37745045306205582</v>
      </c>
    </row>
    <row r="686" spans="1:4" x14ac:dyDescent="0.35">
      <c r="A686" s="8" t="str">
        <f t="shared" si="348"/>
        <v>Hong Kong</v>
      </c>
      <c r="B686" s="6" t="str">
        <f t="shared" si="351"/>
        <v>Pre-gap NBV Margin %</v>
      </c>
      <c r="C686" s="4" t="str">
        <f>CHOOSE(2, "5462030031", "Jul 26")</f>
        <v>Jul 26</v>
      </c>
      <c r="D686" s="14">
        <v>0.62030854524326939</v>
      </c>
    </row>
    <row r="687" spans="1:4" x14ac:dyDescent="0.35">
      <c r="A687" s="8" t="str">
        <f t="shared" si="348"/>
        <v>Hong Kong</v>
      </c>
      <c r="B687" s="3" t="str">
        <f t="shared" ref="B687:B688" si="352">CHOOSE(2, "1395000000608", "Post-gap NBV")</f>
        <v>Post-gap NBV</v>
      </c>
      <c r="C687" s="4" t="str">
        <f>CHOOSE(2, "5461730030", "Jun 26")</f>
        <v>Jun 26</v>
      </c>
      <c r="D687" s="14">
        <v>21852198.039999999</v>
      </c>
    </row>
    <row r="688" spans="1:4" x14ac:dyDescent="0.35">
      <c r="A688" s="8" t="str">
        <f t="shared" si="348"/>
        <v>Hong Kong</v>
      </c>
      <c r="B688" s="6" t="str">
        <f t="shared" si="352"/>
        <v>Post-gap NBV</v>
      </c>
      <c r="C688" s="4" t="str">
        <f>CHOOSE(2, "5462030031", "Jul 26")</f>
        <v>Jul 26</v>
      </c>
      <c r="D688" s="14">
        <v>27654806.989999998</v>
      </c>
    </row>
    <row r="689" spans="1:4" x14ac:dyDescent="0.35">
      <c r="A689" s="8" t="str">
        <f t="shared" si="348"/>
        <v>Hong Kong</v>
      </c>
      <c r="B689" s="3" t="str">
        <f t="shared" ref="B689:B690" si="353">CHOOSE(2, "1395000000607", "Post-gap NBV Margin %")</f>
        <v>Post-gap NBV Margin %</v>
      </c>
      <c r="C689" s="4" t="str">
        <f>CHOOSE(2, "5461730030", "Jun 26")</f>
        <v>Jun 26</v>
      </c>
      <c r="D689" s="14">
        <v>0.37745045306205582</v>
      </c>
    </row>
    <row r="690" spans="1:4" x14ac:dyDescent="0.35">
      <c r="A690" s="8" t="str">
        <f t="shared" si="348"/>
        <v>Hong Kong</v>
      </c>
      <c r="B690" s="6" t="str">
        <f t="shared" si="353"/>
        <v>Post-gap NBV Margin %</v>
      </c>
      <c r="C690" s="4" t="str">
        <f>CHOOSE(2, "5462030031", "Jul 26")</f>
        <v>Jul 26</v>
      </c>
      <c r="D690" s="14">
        <v>0.62030854524326939</v>
      </c>
    </row>
    <row r="691" spans="1:4" x14ac:dyDescent="0.35">
      <c r="A691" s="8" t="str">
        <f t="shared" si="348"/>
        <v>Hong Kong</v>
      </c>
      <c r="B691" s="3" t="str">
        <f t="shared" ref="B691:B692" si="354">CHOOSE(2, "1395000000606", "NB CSM")</f>
        <v>NB CSM</v>
      </c>
      <c r="C691" s="4" t="str">
        <f>CHOOSE(2, "5461730030", "Jun 26")</f>
        <v>Jun 26</v>
      </c>
      <c r="D691" s="14">
        <v>30181549.760000002</v>
      </c>
    </row>
    <row r="692" spans="1:4" x14ac:dyDescent="0.35">
      <c r="A692" s="8" t="str">
        <f t="shared" si="348"/>
        <v>Hong Kong</v>
      </c>
      <c r="B692" s="6" t="str">
        <f t="shared" si="354"/>
        <v>NB CSM</v>
      </c>
      <c r="C692" s="4" t="str">
        <f>CHOOSE(2, "5462030031", "Jul 26")</f>
        <v>Jul 26</v>
      </c>
      <c r="D692" s="14">
        <v>26971639.199999999</v>
      </c>
    </row>
    <row r="693" spans="1:4" x14ac:dyDescent="0.35">
      <c r="A693" s="8" t="str">
        <f t="shared" si="348"/>
        <v>Hong Kong</v>
      </c>
      <c r="B693" s="3" t="str">
        <f t="shared" ref="B693:B694" si="355">CHOOSE(2, "1395000000605", "NB CSM Margin %")</f>
        <v>NB CSM Margin %</v>
      </c>
      <c r="C693" s="4" t="str">
        <f>CHOOSE(2, "5461730030", "Jun 26")</f>
        <v>Jun 26</v>
      </c>
      <c r="D693" s="14">
        <v>0.5213223681285557</v>
      </c>
    </row>
    <row r="694" spans="1:4" x14ac:dyDescent="0.35">
      <c r="A694" s="8" t="str">
        <f t="shared" si="348"/>
        <v>Hong Kong</v>
      </c>
      <c r="B694" s="6" t="str">
        <f t="shared" si="355"/>
        <v>NB CSM Margin %</v>
      </c>
      <c r="C694" s="4" t="str">
        <f>CHOOSE(2, "5462030031", "Jul 26")</f>
        <v>Jul 26</v>
      </c>
      <c r="D694" s="14">
        <v>0.60498481443129171</v>
      </c>
    </row>
    <row r="695" spans="1:4" x14ac:dyDescent="0.35">
      <c r="A695" s="8" t="str">
        <f t="shared" si="348"/>
        <v>Hong Kong</v>
      </c>
      <c r="B695" s="3" t="str">
        <f t="shared" ref="B695:B696" si="356">CHOOSE(2, "1395000000604", "PRE")</f>
        <v>PRE</v>
      </c>
      <c r="C695" s="4" t="str">
        <f>CHOOSE(2, "5461730030", "Jun 26")</f>
        <v>Jun 26</v>
      </c>
      <c r="D695" s="14">
        <v>5200000</v>
      </c>
    </row>
    <row r="696" spans="1:4" x14ac:dyDescent="0.35">
      <c r="A696" s="8" t="str">
        <f t="shared" si="348"/>
        <v>Hong Kong</v>
      </c>
      <c r="B696" s="6" t="str">
        <f t="shared" si="356"/>
        <v>PRE</v>
      </c>
      <c r="C696" s="4" t="str">
        <f>CHOOSE(2, "5462030031", "Jul 26")</f>
        <v>Jul 26</v>
      </c>
      <c r="D696" s="14">
        <v>3200000</v>
      </c>
    </row>
    <row r="697" spans="1:4" x14ac:dyDescent="0.35">
      <c r="A697" s="8" t="str">
        <f t="shared" si="348"/>
        <v>Hong Kong</v>
      </c>
      <c r="B697" s="3" t="str">
        <f t="shared" ref="B697:B698" si="357">CHOOSE(2, "1395000000603", "ContEx")</f>
        <v>ContEx</v>
      </c>
      <c r="C697" s="4" t="str">
        <f>CHOOSE(2, "5461730030", "Jun 26")</f>
        <v>Jun 26</v>
      </c>
      <c r="D697" s="14">
        <v>0</v>
      </c>
    </row>
    <row r="698" spans="1:4" x14ac:dyDescent="0.35">
      <c r="A698" s="8" t="str">
        <f t="shared" si="348"/>
        <v>Hong Kong</v>
      </c>
      <c r="B698" s="6" t="str">
        <f t="shared" si="357"/>
        <v>ContEx</v>
      </c>
      <c r="C698" s="4" t="str">
        <f>CHOOSE(2, "5462030031", "Jul 26")</f>
        <v>Jul 26</v>
      </c>
      <c r="D698" s="14">
        <v>0</v>
      </c>
    </row>
    <row r="699" spans="1:4" x14ac:dyDescent="0.35">
      <c r="A699" s="8" t="str">
        <f t="shared" si="348"/>
        <v>Hong Kong</v>
      </c>
      <c r="B699" s="3" t="str">
        <f t="shared" ref="B699:B700" si="358">CHOOSE(2, "1395000000602", "% of 6-90 agents")</f>
        <v>% of 6-90 agents</v>
      </c>
      <c r="C699" s="4" t="str">
        <f>CHOOSE(2, "5461730030", "Jun 26")</f>
        <v>Jun 26</v>
      </c>
      <c r="D699" s="14">
        <v>3.8095238095238099E-2</v>
      </c>
    </row>
    <row r="700" spans="1:4" x14ac:dyDescent="0.35">
      <c r="A700" s="8" t="str">
        <f t="shared" si="348"/>
        <v>Hong Kong</v>
      </c>
      <c r="B700" s="6" t="str">
        <f t="shared" si="358"/>
        <v>% of 6-90 agents</v>
      </c>
      <c r="C700" s="4" t="str">
        <f>CHOOSE(2, "5462030031", "Jul 26")</f>
        <v>Jul 26</v>
      </c>
      <c r="D700" s="14">
        <v>4.7500000000000001E-2</v>
      </c>
    </row>
    <row r="701" spans="1:4" x14ac:dyDescent="0.35">
      <c r="A701" s="8" t="str">
        <f t="shared" si="348"/>
        <v>Hong Kong</v>
      </c>
      <c r="B701" s="3" t="str">
        <f t="shared" ref="B701:B702" si="359">CHOOSE(2, "1395000000601", "New Recruits 3M Activation Rate")</f>
        <v>New Recruits 3M Activation Rate</v>
      </c>
      <c r="C701" s="4" t="str">
        <f>CHOOSE(2, "5461730030", "Jun 26")</f>
        <v>Jun 26</v>
      </c>
      <c r="D701" s="14">
        <v>0.68211920529801329</v>
      </c>
    </row>
    <row r="702" spans="1:4" x14ac:dyDescent="0.35">
      <c r="A702" s="8" t="str">
        <f t="shared" si="348"/>
        <v>Hong Kong</v>
      </c>
      <c r="B702" s="6" t="str">
        <f t="shared" si="359"/>
        <v>New Recruits 3M Activation Rate</v>
      </c>
      <c r="C702" s="4" t="str">
        <f>CHOOSE(2, "5462030031", "Jul 26")</f>
        <v>Jul 26</v>
      </c>
      <c r="D702" s="14">
        <v>0.56818181818181823</v>
      </c>
    </row>
    <row r="703" spans="1:4" x14ac:dyDescent="0.35">
      <c r="A703" s="8" t="str">
        <f t="shared" si="348"/>
        <v>Hong Kong</v>
      </c>
      <c r="B703" s="3" t="str">
        <f t="shared" ref="B703:B704" si="360">CHOOSE(2, "1395000000600", "No. of Recruits from leaders")</f>
        <v>No. of Recruits from leaders</v>
      </c>
      <c r="C703" s="4" t="str">
        <f>CHOOSE(2, "5461730030", "Jun 26")</f>
        <v>Jun 26</v>
      </c>
      <c r="D703" s="2" t="s">
        <v>5</v>
      </c>
    </row>
    <row r="704" spans="1:4" x14ac:dyDescent="0.35">
      <c r="A704" s="8" t="str">
        <f t="shared" si="348"/>
        <v>Hong Kong</v>
      </c>
      <c r="B704" s="6" t="str">
        <f t="shared" si="360"/>
        <v>No. of Recruits from leaders</v>
      </c>
      <c r="C704" s="4" t="str">
        <f>CHOOSE(2, "5462030031", "Jul 26")</f>
        <v>Jul 26</v>
      </c>
      <c r="D704" s="2" t="s">
        <v>5</v>
      </c>
    </row>
    <row r="705" spans="1:4" x14ac:dyDescent="0.35">
      <c r="A705" s="8" t="str">
        <f t="shared" si="348"/>
        <v>Hong Kong</v>
      </c>
      <c r="B705" s="3" t="str">
        <f t="shared" ref="B705:B706" si="361">CHOOSE(2, "1395000000599", "No. of Recruits per Active Recruiting Leader per month")</f>
        <v>No. of Recruits per Active Recruiting Leader per month</v>
      </c>
      <c r="C705" s="4" t="str">
        <f>CHOOSE(2, "5461730030", "Jun 26")</f>
        <v>Jun 26</v>
      </c>
      <c r="D705" s="14">
        <v>0</v>
      </c>
    </row>
    <row r="706" spans="1:4" x14ac:dyDescent="0.35">
      <c r="A706" s="8" t="str">
        <f t="shared" si="348"/>
        <v>Hong Kong</v>
      </c>
      <c r="B706" s="6" t="str">
        <f t="shared" si="361"/>
        <v>No. of Recruits per Active Recruiting Leader per month</v>
      </c>
      <c r="C706" s="4" t="str">
        <f>CHOOSE(2, "5462030031", "Jul 26")</f>
        <v>Jul 26</v>
      </c>
      <c r="D706" s="14">
        <v>0</v>
      </c>
    </row>
    <row r="707" spans="1:4" x14ac:dyDescent="0.35">
      <c r="A707" s="8" t="str">
        <f t="shared" si="348"/>
        <v>Hong Kong</v>
      </c>
      <c r="B707" s="3" t="str">
        <f t="shared" ref="B707:B708" si="362">CHOOSE(2, "1395000000598", "PRE as % of APE")</f>
        <v>PRE as % of APE</v>
      </c>
      <c r="C707" s="4" t="str">
        <f>CHOOSE(2, "5461730030", "Jun 26")</f>
        <v>Jun 26</v>
      </c>
      <c r="D707" s="14">
        <v>8.9818989940047708E-2</v>
      </c>
    </row>
    <row r="708" spans="1:4" x14ac:dyDescent="0.35">
      <c r="A708" s="8" t="str">
        <f t="shared" si="348"/>
        <v>Hong Kong</v>
      </c>
      <c r="B708" s="6" t="str">
        <f t="shared" si="362"/>
        <v>PRE as % of APE</v>
      </c>
      <c r="C708" s="4" t="str">
        <f>CHOOSE(2, "5462030031", "Jul 26")</f>
        <v>Jul 26</v>
      </c>
      <c r="D708" s="14">
        <v>7.1777298807264689E-2</v>
      </c>
    </row>
    <row r="709" spans="1:4" x14ac:dyDescent="0.35">
      <c r="A709" s="8" t="str">
        <f t="shared" si="348"/>
        <v>Hong Kong</v>
      </c>
      <c r="B709" s="3" t="str">
        <f t="shared" ref="B709:B710" si="363">CHOOSE(2, "1395000000597", "ContEx as % of APE")</f>
        <v>ContEx as % of APE</v>
      </c>
      <c r="C709" s="4" t="str">
        <f>CHOOSE(2, "5461730030", "Jun 26")</f>
        <v>Jun 26</v>
      </c>
      <c r="D709" s="14">
        <v>0</v>
      </c>
    </row>
    <row r="710" spans="1:4" x14ac:dyDescent="0.35">
      <c r="A710" s="8" t="str">
        <f t="shared" si="348"/>
        <v>Hong Kong</v>
      </c>
      <c r="B710" s="6" t="str">
        <f t="shared" si="363"/>
        <v>ContEx as % of APE</v>
      </c>
      <c r="C710" s="4" t="str">
        <f>CHOOSE(2, "5462030031", "Jul 26")</f>
        <v>Jul 26</v>
      </c>
      <c r="D710" s="14">
        <v>0</v>
      </c>
    </row>
    <row r="711" spans="1:4" x14ac:dyDescent="0.35">
      <c r="A711" s="8" t="str">
        <f t="shared" si="348"/>
        <v>Hong Kong</v>
      </c>
      <c r="B711" s="3" t="str">
        <f t="shared" ref="B711:B712" si="364">CHOOSE(2, "1395000000596", "% of 1-Month Active Agents")</f>
        <v>% of 1-Month Active Agents</v>
      </c>
      <c r="C711" s="4" t="str">
        <f>CHOOSE(2, "5461730030", "Jun 26")</f>
        <v>Jun 26</v>
      </c>
      <c r="D711" s="14">
        <v>0.40005339978640087</v>
      </c>
    </row>
    <row r="712" spans="1:4" x14ac:dyDescent="0.35">
      <c r="A712" s="8" t="str">
        <f t="shared" si="348"/>
        <v>Hong Kong</v>
      </c>
      <c r="B712" s="6" t="str">
        <f t="shared" si="364"/>
        <v>% of 1-Month Active Agents</v>
      </c>
      <c r="C712" s="4" t="str">
        <f>CHOOSE(2, "5462030031", "Jul 26")</f>
        <v>Jul 26</v>
      </c>
      <c r="D712" s="14">
        <v>0.35571365051133835</v>
      </c>
    </row>
    <row r="713" spans="1:4" x14ac:dyDescent="0.35">
      <c r="A713" s="8" t="str">
        <f t="shared" si="348"/>
        <v>Hong Kong</v>
      </c>
      <c r="B713" s="3" t="str">
        <f t="shared" ref="B713:B714" si="365">CHOOSE(2, "1395000000595", "% of 3-Month Active Agents")</f>
        <v>% of 3-Month Active Agents</v>
      </c>
      <c r="C713" s="4" t="str">
        <f>CHOOSE(2, "5461730030", "Jun 26")</f>
        <v>Jun 26</v>
      </c>
      <c r="D713" s="14">
        <v>0.21291076383817731</v>
      </c>
    </row>
    <row r="714" spans="1:4" x14ac:dyDescent="0.35">
      <c r="A714" s="8" t="str">
        <f t="shared" si="348"/>
        <v>Hong Kong</v>
      </c>
      <c r="B714" s="6" t="str">
        <f t="shared" si="365"/>
        <v>% of 3-Month Active Agents</v>
      </c>
      <c r="C714" s="4" t="str">
        <f>CHOOSE(2, "5462030031", "Jul 26")</f>
        <v>Jul 26</v>
      </c>
      <c r="D714" s="14">
        <v>0.21295503528091878</v>
      </c>
    </row>
    <row r="715" spans="1:4" x14ac:dyDescent="0.35">
      <c r="A715" s="8" t="str">
        <f t="shared" si="348"/>
        <v>Hong Kong</v>
      </c>
      <c r="B715" s="3" t="str">
        <f t="shared" ref="B715:B716" si="366">CHOOSE(2, "1395000000594", "Active agents per active leader")</f>
        <v>Active agents per active leader</v>
      </c>
      <c r="C715" s="4" t="str">
        <f>CHOOSE(2, "5461730030", "Jun 26")</f>
        <v>Jun 26</v>
      </c>
      <c r="D715" s="14">
        <v>19.801762114537446</v>
      </c>
    </row>
    <row r="716" spans="1:4" x14ac:dyDescent="0.35">
      <c r="A716" s="8" t="str">
        <f t="shared" si="348"/>
        <v>Hong Kong</v>
      </c>
      <c r="B716" s="6" t="str">
        <f t="shared" si="366"/>
        <v>Active agents per active leader</v>
      </c>
      <c r="C716" s="4" t="str">
        <f>CHOOSE(2, "5462030031", "Jul 26")</f>
        <v>Jul 26</v>
      </c>
      <c r="D716" s="14">
        <v>25</v>
      </c>
    </row>
    <row r="717" spans="1:4" x14ac:dyDescent="0.35">
      <c r="A717" s="8" t="str">
        <f t="shared" si="348"/>
        <v>Hong Kong</v>
      </c>
      <c r="B717" s="3" t="str">
        <f t="shared" ref="B717:B718" si="367">CHOOSE(2, "1395000000593", "Avg. Case count per 1-Month Active Agent")</f>
        <v>Avg. Case count per 1-Month Active Agent</v>
      </c>
      <c r="C717" s="4" t="str">
        <f>CHOOSE(2, "5461730030", "Jun 26")</f>
        <v>Jun 26</v>
      </c>
      <c r="D717" s="14">
        <v>1.5601779755283649</v>
      </c>
    </row>
    <row r="718" spans="1:4" x14ac:dyDescent="0.35">
      <c r="A718" s="8" t="str">
        <f t="shared" si="348"/>
        <v>Hong Kong</v>
      </c>
      <c r="B718" s="6" t="str">
        <f t="shared" si="367"/>
        <v>Avg. Case count per 1-Month Active Agent</v>
      </c>
      <c r="C718" s="4" t="str">
        <f>CHOOSE(2, "5462030031", "Jul 26")</f>
        <v>Jul 26</v>
      </c>
      <c r="D718" s="14">
        <v>1.88175</v>
      </c>
    </row>
    <row r="719" spans="1:4" x14ac:dyDescent="0.35">
      <c r="A719" s="8" t="str">
        <f t="shared" si="348"/>
        <v>Hong Kong</v>
      </c>
      <c r="B719" s="3" t="str">
        <f t="shared" ref="B719:B720" si="368">CHOOSE(2, "1395000000592", "Avg. Case size")</f>
        <v>Avg. Case size</v>
      </c>
      <c r="C719" s="4" t="str">
        <f>CHOOSE(2, "5461730030", "Jun 26")</f>
        <v>Jun 26</v>
      </c>
      <c r="D719" s="14">
        <v>8255.2710608869238</v>
      </c>
    </row>
    <row r="720" spans="1:4" x14ac:dyDescent="0.35">
      <c r="A720" s="8" t="str">
        <f t="shared" si="348"/>
        <v>Hong Kong</v>
      </c>
      <c r="B720" s="6" t="str">
        <f t="shared" si="368"/>
        <v>Avg. Case size</v>
      </c>
      <c r="C720" s="4" t="str">
        <f>CHOOSE(2, "5462030031", "Jul 26")</f>
        <v>Jul 26</v>
      </c>
      <c r="D720" s="14">
        <v>5922.9893503387812</v>
      </c>
    </row>
    <row r="721" spans="1:4" x14ac:dyDescent="0.35">
      <c r="A721" s="8" t="str">
        <f t="shared" si="348"/>
        <v>Hong Kong</v>
      </c>
      <c r="B721" s="3" t="str">
        <f t="shared" ref="B721:B722" si="369">CHOOSE(2, "1395000000591", "APE per 1-Month Active Agent")</f>
        <v>APE per 1-Month Active Agent</v>
      </c>
      <c r="C721" s="4" t="str">
        <f>CHOOSE(2, "5461730030", "Jun 26")</f>
        <v>Jun 26</v>
      </c>
      <c r="D721" s="14">
        <v>12879.692091212459</v>
      </c>
    </row>
    <row r="722" spans="1:4" x14ac:dyDescent="0.35">
      <c r="A722" s="8" t="str">
        <f t="shared" si="348"/>
        <v>Hong Kong</v>
      </c>
      <c r="B722" s="6" t="str">
        <f t="shared" si="369"/>
        <v>APE per 1-Month Active Agent</v>
      </c>
      <c r="C722" s="4" t="str">
        <f>CHOOSE(2, "5462030031", "Jul 26")</f>
        <v>Jul 26</v>
      </c>
      <c r="D722" s="14">
        <v>11145.585210000001</v>
      </c>
    </row>
    <row r="723" spans="1:4" x14ac:dyDescent="0.35">
      <c r="A723" s="8" t="str">
        <f t="shared" si="348"/>
        <v>Hong Kong</v>
      </c>
      <c r="B723" s="3" t="str">
        <f t="shared" ref="B723:B724" si="370">CHOOSE(2, "1395000000590", "% Conversion of Proposals to cases")</f>
        <v>% Conversion of Proposals to cases</v>
      </c>
      <c r="C723" s="4" t="str">
        <f>CHOOSE(2, "5461730030", "Jun 26")</f>
        <v>Jun 26</v>
      </c>
      <c r="D723" s="14">
        <v>8.2801043720556813E-2</v>
      </c>
    </row>
    <row r="724" spans="1:4" x14ac:dyDescent="0.35">
      <c r="A724" s="8" t="str">
        <f t="shared" si="348"/>
        <v>Hong Kong</v>
      </c>
      <c r="B724" s="6" t="str">
        <f t="shared" si="370"/>
        <v>% Conversion of Proposals to cases</v>
      </c>
      <c r="C724" s="4" t="str">
        <f>CHOOSE(2, "5462030031", "Jul 26")</f>
        <v>Jul 26</v>
      </c>
      <c r="D724" s="14">
        <v>8.710091764351921E-2</v>
      </c>
    </row>
    <row r="725" spans="1:4" x14ac:dyDescent="0.35">
      <c r="A725" s="8" t="str">
        <f t="shared" si="348"/>
        <v>Hong Kong</v>
      </c>
      <c r="B725" s="3" t="str">
        <f t="shared" ref="B725:B726" si="371">CHOOSE(2, "1395000000588", "% APE from Agents in X tenure")</f>
        <v>% APE from Agents in X tenure</v>
      </c>
      <c r="C725" s="4" t="str">
        <f>CHOOSE(2, "5461730030", "Jun 26")</f>
        <v>Jun 26</v>
      </c>
      <c r="D725" s="14">
        <v>1</v>
      </c>
    </row>
    <row r="726" spans="1:4" x14ac:dyDescent="0.35">
      <c r="A726" s="8" t="str">
        <f t="shared" si="348"/>
        <v>Hong Kong</v>
      </c>
      <c r="B726" s="6" t="str">
        <f t="shared" si="371"/>
        <v>% APE from Agents in X tenure</v>
      </c>
      <c r="C726" s="4" t="str">
        <f>CHOOSE(2, "5462030031", "Jul 26")</f>
        <v>Jul 26</v>
      </c>
      <c r="D726" s="14">
        <v>1</v>
      </c>
    </row>
    <row r="727" spans="1:4" x14ac:dyDescent="0.35">
      <c r="A727" s="8" t="str">
        <f t="shared" si="348"/>
        <v>Hong Kong</v>
      </c>
      <c r="B727" s="3" t="str">
        <f t="shared" ref="B727:B728" si="372">CHOOSE(2, "1395000000587", "% APE from Agents in X tenure in 0-1M")</f>
        <v>% APE from Agents in X tenure in 0-1M</v>
      </c>
      <c r="C727" s="4" t="str">
        <f>CHOOSE(2, "5461730030", "Jun 26")</f>
        <v>Jun 26</v>
      </c>
      <c r="D727" s="14">
        <v>0.1</v>
      </c>
    </row>
    <row r="728" spans="1:4" x14ac:dyDescent="0.35">
      <c r="A728" s="8" t="str">
        <f t="shared" si="348"/>
        <v>Hong Kong</v>
      </c>
      <c r="B728" s="6" t="str">
        <f t="shared" si="372"/>
        <v>% APE from Agents in X tenure in 0-1M</v>
      </c>
      <c r="C728" s="4" t="str">
        <f>CHOOSE(2, "5462030031", "Jul 26")</f>
        <v>Jul 26</v>
      </c>
      <c r="D728" s="14">
        <v>0.1</v>
      </c>
    </row>
    <row r="729" spans="1:4" x14ac:dyDescent="0.35">
      <c r="A729" s="8" t="str">
        <f t="shared" si="348"/>
        <v>Hong Kong</v>
      </c>
      <c r="B729" s="3" t="str">
        <f t="shared" ref="B729:B730" si="373">CHOOSE(2, "1395000000586", "% APE from Agents in X tenure in 2-3M")</f>
        <v>% APE from Agents in X tenure in 2-3M</v>
      </c>
      <c r="C729" s="4" t="str">
        <f>CHOOSE(2, "5461730030", "Jun 26")</f>
        <v>Jun 26</v>
      </c>
      <c r="D729" s="14">
        <v>0.2</v>
      </c>
    </row>
    <row r="730" spans="1:4" x14ac:dyDescent="0.35">
      <c r="A730" s="8" t="str">
        <f t="shared" si="348"/>
        <v>Hong Kong</v>
      </c>
      <c r="B730" s="6" t="str">
        <f t="shared" si="373"/>
        <v>% APE from Agents in X tenure in 2-3M</v>
      </c>
      <c r="C730" s="4" t="str">
        <f>CHOOSE(2, "5462030031", "Jul 26")</f>
        <v>Jul 26</v>
      </c>
      <c r="D730" s="14">
        <v>0.2</v>
      </c>
    </row>
    <row r="731" spans="1:4" x14ac:dyDescent="0.35">
      <c r="A731" s="8" t="str">
        <f t="shared" si="348"/>
        <v>Hong Kong</v>
      </c>
      <c r="B731" s="3" t="str">
        <f t="shared" ref="B731:B732" si="374">CHOOSE(2, "1395000000585", "% APE from Agents in X tenure in 4-12M")</f>
        <v>% APE from Agents in X tenure in 4-12M</v>
      </c>
      <c r="C731" s="4" t="str">
        <f>CHOOSE(2, "5461730030", "Jun 26")</f>
        <v>Jun 26</v>
      </c>
      <c r="D731" s="14">
        <v>0.3</v>
      </c>
    </row>
    <row r="732" spans="1:4" x14ac:dyDescent="0.35">
      <c r="A732" s="8" t="str">
        <f t="shared" si="348"/>
        <v>Hong Kong</v>
      </c>
      <c r="B732" s="6" t="str">
        <f t="shared" si="374"/>
        <v>% APE from Agents in X tenure in 4-12M</v>
      </c>
      <c r="C732" s="4" t="str">
        <f>CHOOSE(2, "5462030031", "Jul 26")</f>
        <v>Jul 26</v>
      </c>
      <c r="D732" s="14">
        <v>0.3</v>
      </c>
    </row>
    <row r="733" spans="1:4" x14ac:dyDescent="0.35">
      <c r="A733" s="8" t="str">
        <f t="shared" si="348"/>
        <v>Hong Kong</v>
      </c>
      <c r="B733" s="3" t="str">
        <f t="shared" ref="B733:B734" si="375">CHOOSE(2, "1395000000584", "% APE from Agents in X tenure 13+M")</f>
        <v>% APE from Agents in X tenure 13+M</v>
      </c>
      <c r="C733" s="4" t="str">
        <f>CHOOSE(2, "5461730030", "Jun 26")</f>
        <v>Jun 26</v>
      </c>
      <c r="D733" s="14">
        <v>0.4</v>
      </c>
    </row>
    <row r="734" spans="1:4" x14ac:dyDescent="0.35">
      <c r="A734" s="8" t="str">
        <f t="shared" si="348"/>
        <v>Hong Kong</v>
      </c>
      <c r="B734" s="6" t="str">
        <f t="shared" si="375"/>
        <v>% APE from Agents in X tenure 13+M</v>
      </c>
      <c r="C734" s="4" t="str">
        <f>CHOOSE(2, "5462030031", "Jul 26")</f>
        <v>Jul 26</v>
      </c>
      <c r="D734" s="14">
        <v>0.4</v>
      </c>
    </row>
    <row r="735" spans="1:4" x14ac:dyDescent="0.35">
      <c r="A735" s="8" t="str">
        <f t="shared" si="348"/>
        <v>Hong Kong</v>
      </c>
      <c r="B735" s="3" t="str">
        <f t="shared" ref="B735:B736" si="376">CHOOSE(2, "1395000000583", "% APE from pro-rated MDRT agents (100%)")</f>
        <v>% APE from pro-rated MDRT agents (100%)</v>
      </c>
      <c r="C735" s="4" t="str">
        <f>CHOOSE(2, "5461730030", "Jun 26")</f>
        <v>Jun 26</v>
      </c>
      <c r="D735" s="14">
        <v>0.68865585872054624</v>
      </c>
    </row>
    <row r="736" spans="1:4" x14ac:dyDescent="0.35">
      <c r="A736" s="8" t="str">
        <f t="shared" si="348"/>
        <v>Hong Kong</v>
      </c>
      <c r="B736" s="6" t="str">
        <f t="shared" si="376"/>
        <v>% APE from pro-rated MDRT agents (100%)</v>
      </c>
      <c r="C736" s="4" t="str">
        <f>CHOOSE(2, "5462030031", "Jul 26")</f>
        <v>Jul 26</v>
      </c>
      <c r="D736" s="14">
        <v>0.62266602598608634</v>
      </c>
    </row>
    <row r="737" spans="1:4" x14ac:dyDescent="0.35">
      <c r="A737" s="8" t="str">
        <f t="shared" si="348"/>
        <v>Hong Kong</v>
      </c>
      <c r="B737" s="3" t="str">
        <f t="shared" ref="B737:B738" si="377">CHOOSE(2, "1395000000582", "% APE from pro-rated MDRT agents (70-99%)")</f>
        <v>% APE from pro-rated MDRT agents (70-99%)</v>
      </c>
      <c r="C737" s="4" t="str">
        <f>CHOOSE(2, "5461730030", "Jun 26")</f>
        <v>Jun 26</v>
      </c>
      <c r="D737" s="14">
        <v>9.0731706333782719E-2</v>
      </c>
    </row>
    <row r="738" spans="1:4" x14ac:dyDescent="0.35">
      <c r="A738" s="8" t="str">
        <f t="shared" si="348"/>
        <v>Hong Kong</v>
      </c>
      <c r="B738" s="6" t="str">
        <f t="shared" si="377"/>
        <v>% APE from pro-rated MDRT agents (70-99%)</v>
      </c>
      <c r="C738" s="4" t="str">
        <f>CHOOSE(2, "5462030031", "Jul 26")</f>
        <v>Jul 26</v>
      </c>
      <c r="D738" s="14">
        <v>0.11574385514029011</v>
      </c>
    </row>
    <row r="739" spans="1:4" x14ac:dyDescent="0.35">
      <c r="A739" s="8" t="str">
        <f t="shared" si="348"/>
        <v>Hong Kong</v>
      </c>
      <c r="B739" s="3" t="str">
        <f t="shared" ref="B739:B740" si="378">CHOOSE(2, "1395000000581", "% APE from pro-rated MDRT agents (50-69%)")</f>
        <v>% APE from pro-rated MDRT agents (50-69%)</v>
      </c>
      <c r="C739" s="4" t="str">
        <f>CHOOSE(2, "5461730030", "Jun 26")</f>
        <v>Jun 26</v>
      </c>
      <c r="D739" s="14">
        <v>6.8403879990709154E-2</v>
      </c>
    </row>
    <row r="740" spans="1:4" x14ac:dyDescent="0.35">
      <c r="A740" s="8" t="str">
        <f t="shared" si="348"/>
        <v>Hong Kong</v>
      </c>
      <c r="B740" s="6" t="str">
        <f t="shared" si="378"/>
        <v>% APE from pro-rated MDRT agents (50-69%)</v>
      </c>
      <c r="C740" s="4" t="str">
        <f>CHOOSE(2, "5462030031", "Jul 26")</f>
        <v>Jul 26</v>
      </c>
      <c r="D740" s="14">
        <v>9.0054086984993759E-2</v>
      </c>
    </row>
    <row r="741" spans="1:4" x14ac:dyDescent="0.35">
      <c r="A741" s="8" t="str">
        <f t="shared" si="348"/>
        <v>Hong Kong</v>
      </c>
      <c r="B741" s="3" t="str">
        <f t="shared" ref="B741:B742" si="379">CHOOSE(2, "1395000000580", "% APE from Top-tier agents")</f>
        <v>% APE from Top-tier agents</v>
      </c>
      <c r="C741" s="4" t="str">
        <f>CHOOSE(2, "5461730030", "Jun 26")</f>
        <v>Jun 26</v>
      </c>
      <c r="D741" s="14">
        <v>0.84779146231792091</v>
      </c>
    </row>
    <row r="742" spans="1:4" x14ac:dyDescent="0.35">
      <c r="A742" s="8" t="str">
        <f t="shared" si="348"/>
        <v>Hong Kong</v>
      </c>
      <c r="B742" s="6" t="str">
        <f t="shared" si="379"/>
        <v>% APE from Top-tier agents</v>
      </c>
      <c r="C742" s="4" t="str">
        <f>CHOOSE(2, "5462030031", "Jul 26")</f>
        <v>Jul 26</v>
      </c>
      <c r="D742" s="14">
        <v>0.82846401297218197</v>
      </c>
    </row>
    <row r="743" spans="1:4" x14ac:dyDescent="0.35">
      <c r="A743" s="8" t="str">
        <f t="shared" si="348"/>
        <v>Hong Kong</v>
      </c>
      <c r="B743" s="3" t="str">
        <f t="shared" ref="B743:B744" si="380">CHOOSE(2, "1395000000579", "% of Active Recruiting Leaders")</f>
        <v>% of Active Recruiting Leaders</v>
      </c>
      <c r="C743" s="4" t="str">
        <f>CHOOSE(2, "5461730030", "Jun 26")</f>
        <v>Jun 26</v>
      </c>
      <c r="D743" s="14">
        <v>9.7216274089935759E-2</v>
      </c>
    </row>
    <row r="744" spans="1:4" x14ac:dyDescent="0.35">
      <c r="A744" s="8" t="str">
        <f t="shared" si="348"/>
        <v>Hong Kong</v>
      </c>
      <c r="B744" s="6" t="str">
        <f t="shared" si="380"/>
        <v>% of Active Recruiting Leaders</v>
      </c>
      <c r="C744" s="4" t="str">
        <f>CHOOSE(2, "5462030031", "Jul 26")</f>
        <v>Jul 26</v>
      </c>
      <c r="D744" s="14">
        <v>7.662835249042145E-2</v>
      </c>
    </row>
    <row r="745" spans="1:4" x14ac:dyDescent="0.35">
      <c r="A745" s="8" t="str">
        <f t="shared" ref="A745:A808" si="381">CHOOSE(2, "204000000001", "Hong Kong")</f>
        <v>Hong Kong</v>
      </c>
      <c r="B745" s="3" t="str">
        <f t="shared" ref="B745:B746" si="382">CHOOSE(2, "1395000000578", "% of leaders with &gt;1 YTD recruit")</f>
        <v>% of leaders with &gt;1 YTD recruit</v>
      </c>
      <c r="C745" s="4" t="str">
        <f>CHOOSE(2, "5461730030", "Jun 26")</f>
        <v>Jun 26</v>
      </c>
      <c r="D745" s="14">
        <v>0.39914346895074948</v>
      </c>
    </row>
    <row r="746" spans="1:4" x14ac:dyDescent="0.35">
      <c r="A746" s="8" t="str">
        <f t="shared" si="381"/>
        <v>Hong Kong</v>
      </c>
      <c r="B746" s="6" t="str">
        <f t="shared" si="382"/>
        <v>% of leaders with &gt;1 YTD recruit</v>
      </c>
      <c r="C746" s="4" t="str">
        <f>CHOOSE(2, "5462030031", "Jul 26")</f>
        <v>Jul 26</v>
      </c>
      <c r="D746" s="14">
        <v>0.5</v>
      </c>
    </row>
    <row r="747" spans="1:4" x14ac:dyDescent="0.35">
      <c r="A747" s="8" t="str">
        <f t="shared" si="381"/>
        <v>Hong Kong</v>
      </c>
      <c r="B747" s="3" t="str">
        <f t="shared" ref="B747:B748" si="383">CHOOSE(2, "1395000000577", "% of 1-Month Active Top-tier agents")</f>
        <v>% of 1-Month Active Top-tier agents</v>
      </c>
      <c r="C747" s="4" t="str">
        <f>CHOOSE(2, "5461730030", "Jun 26")</f>
        <v>Jun 26</v>
      </c>
      <c r="D747" s="14">
        <v>0.62875234521575984</v>
      </c>
    </row>
    <row r="748" spans="1:4" x14ac:dyDescent="0.35">
      <c r="A748" s="8" t="str">
        <f t="shared" si="381"/>
        <v>Hong Kong</v>
      </c>
      <c r="B748" s="6" t="str">
        <f t="shared" si="383"/>
        <v>% of 1-Month Active Top-tier agents</v>
      </c>
      <c r="C748" s="4" t="str">
        <f>CHOOSE(2, "5462030031", "Jul 26")</f>
        <v>Jul 26</v>
      </c>
      <c r="D748" s="14">
        <v>1.1975031210986267</v>
      </c>
    </row>
    <row r="749" spans="1:4" x14ac:dyDescent="0.35">
      <c r="A749" s="8" t="str">
        <f t="shared" si="381"/>
        <v>Hong Kong</v>
      </c>
      <c r="B749" s="3" t="str">
        <f t="shared" ref="B749:B750" si="384">CHOOSE(2, "1395000000576", "% APE from Manulife Pro - Total")</f>
        <v>% APE from Manulife Pro - Total</v>
      </c>
      <c r="C749" s="4" t="str">
        <f>CHOOSE(2, "5461730030", "Jun 26")</f>
        <v>Jun 26</v>
      </c>
      <c r="D749" s="14">
        <v>0</v>
      </c>
    </row>
    <row r="750" spans="1:4" x14ac:dyDescent="0.35">
      <c r="A750" s="8" t="str">
        <f t="shared" si="381"/>
        <v>Hong Kong</v>
      </c>
      <c r="B750" s="6" t="str">
        <f t="shared" si="384"/>
        <v>% APE from Manulife Pro - Total</v>
      </c>
      <c r="C750" s="4" t="str">
        <f>CHOOSE(2, "5462030031", "Jul 26")</f>
        <v>Jul 26</v>
      </c>
      <c r="D750" s="14">
        <v>0</v>
      </c>
    </row>
    <row r="751" spans="1:4" x14ac:dyDescent="0.35">
      <c r="A751" s="8" t="str">
        <f t="shared" si="381"/>
        <v>Hong Kong</v>
      </c>
      <c r="B751" s="3" t="str">
        <f t="shared" ref="B751:B752" si="385">CHOOSE(2, "1395000000575", "% of 1-Month Active Agents Manulife Pro Qualifiers - Total")</f>
        <v>% of 1-Month Active Agents Manulife Pro Qualifiers - Total</v>
      </c>
      <c r="C751" s="4" t="str">
        <f>CHOOSE(2, "5461730030", "Jun 26")</f>
        <v>Jun 26</v>
      </c>
      <c r="D751" s="14">
        <v>0</v>
      </c>
    </row>
    <row r="752" spans="1:4" x14ac:dyDescent="0.35">
      <c r="A752" s="8" t="str">
        <f t="shared" si="381"/>
        <v>Hong Kong</v>
      </c>
      <c r="B752" s="6" t="str">
        <f t="shared" si="385"/>
        <v>% of 1-Month Active Agents Manulife Pro Qualifiers - Total</v>
      </c>
      <c r="C752" s="4" t="str">
        <f>CHOOSE(2, "5462030031", "Jul 26")</f>
        <v>Jul 26</v>
      </c>
      <c r="D752" s="14">
        <v>0</v>
      </c>
    </row>
    <row r="753" spans="1:4" x14ac:dyDescent="0.35">
      <c r="A753" s="8" t="str">
        <f t="shared" si="381"/>
        <v>Hong Kong</v>
      </c>
      <c r="B753" s="3" t="str">
        <f t="shared" ref="B753:B754" si="386">CHOOSE(2, "1395000000574", "% of Newly Demoted UM")</f>
        <v>% of Newly Demoted UM</v>
      </c>
      <c r="C753" s="4" t="str">
        <f>CHOOSE(2, "5461730030", "Jun 26")</f>
        <v>Jun 26</v>
      </c>
      <c r="D753" s="14">
        <v>0</v>
      </c>
    </row>
    <row r="754" spans="1:4" x14ac:dyDescent="0.35">
      <c r="A754" s="8" t="str">
        <f t="shared" si="381"/>
        <v>Hong Kong</v>
      </c>
      <c r="B754" s="6" t="str">
        <f t="shared" si="386"/>
        <v>% of Newly Demoted UM</v>
      </c>
      <c r="C754" s="4" t="str">
        <f>CHOOSE(2, "5462030031", "Jul 26")</f>
        <v>Jul 26</v>
      </c>
      <c r="D754" s="14">
        <v>4.4483985765124559E-3</v>
      </c>
    </row>
    <row r="755" spans="1:4" x14ac:dyDescent="0.35">
      <c r="A755" s="8" t="str">
        <f t="shared" si="381"/>
        <v>Hong Kong</v>
      </c>
      <c r="B755" s="3" t="str">
        <f t="shared" ref="B755:B756" si="387">CHOOSE(2, "1395000000573", "% of Newly Demoted Leaders above UM")</f>
        <v>% of Newly Demoted Leaders above UM</v>
      </c>
      <c r="C755" s="4" t="str">
        <f>CHOOSE(2, "5461730030", "Jun 26")</f>
        <v>Jun 26</v>
      </c>
      <c r="D755" s="14">
        <v>0</v>
      </c>
    </row>
    <row r="756" spans="1:4" x14ac:dyDescent="0.35">
      <c r="A756" s="8" t="str">
        <f t="shared" si="381"/>
        <v>Hong Kong</v>
      </c>
      <c r="B756" s="6" t="str">
        <f t="shared" si="387"/>
        <v>% of Newly Demoted Leaders above UM</v>
      </c>
      <c r="C756" s="4" t="str">
        <f>CHOOSE(2, "5462030031", "Jul 26")</f>
        <v>Jul 26</v>
      </c>
      <c r="D756" s="14">
        <v>5.7189542483660127E-3</v>
      </c>
    </row>
    <row r="757" spans="1:4" x14ac:dyDescent="0.35">
      <c r="A757" s="8" t="str">
        <f t="shared" si="381"/>
        <v>Hong Kong</v>
      </c>
      <c r="B757" s="3" t="str">
        <f t="shared" ref="B757:B758" si="388">CHOOSE(2, "1395000000572", "Avg. Earning per agent")</f>
        <v>Avg. Earning per agent</v>
      </c>
      <c r="C757" s="4" t="str">
        <f>CHOOSE(2, "5461730030", "Jun 26")</f>
        <v>Jun 26</v>
      </c>
      <c r="D757" s="14">
        <v>29944.194626851458</v>
      </c>
    </row>
    <row r="758" spans="1:4" x14ac:dyDescent="0.35">
      <c r="A758" s="8" t="str">
        <f t="shared" si="381"/>
        <v>Hong Kong</v>
      </c>
      <c r="B758" s="6" t="str">
        <f t="shared" si="388"/>
        <v>Avg. Earning per agent</v>
      </c>
      <c r="C758" s="4" t="str">
        <f>CHOOSE(2, "5462030031", "Jul 26")</f>
        <v>Jul 26</v>
      </c>
      <c r="D758" s="14">
        <v>34964.707338538108</v>
      </c>
    </row>
    <row r="759" spans="1:4" x14ac:dyDescent="0.35">
      <c r="A759" s="8" t="str">
        <f t="shared" si="381"/>
        <v>Hong Kong</v>
      </c>
      <c r="B759" s="3" t="str">
        <f t="shared" ref="B759:B760" si="389">CHOOSE(2, "1395000000571", "Avg. Earning per agent in FA or equivalent")</f>
        <v>Avg. Earning per agent in FA or equivalent</v>
      </c>
      <c r="C759" s="4" t="str">
        <f>CHOOSE(2, "5461730030", "Jun 26")</f>
        <v>Jun 26</v>
      </c>
      <c r="D759" s="14">
        <v>14963.658091863723</v>
      </c>
    </row>
    <row r="760" spans="1:4" x14ac:dyDescent="0.35">
      <c r="A760" s="8" t="str">
        <f t="shared" si="381"/>
        <v>Hong Kong</v>
      </c>
      <c r="B760" s="6" t="str">
        <f t="shared" si="389"/>
        <v>Avg. Earning per agent in FA or equivalent</v>
      </c>
      <c r="C760" s="4" t="str">
        <f>CHOOSE(2, "5462030031", "Jul 26")</f>
        <v>Jul 26</v>
      </c>
      <c r="D760" s="14">
        <v>16856.842371903225</v>
      </c>
    </row>
    <row r="761" spans="1:4" x14ac:dyDescent="0.35">
      <c r="A761" s="8" t="str">
        <f t="shared" si="381"/>
        <v>Hong Kong</v>
      </c>
      <c r="B761" s="3" t="str">
        <f t="shared" ref="B761:B762" si="390">CHOOSE(2, "1395000000570", "Avg. Earning per agent in UM")</f>
        <v>Avg. Earning per agent in UM</v>
      </c>
      <c r="C761" s="4" t="str">
        <f>CHOOSE(2, "5461730030", "Jun 26")</f>
        <v>Jun 26</v>
      </c>
      <c r="D761" s="14">
        <v>52746.075878412026</v>
      </c>
    </row>
    <row r="762" spans="1:4" x14ac:dyDescent="0.35">
      <c r="A762" s="8" t="str">
        <f t="shared" si="381"/>
        <v>Hong Kong</v>
      </c>
      <c r="B762" s="6" t="str">
        <f t="shared" si="390"/>
        <v>Avg. Earning per agent in UM</v>
      </c>
      <c r="C762" s="4" t="str">
        <f>CHOOSE(2, "5462030031", "Jul 26")</f>
        <v>Jul 26</v>
      </c>
      <c r="D762" s="14">
        <v>57409.16899268327</v>
      </c>
    </row>
    <row r="763" spans="1:4" x14ac:dyDescent="0.35">
      <c r="A763" s="8" t="str">
        <f t="shared" si="381"/>
        <v>Hong Kong</v>
      </c>
      <c r="B763" s="3" t="str">
        <f t="shared" ref="B763:B764" si="391">CHOOSE(2, "1395000000569", "Avg. Earning per agent in Leaders above UM")</f>
        <v>Avg. Earning per agent in Leaders above UM</v>
      </c>
      <c r="C763" s="4" t="str">
        <f>CHOOSE(2, "5461730030", "Jun 26")</f>
        <v>Jun 26</v>
      </c>
      <c r="D763" s="14">
        <v>118347.51975681656</v>
      </c>
    </row>
    <row r="764" spans="1:4" x14ac:dyDescent="0.35">
      <c r="A764" s="8" t="str">
        <f t="shared" si="381"/>
        <v>Hong Kong</v>
      </c>
      <c r="B764" s="6" t="str">
        <f t="shared" si="391"/>
        <v>Avg. Earning per agent in Leaders above UM</v>
      </c>
      <c r="C764" s="4" t="str">
        <f>CHOOSE(2, "5462030031", "Jul 26")</f>
        <v>Jul 26</v>
      </c>
      <c r="D764" s="14">
        <v>145976.22670854739</v>
      </c>
    </row>
    <row r="765" spans="1:4" x14ac:dyDescent="0.35">
      <c r="A765" s="8" t="str">
        <f t="shared" si="381"/>
        <v>Hong Kong</v>
      </c>
      <c r="B765" s="3" t="str">
        <f t="shared" ref="B765:B766" si="392">CHOOSE(2, "1395000000568", "% of 1-Month Active Agents 0-1M")</f>
        <v>% of 1-Month Active Agents 0-1M</v>
      </c>
      <c r="C765" s="4" t="str">
        <f>CHOOSE(2, "5461730030", "Jun 26")</f>
        <v>Jun 26</v>
      </c>
      <c r="D765" s="14">
        <v>0.27099236641221375</v>
      </c>
    </row>
    <row r="766" spans="1:4" x14ac:dyDescent="0.35">
      <c r="A766" s="8" t="str">
        <f t="shared" si="381"/>
        <v>Hong Kong</v>
      </c>
      <c r="B766" s="6" t="str">
        <f t="shared" si="392"/>
        <v>% of 1-Month Active Agents 0-1M</v>
      </c>
      <c r="C766" s="4" t="str">
        <f>CHOOSE(2, "5462030031", "Jul 26")</f>
        <v>Jul 26</v>
      </c>
      <c r="D766" s="14">
        <v>0.4</v>
      </c>
    </row>
    <row r="767" spans="1:4" x14ac:dyDescent="0.35">
      <c r="A767" s="8" t="str">
        <f t="shared" si="381"/>
        <v>Hong Kong</v>
      </c>
      <c r="B767" s="3" t="str">
        <f t="shared" ref="B767:B768" si="393">CHOOSE(2, "1395000000567", "% of 1-Month Active Agents in 2-3M")</f>
        <v>% of 1-Month Active Agents in 2-3M</v>
      </c>
      <c r="C767" s="4" t="str">
        <f>CHOOSE(2, "5461730030", "Jun 26")</f>
        <v>Jun 26</v>
      </c>
      <c r="D767" s="14">
        <v>0.32112068965517243</v>
      </c>
    </row>
    <row r="768" spans="1:4" x14ac:dyDescent="0.35">
      <c r="A768" s="8" t="str">
        <f t="shared" si="381"/>
        <v>Hong Kong</v>
      </c>
      <c r="B768" s="6" t="str">
        <f t="shared" si="393"/>
        <v>% of 1-Month Active Agents in 2-3M</v>
      </c>
      <c r="C768" s="4" t="str">
        <f>CHOOSE(2, "5462030031", "Jul 26")</f>
        <v>Jul 26</v>
      </c>
      <c r="D768" s="14">
        <v>0.53149606299212604</v>
      </c>
    </row>
    <row r="769" spans="1:4" x14ac:dyDescent="0.35">
      <c r="A769" s="8" t="str">
        <f t="shared" si="381"/>
        <v>Hong Kong</v>
      </c>
      <c r="B769" s="3" t="str">
        <f t="shared" ref="B769:B770" si="394">CHOOSE(2, "1395000000566", "% of 1-Month Active Agents 4-12M")</f>
        <v>% of 1-Month Active Agents 4-12M</v>
      </c>
      <c r="C769" s="4" t="str">
        <f>CHOOSE(2, "5461730030", "Jun 26")</f>
        <v>Jun 26</v>
      </c>
      <c r="D769" s="14">
        <v>0.30953477660064488</v>
      </c>
    </row>
    <row r="770" spans="1:4" x14ac:dyDescent="0.35">
      <c r="A770" s="8" t="str">
        <f t="shared" si="381"/>
        <v>Hong Kong</v>
      </c>
      <c r="B770" s="6" t="str">
        <f t="shared" si="394"/>
        <v>% of 1-Month Active Agents 4-12M</v>
      </c>
      <c r="C770" s="4" t="str">
        <f>CHOOSE(2, "5462030031", "Jul 26")</f>
        <v>Jul 26</v>
      </c>
      <c r="D770" s="14">
        <v>0.50048216007714563</v>
      </c>
    </row>
    <row r="771" spans="1:4" x14ac:dyDescent="0.35">
      <c r="A771" s="8" t="str">
        <f t="shared" si="381"/>
        <v>Hong Kong</v>
      </c>
      <c r="B771" s="3" t="str">
        <f t="shared" ref="B771:B772" si="395">CHOOSE(2, "1395000000565", "% of 1-Month Active Agents 13+M")</f>
        <v>% of 1-Month Active Agents 13+M</v>
      </c>
      <c r="C771" s="4" t="str">
        <f>CHOOSE(2, "5461730030", "Jun 26")</f>
        <v>Jun 26</v>
      </c>
      <c r="D771" s="14">
        <v>0.43206619498740856</v>
      </c>
    </row>
    <row r="772" spans="1:4" x14ac:dyDescent="0.35">
      <c r="A772" s="8" t="str">
        <f t="shared" si="381"/>
        <v>Hong Kong</v>
      </c>
      <c r="B772" s="6" t="str">
        <f t="shared" si="395"/>
        <v>% of 1-Month Active Agents 13+M</v>
      </c>
      <c r="C772" s="4" t="str">
        <f>CHOOSE(2, "5462030031", "Jul 26")</f>
        <v>Jul 26</v>
      </c>
      <c r="D772" s="14">
        <v>0.79875865361661491</v>
      </c>
    </row>
    <row r="773" spans="1:4" x14ac:dyDescent="0.35">
      <c r="A773" s="8" t="str">
        <f t="shared" si="381"/>
        <v>Hong Kong</v>
      </c>
      <c r="B773" s="3" t="str">
        <f t="shared" ref="B773:B774" si="396">CHOOSE(2, "1395000000564", "% of 3-Month Active Agents 0-1M")</f>
        <v>% of 3-Month Active Agents 0-1M</v>
      </c>
      <c r="C773" s="4" t="str">
        <f>CHOOSE(2, "5461730030", "Jun 26")</f>
        <v>Jun 26</v>
      </c>
      <c r="D773" s="14">
        <v>0.27099236641221375</v>
      </c>
    </row>
    <row r="774" spans="1:4" x14ac:dyDescent="0.35">
      <c r="A774" s="8" t="str">
        <f t="shared" si="381"/>
        <v>Hong Kong</v>
      </c>
      <c r="B774" s="6" t="str">
        <f t="shared" si="396"/>
        <v>% of 3-Month Active Agents 0-1M</v>
      </c>
      <c r="C774" s="4" t="str">
        <f>CHOOSE(2, "5462030031", "Jul 26")</f>
        <v>Jul 26</v>
      </c>
      <c r="D774" s="14">
        <v>0.2</v>
      </c>
    </row>
    <row r="775" spans="1:4" x14ac:dyDescent="0.35">
      <c r="A775" s="8" t="str">
        <f t="shared" si="381"/>
        <v>Hong Kong</v>
      </c>
      <c r="B775" s="3" t="str">
        <f t="shared" ref="B775:B776" si="397">CHOOSE(2, "1395000000563", "% of 3-Month Active Agents in 2-3M")</f>
        <v>% of 3-Month Active Agents in 2-3M</v>
      </c>
      <c r="C775" s="4" t="str">
        <f>CHOOSE(2, "5461730030", "Jun 26")</f>
        <v>Jun 26</v>
      </c>
      <c r="D775" s="14">
        <v>0.46120689655172414</v>
      </c>
    </row>
    <row r="776" spans="1:4" x14ac:dyDescent="0.35">
      <c r="A776" s="8" t="str">
        <f t="shared" si="381"/>
        <v>Hong Kong</v>
      </c>
      <c r="B776" s="6" t="str">
        <f t="shared" si="397"/>
        <v>% of 3-Month Active Agents in 2-3M</v>
      </c>
      <c r="C776" s="4" t="str">
        <f>CHOOSE(2, "5462030031", "Jul 26")</f>
        <v>Jul 26</v>
      </c>
      <c r="D776" s="14">
        <v>0.46653543307086615</v>
      </c>
    </row>
    <row r="777" spans="1:4" x14ac:dyDescent="0.35">
      <c r="A777" s="8" t="str">
        <f t="shared" si="381"/>
        <v>Hong Kong</v>
      </c>
      <c r="B777" s="3" t="str">
        <f t="shared" ref="B777:B778" si="398">CHOOSE(2, "1395000000562", "% of 3-Month Active Agents 4-12M")</f>
        <v>% of 3-Month Active Agents 4-12M</v>
      </c>
      <c r="C777" s="4" t="str">
        <f>CHOOSE(2, "5461730030", "Jun 26")</f>
        <v>Jun 26</v>
      </c>
      <c r="D777" s="14">
        <v>0.55181943804698297</v>
      </c>
    </row>
    <row r="778" spans="1:4" x14ac:dyDescent="0.35">
      <c r="A778" s="8" t="str">
        <f t="shared" si="381"/>
        <v>Hong Kong</v>
      </c>
      <c r="B778" s="6" t="str">
        <f t="shared" si="398"/>
        <v>% of 3-Month Active Agents 4-12M</v>
      </c>
      <c r="C778" s="4" t="str">
        <f>CHOOSE(2, "5462030031", "Jul 26")</f>
        <v>Jul 26</v>
      </c>
      <c r="D778" s="14">
        <v>0.54821600771456125</v>
      </c>
    </row>
    <row r="779" spans="1:4" x14ac:dyDescent="0.35">
      <c r="A779" s="8" t="str">
        <f t="shared" si="381"/>
        <v>Hong Kong</v>
      </c>
      <c r="B779" s="3" t="str">
        <f t="shared" ref="B779:B780" si="399">CHOOSE(2, "1395000000561", "% of 3-Month Active Agents 13+M")</f>
        <v>% of 3-Month Active Agents 13+M</v>
      </c>
      <c r="C779" s="4" t="str">
        <f>CHOOSE(2, "5461730030", "Jun 26")</f>
        <v>Jun 26</v>
      </c>
      <c r="D779" s="14">
        <v>0.6962465523444058</v>
      </c>
    </row>
    <row r="780" spans="1:4" x14ac:dyDescent="0.35">
      <c r="A780" s="8" t="str">
        <f t="shared" si="381"/>
        <v>Hong Kong</v>
      </c>
      <c r="B780" s="6" t="str">
        <f t="shared" si="399"/>
        <v>% of 3-Month Active Agents 13+M</v>
      </c>
      <c r="C780" s="4" t="str">
        <f>CHOOSE(2, "5462030031", "Jul 26")</f>
        <v>Jul 26</v>
      </c>
      <c r="D780" s="14">
        <v>0.6901408450704225</v>
      </c>
    </row>
    <row r="781" spans="1:4" x14ac:dyDescent="0.35">
      <c r="A781" s="8" t="str">
        <f t="shared" si="381"/>
        <v>Hong Kong</v>
      </c>
      <c r="B781" s="3" t="str">
        <f t="shared" ref="B781:B782" si="400">CHOOSE(2, "1395000000560", "Avg. Case count per 1-Month Active Agent 0-1M")</f>
        <v>Avg. Case count per 1-Month Active Agent 0-1M</v>
      </c>
      <c r="C781" s="4" t="str">
        <f>CHOOSE(2, "5461730030", "Jun 26")</f>
        <v>Jun 26</v>
      </c>
      <c r="D781" s="14">
        <v>1.6056338028169015</v>
      </c>
    </row>
    <row r="782" spans="1:4" x14ac:dyDescent="0.35">
      <c r="A782" s="8" t="str">
        <f t="shared" si="381"/>
        <v>Hong Kong</v>
      </c>
      <c r="B782" s="6" t="str">
        <f t="shared" si="400"/>
        <v>Avg. Case count per 1-Month Active Agent 0-1M</v>
      </c>
      <c r="C782" s="4" t="str">
        <f>CHOOSE(2, "5462030031", "Jul 26")</f>
        <v>Jul 26</v>
      </c>
      <c r="D782" s="14">
        <v>3.8771929824561404</v>
      </c>
    </row>
    <row r="783" spans="1:4" x14ac:dyDescent="0.35">
      <c r="A783" s="8" t="str">
        <f t="shared" si="381"/>
        <v>Hong Kong</v>
      </c>
      <c r="B783" s="3" t="str">
        <f t="shared" ref="B783:B784" si="401">CHOOSE(2, "1395000000559", "Avg. Case count per 1-Month Active Agent in 2-3M")</f>
        <v>Avg. Case count per 1-Month Active Agent in 2-3M</v>
      </c>
      <c r="C783" s="4" t="str">
        <f>CHOOSE(2, "5461730030", "Jun 26")</f>
        <v>Jun 26</v>
      </c>
      <c r="D783" s="14">
        <v>1.8657718120805369</v>
      </c>
    </row>
    <row r="784" spans="1:4" x14ac:dyDescent="0.35">
      <c r="A784" s="8" t="str">
        <f t="shared" si="381"/>
        <v>Hong Kong</v>
      </c>
      <c r="B784" s="6" t="str">
        <f t="shared" si="401"/>
        <v>Avg. Case count per 1-Month Active Agent in 2-3M</v>
      </c>
      <c r="C784" s="4" t="str">
        <f>CHOOSE(2, "5462030031", "Jul 26")</f>
        <v>Jul 26</v>
      </c>
      <c r="D784" s="14">
        <v>3.2777777777777777</v>
      </c>
    </row>
    <row r="785" spans="1:4" x14ac:dyDescent="0.35">
      <c r="A785" s="8" t="str">
        <f t="shared" si="381"/>
        <v>Hong Kong</v>
      </c>
      <c r="B785" s="3" t="str">
        <f t="shared" ref="B785:B786" si="402">CHOOSE(2, "1395000000558", "Avg. Case count per 1-Month Active Agent 4-12M")</f>
        <v>Avg. Case count per 1-Month Active Agent 4-12M</v>
      </c>
      <c r="C785" s="4" t="str">
        <f>CHOOSE(2, "5461730030", "Jun 26")</f>
        <v>Jun 26</v>
      </c>
      <c r="D785" s="14">
        <v>1.5892857142857142</v>
      </c>
    </row>
    <row r="786" spans="1:4" x14ac:dyDescent="0.35">
      <c r="A786" s="8" t="str">
        <f t="shared" si="381"/>
        <v>Hong Kong</v>
      </c>
      <c r="B786" s="6" t="str">
        <f t="shared" si="402"/>
        <v>Avg. Case count per 1-Month Active Agent 4-12M</v>
      </c>
      <c r="C786" s="4" t="str">
        <f>CHOOSE(2, "5462030031", "Jul 26")</f>
        <v>Jul 26</v>
      </c>
      <c r="D786" s="14">
        <v>3.1763005780346822</v>
      </c>
    </row>
    <row r="787" spans="1:4" x14ac:dyDescent="0.35">
      <c r="A787" s="8" t="str">
        <f t="shared" si="381"/>
        <v>Hong Kong</v>
      </c>
      <c r="B787" s="3" t="str">
        <f t="shared" ref="B787:B788" si="403">CHOOSE(2, "1395000000557", "Avg. Case count per 1-Month Active Agent 13+M")</f>
        <v>Avg. Case count per 1-Month Active Agent 13+M</v>
      </c>
      <c r="C787" s="4" t="str">
        <f>CHOOSE(2, "5461730030", "Jun 26")</f>
        <v>Jun 26</v>
      </c>
      <c r="D787" s="14">
        <v>1.9722453510963087</v>
      </c>
    </row>
    <row r="788" spans="1:4" x14ac:dyDescent="0.35">
      <c r="A788" s="8" t="str">
        <f t="shared" si="381"/>
        <v>Hong Kong</v>
      </c>
      <c r="B788" s="6" t="str">
        <f t="shared" si="403"/>
        <v>Avg. Case count per 1-Month Active Agent 13+M</v>
      </c>
      <c r="C788" s="4" t="str">
        <f>CHOOSE(2, "5462030031", "Jul 26")</f>
        <v>Jul 26</v>
      </c>
      <c r="D788" s="14">
        <v>4.0612671846981474</v>
      </c>
    </row>
    <row r="789" spans="1:4" x14ac:dyDescent="0.35">
      <c r="A789" s="8" t="str">
        <f t="shared" si="381"/>
        <v>Hong Kong</v>
      </c>
      <c r="B789" s="3" t="str">
        <f t="shared" ref="B789:B790" si="404">CHOOSE(2, "1395000000556", "Avg. Case size 0-1M")</f>
        <v>Avg. Case size 0-1M</v>
      </c>
      <c r="C789" s="4" t="str">
        <f>CHOOSE(2, "5461730030", "Jun 26")</f>
        <v>Jun 26</v>
      </c>
      <c r="D789" s="14">
        <v>50784.399956140354</v>
      </c>
    </row>
    <row r="790" spans="1:4" x14ac:dyDescent="0.35">
      <c r="A790" s="8" t="str">
        <f t="shared" si="381"/>
        <v>Hong Kong</v>
      </c>
      <c r="B790" s="6" t="str">
        <f t="shared" si="404"/>
        <v>Avg. Case size 0-1M</v>
      </c>
      <c r="C790" s="4" t="str">
        <f>CHOOSE(2, "5462030031", "Jul 26")</f>
        <v>Jul 26</v>
      </c>
      <c r="D790" s="14">
        <v>10086.50245248869</v>
      </c>
    </row>
    <row r="791" spans="1:4" x14ac:dyDescent="0.35">
      <c r="A791" s="8" t="str">
        <f t="shared" si="381"/>
        <v>Hong Kong</v>
      </c>
      <c r="B791" s="3" t="str">
        <f t="shared" ref="B791:B792" si="405">CHOOSE(2, "1395000000555", "Avg. Case size in 2-3M")</f>
        <v>Avg. Case size in 2-3M</v>
      </c>
      <c r="C791" s="4" t="str">
        <f>CHOOSE(2, "5461730030", "Jun 26")</f>
        <v>Jun 26</v>
      </c>
      <c r="D791" s="14">
        <v>41650.515071942449</v>
      </c>
    </row>
    <row r="792" spans="1:4" x14ac:dyDescent="0.35">
      <c r="A792" s="8" t="str">
        <f t="shared" si="381"/>
        <v>Hong Kong</v>
      </c>
      <c r="B792" s="6" t="str">
        <f t="shared" si="405"/>
        <v>Avg. Case size in 2-3M</v>
      </c>
      <c r="C792" s="4" t="str">
        <f>CHOOSE(2, "5462030031", "Jul 26")</f>
        <v>Jul 26</v>
      </c>
      <c r="D792" s="14">
        <v>10075.105274576274</v>
      </c>
    </row>
    <row r="793" spans="1:4" x14ac:dyDescent="0.35">
      <c r="A793" s="8" t="str">
        <f t="shared" si="381"/>
        <v>Hong Kong</v>
      </c>
      <c r="B793" s="3" t="str">
        <f t="shared" ref="B793:B794" si="406">CHOOSE(2, "1395000000554", "Avg. Case size 4-12M")</f>
        <v>Avg. Case size 4-12M</v>
      </c>
      <c r="C793" s="4" t="str">
        <f>CHOOSE(2, "5461730030", "Jun 26")</f>
        <v>Jun 26</v>
      </c>
      <c r="D793" s="14">
        <v>16262.420210674158</v>
      </c>
    </row>
    <row r="794" spans="1:4" x14ac:dyDescent="0.35">
      <c r="A794" s="8" t="str">
        <f t="shared" si="381"/>
        <v>Hong Kong</v>
      </c>
      <c r="B794" s="6" t="str">
        <f t="shared" si="406"/>
        <v>Avg. Case size 4-12M</v>
      </c>
      <c r="C794" s="4" t="str">
        <f>CHOOSE(2, "5462030031", "Jul 26")</f>
        <v>Jul 26</v>
      </c>
      <c r="D794" s="14">
        <v>4056.6279199272067</v>
      </c>
    </row>
    <row r="795" spans="1:4" x14ac:dyDescent="0.35">
      <c r="A795" s="8" t="str">
        <f t="shared" si="381"/>
        <v>Hong Kong</v>
      </c>
      <c r="B795" s="3" t="str">
        <f t="shared" ref="B795:B796" si="407">CHOOSE(2, "1395000000553", "Avg. Case size 13+M")</f>
        <v>Avg. Case size 13+M</v>
      </c>
      <c r="C795" s="4" t="str">
        <f>CHOOSE(2, "5461730030", "Jun 26")</f>
        <v>Jun 26</v>
      </c>
      <c r="D795" s="14">
        <v>3258.891975795103</v>
      </c>
    </row>
    <row r="796" spans="1:4" x14ac:dyDescent="0.35">
      <c r="A796" s="8" t="str">
        <f t="shared" si="381"/>
        <v>Hong Kong</v>
      </c>
      <c r="B796" s="6" t="str">
        <f t="shared" si="407"/>
        <v>Avg. Case size 13+M</v>
      </c>
      <c r="C796" s="4" t="str">
        <f>CHOOSE(2, "5462030031", "Jul 26")</f>
        <v>Jul 26</v>
      </c>
      <c r="D796" s="14">
        <v>656.1533716976968</v>
      </c>
    </row>
    <row r="797" spans="1:4" x14ac:dyDescent="0.35">
      <c r="A797" s="8" t="str">
        <f t="shared" si="381"/>
        <v>Hong Kong</v>
      </c>
      <c r="B797" s="3" t="str">
        <f t="shared" ref="B797:B798" si="408">CHOOSE(2, "1395000000552", "Avg. Case size UM")</f>
        <v>Avg. Case size UM</v>
      </c>
      <c r="C797" s="4" t="str">
        <f>CHOOSE(2, "5461730030", "Jun 26")</f>
        <v>Jun 26</v>
      </c>
      <c r="D797" s="14">
        <v>0</v>
      </c>
    </row>
    <row r="798" spans="1:4" x14ac:dyDescent="0.35">
      <c r="A798" s="8" t="str">
        <f t="shared" si="381"/>
        <v>Hong Kong</v>
      </c>
      <c r="B798" s="6" t="str">
        <f t="shared" si="408"/>
        <v>Avg. Case size UM</v>
      </c>
      <c r="C798" s="4" t="str">
        <f>CHOOSE(2, "5462030031", "Jul 26")</f>
        <v>Jul 26</v>
      </c>
      <c r="D798" s="14">
        <v>0</v>
      </c>
    </row>
    <row r="799" spans="1:4" x14ac:dyDescent="0.35">
      <c r="A799" s="8" t="str">
        <f t="shared" si="381"/>
        <v>Hong Kong</v>
      </c>
      <c r="B799" s="3" t="str">
        <f t="shared" ref="B799:B800" si="409">CHOOSE(2, "1395000000551", "Avg. Case size Leaders above UM")</f>
        <v>Avg. Case size Leaders above UM</v>
      </c>
      <c r="C799" s="4" t="str">
        <f>CHOOSE(2, "5461730030", "Jun 26")</f>
        <v>Jun 26</v>
      </c>
      <c r="D799" s="14">
        <v>0</v>
      </c>
    </row>
    <row r="800" spans="1:4" x14ac:dyDescent="0.35">
      <c r="A800" s="8" t="str">
        <f t="shared" si="381"/>
        <v>Hong Kong</v>
      </c>
      <c r="B800" s="6" t="str">
        <f t="shared" si="409"/>
        <v>Avg. Case size Leaders above UM</v>
      </c>
      <c r="C800" s="4" t="str">
        <f>CHOOSE(2, "5462030031", "Jul 26")</f>
        <v>Jul 26</v>
      </c>
      <c r="D800" s="14">
        <v>0</v>
      </c>
    </row>
    <row r="801" spans="1:4" x14ac:dyDescent="0.35">
      <c r="A801" s="8" t="str">
        <f t="shared" si="381"/>
        <v>Hong Kong</v>
      </c>
      <c r="B801" s="3" t="str">
        <f t="shared" ref="B801:B802" si="410">CHOOSE(2, "1395000000550", "Avg. Case size Top-tier agents")</f>
        <v>Avg. Case size Top-tier agents</v>
      </c>
      <c r="C801" s="4" t="str">
        <f>CHOOSE(2, "5461730030", "Jun 26")</f>
        <v>Jun 26</v>
      </c>
      <c r="D801" s="14">
        <v>8044.9470578593673</v>
      </c>
    </row>
    <row r="802" spans="1:4" x14ac:dyDescent="0.35">
      <c r="A802" s="8" t="str">
        <f t="shared" si="381"/>
        <v>Hong Kong</v>
      </c>
      <c r="B802" s="6" t="str">
        <f t="shared" si="410"/>
        <v>Avg. Case size Top-tier agents</v>
      </c>
      <c r="C802" s="4" t="str">
        <f>CHOOSE(2, "5462030031", "Jul 26")</f>
        <v>Jul 26</v>
      </c>
      <c r="D802" s="14">
        <v>1637.6192693092135</v>
      </c>
    </row>
    <row r="803" spans="1:4" x14ac:dyDescent="0.35">
      <c r="A803" s="8" t="str">
        <f t="shared" si="381"/>
        <v>Hong Kong</v>
      </c>
      <c r="B803" s="3" t="str">
        <f t="shared" ref="B803:B804" si="411">CHOOSE(2, "1395000000549", "Avg. Case size Manulife Pro Qualifiers - Total")</f>
        <v>Avg. Case size Manulife Pro Qualifiers - Total</v>
      </c>
      <c r="C803" s="4" t="str">
        <f>CHOOSE(2, "5461730030", "Jun 26")</f>
        <v>Jun 26</v>
      </c>
      <c r="D803" s="14">
        <v>0</v>
      </c>
    </row>
    <row r="804" spans="1:4" x14ac:dyDescent="0.35">
      <c r="A804" s="8" t="str">
        <f t="shared" si="381"/>
        <v>Hong Kong</v>
      </c>
      <c r="B804" s="6" t="str">
        <f t="shared" si="411"/>
        <v>Avg. Case size Manulife Pro Qualifiers - Total</v>
      </c>
      <c r="C804" s="4" t="str">
        <f>CHOOSE(2, "5462030031", "Jul 26")</f>
        <v>Jul 26</v>
      </c>
      <c r="D804" s="14">
        <v>0</v>
      </c>
    </row>
    <row r="805" spans="1:4" x14ac:dyDescent="0.35">
      <c r="A805" s="8" t="str">
        <f t="shared" si="381"/>
        <v>Hong Kong</v>
      </c>
      <c r="B805" s="3" t="str">
        <f t="shared" ref="B805:B806" si="412">CHOOSE(2, "1395000000548", "Avg. Case size FA or equivalent")</f>
        <v>Avg. Case size FA or equivalent</v>
      </c>
      <c r="C805" s="4" t="str">
        <f>CHOOSE(2, "5461730030", "Jun 26")</f>
        <v>Jun 26</v>
      </c>
      <c r="D805" s="14">
        <v>0</v>
      </c>
    </row>
    <row r="806" spans="1:4" x14ac:dyDescent="0.35">
      <c r="A806" s="8" t="str">
        <f t="shared" si="381"/>
        <v>Hong Kong</v>
      </c>
      <c r="B806" s="6" t="str">
        <f t="shared" si="412"/>
        <v>Avg. Case size FA or equivalent</v>
      </c>
      <c r="C806" s="4" t="str">
        <f>CHOOSE(2, "5462030031", "Jul 26")</f>
        <v>Jul 26</v>
      </c>
      <c r="D806" s="14">
        <v>0</v>
      </c>
    </row>
    <row r="807" spans="1:4" x14ac:dyDescent="0.35">
      <c r="A807" s="8" t="str">
        <f t="shared" si="381"/>
        <v>Hong Kong</v>
      </c>
      <c r="B807" s="3" t="str">
        <f t="shared" ref="B807:B808" si="413">CHOOSE(2, "1395000000547", "Avg. Case size pro-rated MDRT agents (&gt;100%)")</f>
        <v>Avg. Case size pro-rated MDRT agents (&gt;100%)</v>
      </c>
      <c r="C807" s="4" t="str">
        <f>CHOOSE(2, "5461730030", "Jun 26")</f>
        <v>Jun 26</v>
      </c>
      <c r="D807" s="14">
        <v>9607.0339759036142</v>
      </c>
    </row>
    <row r="808" spans="1:4" x14ac:dyDescent="0.35">
      <c r="A808" s="8" t="str">
        <f t="shared" si="381"/>
        <v>Hong Kong</v>
      </c>
      <c r="B808" s="6" t="str">
        <f t="shared" si="413"/>
        <v>Avg. Case size pro-rated MDRT agents (&gt;100%)</v>
      </c>
      <c r="C808" s="4" t="str">
        <f>CHOOSE(2, "5462030031", "Jul 26")</f>
        <v>Jul 26</v>
      </c>
      <c r="D808" s="14">
        <v>1881.5174867832452</v>
      </c>
    </row>
    <row r="809" spans="1:4" x14ac:dyDescent="0.35">
      <c r="A809" s="8" t="str">
        <f t="shared" ref="A809:A842" si="414">CHOOSE(2, "204000000001", "Hong Kong")</f>
        <v>Hong Kong</v>
      </c>
      <c r="B809" s="3" t="str">
        <f t="shared" ref="B809:B810" si="415">CHOOSE(2, "1395000000546", "Avg. Case size pro-rated MDRT agents (70-99%)")</f>
        <v>Avg. Case size pro-rated MDRT agents (70-99%)</v>
      </c>
      <c r="C809" s="4" t="str">
        <f>CHOOSE(2, "5461730030", "Jun 26")</f>
        <v>Jun 26</v>
      </c>
      <c r="D809" s="14">
        <v>4964.8780718336484</v>
      </c>
    </row>
    <row r="810" spans="1:4" x14ac:dyDescent="0.35">
      <c r="A810" s="8" t="str">
        <f t="shared" si="414"/>
        <v>Hong Kong</v>
      </c>
      <c r="B810" s="6" t="str">
        <f t="shared" si="415"/>
        <v>Avg. Case size pro-rated MDRT agents (70-99%)</v>
      </c>
      <c r="C810" s="4" t="str">
        <f>CHOOSE(2, "5462030031", "Jul 26")</f>
        <v>Jul 26</v>
      </c>
      <c r="D810" s="14">
        <v>1326.1711642251348</v>
      </c>
    </row>
    <row r="811" spans="1:4" x14ac:dyDescent="0.35">
      <c r="A811" s="8" t="str">
        <f t="shared" si="414"/>
        <v>Hong Kong</v>
      </c>
      <c r="B811" s="3" t="str">
        <f t="shared" ref="B811:B812" si="416">CHOOSE(2, "1395000000545", "Avg. Case size pro-rated MDRT agents (50-69%)")</f>
        <v>Avg. Case size pro-rated MDRT agents (50-69%)</v>
      </c>
      <c r="C811" s="4" t="str">
        <f>CHOOSE(2, "5461730030", "Jun 26")</f>
        <v>Jun 26</v>
      </c>
      <c r="D811" s="14">
        <v>4444.6565656565654</v>
      </c>
    </row>
    <row r="812" spans="1:4" x14ac:dyDescent="0.35">
      <c r="A812" s="8" t="str">
        <f t="shared" si="414"/>
        <v>Hong Kong</v>
      </c>
      <c r="B812" s="6" t="str">
        <f t="shared" si="416"/>
        <v>Avg. Case size pro-rated MDRT agents (50-69%)</v>
      </c>
      <c r="C812" s="4" t="str">
        <f>CHOOSE(2, "5462030031", "Jul 26")</f>
        <v>Jul 26</v>
      </c>
      <c r="D812" s="14">
        <v>1027.5971333503967</v>
      </c>
    </row>
    <row r="813" spans="1:4" x14ac:dyDescent="0.35">
      <c r="A813" s="8" t="str">
        <f t="shared" si="414"/>
        <v>Hong Kong</v>
      </c>
      <c r="B813" s="3" t="str">
        <f t="shared" ref="B813:B814" si="417">CHOOSE(2, "1395000000544", "% of 1-Month Active Agents UM")</f>
        <v>% of 1-Month Active Agents UM</v>
      </c>
      <c r="C813" s="4" t="str">
        <f>CHOOSE(2, "5461730030", "Jun 26")</f>
        <v>Jun 26</v>
      </c>
      <c r="D813" s="14">
        <v>0.57989228007181326</v>
      </c>
    </row>
    <row r="814" spans="1:4" x14ac:dyDescent="0.35">
      <c r="A814" s="8" t="str">
        <f t="shared" si="414"/>
        <v>Hong Kong</v>
      </c>
      <c r="B814" s="6" t="str">
        <f t="shared" si="417"/>
        <v>% of 1-Month Active Agents UM</v>
      </c>
      <c r="C814" s="4" t="str">
        <f>CHOOSE(2, "5462030031", "Jul 26")</f>
        <v>Jul 26</v>
      </c>
      <c r="D814" s="14">
        <v>1.0427046263345197</v>
      </c>
    </row>
    <row r="815" spans="1:4" x14ac:dyDescent="0.35">
      <c r="A815" s="8" t="str">
        <f t="shared" si="414"/>
        <v>Hong Kong</v>
      </c>
      <c r="B815" s="3" t="str">
        <f t="shared" ref="B815:B816" si="418">CHOOSE(2, "1395000000543", "% of 1-Month Active Agents Leaders above UM")</f>
        <v>% of 1-Month Active Agents Leaders above UM</v>
      </c>
      <c r="C815" s="4" t="str">
        <f>CHOOSE(2, "5461730030", "Jun 26")</f>
        <v>Jun 26</v>
      </c>
      <c r="D815" s="14">
        <v>0.5692055692055692</v>
      </c>
    </row>
    <row r="816" spans="1:4" x14ac:dyDescent="0.35">
      <c r="A816" s="8" t="str">
        <f t="shared" si="414"/>
        <v>Hong Kong</v>
      </c>
      <c r="B816" s="6" t="str">
        <f t="shared" si="418"/>
        <v>% of 1-Month Active Agents Leaders above UM</v>
      </c>
      <c r="C816" s="4" t="str">
        <f>CHOOSE(2, "5462030031", "Jul 26")</f>
        <v>Jul 26</v>
      </c>
      <c r="D816" s="14">
        <v>1.1274509803921569</v>
      </c>
    </row>
    <row r="817" spans="1:4" x14ac:dyDescent="0.35">
      <c r="A817" s="8" t="str">
        <f t="shared" si="414"/>
        <v>Hong Kong</v>
      </c>
      <c r="B817" s="3" t="str">
        <f t="shared" ref="B817:B818" si="419">CHOOSE(2, "1395000000542", "% of 1-Month Active Agents Top-tier agents")</f>
        <v>% of 1-Month Active Agents Top-tier agents</v>
      </c>
      <c r="C817" s="4" t="str">
        <f>CHOOSE(2, "5461730030", "Jun 26")</f>
        <v>Jun 26</v>
      </c>
      <c r="D817" s="14">
        <v>0.62875234521575984</v>
      </c>
    </row>
    <row r="818" spans="1:4" x14ac:dyDescent="0.35">
      <c r="A818" s="8" t="str">
        <f t="shared" si="414"/>
        <v>Hong Kong</v>
      </c>
      <c r="B818" s="6" t="str">
        <f t="shared" si="419"/>
        <v>% of 1-Month Active Agents Top-tier agents</v>
      </c>
      <c r="C818" s="4" t="str">
        <f>CHOOSE(2, "5462030031", "Jul 26")</f>
        <v>Jul 26</v>
      </c>
      <c r="D818" s="14">
        <v>1.1975031210986267</v>
      </c>
    </row>
    <row r="819" spans="1:4" x14ac:dyDescent="0.35">
      <c r="A819" s="8" t="str">
        <f t="shared" si="414"/>
        <v>Hong Kong</v>
      </c>
      <c r="B819" s="3" t="str">
        <f t="shared" ref="B819:B820" si="420">CHOOSE(2, "1395000000541", "% of 1-Month Active Agents FA or equivalent")</f>
        <v>% of 1-Month Active Agents FA or equivalent</v>
      </c>
      <c r="C819" s="4" t="str">
        <f>CHOOSE(2, "5461730030", "Jun 26")</f>
        <v>Jun 26</v>
      </c>
      <c r="D819" s="14">
        <v>0.35434220874059097</v>
      </c>
    </row>
    <row r="820" spans="1:4" x14ac:dyDescent="0.35">
      <c r="A820" s="8" t="str">
        <f t="shared" si="414"/>
        <v>Hong Kong</v>
      </c>
      <c r="B820" s="6" t="str">
        <f t="shared" si="420"/>
        <v>% of 1-Month Active Agents FA or equivalent</v>
      </c>
      <c r="C820" s="4" t="str">
        <f>CHOOSE(2, "5462030031", "Jul 26")</f>
        <v>Jul 26</v>
      </c>
      <c r="D820" s="14">
        <v>0.62515454647634039</v>
      </c>
    </row>
    <row r="821" spans="1:4" x14ac:dyDescent="0.35">
      <c r="A821" s="8" t="str">
        <f t="shared" si="414"/>
        <v>Hong Kong</v>
      </c>
      <c r="B821" s="3" t="str">
        <f t="shared" ref="B821:B822" si="421">CHOOSE(2, "1395000000540", "% of 1-Month Active Agents pro-rated MDRT agents (&gt;100%)")</f>
        <v>% of 1-Month Active Agents pro-rated MDRT agents (&gt;100%)</v>
      </c>
      <c r="C821" s="4" t="str">
        <f>CHOOSE(2, "5461730030", "Jun 26")</f>
        <v>Jun 26</v>
      </c>
      <c r="D821" s="14">
        <v>0.67989756722151085</v>
      </c>
    </row>
    <row r="822" spans="1:4" x14ac:dyDescent="0.35">
      <c r="A822" s="8" t="str">
        <f t="shared" si="414"/>
        <v>Hong Kong</v>
      </c>
      <c r="B822" s="6" t="str">
        <f t="shared" si="421"/>
        <v>% of 1-Month Active Agents pro-rated MDRT agents (&gt;100%)</v>
      </c>
      <c r="C822" s="4" t="str">
        <f>CHOOSE(2, "5462030031", "Jul 26")</f>
        <v>Jul 26</v>
      </c>
      <c r="D822" s="14">
        <v>1.3201923076923077</v>
      </c>
    </row>
    <row r="823" spans="1:4" x14ac:dyDescent="0.35">
      <c r="A823" s="8" t="str">
        <f t="shared" si="414"/>
        <v>Hong Kong</v>
      </c>
      <c r="B823" s="3" t="str">
        <f t="shared" ref="B823:B824" si="422">CHOOSE(2, "1395000000539", "% of 1-Month Active Agents pro-rated MDRT agents (70-99%)")</f>
        <v>% of 1-Month Active Agents pro-rated MDRT agents (70-99%)</v>
      </c>
      <c r="C823" s="4" t="str">
        <f>CHOOSE(2, "5461730030", "Jun 26")</f>
        <v>Jun 26</v>
      </c>
      <c r="D823" s="14">
        <v>0.59090909090909094</v>
      </c>
    </row>
    <row r="824" spans="1:4" x14ac:dyDescent="0.35">
      <c r="A824" s="8" t="str">
        <f t="shared" si="414"/>
        <v>Hong Kong</v>
      </c>
      <c r="B824" s="6" t="str">
        <f t="shared" si="422"/>
        <v>% of 1-Month Active Agents pro-rated MDRT agents (70-99%)</v>
      </c>
      <c r="C824" s="4" t="str">
        <f>CHOOSE(2, "5462030031", "Jul 26")</f>
        <v>Jul 26</v>
      </c>
      <c r="D824" s="14">
        <v>1.1548974943052392</v>
      </c>
    </row>
    <row r="825" spans="1:4" x14ac:dyDescent="0.35">
      <c r="A825" s="8" t="str">
        <f t="shared" si="414"/>
        <v>Hong Kong</v>
      </c>
      <c r="B825" s="3" t="str">
        <f t="shared" ref="B825:B826" si="423">CHOOSE(2, "1395000000538", "% of 1-Month Active Agents pro-rated MDRT agents (50-69%)")</f>
        <v>% of 1-Month Active Agents pro-rated MDRT agents (50-69%)</v>
      </c>
      <c r="C825" s="4" t="str">
        <f>CHOOSE(2, "5461730030", "Jun 26")</f>
        <v>Jun 26</v>
      </c>
      <c r="D825" s="14">
        <v>0.54256410256410259</v>
      </c>
    </row>
    <row r="826" spans="1:4" x14ac:dyDescent="0.35">
      <c r="A826" s="8" t="str">
        <f t="shared" si="414"/>
        <v>Hong Kong</v>
      </c>
      <c r="B826" s="6" t="str">
        <f t="shared" si="423"/>
        <v>% of 1-Month Active Agents pro-rated MDRT agents (50-69%)</v>
      </c>
      <c r="C826" s="4" t="str">
        <f>CHOOSE(2, "5462030031", "Jul 26")</f>
        <v>Jul 26</v>
      </c>
      <c r="D826" s="14">
        <v>0.98949379178605534</v>
      </c>
    </row>
    <row r="827" spans="1:4" x14ac:dyDescent="0.35">
      <c r="A827" s="8" t="str">
        <f t="shared" si="414"/>
        <v>Hong Kong</v>
      </c>
      <c r="B827" s="3" t="str">
        <f t="shared" ref="B827:B828" si="424">CHOOSE(2, "1395000000537", "Avg. Case count per 1-Month Active Agent UM")</f>
        <v>Avg. Case count per 1-Month Active Agent UM</v>
      </c>
      <c r="C827" s="4" t="str">
        <f>CHOOSE(2, "5461730030", "Jun 26")</f>
        <v>Jun 26</v>
      </c>
      <c r="D827" s="14">
        <v>2.2972136222910216</v>
      </c>
    </row>
    <row r="828" spans="1:4" x14ac:dyDescent="0.35">
      <c r="A828" s="8" t="str">
        <f t="shared" si="414"/>
        <v>Hong Kong</v>
      </c>
      <c r="B828" s="6" t="str">
        <f t="shared" si="424"/>
        <v>Avg. Case count per 1-Month Active Agent UM</v>
      </c>
      <c r="C828" s="4" t="str">
        <f>CHOOSE(2, "5462030031", "Jul 26")</f>
        <v>Jul 26</v>
      </c>
      <c r="D828" s="14">
        <v>4.6860068259385663</v>
      </c>
    </row>
    <row r="829" spans="1:4" x14ac:dyDescent="0.35">
      <c r="A829" s="8" t="str">
        <f t="shared" si="414"/>
        <v>Hong Kong</v>
      </c>
      <c r="B829" s="3" t="str">
        <f t="shared" ref="B829:B830" si="425">CHOOSE(2, "1395000000536", "Avg. Case count per 1-Month Active Agent Leaders above UM")</f>
        <v>Avg. Case count per 1-Month Active Agent Leaders above UM</v>
      </c>
      <c r="C829" s="4" t="str">
        <f>CHOOSE(2, "5461730030", "Jun 26")</f>
        <v>Jun 26</v>
      </c>
      <c r="D829" s="14">
        <v>2.4604316546762588</v>
      </c>
    </row>
    <row r="830" spans="1:4" x14ac:dyDescent="0.35">
      <c r="A830" s="8" t="str">
        <f t="shared" si="414"/>
        <v>Hong Kong</v>
      </c>
      <c r="B830" s="6" t="str">
        <f t="shared" si="425"/>
        <v>Avg. Case count per 1-Month Active Agent Leaders above UM</v>
      </c>
      <c r="C830" s="4" t="str">
        <f>CHOOSE(2, "5462030031", "Jul 26")</f>
        <v>Jul 26</v>
      </c>
      <c r="D830" s="14">
        <v>5.2260869565217387</v>
      </c>
    </row>
    <row r="831" spans="1:4" x14ac:dyDescent="0.35">
      <c r="A831" s="8" t="str">
        <f t="shared" si="414"/>
        <v>Hong Kong</v>
      </c>
      <c r="B831" s="3" t="str">
        <f t="shared" ref="B831:B832" si="426">CHOOSE(2, "1395000000535", "Avg. Case count per 1-Month Active Agent Top-tier agents")</f>
        <v>Avg. Case count per 1-Month Active Agent Top-tier agents</v>
      </c>
      <c r="C831" s="4" t="str">
        <f>CHOOSE(2, "5461730030", "Jun 26")</f>
        <v>Jun 26</v>
      </c>
      <c r="D831" s="14">
        <v>2.2756434166355839</v>
      </c>
    </row>
    <row r="832" spans="1:4" x14ac:dyDescent="0.35">
      <c r="A832" s="8" t="str">
        <f t="shared" si="414"/>
        <v>Hong Kong</v>
      </c>
      <c r="B832" s="6" t="str">
        <f t="shared" si="426"/>
        <v>Avg. Case count per 1-Month Active Agent Top-tier agents</v>
      </c>
      <c r="C832" s="4" t="str">
        <f>CHOOSE(2, "5462030031", "Jul 26")</f>
        <v>Jul 26</v>
      </c>
      <c r="D832" s="14">
        <v>4.7026688907422853</v>
      </c>
    </row>
    <row r="833" spans="1:4" x14ac:dyDescent="0.35">
      <c r="A833" s="8" t="str">
        <f t="shared" si="414"/>
        <v>Hong Kong</v>
      </c>
      <c r="B833" s="3" t="str">
        <f t="shared" ref="B833:B834" si="427">CHOOSE(2, "1395000000534", "Avg. Case count per 1-Month Manulife Pro Qualifiers - Total")</f>
        <v>Avg. Case count per 1-Month Manulife Pro Qualifiers - Total</v>
      </c>
      <c r="C833" s="4" t="str">
        <f>CHOOSE(2, "5461730030", "Jun 26")</f>
        <v>Jun 26</v>
      </c>
      <c r="D833" s="14">
        <v>0</v>
      </c>
    </row>
    <row r="834" spans="1:4" x14ac:dyDescent="0.35">
      <c r="A834" s="8" t="str">
        <f t="shared" si="414"/>
        <v>Hong Kong</v>
      </c>
      <c r="B834" s="6" t="str">
        <f t="shared" si="427"/>
        <v>Avg. Case count per 1-Month Manulife Pro Qualifiers - Total</v>
      </c>
      <c r="C834" s="4" t="str">
        <f>CHOOSE(2, "5462030031", "Jul 26")</f>
        <v>Jul 26</v>
      </c>
      <c r="D834" s="14">
        <v>0</v>
      </c>
    </row>
    <row r="835" spans="1:4" x14ac:dyDescent="0.35">
      <c r="A835" s="8" t="str">
        <f t="shared" si="414"/>
        <v>Hong Kong</v>
      </c>
      <c r="B835" s="3" t="str">
        <f t="shared" ref="B835:B836" si="428">CHOOSE(2, "1395000000533", "Avg. Case count per 1-Month Active Agent FA or equivalent")</f>
        <v>Avg. Case count per 1-Month Active Agent FA or equivalent</v>
      </c>
      <c r="C835" s="4" t="str">
        <f>CHOOSE(2, "5461730030", "Jun 26")</f>
        <v>Jun 26</v>
      </c>
      <c r="D835" s="14">
        <v>1.7035510462904249</v>
      </c>
    </row>
    <row r="836" spans="1:4" x14ac:dyDescent="0.35">
      <c r="A836" s="8" t="str">
        <f t="shared" si="414"/>
        <v>Hong Kong</v>
      </c>
      <c r="B836" s="6" t="str">
        <f t="shared" si="428"/>
        <v>Avg. Case count per 1-Month Active Agent FA or equivalent</v>
      </c>
      <c r="C836" s="4" t="str">
        <f>CHOOSE(2, "5462030031", "Jul 26")</f>
        <v>Jul 26</v>
      </c>
      <c r="D836" s="14">
        <v>3.4338367493707298</v>
      </c>
    </row>
    <row r="837" spans="1:4" x14ac:dyDescent="0.35">
      <c r="A837" s="8" t="str">
        <f t="shared" si="414"/>
        <v>Hong Kong</v>
      </c>
      <c r="B837" s="3" t="str">
        <f t="shared" ref="B837:B838" si="429">CHOOSE(2, "1395000000532", "Avg. Case count per 1-Month pro-rated MDRT agents (&gt;100%)")</f>
        <v>Avg. Case count per 1-Month pro-rated MDRT agents (&gt;100%)</v>
      </c>
      <c r="C837" s="4" t="str">
        <f>CHOOSE(2, "5461730030", "Jun 26")</f>
        <v>Jun 26</v>
      </c>
      <c r="D837" s="14">
        <v>2.6051475204017578</v>
      </c>
    </row>
    <row r="838" spans="1:4" x14ac:dyDescent="0.35">
      <c r="A838" s="8" t="str">
        <f t="shared" si="414"/>
        <v>Hong Kong</v>
      </c>
      <c r="B838" s="6" t="str">
        <f t="shared" si="429"/>
        <v>Avg. Case count per 1-Month pro-rated MDRT agents (&gt;100%)</v>
      </c>
      <c r="C838" s="4" t="str">
        <f>CHOOSE(2, "5462030031", "Jul 26")</f>
        <v>Jul 26</v>
      </c>
      <c r="D838" s="14">
        <v>5.3729060451565918</v>
      </c>
    </row>
    <row r="839" spans="1:4" x14ac:dyDescent="0.35">
      <c r="A839" s="8" t="str">
        <f t="shared" si="414"/>
        <v>Hong Kong</v>
      </c>
      <c r="B839" s="3" t="str">
        <f t="shared" ref="B839:B840" si="430">CHOOSE(2, "1395000000531", "Avg. Case count per 1-Month pro-rated MDRT agents (70-99%)")</f>
        <v>Avg. Case count per 1-Month pro-rated MDRT agents (70-99%)</v>
      </c>
      <c r="C839" s="4" t="str">
        <f>CHOOSE(2, "5461730030", "Jun 26")</f>
        <v>Jun 26</v>
      </c>
      <c r="D839" s="14">
        <v>1.8926654740608229</v>
      </c>
    </row>
    <row r="840" spans="1:4" x14ac:dyDescent="0.35">
      <c r="A840" s="8" t="str">
        <f t="shared" si="414"/>
        <v>Hong Kong</v>
      </c>
      <c r="B840" s="6" t="str">
        <f t="shared" si="430"/>
        <v>Avg. Case count per 1-Month pro-rated MDRT agents (70-99%)</v>
      </c>
      <c r="C840" s="4" t="str">
        <f>CHOOSE(2, "5462030031", "Jul 26")</f>
        <v>Jul 26</v>
      </c>
      <c r="D840" s="14">
        <v>3.8372781065088759</v>
      </c>
    </row>
    <row r="841" spans="1:4" x14ac:dyDescent="0.35">
      <c r="A841" s="8" t="str">
        <f t="shared" si="414"/>
        <v>Hong Kong</v>
      </c>
      <c r="B841" s="3" t="str">
        <f t="shared" ref="B841:B842" si="431">CHOOSE(2, "1395000000530", "Avg. Case count per 1-Month pro-rated MDRT agents (50-69%)")</f>
        <v>Avg. Case count per 1-Month pro-rated MDRT agents (50-69%)</v>
      </c>
      <c r="C841" s="4" t="str">
        <f>CHOOSE(2, "5461730030", "Jun 26")</f>
        <v>Jun 26</v>
      </c>
      <c r="D841" s="14">
        <v>1.6843100189035918</v>
      </c>
    </row>
    <row r="842" spans="1:4" x14ac:dyDescent="0.35">
      <c r="A842" s="9" t="str">
        <f t="shared" si="414"/>
        <v>Hong Kong</v>
      </c>
      <c r="B842" s="6" t="str">
        <f t="shared" si="431"/>
        <v>Avg. Case count per 1-Month pro-rated MDRT agents (50-69%)</v>
      </c>
      <c r="C842" s="4" t="str">
        <f>CHOOSE(2, "5462030031", "Jul 26")</f>
        <v>Jul 26</v>
      </c>
      <c r="D842" s="14">
        <v>3.7712355212355213</v>
      </c>
    </row>
    <row r="843" spans="1:4" x14ac:dyDescent="0.35">
      <c r="A843" s="3" t="str">
        <f t="shared" ref="A843:A906" si="432">CHOOSE(2, "1260000000011", "Agency")</f>
        <v>Agency</v>
      </c>
      <c r="B843" s="3" t="str">
        <f t="shared" ref="B843:B844" si="433">CHOOSE(2, "1395000000741", "Submitted APE")</f>
        <v>Submitted APE</v>
      </c>
      <c r="C843" s="4" t="str">
        <f>CHOOSE(2, "5461730030", "Jun 26")</f>
        <v>Jun 26</v>
      </c>
      <c r="D843" s="14">
        <v>6570660.3735250002</v>
      </c>
    </row>
    <row r="844" spans="1:4" x14ac:dyDescent="0.35">
      <c r="A844" s="5" t="str">
        <f t="shared" si="432"/>
        <v>Agency</v>
      </c>
      <c r="B844" s="6" t="str">
        <f t="shared" si="433"/>
        <v>Submitted APE</v>
      </c>
      <c r="C844" s="4" t="str">
        <f>CHOOSE(2, "5462030031", "Jul 26")</f>
        <v>Jul 26</v>
      </c>
      <c r="D844" s="14">
        <v>5196560.1518749008</v>
      </c>
    </row>
    <row r="845" spans="1:4" x14ac:dyDescent="0.35">
      <c r="A845" s="5" t="str">
        <f t="shared" si="432"/>
        <v>Agency</v>
      </c>
      <c r="B845" s="3" t="str">
        <f t="shared" ref="B845:B846" si="434">CHOOSE(2, "1395000000740", "# of 1-Month Active Agents")</f>
        <v># of 1-Month Active Agents</v>
      </c>
      <c r="C845" s="4" t="str">
        <f>CHOOSE(2, "5461730030", "Jun 26")</f>
        <v>Jun 26</v>
      </c>
      <c r="D845" s="14">
        <v>889</v>
      </c>
    </row>
    <row r="846" spans="1:4" x14ac:dyDescent="0.35">
      <c r="A846" s="5" t="str">
        <f t="shared" si="432"/>
        <v>Agency</v>
      </c>
      <c r="B846" s="6" t="str">
        <f t="shared" si="434"/>
        <v># of 1-Month Active Agents</v>
      </c>
      <c r="C846" s="4" t="str">
        <f>CHOOSE(2, "5462030031", "Jul 26")</f>
        <v>Jul 26</v>
      </c>
      <c r="D846" s="14">
        <v>870</v>
      </c>
    </row>
    <row r="847" spans="1:4" x14ac:dyDescent="0.35">
      <c r="A847" s="5" t="str">
        <f t="shared" si="432"/>
        <v>Agency</v>
      </c>
      <c r="B847" s="3" t="str">
        <f t="shared" ref="B847:B848" si="435">CHOOSE(2, "1395000000739", "# of 1-Month Active Agents in 0-1M")</f>
        <v># of 1-Month Active Agents in 0-1M</v>
      </c>
      <c r="C847" s="4" t="str">
        <f>CHOOSE(2, "5461730030", "Jun 26")</f>
        <v>Jun 26</v>
      </c>
      <c r="D847" s="14">
        <v>13</v>
      </c>
    </row>
    <row r="848" spans="1:4" x14ac:dyDescent="0.35">
      <c r="A848" s="5" t="str">
        <f t="shared" si="432"/>
        <v>Agency</v>
      </c>
      <c r="B848" s="6" t="str">
        <f t="shared" si="435"/>
        <v># of 1-Month Active Agents in 0-1M</v>
      </c>
      <c r="C848" s="4" t="str">
        <f>CHOOSE(2, "5462030031", "Jul 26")</f>
        <v>Jul 26</v>
      </c>
      <c r="D848" s="14">
        <v>24</v>
      </c>
    </row>
    <row r="849" spans="1:4" x14ac:dyDescent="0.35">
      <c r="A849" s="5" t="str">
        <f t="shared" si="432"/>
        <v>Agency</v>
      </c>
      <c r="B849" s="3" t="str">
        <f t="shared" ref="B849:B850" si="436">CHOOSE(2, "1395000000738", "# of 1-Month Active Agents in 2-3M")</f>
        <v># of 1-Month Active Agents in 2-3M</v>
      </c>
      <c r="C849" s="4" t="str">
        <f>CHOOSE(2, "5461730030", "Jun 26")</f>
        <v>Jun 26</v>
      </c>
      <c r="D849" s="14">
        <v>33</v>
      </c>
    </row>
    <row r="850" spans="1:4" x14ac:dyDescent="0.35">
      <c r="A850" s="5" t="str">
        <f t="shared" si="432"/>
        <v>Agency</v>
      </c>
      <c r="B850" s="6" t="str">
        <f t="shared" si="436"/>
        <v># of 1-Month Active Agents in 2-3M</v>
      </c>
      <c r="C850" s="4" t="str">
        <f>CHOOSE(2, "5462030031", "Jul 26")</f>
        <v>Jul 26</v>
      </c>
      <c r="D850" s="14">
        <v>34</v>
      </c>
    </row>
    <row r="851" spans="1:4" x14ac:dyDescent="0.35">
      <c r="A851" s="5" t="str">
        <f t="shared" si="432"/>
        <v>Agency</v>
      </c>
      <c r="B851" s="3" t="str">
        <f t="shared" ref="B851:B852" si="437">CHOOSE(2, "1395000000737", "# of 1-Month Active Agents in 4-12M")</f>
        <v># of 1-Month Active Agents in 4-12M</v>
      </c>
      <c r="C851" s="4" t="str">
        <f>CHOOSE(2, "5461730030", "Jun 26")</f>
        <v>Jun 26</v>
      </c>
      <c r="D851" s="14">
        <v>114</v>
      </c>
    </row>
    <row r="852" spans="1:4" x14ac:dyDescent="0.35">
      <c r="A852" s="5" t="str">
        <f t="shared" si="432"/>
        <v>Agency</v>
      </c>
      <c r="B852" s="6" t="str">
        <f t="shared" si="437"/>
        <v># of 1-Month Active Agents in 4-12M</v>
      </c>
      <c r="C852" s="4" t="str">
        <f>CHOOSE(2, "5462030031", "Jul 26")</f>
        <v>Jul 26</v>
      </c>
      <c r="D852" s="14">
        <v>107</v>
      </c>
    </row>
    <row r="853" spans="1:4" x14ac:dyDescent="0.35">
      <c r="A853" s="5" t="str">
        <f t="shared" si="432"/>
        <v>Agency</v>
      </c>
      <c r="B853" s="3" t="str">
        <f t="shared" ref="B853:B854" si="438">CHOOSE(2, "1395000000736", "# of 1-Month Active Agents 13+M")</f>
        <v># of 1-Month Active Agents 13+M</v>
      </c>
      <c r="C853" s="4" t="str">
        <f>CHOOSE(2, "5461730030", "Jun 26")</f>
        <v>Jun 26</v>
      </c>
      <c r="D853" s="14">
        <v>729</v>
      </c>
    </row>
    <row r="854" spans="1:4" x14ac:dyDescent="0.35">
      <c r="A854" s="5" t="str">
        <f t="shared" si="432"/>
        <v>Agency</v>
      </c>
      <c r="B854" s="6" t="str">
        <f t="shared" si="438"/>
        <v># of 1-Month Active Agents 13+M</v>
      </c>
      <c r="C854" s="4" t="str">
        <f>CHOOSE(2, "5462030031", "Jul 26")</f>
        <v>Jul 26</v>
      </c>
      <c r="D854" s="14">
        <v>705</v>
      </c>
    </row>
    <row r="855" spans="1:4" x14ac:dyDescent="0.35">
      <c r="A855" s="5" t="str">
        <f t="shared" si="432"/>
        <v>Agency</v>
      </c>
      <c r="B855" s="3" t="str">
        <f t="shared" ref="B855:B856" si="439">CHOOSE(2, "1395000000735", "# of 1-Month Active Agents in FA or equivalent")</f>
        <v># of 1-Month Active Agents in FA or equivalent</v>
      </c>
      <c r="C855" s="4" t="str">
        <f>CHOOSE(2, "5461730030", "Jun 26")</f>
        <v>Jun 26</v>
      </c>
      <c r="D855" s="14">
        <v>788</v>
      </c>
    </row>
    <row r="856" spans="1:4" x14ac:dyDescent="0.35">
      <c r="A856" s="5" t="str">
        <f t="shared" si="432"/>
        <v>Agency</v>
      </c>
      <c r="B856" s="6" t="str">
        <f t="shared" si="439"/>
        <v># of 1-Month Active Agents in FA or equivalent</v>
      </c>
      <c r="C856" s="4" t="str">
        <f>CHOOSE(2, "5462030031", "Jul 26")</f>
        <v>Jul 26</v>
      </c>
      <c r="D856" s="14">
        <v>777</v>
      </c>
    </row>
    <row r="857" spans="1:4" x14ac:dyDescent="0.35">
      <c r="A857" s="5" t="str">
        <f t="shared" si="432"/>
        <v>Agency</v>
      </c>
      <c r="B857" s="3" t="str">
        <f t="shared" ref="B857:B858" si="440">CHOOSE(2, "1395000000734", "# of 1-Month Active Agents in UM")</f>
        <v># of 1-Month Active Agents in UM</v>
      </c>
      <c r="C857" s="4" t="str">
        <f>CHOOSE(2, "5461730030", "Jun 26")</f>
        <v>Jun 26</v>
      </c>
      <c r="D857" s="14">
        <v>90</v>
      </c>
    </row>
    <row r="858" spans="1:4" x14ac:dyDescent="0.35">
      <c r="A858" s="5" t="str">
        <f t="shared" si="432"/>
        <v>Agency</v>
      </c>
      <c r="B858" s="6" t="str">
        <f t="shared" si="440"/>
        <v># of 1-Month Active Agents in UM</v>
      </c>
      <c r="C858" s="4" t="str">
        <f>CHOOSE(2, "5462030031", "Jul 26")</f>
        <v>Jul 26</v>
      </c>
      <c r="D858" s="14">
        <v>82</v>
      </c>
    </row>
    <row r="859" spans="1:4" x14ac:dyDescent="0.35">
      <c r="A859" s="5" t="str">
        <f t="shared" si="432"/>
        <v>Agency</v>
      </c>
      <c r="B859" s="3" t="str">
        <f t="shared" ref="B859:B860" si="441">CHOOSE(2, "1395000000733", "# of 1-Month Active Agents in Leaders above UM")</f>
        <v># of 1-Month Active Agents in Leaders above UM</v>
      </c>
      <c r="C859" s="4" t="str">
        <f>CHOOSE(2, "5461730030", "Jun 26")</f>
        <v>Jun 26</v>
      </c>
      <c r="D859" s="14">
        <v>11</v>
      </c>
    </row>
    <row r="860" spans="1:4" x14ac:dyDescent="0.35">
      <c r="A860" s="5" t="str">
        <f t="shared" si="432"/>
        <v>Agency</v>
      </c>
      <c r="B860" s="6" t="str">
        <f t="shared" si="441"/>
        <v># of 1-Month Active Agents in Leaders above UM</v>
      </c>
      <c r="C860" s="4" t="str">
        <f>CHOOSE(2, "5462030031", "Jul 26")</f>
        <v>Jul 26</v>
      </c>
      <c r="D860" s="14">
        <v>11</v>
      </c>
    </row>
    <row r="861" spans="1:4" x14ac:dyDescent="0.35">
      <c r="A861" s="5" t="str">
        <f t="shared" si="432"/>
        <v>Agency</v>
      </c>
      <c r="B861" s="3" t="str">
        <f t="shared" ref="B861:B862" si="442">CHOOSE(2, "1395000000732", "# of 1-Month Active Top-tier Agents")</f>
        <v># of 1-Month Active Top-tier Agents</v>
      </c>
      <c r="C861" s="4" t="str">
        <f>CHOOSE(2, "5461730030", "Jun 26")</f>
        <v>Jun 26</v>
      </c>
      <c r="D861" s="14">
        <v>400</v>
      </c>
    </row>
    <row r="862" spans="1:4" x14ac:dyDescent="0.35">
      <c r="A862" s="5" t="str">
        <f t="shared" si="432"/>
        <v>Agency</v>
      </c>
      <c r="B862" s="6" t="str">
        <f t="shared" si="442"/>
        <v># of 1-Month Active Top-tier Agents</v>
      </c>
      <c r="C862" s="4" t="str">
        <f>CHOOSE(2, "5462030031", "Jul 26")</f>
        <v>Jul 26</v>
      </c>
      <c r="D862" s="14">
        <v>381</v>
      </c>
    </row>
    <row r="863" spans="1:4" x14ac:dyDescent="0.35">
      <c r="A863" s="5" t="str">
        <f t="shared" si="432"/>
        <v>Agency</v>
      </c>
      <c r="B863" s="3" t="str">
        <f t="shared" ref="B863:B864" si="443">CHOOSE(2, "1395000000731", "# of 1-Month Active Agents in pro-rated MDRT agents (&gt;100%)")</f>
        <v># of 1-Month Active Agents in pro-rated MDRT agents (&gt;100%)</v>
      </c>
      <c r="C863" s="4" t="str">
        <f>CHOOSE(2, "5461730030", "Jun 26")</f>
        <v>Jun 26</v>
      </c>
      <c r="D863" s="14">
        <v>147</v>
      </c>
    </row>
    <row r="864" spans="1:4" x14ac:dyDescent="0.35">
      <c r="A864" s="5" t="str">
        <f t="shared" si="432"/>
        <v>Agency</v>
      </c>
      <c r="B864" s="6" t="str">
        <f t="shared" si="443"/>
        <v># of 1-Month Active Agents in pro-rated MDRT agents (&gt;100%)</v>
      </c>
      <c r="C864" s="4" t="str">
        <f>CHOOSE(2, "5462030031", "Jul 26")</f>
        <v>Jul 26</v>
      </c>
      <c r="D864" s="14">
        <v>139</v>
      </c>
    </row>
    <row r="865" spans="1:4" x14ac:dyDescent="0.35">
      <c r="A865" s="5" t="str">
        <f t="shared" si="432"/>
        <v>Agency</v>
      </c>
      <c r="B865" s="3" t="str">
        <f t="shared" ref="B865:B866" si="444">CHOOSE(2, "1395000000730", "# of 1-Month Active Agents in pro-rated MDRT agents (70-99%)")</f>
        <v># of 1-Month Active Agents in pro-rated MDRT agents (70-99%)</v>
      </c>
      <c r="C865" s="4" t="str">
        <f>CHOOSE(2, "5461730030", "Jun 26")</f>
        <v>Jun 26</v>
      </c>
      <c r="D865" s="14">
        <v>111</v>
      </c>
    </row>
    <row r="866" spans="1:4" x14ac:dyDescent="0.35">
      <c r="A866" s="5" t="str">
        <f t="shared" si="432"/>
        <v>Agency</v>
      </c>
      <c r="B866" s="6" t="str">
        <f t="shared" si="444"/>
        <v># of 1-Month Active Agents in pro-rated MDRT agents (70-99%)</v>
      </c>
      <c r="C866" s="4" t="str">
        <f>CHOOSE(2, "5462030031", "Jul 26")</f>
        <v>Jul 26</v>
      </c>
      <c r="D866" s="14">
        <v>110</v>
      </c>
    </row>
    <row r="867" spans="1:4" x14ac:dyDescent="0.35">
      <c r="A867" s="5" t="str">
        <f t="shared" si="432"/>
        <v>Agency</v>
      </c>
      <c r="B867" s="3" t="str">
        <f t="shared" ref="B867:B868" si="445">CHOOSE(2, "1395000000729", "# of 1-Month Active Agents in pro-rated MDRT agents (50-69%)")</f>
        <v># of 1-Month Active Agents in pro-rated MDRT agents (50-69%)</v>
      </c>
      <c r="C867" s="4" t="str">
        <f>CHOOSE(2, "5461730030", "Jun 26")</f>
        <v>Jun 26</v>
      </c>
      <c r="D867" s="14">
        <v>142</v>
      </c>
    </row>
    <row r="868" spans="1:4" x14ac:dyDescent="0.35">
      <c r="A868" s="5" t="str">
        <f t="shared" si="432"/>
        <v>Agency</v>
      </c>
      <c r="B868" s="6" t="str">
        <f t="shared" si="445"/>
        <v># of 1-Month Active Agents in pro-rated MDRT agents (50-69%)</v>
      </c>
      <c r="C868" s="4" t="str">
        <f>CHOOSE(2, "5462030031", "Jul 26")</f>
        <v>Jul 26</v>
      </c>
      <c r="D868" s="14">
        <v>132</v>
      </c>
    </row>
    <row r="869" spans="1:4" x14ac:dyDescent="0.35">
      <c r="A869" s="5" t="str">
        <f t="shared" si="432"/>
        <v>Agency</v>
      </c>
      <c r="B869" s="3" t="str">
        <f t="shared" ref="B869:B870" si="446">CHOOSE(2, "1395000000728", "# of 1-Month Active Agents in Manulife Pro Qualifiers -Total")</f>
        <v># of 1-Month Active Agents in Manulife Pro Qualifiers -Total</v>
      </c>
      <c r="C869" s="4" t="str">
        <f>CHOOSE(2, "5461730030", "Jun 26")</f>
        <v>Jun 26</v>
      </c>
      <c r="D869" s="14">
        <v>125</v>
      </c>
    </row>
    <row r="870" spans="1:4" x14ac:dyDescent="0.35">
      <c r="A870" s="5" t="str">
        <f t="shared" si="432"/>
        <v>Agency</v>
      </c>
      <c r="B870" s="6" t="str">
        <f t="shared" si="446"/>
        <v># of 1-Month Active Agents in Manulife Pro Qualifiers -Total</v>
      </c>
      <c r="C870" s="4" t="str">
        <f>CHOOSE(2, "5462030031", "Jul 26")</f>
        <v>Jul 26</v>
      </c>
      <c r="D870" s="14">
        <v>122</v>
      </c>
    </row>
    <row r="871" spans="1:4" x14ac:dyDescent="0.35">
      <c r="A871" s="5" t="str">
        <f t="shared" si="432"/>
        <v>Agency</v>
      </c>
      <c r="B871" s="3" t="str">
        <f t="shared" ref="B871:B872" si="447">CHOOSE(2, "1395000000727", "# of 3-Month Active Agents")</f>
        <v># of 3-Month Active Agents</v>
      </c>
      <c r="C871" s="4" t="str">
        <f>CHOOSE(2, "5461730030", "Jun 26")</f>
        <v>Jun 26</v>
      </c>
      <c r="D871" s="14">
        <v>968</v>
      </c>
    </row>
    <row r="872" spans="1:4" x14ac:dyDescent="0.35">
      <c r="A872" s="5" t="str">
        <f t="shared" si="432"/>
        <v>Agency</v>
      </c>
      <c r="B872" s="6" t="str">
        <f t="shared" si="447"/>
        <v># of 3-Month Active Agents</v>
      </c>
      <c r="C872" s="4" t="str">
        <f>CHOOSE(2, "5462030031", "Jul 26")</f>
        <v>Jul 26</v>
      </c>
      <c r="D872" s="14">
        <v>980</v>
      </c>
    </row>
    <row r="873" spans="1:4" x14ac:dyDescent="0.35">
      <c r="A873" s="5" t="str">
        <f t="shared" si="432"/>
        <v>Agency</v>
      </c>
      <c r="B873" s="3" t="str">
        <f t="shared" ref="B873:B874" si="448">CHOOSE(2, "1395000000726", "# of 3-Month Active Agents in 0-1M")</f>
        <v># of 3-Month Active Agents in 0-1M</v>
      </c>
      <c r="C873" s="4" t="str">
        <f>CHOOSE(2, "5461730030", "Jun 26")</f>
        <v>Jun 26</v>
      </c>
      <c r="D873" s="14">
        <v>13</v>
      </c>
    </row>
    <row r="874" spans="1:4" x14ac:dyDescent="0.35">
      <c r="A874" s="5" t="str">
        <f t="shared" si="432"/>
        <v>Agency</v>
      </c>
      <c r="B874" s="6" t="str">
        <f t="shared" si="448"/>
        <v># of 3-Month Active Agents in 0-1M</v>
      </c>
      <c r="C874" s="4" t="str">
        <f>CHOOSE(2, "5462030031", "Jul 26")</f>
        <v>Jul 26</v>
      </c>
      <c r="D874" s="14">
        <v>24</v>
      </c>
    </row>
    <row r="875" spans="1:4" x14ac:dyDescent="0.35">
      <c r="A875" s="5" t="str">
        <f t="shared" si="432"/>
        <v>Agency</v>
      </c>
      <c r="B875" s="3" t="str">
        <f t="shared" ref="B875:B876" si="449">CHOOSE(2, "1395000000725", "# of 3-Month Active Agents in 2-3M")</f>
        <v># of 3-Month Active Agents in 2-3M</v>
      </c>
      <c r="C875" s="4" t="str">
        <f>CHOOSE(2, "5461730030", "Jun 26")</f>
        <v>Jun 26</v>
      </c>
      <c r="D875" s="14">
        <v>34</v>
      </c>
    </row>
    <row r="876" spans="1:4" x14ac:dyDescent="0.35">
      <c r="A876" s="5" t="str">
        <f t="shared" si="432"/>
        <v>Agency</v>
      </c>
      <c r="B876" s="6" t="str">
        <f t="shared" si="449"/>
        <v># of 3-Month Active Agents in 2-3M</v>
      </c>
      <c r="C876" s="4" t="str">
        <f>CHOOSE(2, "5462030031", "Jul 26")</f>
        <v>Jul 26</v>
      </c>
      <c r="D876" s="14">
        <v>36</v>
      </c>
    </row>
    <row r="877" spans="1:4" x14ac:dyDescent="0.35">
      <c r="A877" s="5" t="str">
        <f t="shared" si="432"/>
        <v>Agency</v>
      </c>
      <c r="B877" s="3" t="str">
        <f t="shared" ref="B877:B878" si="450">CHOOSE(2, "1395000000724", "# of 3-Month Active Agents in 4-12M")</f>
        <v># of 3-Month Active Agents in 4-12M</v>
      </c>
      <c r="C877" s="4" t="str">
        <f>CHOOSE(2, "5461730030", "Jun 26")</f>
        <v>Jun 26</v>
      </c>
      <c r="D877" s="14">
        <v>135</v>
      </c>
    </row>
    <row r="878" spans="1:4" x14ac:dyDescent="0.35">
      <c r="A878" s="5" t="str">
        <f t="shared" si="432"/>
        <v>Agency</v>
      </c>
      <c r="B878" s="6" t="str">
        <f t="shared" si="450"/>
        <v># of 3-Month Active Agents in 4-12M</v>
      </c>
      <c r="C878" s="4" t="str">
        <f>CHOOSE(2, "5462030031", "Jul 26")</f>
        <v>Jul 26</v>
      </c>
      <c r="D878" s="14">
        <v>132</v>
      </c>
    </row>
    <row r="879" spans="1:4" x14ac:dyDescent="0.35">
      <c r="A879" s="5" t="str">
        <f t="shared" si="432"/>
        <v>Agency</v>
      </c>
      <c r="B879" s="3" t="str">
        <f t="shared" ref="B879:B880" si="451">CHOOSE(2, "1395000000723", "# of 3-Month Active Agents 13+M")</f>
        <v># of 3-Month Active Agents 13+M</v>
      </c>
      <c r="C879" s="4" t="str">
        <f>CHOOSE(2, "5461730030", "Jun 26")</f>
        <v>Jun 26</v>
      </c>
      <c r="D879" s="14">
        <v>786</v>
      </c>
    </row>
    <row r="880" spans="1:4" x14ac:dyDescent="0.35">
      <c r="A880" s="5" t="str">
        <f t="shared" si="432"/>
        <v>Agency</v>
      </c>
      <c r="B880" s="6" t="str">
        <f t="shared" si="451"/>
        <v># of 3-Month Active Agents 13+M</v>
      </c>
      <c r="C880" s="4" t="str">
        <f>CHOOSE(2, "5462030031", "Jul 26")</f>
        <v>Jul 26</v>
      </c>
      <c r="D880" s="14">
        <v>788</v>
      </c>
    </row>
    <row r="881" spans="1:4" x14ac:dyDescent="0.35">
      <c r="A881" s="5" t="str">
        <f t="shared" si="432"/>
        <v>Agency</v>
      </c>
      <c r="B881" s="3" t="str">
        <f t="shared" ref="B881:B882" si="452">CHOOSE(2, "1395000000722", "# of 3-Month Active Agents in UM")</f>
        <v># of 3-Month Active Agents in UM</v>
      </c>
      <c r="C881" s="4" t="str">
        <f>CHOOSE(2, "5461730030", "Jun 26")</f>
        <v>Jun 26</v>
      </c>
      <c r="D881" s="2" t="s">
        <v>5</v>
      </c>
    </row>
    <row r="882" spans="1:4" x14ac:dyDescent="0.35">
      <c r="A882" s="5" t="str">
        <f t="shared" si="432"/>
        <v>Agency</v>
      </c>
      <c r="B882" s="6" t="str">
        <f t="shared" si="452"/>
        <v># of 3-Month Active Agents in UM</v>
      </c>
      <c r="C882" s="4" t="str">
        <f>CHOOSE(2, "5462030031", "Jul 26")</f>
        <v>Jul 26</v>
      </c>
      <c r="D882" s="2" t="s">
        <v>5</v>
      </c>
    </row>
    <row r="883" spans="1:4" x14ac:dyDescent="0.35">
      <c r="A883" s="5" t="str">
        <f t="shared" si="432"/>
        <v>Agency</v>
      </c>
      <c r="B883" s="3" t="str">
        <f t="shared" ref="B883:B884" si="453">CHOOSE(2, "1395000000721", "# of 3-Month Active Agents in Leaders above UM")</f>
        <v># of 3-Month Active Agents in Leaders above UM</v>
      </c>
      <c r="C883" s="4" t="str">
        <f>CHOOSE(2, "5461730030", "Jun 26")</f>
        <v>Jun 26</v>
      </c>
      <c r="D883" s="2" t="s">
        <v>5</v>
      </c>
    </row>
    <row r="884" spans="1:4" x14ac:dyDescent="0.35">
      <c r="A884" s="5" t="str">
        <f t="shared" si="432"/>
        <v>Agency</v>
      </c>
      <c r="B884" s="6" t="str">
        <f t="shared" si="453"/>
        <v># of 3-Month Active Agents in Leaders above UM</v>
      </c>
      <c r="C884" s="4" t="str">
        <f>CHOOSE(2, "5462030031", "Jul 26")</f>
        <v>Jul 26</v>
      </c>
      <c r="D884" s="2" t="s">
        <v>5</v>
      </c>
    </row>
    <row r="885" spans="1:4" x14ac:dyDescent="0.35">
      <c r="A885" s="5" t="str">
        <f t="shared" si="432"/>
        <v>Agency</v>
      </c>
      <c r="B885" s="3" t="str">
        <f t="shared" ref="B885:B886" si="454">CHOOSE(2, "1395000000720", "# of 3-Month Active Agents in FA or equivalent")</f>
        <v># of 3-Month Active Agents in FA or equivalent</v>
      </c>
      <c r="C885" s="4" t="str">
        <f>CHOOSE(2, "5461730030", "Jun 26")</f>
        <v>Jun 26</v>
      </c>
      <c r="D885" s="2" t="s">
        <v>5</v>
      </c>
    </row>
    <row r="886" spans="1:4" x14ac:dyDescent="0.35">
      <c r="A886" s="5" t="str">
        <f t="shared" si="432"/>
        <v>Agency</v>
      </c>
      <c r="B886" s="6" t="str">
        <f t="shared" si="454"/>
        <v># of 3-Month Active Agents in FA or equivalent</v>
      </c>
      <c r="C886" s="4" t="str">
        <f>CHOOSE(2, "5462030031", "Jul 26")</f>
        <v>Jul 26</v>
      </c>
      <c r="D886" s="2" t="s">
        <v>5</v>
      </c>
    </row>
    <row r="887" spans="1:4" x14ac:dyDescent="0.35">
      <c r="A887" s="5" t="str">
        <f t="shared" si="432"/>
        <v>Agency</v>
      </c>
      <c r="B887" s="3" t="str">
        <f t="shared" ref="B887:B888" si="455">CHOOSE(2, "1395000000719", "Net Case Count - Agency")</f>
        <v>Net Case Count - Agency</v>
      </c>
      <c r="C887" s="4" t="str">
        <f>CHOOSE(2, "5461730030", "Jun 26")</f>
        <v>Jun 26</v>
      </c>
      <c r="D887" s="14">
        <v>2994.5</v>
      </c>
    </row>
    <row r="888" spans="1:4" x14ac:dyDescent="0.35">
      <c r="A888" s="5" t="str">
        <f t="shared" si="432"/>
        <v>Agency</v>
      </c>
      <c r="B888" s="6" t="str">
        <f t="shared" si="455"/>
        <v>Net Case Count - Agency</v>
      </c>
      <c r="C888" s="4" t="str">
        <f>CHOOSE(2, "5462030031", "Jul 26")</f>
        <v>Jul 26</v>
      </c>
      <c r="D888" s="14">
        <v>2735</v>
      </c>
    </row>
    <row r="889" spans="1:4" x14ac:dyDescent="0.35">
      <c r="A889" s="5" t="str">
        <f t="shared" si="432"/>
        <v>Agency</v>
      </c>
      <c r="B889" s="3" t="str">
        <f t="shared" ref="B889:B890" si="456">CHOOSE(2, "1395000000718", "Net Case Count - Agency in 0-1M")</f>
        <v>Net Case Count - Agency in 0-1M</v>
      </c>
      <c r="C889" s="4" t="str">
        <f>CHOOSE(2, "5461730030", "Jun 26")</f>
        <v>Jun 26</v>
      </c>
      <c r="D889" s="14">
        <v>35</v>
      </c>
    </row>
    <row r="890" spans="1:4" x14ac:dyDescent="0.35">
      <c r="A890" s="5" t="str">
        <f t="shared" si="432"/>
        <v>Agency</v>
      </c>
      <c r="B890" s="6" t="str">
        <f t="shared" si="456"/>
        <v>Net Case Count - Agency in 0-1M</v>
      </c>
      <c r="C890" s="4" t="str">
        <f>CHOOSE(2, "5462030031", "Jul 26")</f>
        <v>Jul 26</v>
      </c>
      <c r="D890" s="14">
        <v>49</v>
      </c>
    </row>
    <row r="891" spans="1:4" x14ac:dyDescent="0.35">
      <c r="A891" s="5" t="str">
        <f t="shared" si="432"/>
        <v>Agency</v>
      </c>
      <c r="B891" s="3" t="str">
        <f t="shared" ref="B891:B892" si="457">CHOOSE(2, "1395000000717", "Net Case Count - Agency in 2-3M")</f>
        <v>Net Case Count - Agency in 2-3M</v>
      </c>
      <c r="C891" s="4" t="str">
        <f>CHOOSE(2, "5461730030", "Jun 26")</f>
        <v>Jun 26</v>
      </c>
      <c r="D891" s="14">
        <v>137</v>
      </c>
    </row>
    <row r="892" spans="1:4" x14ac:dyDescent="0.35">
      <c r="A892" s="5" t="str">
        <f t="shared" si="432"/>
        <v>Agency</v>
      </c>
      <c r="B892" s="6" t="str">
        <f t="shared" si="457"/>
        <v>Net Case Count - Agency in 2-3M</v>
      </c>
      <c r="C892" s="4" t="str">
        <f>CHOOSE(2, "5462030031", "Jul 26")</f>
        <v>Jul 26</v>
      </c>
      <c r="D892" s="14">
        <v>133</v>
      </c>
    </row>
    <row r="893" spans="1:4" x14ac:dyDescent="0.35">
      <c r="A893" s="5" t="str">
        <f t="shared" si="432"/>
        <v>Agency</v>
      </c>
      <c r="B893" s="3" t="str">
        <f t="shared" ref="B893:B894" si="458">CHOOSE(2, "1395000000716", "Net Case Count - Agency in 4-12M")</f>
        <v>Net Case Count - Agency in 4-12M</v>
      </c>
      <c r="C893" s="4" t="str">
        <f>CHOOSE(2, "5461730030", "Jun 26")</f>
        <v>Jun 26</v>
      </c>
      <c r="D893" s="14">
        <v>396.5</v>
      </c>
    </row>
    <row r="894" spans="1:4" x14ac:dyDescent="0.35">
      <c r="A894" s="5" t="str">
        <f t="shared" si="432"/>
        <v>Agency</v>
      </c>
      <c r="B894" s="6" t="str">
        <f t="shared" si="458"/>
        <v>Net Case Count - Agency in 4-12M</v>
      </c>
      <c r="C894" s="4" t="str">
        <f>CHOOSE(2, "5462030031", "Jul 26")</f>
        <v>Jul 26</v>
      </c>
      <c r="D894" s="14">
        <v>364.5</v>
      </c>
    </row>
    <row r="895" spans="1:4" x14ac:dyDescent="0.35">
      <c r="A895" s="5" t="str">
        <f t="shared" si="432"/>
        <v>Agency</v>
      </c>
      <c r="B895" s="3" t="str">
        <f t="shared" ref="B895:B896" si="459">CHOOSE(2, "1395000000715", "Net Case Count - Agency 13+M")</f>
        <v>Net Case Count - Agency 13+M</v>
      </c>
      <c r="C895" s="4" t="str">
        <f>CHOOSE(2, "5461730030", "Jun 26")</f>
        <v>Jun 26</v>
      </c>
      <c r="D895" s="14">
        <v>2423</v>
      </c>
    </row>
    <row r="896" spans="1:4" x14ac:dyDescent="0.35">
      <c r="A896" s="5" t="str">
        <f t="shared" si="432"/>
        <v>Agency</v>
      </c>
      <c r="B896" s="6" t="str">
        <f t="shared" si="459"/>
        <v>Net Case Count - Agency 13+M</v>
      </c>
      <c r="C896" s="4" t="str">
        <f>CHOOSE(2, "5462030031", "Jul 26")</f>
        <v>Jul 26</v>
      </c>
      <c r="D896" s="14">
        <v>2182.5</v>
      </c>
    </row>
    <row r="897" spans="1:4" x14ac:dyDescent="0.35">
      <c r="A897" s="5" t="str">
        <f t="shared" si="432"/>
        <v>Agency</v>
      </c>
      <c r="B897" s="3" t="str">
        <f t="shared" ref="B897:B898" si="460">CHOOSE(2, "1395000000714", "Net Case Count - Agency in FA or equivalent")</f>
        <v>Net Case Count - Agency in FA or equivalent</v>
      </c>
      <c r="C897" s="4" t="str">
        <f>CHOOSE(2, "5461730030", "Jun 26")</f>
        <v>Jun 26</v>
      </c>
      <c r="D897" s="14">
        <v>2604</v>
      </c>
    </row>
    <row r="898" spans="1:4" x14ac:dyDescent="0.35">
      <c r="A898" s="5" t="str">
        <f t="shared" si="432"/>
        <v>Agency</v>
      </c>
      <c r="B898" s="6" t="str">
        <f t="shared" si="460"/>
        <v>Net Case Count - Agency in FA or equivalent</v>
      </c>
      <c r="C898" s="4" t="str">
        <f>CHOOSE(2, "5462030031", "Jul 26")</f>
        <v>Jul 26</v>
      </c>
      <c r="D898" s="14">
        <v>2401.5</v>
      </c>
    </row>
    <row r="899" spans="1:4" x14ac:dyDescent="0.35">
      <c r="A899" s="5" t="str">
        <f t="shared" si="432"/>
        <v>Agency</v>
      </c>
      <c r="B899" s="3" t="str">
        <f t="shared" ref="B899:B900" si="461">CHOOSE(2, "1395000000713", "Net Case Count - Agency in UM")</f>
        <v>Net Case Count - Agency in UM</v>
      </c>
      <c r="C899" s="4" t="str">
        <f>CHOOSE(2, "5461730030", "Jun 26")</f>
        <v>Jun 26</v>
      </c>
      <c r="D899" s="14">
        <v>338</v>
      </c>
    </row>
    <row r="900" spans="1:4" x14ac:dyDescent="0.35">
      <c r="A900" s="5" t="str">
        <f t="shared" si="432"/>
        <v>Agency</v>
      </c>
      <c r="B900" s="6" t="str">
        <f t="shared" si="461"/>
        <v>Net Case Count - Agency in UM</v>
      </c>
      <c r="C900" s="4" t="str">
        <f>CHOOSE(2, "5462030031", "Jul 26")</f>
        <v>Jul 26</v>
      </c>
      <c r="D900" s="14">
        <v>286.5</v>
      </c>
    </row>
    <row r="901" spans="1:4" x14ac:dyDescent="0.35">
      <c r="A901" s="5" t="str">
        <f t="shared" si="432"/>
        <v>Agency</v>
      </c>
      <c r="B901" s="3" t="str">
        <f t="shared" ref="B901:B902" si="462">CHOOSE(2, "1395000000712", "Net Case Count - Agency in Leaders above UM")</f>
        <v>Net Case Count - Agency in Leaders above UM</v>
      </c>
      <c r="C901" s="4" t="str">
        <f>CHOOSE(2, "5461730030", "Jun 26")</f>
        <v>Jun 26</v>
      </c>
      <c r="D901" s="14">
        <v>49.5</v>
      </c>
    </row>
    <row r="902" spans="1:4" x14ac:dyDescent="0.35">
      <c r="A902" s="5" t="str">
        <f t="shared" si="432"/>
        <v>Agency</v>
      </c>
      <c r="B902" s="6" t="str">
        <f t="shared" si="462"/>
        <v>Net Case Count - Agency in Leaders above UM</v>
      </c>
      <c r="C902" s="4" t="str">
        <f>CHOOSE(2, "5462030031", "Jul 26")</f>
        <v>Jul 26</v>
      </c>
      <c r="D902" s="14">
        <v>41</v>
      </c>
    </row>
    <row r="903" spans="1:4" x14ac:dyDescent="0.35">
      <c r="A903" s="5" t="str">
        <f t="shared" si="432"/>
        <v>Agency</v>
      </c>
      <c r="B903" s="3" t="str">
        <f t="shared" ref="B903:B904" si="463">CHOOSE(2, "1395000000711", "Net Case Count - Agency in Top-tier Agents")</f>
        <v>Net Case Count - Agency in Top-tier Agents</v>
      </c>
      <c r="C903" s="4" t="str">
        <f>CHOOSE(2, "5461730030", "Jun 26")</f>
        <v>Jun 26</v>
      </c>
      <c r="D903" s="14">
        <v>1717</v>
      </c>
    </row>
    <row r="904" spans="1:4" x14ac:dyDescent="0.35">
      <c r="A904" s="5" t="str">
        <f t="shared" si="432"/>
        <v>Agency</v>
      </c>
      <c r="B904" s="6" t="str">
        <f t="shared" si="463"/>
        <v>Net Case Count - Agency in Top-tier Agents</v>
      </c>
      <c r="C904" s="4" t="str">
        <f>CHOOSE(2, "5462030031", "Jul 26")</f>
        <v>Jul 26</v>
      </c>
      <c r="D904" s="14">
        <v>1491</v>
      </c>
    </row>
    <row r="905" spans="1:4" x14ac:dyDescent="0.35">
      <c r="A905" s="5" t="str">
        <f t="shared" si="432"/>
        <v>Agency</v>
      </c>
      <c r="B905" s="3" t="str">
        <f t="shared" ref="B905:B906" si="464">CHOOSE(2, "1395000000710", "Net Case Count - Agency in pro-rated MDRT agents (&gt;100%)")</f>
        <v>Net Case Count - Agency in pro-rated MDRT agents (&gt;100%)</v>
      </c>
      <c r="C905" s="4" t="str">
        <f>CHOOSE(2, "5461730030", "Jun 26")</f>
        <v>Jun 26</v>
      </c>
      <c r="D905" s="14">
        <v>773.5</v>
      </c>
    </row>
    <row r="906" spans="1:4" x14ac:dyDescent="0.35">
      <c r="A906" s="5" t="str">
        <f t="shared" si="432"/>
        <v>Agency</v>
      </c>
      <c r="B906" s="6" t="str">
        <f t="shared" si="464"/>
        <v>Net Case Count - Agency in pro-rated MDRT agents (&gt;100%)</v>
      </c>
      <c r="C906" s="4" t="str">
        <f>CHOOSE(2, "5462030031", "Jul 26")</f>
        <v>Jul 26</v>
      </c>
      <c r="D906" s="14">
        <v>692.5</v>
      </c>
    </row>
    <row r="907" spans="1:4" x14ac:dyDescent="0.35">
      <c r="A907" s="5" t="str">
        <f t="shared" ref="A907:A970" si="465">CHOOSE(2, "1260000000011", "Agency")</f>
        <v>Agency</v>
      </c>
      <c r="B907" s="3" t="str">
        <f t="shared" ref="B907:B908" si="466">CHOOSE(2, "1395000000709", "Net Case Count - Agency in pro-rated MDRT agents (70-99%)")</f>
        <v>Net Case Count - Agency in pro-rated MDRT agents (70-99%)</v>
      </c>
      <c r="C907" s="4" t="str">
        <f>CHOOSE(2, "5461730030", "Jun 26")</f>
        <v>Jun 26</v>
      </c>
      <c r="D907" s="14">
        <v>448.5</v>
      </c>
    </row>
    <row r="908" spans="1:4" x14ac:dyDescent="0.35">
      <c r="A908" s="5" t="str">
        <f t="shared" si="465"/>
        <v>Agency</v>
      </c>
      <c r="B908" s="6" t="str">
        <f t="shared" si="466"/>
        <v>Net Case Count - Agency in pro-rated MDRT agents (70-99%)</v>
      </c>
      <c r="C908" s="4" t="str">
        <f>CHOOSE(2, "5462030031", "Jul 26")</f>
        <v>Jul 26</v>
      </c>
      <c r="D908" s="14">
        <v>389.5</v>
      </c>
    </row>
    <row r="909" spans="1:4" x14ac:dyDescent="0.35">
      <c r="A909" s="5" t="str">
        <f t="shared" si="465"/>
        <v>Agency</v>
      </c>
      <c r="B909" s="3" t="str">
        <f t="shared" ref="B909:B910" si="467">CHOOSE(2, "1395000000708", "Net Case Count - Agency in pro-rated MDRT agents (50-69%)")</f>
        <v>Net Case Count - Agency in pro-rated MDRT agents (50-69%)</v>
      </c>
      <c r="C909" s="4" t="str">
        <f>CHOOSE(2, "5461730030", "Jun 26")</f>
        <v>Jun 26</v>
      </c>
      <c r="D909" s="14">
        <v>495</v>
      </c>
    </row>
    <row r="910" spans="1:4" x14ac:dyDescent="0.35">
      <c r="A910" s="5" t="str">
        <f t="shared" si="465"/>
        <v>Agency</v>
      </c>
      <c r="B910" s="6" t="str">
        <f t="shared" si="467"/>
        <v>Net Case Count - Agency in pro-rated MDRT agents (50-69%)</v>
      </c>
      <c r="C910" s="4" t="str">
        <f>CHOOSE(2, "5462030031", "Jul 26")</f>
        <v>Jul 26</v>
      </c>
      <c r="D910" s="14">
        <v>409</v>
      </c>
    </row>
    <row r="911" spans="1:4" x14ac:dyDescent="0.35">
      <c r="A911" s="5" t="str">
        <f t="shared" si="465"/>
        <v>Agency</v>
      </c>
      <c r="B911" s="3" t="str">
        <f t="shared" ref="B911:B912" si="468">CHOOSE(2, "1395000000707", "Net Case Count - Agency in Manulife Pro Qualifiers - Total")</f>
        <v>Net Case Count - Agency in Manulife Pro Qualifiers - Total</v>
      </c>
      <c r="C911" s="4" t="str">
        <f>CHOOSE(2, "5461730030", "Jun 26")</f>
        <v>Jun 26</v>
      </c>
      <c r="D911" s="14">
        <v>575</v>
      </c>
    </row>
    <row r="912" spans="1:4" x14ac:dyDescent="0.35">
      <c r="A912" s="5" t="str">
        <f t="shared" si="465"/>
        <v>Agency</v>
      </c>
      <c r="B912" s="6" t="str">
        <f t="shared" si="468"/>
        <v>Net Case Count - Agency in Manulife Pro Qualifiers - Total</v>
      </c>
      <c r="C912" s="4" t="str">
        <f>CHOOSE(2, "5462030031", "Jul 26")</f>
        <v>Jul 26</v>
      </c>
      <c r="D912" s="14">
        <v>570</v>
      </c>
    </row>
    <row r="913" spans="1:4" x14ac:dyDescent="0.35">
      <c r="A913" s="5" t="str">
        <f t="shared" si="465"/>
        <v>Agency</v>
      </c>
      <c r="B913" s="3" t="str">
        <f t="shared" ref="B913:B914" si="469">CHOOSE(2, "1395000000706", "No. of Sales Proposal Generated")</f>
        <v>No. of Sales Proposal Generated</v>
      </c>
      <c r="C913" s="4" t="str">
        <f>CHOOSE(2, "5461730030", "Jun 26")</f>
        <v>Jun 26</v>
      </c>
      <c r="D913" s="2" t="s">
        <v>5</v>
      </c>
    </row>
    <row r="914" spans="1:4" x14ac:dyDescent="0.35">
      <c r="A914" s="5" t="str">
        <f t="shared" si="465"/>
        <v>Agency</v>
      </c>
      <c r="B914" s="6" t="str">
        <f t="shared" si="469"/>
        <v>No. of Sales Proposal Generated</v>
      </c>
      <c r="C914" s="4" t="str">
        <f>CHOOSE(2, "5462030031", "Jul 26")</f>
        <v>Jul 26</v>
      </c>
      <c r="D914" s="2" t="s">
        <v>5</v>
      </c>
    </row>
    <row r="915" spans="1:4" x14ac:dyDescent="0.35">
      <c r="A915" s="5" t="str">
        <f t="shared" si="465"/>
        <v>Agency</v>
      </c>
      <c r="B915" s="3" t="str">
        <f t="shared" ref="B915:B916" si="470">CHOOSE(2, "1395000000705", "$ APE from Agents in X tenure")</f>
        <v>$ APE from Agents in X tenure</v>
      </c>
      <c r="C915" s="4" t="str">
        <f>CHOOSE(2, "5461730030", "Jun 26")</f>
        <v>Jun 26</v>
      </c>
      <c r="D915" s="14">
        <v>6638433.1958317505</v>
      </c>
    </row>
    <row r="916" spans="1:4" x14ac:dyDescent="0.35">
      <c r="A916" s="5" t="str">
        <f t="shared" si="465"/>
        <v>Agency</v>
      </c>
      <c r="B916" s="6" t="str">
        <f t="shared" si="470"/>
        <v>$ APE from Agents in X tenure</v>
      </c>
      <c r="C916" s="4" t="str">
        <f>CHOOSE(2, "5462030031", "Jul 26")</f>
        <v>Jul 26</v>
      </c>
      <c r="D916" s="14">
        <v>5282967.4022685001</v>
      </c>
    </row>
    <row r="917" spans="1:4" x14ac:dyDescent="0.35">
      <c r="A917" s="5" t="str">
        <f t="shared" si="465"/>
        <v>Agency</v>
      </c>
      <c r="B917" s="3" t="str">
        <f t="shared" ref="B917:B918" si="471">CHOOSE(2, "1395000000704", "$ APE from Agents in X tenure in 0-1M")</f>
        <v>$ APE from Agents in X tenure in 0-1M</v>
      </c>
      <c r="C917" s="4" t="str">
        <f>CHOOSE(2, "5461730030", "Jun 26")</f>
        <v>Jun 26</v>
      </c>
      <c r="D917" s="14">
        <v>663843.31958317512</v>
      </c>
    </row>
    <row r="918" spans="1:4" x14ac:dyDescent="0.35">
      <c r="A918" s="5" t="str">
        <f t="shared" si="465"/>
        <v>Agency</v>
      </c>
      <c r="B918" s="6" t="str">
        <f t="shared" si="471"/>
        <v>$ APE from Agents in X tenure in 0-1M</v>
      </c>
      <c r="C918" s="4" t="str">
        <f>CHOOSE(2, "5462030031", "Jul 26")</f>
        <v>Jul 26</v>
      </c>
      <c r="D918" s="14">
        <v>528296.74022685003</v>
      </c>
    </row>
    <row r="919" spans="1:4" x14ac:dyDescent="0.35">
      <c r="A919" s="5" t="str">
        <f t="shared" si="465"/>
        <v>Agency</v>
      </c>
      <c r="B919" s="3" t="str">
        <f t="shared" ref="B919:B920" si="472">CHOOSE(2, "1395000000703", "$ APE from Agents in X tenure in 2-3M")</f>
        <v>$ APE from Agents in X tenure in 2-3M</v>
      </c>
      <c r="C919" s="4" t="str">
        <f>CHOOSE(2, "5461730030", "Jun 26")</f>
        <v>Jun 26</v>
      </c>
      <c r="D919" s="14">
        <v>1327686.6391663502</v>
      </c>
    </row>
    <row r="920" spans="1:4" x14ac:dyDescent="0.35">
      <c r="A920" s="5" t="str">
        <f t="shared" si="465"/>
        <v>Agency</v>
      </c>
      <c r="B920" s="6" t="str">
        <f t="shared" si="472"/>
        <v>$ APE from Agents in X tenure in 2-3M</v>
      </c>
      <c r="C920" s="4" t="str">
        <f>CHOOSE(2, "5462030031", "Jul 26")</f>
        <v>Jul 26</v>
      </c>
      <c r="D920" s="14">
        <v>1056593.4804537001</v>
      </c>
    </row>
    <row r="921" spans="1:4" x14ac:dyDescent="0.35">
      <c r="A921" s="5" t="str">
        <f t="shared" si="465"/>
        <v>Agency</v>
      </c>
      <c r="B921" s="3" t="str">
        <f t="shared" ref="B921:B922" si="473">CHOOSE(2, "1395000000702", "$ APE from Agents in X tenure in 4-12M")</f>
        <v>$ APE from Agents in X tenure in 4-12M</v>
      </c>
      <c r="C921" s="4" t="str">
        <f>CHOOSE(2, "5461730030", "Jun 26")</f>
        <v>Jun 26</v>
      </c>
      <c r="D921" s="14">
        <v>1991529.958749525</v>
      </c>
    </row>
    <row r="922" spans="1:4" x14ac:dyDescent="0.35">
      <c r="A922" s="5" t="str">
        <f t="shared" si="465"/>
        <v>Agency</v>
      </c>
      <c r="B922" s="6" t="str">
        <f t="shared" si="473"/>
        <v>$ APE from Agents in X tenure in 4-12M</v>
      </c>
      <c r="C922" s="4" t="str">
        <f>CHOOSE(2, "5462030031", "Jul 26")</f>
        <v>Jul 26</v>
      </c>
      <c r="D922" s="14">
        <v>1584890.22068055</v>
      </c>
    </row>
    <row r="923" spans="1:4" x14ac:dyDescent="0.35">
      <c r="A923" s="5" t="str">
        <f t="shared" si="465"/>
        <v>Agency</v>
      </c>
      <c r="B923" s="3" t="str">
        <f t="shared" ref="B923:B924" si="474">CHOOSE(2, "1395000000701", "$ APE from Agents in X tenure 13+M")</f>
        <v>$ APE from Agents in X tenure 13+M</v>
      </c>
      <c r="C923" s="4" t="str">
        <f>CHOOSE(2, "5461730030", "Jun 26")</f>
        <v>Jun 26</v>
      </c>
      <c r="D923" s="14">
        <v>2655373.2783327005</v>
      </c>
    </row>
    <row r="924" spans="1:4" x14ac:dyDescent="0.35">
      <c r="A924" s="5" t="str">
        <f t="shared" si="465"/>
        <v>Agency</v>
      </c>
      <c r="B924" s="6" t="str">
        <f t="shared" si="474"/>
        <v>$ APE from Agents in X tenure 13+M</v>
      </c>
      <c r="C924" s="4" t="str">
        <f>CHOOSE(2, "5462030031", "Jul 26")</f>
        <v>Jul 26</v>
      </c>
      <c r="D924" s="14">
        <v>2113186.9609074001</v>
      </c>
    </row>
    <row r="925" spans="1:4" x14ac:dyDescent="0.35">
      <c r="A925" s="5" t="str">
        <f t="shared" si="465"/>
        <v>Agency</v>
      </c>
      <c r="B925" s="3" t="str">
        <f t="shared" ref="B925:B926" si="475">CHOOSE(2, "1395000000700", "Total agent headcount (end of period)")</f>
        <v>Total agent headcount (end of period)</v>
      </c>
      <c r="C925" s="4" t="str">
        <f>CHOOSE(2, "5461730030", "Jun 26")</f>
        <v>Jun 26</v>
      </c>
      <c r="D925" s="14">
        <v>1030</v>
      </c>
    </row>
    <row r="926" spans="1:4" x14ac:dyDescent="0.35">
      <c r="A926" s="5" t="str">
        <f t="shared" si="465"/>
        <v>Agency</v>
      </c>
      <c r="B926" s="6" t="str">
        <f t="shared" si="475"/>
        <v>Total agent headcount (end of period)</v>
      </c>
      <c r="C926" s="4" t="str">
        <f>CHOOSE(2, "5462030031", "Jul 26")</f>
        <v>Jul 26</v>
      </c>
      <c r="D926" s="14">
        <v>1038</v>
      </c>
    </row>
    <row r="927" spans="1:4" x14ac:dyDescent="0.35">
      <c r="A927" s="5" t="str">
        <f t="shared" si="465"/>
        <v>Agency</v>
      </c>
      <c r="B927" s="3" t="str">
        <f t="shared" ref="B927:B928" si="476">CHOOSE(2, "1395000000699", "Total agent headcount (end of period) in 0-1M")</f>
        <v>Total agent headcount (end of period) in 0-1M</v>
      </c>
      <c r="C927" s="4" t="str">
        <f>CHOOSE(2, "5461730030", "Jun 26")</f>
        <v>Jun 26</v>
      </c>
      <c r="D927" s="14">
        <v>38</v>
      </c>
    </row>
    <row r="928" spans="1:4" x14ac:dyDescent="0.35">
      <c r="A928" s="5" t="str">
        <f t="shared" si="465"/>
        <v>Agency</v>
      </c>
      <c r="B928" s="6" t="str">
        <f t="shared" si="476"/>
        <v>Total agent headcount (end of period) in 0-1M</v>
      </c>
      <c r="C928" s="4" t="str">
        <f>CHOOSE(2, "5462030031", "Jul 26")</f>
        <v>Jul 26</v>
      </c>
      <c r="D928" s="14">
        <v>45</v>
      </c>
    </row>
    <row r="929" spans="1:4" x14ac:dyDescent="0.35">
      <c r="A929" s="5" t="str">
        <f t="shared" si="465"/>
        <v>Agency</v>
      </c>
      <c r="B929" s="3" t="str">
        <f t="shared" ref="B929:B930" si="477">CHOOSE(2, "1395000000698", "Total agent headcount (end of period) in 2-3M")</f>
        <v>Total agent headcount (end of period) in 2-3M</v>
      </c>
      <c r="C929" s="4" t="str">
        <f>CHOOSE(2, "5461730030", "Jun 26")</f>
        <v>Jun 26</v>
      </c>
      <c r="D929" s="14">
        <v>35</v>
      </c>
    </row>
    <row r="930" spans="1:4" x14ac:dyDescent="0.35">
      <c r="A930" s="5" t="str">
        <f t="shared" si="465"/>
        <v>Agency</v>
      </c>
      <c r="B930" s="6" t="str">
        <f t="shared" si="477"/>
        <v>Total agent headcount (end of period) in 2-3M</v>
      </c>
      <c r="C930" s="4" t="str">
        <f>CHOOSE(2, "5462030031", "Jul 26")</f>
        <v>Jul 26</v>
      </c>
      <c r="D930" s="14">
        <v>37</v>
      </c>
    </row>
    <row r="931" spans="1:4" x14ac:dyDescent="0.35">
      <c r="A931" s="5" t="str">
        <f t="shared" si="465"/>
        <v>Agency</v>
      </c>
      <c r="B931" s="3" t="str">
        <f t="shared" ref="B931:B932" si="478">CHOOSE(2, "1395000000697", "Total agent headcount (end of period) in 4-12M")</f>
        <v>Total agent headcount (end of period) in 4-12M</v>
      </c>
      <c r="C931" s="4" t="str">
        <f>CHOOSE(2, "5461730030", "Jun 26")</f>
        <v>Jun 26</v>
      </c>
      <c r="D931" s="14">
        <v>141</v>
      </c>
    </row>
    <row r="932" spans="1:4" x14ac:dyDescent="0.35">
      <c r="A932" s="5" t="str">
        <f t="shared" si="465"/>
        <v>Agency</v>
      </c>
      <c r="B932" s="6" t="str">
        <f t="shared" si="478"/>
        <v>Total agent headcount (end of period) in 4-12M</v>
      </c>
      <c r="C932" s="4" t="str">
        <f>CHOOSE(2, "5462030031", "Jul 26")</f>
        <v>Jul 26</v>
      </c>
      <c r="D932" s="14">
        <v>138</v>
      </c>
    </row>
    <row r="933" spans="1:4" x14ac:dyDescent="0.35">
      <c r="A933" s="5" t="str">
        <f t="shared" si="465"/>
        <v>Agency</v>
      </c>
      <c r="B933" s="3" t="str">
        <f t="shared" ref="B933:B934" si="479">CHOOSE(2, "1395000000696", "Total agent headcount (end of period) 13+M")</f>
        <v>Total agent headcount (end of period) 13+M</v>
      </c>
      <c r="C933" s="4" t="str">
        <f>CHOOSE(2, "5461730030", "Jun 26")</f>
        <v>Jun 26</v>
      </c>
      <c r="D933" s="14">
        <v>816</v>
      </c>
    </row>
    <row r="934" spans="1:4" x14ac:dyDescent="0.35">
      <c r="A934" s="5" t="str">
        <f t="shared" si="465"/>
        <v>Agency</v>
      </c>
      <c r="B934" s="6" t="str">
        <f t="shared" si="479"/>
        <v>Total agent headcount (end of period) 13+M</v>
      </c>
      <c r="C934" s="4" t="str">
        <f>CHOOSE(2, "5462030031", "Jul 26")</f>
        <v>Jul 26</v>
      </c>
      <c r="D934" s="14">
        <v>818</v>
      </c>
    </row>
    <row r="935" spans="1:4" x14ac:dyDescent="0.35">
      <c r="A935" s="5" t="str">
        <f t="shared" si="465"/>
        <v>Agency</v>
      </c>
      <c r="B935" s="3" t="str">
        <f t="shared" ref="B935:B936" si="480">CHOOSE(2, "1395000000695", "Total agent headcount (end of period) in FA or equivalent")</f>
        <v>Total agent headcount (end of period) in FA or equivalent</v>
      </c>
      <c r="C935" s="4" t="str">
        <f>CHOOSE(2, "5461730030", "Jun 26")</f>
        <v>Jun 26</v>
      </c>
      <c r="D935" s="14">
        <v>917</v>
      </c>
    </row>
    <row r="936" spans="1:4" x14ac:dyDescent="0.35">
      <c r="A936" s="5" t="str">
        <f t="shared" si="465"/>
        <v>Agency</v>
      </c>
      <c r="B936" s="6" t="str">
        <f t="shared" si="480"/>
        <v>Total agent headcount (end of period) in FA or equivalent</v>
      </c>
      <c r="C936" s="4" t="str">
        <f>CHOOSE(2, "5462030031", "Jul 26")</f>
        <v>Jul 26</v>
      </c>
      <c r="D936" s="14">
        <v>923</v>
      </c>
    </row>
    <row r="937" spans="1:4" x14ac:dyDescent="0.35">
      <c r="A937" s="5" t="str">
        <f t="shared" si="465"/>
        <v>Agency</v>
      </c>
      <c r="B937" s="3" t="str">
        <f t="shared" ref="B937:B938" si="481">CHOOSE(2, "1395000000694", "Total agent headcount (end of period) in UM")</f>
        <v>Total agent headcount (end of period) in UM</v>
      </c>
      <c r="C937" s="4" t="str">
        <f>CHOOSE(2, "5461730030", "Jun 26")</f>
        <v>Jun 26</v>
      </c>
      <c r="D937" s="14">
        <v>97</v>
      </c>
    </row>
    <row r="938" spans="1:4" x14ac:dyDescent="0.35">
      <c r="A938" s="5" t="str">
        <f t="shared" si="465"/>
        <v>Agency</v>
      </c>
      <c r="B938" s="6" t="str">
        <f t="shared" si="481"/>
        <v>Total agent headcount (end of period) in UM</v>
      </c>
      <c r="C938" s="4" t="str">
        <f>CHOOSE(2, "5462030031", "Jul 26")</f>
        <v>Jul 26</v>
      </c>
      <c r="D938" s="14">
        <v>99</v>
      </c>
    </row>
    <row r="939" spans="1:4" x14ac:dyDescent="0.35">
      <c r="A939" s="5" t="str">
        <f t="shared" si="465"/>
        <v>Agency</v>
      </c>
      <c r="B939" s="3" t="str">
        <f t="shared" ref="B939:B940" si="482">CHOOSE(2, "1395000000693", "Total agent headcount (end of period) in Leaders above UM")</f>
        <v>Total agent headcount (end of period) in Leaders above UM</v>
      </c>
      <c r="C939" s="4" t="str">
        <f>CHOOSE(2, "5461730030", "Jun 26")</f>
        <v>Jun 26</v>
      </c>
      <c r="D939" s="14">
        <v>16</v>
      </c>
    </row>
    <row r="940" spans="1:4" x14ac:dyDescent="0.35">
      <c r="A940" s="5" t="str">
        <f t="shared" si="465"/>
        <v>Agency</v>
      </c>
      <c r="B940" s="6" t="str">
        <f t="shared" si="482"/>
        <v>Total agent headcount (end of period) in Leaders above UM</v>
      </c>
      <c r="C940" s="4" t="str">
        <f>CHOOSE(2, "5462030031", "Jul 26")</f>
        <v>Jul 26</v>
      </c>
      <c r="D940" s="14">
        <v>16</v>
      </c>
    </row>
    <row r="941" spans="1:4" x14ac:dyDescent="0.35">
      <c r="A941" s="5" t="str">
        <f t="shared" si="465"/>
        <v>Agency</v>
      </c>
      <c r="B941" s="3" t="str">
        <f t="shared" ref="B941:B942" si="483">CHOOSE(2, "1395000000692", "Total agent headcount (end of period) in Top-tier agents")</f>
        <v>Total agent headcount (end of period) in Top-tier agents</v>
      </c>
      <c r="C941" s="4" t="str">
        <f>CHOOSE(2, "5461730030", "Jun 26")</f>
        <v>Jun 26</v>
      </c>
      <c r="D941" s="14">
        <v>404</v>
      </c>
    </row>
    <row r="942" spans="1:4" x14ac:dyDescent="0.35">
      <c r="A942" s="5" t="str">
        <f t="shared" si="465"/>
        <v>Agency</v>
      </c>
      <c r="B942" s="6" t="str">
        <f t="shared" si="483"/>
        <v>Total agent headcount (end of period) in Top-tier agents</v>
      </c>
      <c r="C942" s="4" t="str">
        <f>CHOOSE(2, "5462030031", "Jul 26")</f>
        <v>Jul 26</v>
      </c>
      <c r="D942" s="14">
        <v>395</v>
      </c>
    </row>
    <row r="943" spans="1:4" x14ac:dyDescent="0.35">
      <c r="A943" s="5" t="str">
        <f t="shared" si="465"/>
        <v>Agency</v>
      </c>
      <c r="B943" s="3" t="str">
        <f t="shared" ref="B943:B944" si="484">CHOOSE(2, "1395000000691", "Total agent headcount  in pro-rated MDRT agents (&gt;100%)")</f>
        <v>Total agent headcount  in pro-rated MDRT agents (&gt;100%)</v>
      </c>
      <c r="C943" s="4" t="str">
        <f>CHOOSE(2, "5461730030", "Jun 26")</f>
        <v>Jun 26</v>
      </c>
      <c r="D943" s="14">
        <v>149</v>
      </c>
    </row>
    <row r="944" spans="1:4" x14ac:dyDescent="0.35">
      <c r="A944" s="5" t="str">
        <f t="shared" si="465"/>
        <v>Agency</v>
      </c>
      <c r="B944" s="6" t="str">
        <f t="shared" si="484"/>
        <v>Total agent headcount  in pro-rated MDRT agents (&gt;100%)</v>
      </c>
      <c r="C944" s="4" t="str">
        <f>CHOOSE(2, "5462030031", "Jul 26")</f>
        <v>Jul 26</v>
      </c>
      <c r="D944" s="14">
        <v>142</v>
      </c>
    </row>
    <row r="945" spans="1:4" x14ac:dyDescent="0.35">
      <c r="A945" s="5" t="str">
        <f t="shared" si="465"/>
        <v>Agency</v>
      </c>
      <c r="B945" s="3" t="str">
        <f t="shared" ref="B945:B946" si="485">CHOOSE(2, "1395000000690", "Total agent headcount  in pro-rated MDRT agents (70-99%)")</f>
        <v>Total agent headcount  in pro-rated MDRT agents (70-99%)</v>
      </c>
      <c r="C945" s="4" t="str">
        <f>CHOOSE(2, "5461730030", "Jun 26")</f>
        <v>Jun 26</v>
      </c>
      <c r="D945" s="14">
        <v>112</v>
      </c>
    </row>
    <row r="946" spans="1:4" x14ac:dyDescent="0.35">
      <c r="A946" s="5" t="str">
        <f t="shared" si="465"/>
        <v>Agency</v>
      </c>
      <c r="B946" s="6" t="str">
        <f t="shared" si="485"/>
        <v>Total agent headcount  in pro-rated MDRT agents (70-99%)</v>
      </c>
      <c r="C946" s="4" t="str">
        <f>CHOOSE(2, "5462030031", "Jul 26")</f>
        <v>Jul 26</v>
      </c>
      <c r="D946" s="14">
        <v>114</v>
      </c>
    </row>
    <row r="947" spans="1:4" x14ac:dyDescent="0.35">
      <c r="A947" s="5" t="str">
        <f t="shared" si="465"/>
        <v>Agency</v>
      </c>
      <c r="B947" s="3" t="str">
        <f t="shared" ref="B947:B948" si="486">CHOOSE(2, "1395000000689", "Total agent headcount  in pro-rated MDRT agents (50-69%)")</f>
        <v>Total agent headcount  in pro-rated MDRT agents (50-69%)</v>
      </c>
      <c r="C947" s="4" t="str">
        <f>CHOOSE(2, "5461730030", "Jun 26")</f>
        <v>Jun 26</v>
      </c>
      <c r="D947" s="14">
        <v>143</v>
      </c>
    </row>
    <row r="948" spans="1:4" x14ac:dyDescent="0.35">
      <c r="A948" s="5" t="str">
        <f t="shared" si="465"/>
        <v>Agency</v>
      </c>
      <c r="B948" s="6" t="str">
        <f t="shared" si="486"/>
        <v>Total agent headcount  in pro-rated MDRT agents (50-69%)</v>
      </c>
      <c r="C948" s="4" t="str">
        <f>CHOOSE(2, "5462030031", "Jul 26")</f>
        <v>Jul 26</v>
      </c>
      <c r="D948" s="14">
        <v>139</v>
      </c>
    </row>
    <row r="949" spans="1:4" x14ac:dyDescent="0.35">
      <c r="A949" s="5" t="str">
        <f t="shared" si="465"/>
        <v>Agency</v>
      </c>
      <c r="B949" s="3" t="str">
        <f t="shared" ref="B949:B950" si="487">CHOOSE(2, "1395000000688", "Total agent headcount  in Manulife Pro Qualifiers - Total")</f>
        <v>Total agent headcount  in Manulife Pro Qualifiers - Total</v>
      </c>
      <c r="C949" s="4" t="str">
        <f>CHOOSE(2, "5461730030", "Jun 26")</f>
        <v>Jun 26</v>
      </c>
      <c r="D949" s="14">
        <v>127</v>
      </c>
    </row>
    <row r="950" spans="1:4" x14ac:dyDescent="0.35">
      <c r="A950" s="5" t="str">
        <f t="shared" si="465"/>
        <v>Agency</v>
      </c>
      <c r="B950" s="6" t="str">
        <f t="shared" si="487"/>
        <v>Total agent headcount  in Manulife Pro Qualifiers - Total</v>
      </c>
      <c r="C950" s="4" t="str">
        <f>CHOOSE(2, "5462030031", "Jul 26")</f>
        <v>Jul 26</v>
      </c>
      <c r="D950" s="14">
        <v>126</v>
      </c>
    </row>
    <row r="951" spans="1:4" x14ac:dyDescent="0.35">
      <c r="A951" s="5" t="str">
        <f t="shared" si="465"/>
        <v>Agency</v>
      </c>
      <c r="B951" s="3" t="str">
        <f t="shared" ref="B951:B952" si="488">CHOOSE(2, "1395000000687", "New recruits")</f>
        <v>New recruits</v>
      </c>
      <c r="C951" s="4" t="str">
        <f>CHOOSE(2, "5461730030", "Jun 26")</f>
        <v>Jun 26</v>
      </c>
      <c r="D951" s="14">
        <v>25</v>
      </c>
    </row>
    <row r="952" spans="1:4" x14ac:dyDescent="0.35">
      <c r="A952" s="5" t="str">
        <f t="shared" si="465"/>
        <v>Agency</v>
      </c>
      <c r="B952" s="6" t="str">
        <f t="shared" si="488"/>
        <v>New recruits</v>
      </c>
      <c r="C952" s="4" t="str">
        <f>CHOOSE(2, "5462030031", "Jul 26")</f>
        <v>Jul 26</v>
      </c>
      <c r="D952" s="14">
        <v>20</v>
      </c>
    </row>
    <row r="953" spans="1:4" x14ac:dyDescent="0.35">
      <c r="A953" s="5" t="str">
        <f t="shared" si="465"/>
        <v>Agency</v>
      </c>
      <c r="B953" s="3" t="str">
        <f t="shared" ref="B953:B954" si="489">CHOOSE(2, "1395000000686", "New recruits - Leader level")</f>
        <v>New recruits - Leader level</v>
      </c>
      <c r="C953" s="4" t="str">
        <f>CHOOSE(2, "5461730030", "Jun 26")</f>
        <v>Jun 26</v>
      </c>
      <c r="D953" s="2" t="s">
        <v>5</v>
      </c>
    </row>
    <row r="954" spans="1:4" x14ac:dyDescent="0.35">
      <c r="A954" s="5" t="str">
        <f t="shared" si="465"/>
        <v>Agency</v>
      </c>
      <c r="B954" s="6" t="str">
        <f t="shared" si="489"/>
        <v>New recruits - Leader level</v>
      </c>
      <c r="C954" s="4" t="str">
        <f>CHOOSE(2, "5462030031", "Jul 26")</f>
        <v>Jul 26</v>
      </c>
      <c r="D954" s="2" t="s">
        <v>5</v>
      </c>
    </row>
    <row r="955" spans="1:4" x14ac:dyDescent="0.35">
      <c r="A955" s="5" t="str">
        <f t="shared" si="465"/>
        <v>Agency</v>
      </c>
      <c r="B955" s="3" t="str">
        <f t="shared" ref="B955:B956" si="490">CHOOSE(2, "1395000000685", "New recruits - FA or equivalent")</f>
        <v>New recruits - FA or equivalent</v>
      </c>
      <c r="C955" s="4" t="str">
        <f>CHOOSE(2, "5461730030", "Jun 26")</f>
        <v>Jun 26</v>
      </c>
      <c r="D955" s="14">
        <v>25</v>
      </c>
    </row>
    <row r="956" spans="1:4" x14ac:dyDescent="0.35">
      <c r="A956" s="5" t="str">
        <f t="shared" si="465"/>
        <v>Agency</v>
      </c>
      <c r="B956" s="6" t="str">
        <f t="shared" si="490"/>
        <v>New recruits - FA or equivalent</v>
      </c>
      <c r="C956" s="4" t="str">
        <f>CHOOSE(2, "5462030031", "Jul 26")</f>
        <v>Jul 26</v>
      </c>
      <c r="D956" s="14">
        <v>20</v>
      </c>
    </row>
    <row r="957" spans="1:4" x14ac:dyDescent="0.35">
      <c r="A957" s="5" t="str">
        <f t="shared" si="465"/>
        <v>Agency</v>
      </c>
      <c r="B957" s="3" t="str">
        <f t="shared" ref="B957:B958" si="491">CHOOSE(2, "1395000000684", "New recruits in UM")</f>
        <v>New recruits in UM</v>
      </c>
      <c r="C957" s="4" t="str">
        <f>CHOOSE(2, "5461730030", "Jun 26")</f>
        <v>Jun 26</v>
      </c>
      <c r="D957" s="14">
        <v>0</v>
      </c>
    </row>
    <row r="958" spans="1:4" x14ac:dyDescent="0.35">
      <c r="A958" s="5" t="str">
        <f t="shared" si="465"/>
        <v>Agency</v>
      </c>
      <c r="B958" s="6" t="str">
        <f t="shared" si="491"/>
        <v>New recruits in UM</v>
      </c>
      <c r="C958" s="4" t="str">
        <f>CHOOSE(2, "5462030031", "Jul 26")</f>
        <v>Jul 26</v>
      </c>
      <c r="D958" s="14">
        <v>0</v>
      </c>
    </row>
    <row r="959" spans="1:4" x14ac:dyDescent="0.35">
      <c r="A959" s="5" t="str">
        <f t="shared" si="465"/>
        <v>Agency</v>
      </c>
      <c r="B959" s="3" t="str">
        <f t="shared" ref="B959:B960" si="492">CHOOSE(2, "1395000000683", "New recruits in Leaders above UM")</f>
        <v>New recruits in Leaders above UM</v>
      </c>
      <c r="C959" s="4" t="str">
        <f>CHOOSE(2, "5461730030", "Jun 26")</f>
        <v>Jun 26</v>
      </c>
      <c r="D959" s="14">
        <v>0</v>
      </c>
    </row>
    <row r="960" spans="1:4" x14ac:dyDescent="0.35">
      <c r="A960" s="5" t="str">
        <f t="shared" si="465"/>
        <v>Agency</v>
      </c>
      <c r="B960" s="6" t="str">
        <f t="shared" si="492"/>
        <v>New recruits in Leaders above UM</v>
      </c>
      <c r="C960" s="4" t="str">
        <f>CHOOSE(2, "5462030031", "Jul 26")</f>
        <v>Jul 26</v>
      </c>
      <c r="D960" s="14">
        <v>0</v>
      </c>
    </row>
    <row r="961" spans="1:4" x14ac:dyDescent="0.35">
      <c r="A961" s="5" t="str">
        <f t="shared" si="465"/>
        <v>Agency</v>
      </c>
      <c r="B961" s="3" t="str">
        <f t="shared" ref="B961:B962" si="493">CHOOSE(2, "1395000000682", "# of 6-90 agents")</f>
        <v># of 6-90 agents</v>
      </c>
      <c r="C961" s="4" t="str">
        <f>CHOOSE(2, "5461730030", "Jun 26")</f>
        <v>Jun 26</v>
      </c>
      <c r="D961" s="14">
        <v>9</v>
      </c>
    </row>
    <row r="962" spans="1:4" x14ac:dyDescent="0.35">
      <c r="A962" s="5" t="str">
        <f t="shared" si="465"/>
        <v>Agency</v>
      </c>
      <c r="B962" s="6" t="str">
        <f t="shared" si="493"/>
        <v># of 6-90 agents</v>
      </c>
      <c r="C962" s="4" t="str">
        <f>CHOOSE(2, "5462030031", "Jul 26")</f>
        <v>Jul 26</v>
      </c>
      <c r="D962" s="14">
        <v>22</v>
      </c>
    </row>
    <row r="963" spans="1:4" x14ac:dyDescent="0.35">
      <c r="A963" s="5" t="str">
        <f t="shared" si="465"/>
        <v>Agency</v>
      </c>
      <c r="B963" s="3" t="str">
        <f t="shared" ref="B963:B964" si="494">CHOOSE(2, "1395000000681", "New Recruits 3M Activation #")</f>
        <v>New Recruits 3M Activation #</v>
      </c>
      <c r="C963" s="4" t="str">
        <f>CHOOSE(2, "5461730030", "Jun 26")</f>
        <v>Jun 26</v>
      </c>
      <c r="D963" s="14">
        <v>11</v>
      </c>
    </row>
    <row r="964" spans="1:4" x14ac:dyDescent="0.35">
      <c r="A964" s="5" t="str">
        <f t="shared" si="465"/>
        <v>Agency</v>
      </c>
      <c r="B964" s="6" t="str">
        <f t="shared" si="494"/>
        <v>New Recruits 3M Activation #</v>
      </c>
      <c r="C964" s="4" t="str">
        <f>CHOOSE(2, "5462030031", "Jul 26")</f>
        <v>Jul 26</v>
      </c>
      <c r="D964" s="14">
        <v>23</v>
      </c>
    </row>
    <row r="965" spans="1:4" x14ac:dyDescent="0.35">
      <c r="A965" s="5" t="str">
        <f t="shared" si="465"/>
        <v>Agency</v>
      </c>
      <c r="B965" s="3" t="str">
        <f t="shared" ref="B965:B966" si="495">CHOOSE(2, "1395000000680", "No of Terminations")</f>
        <v>No of Terminations</v>
      </c>
      <c r="C965" s="4" t="str">
        <f>CHOOSE(2, "5461730030", "Jun 26")</f>
        <v>Jun 26</v>
      </c>
      <c r="D965" s="14">
        <v>11</v>
      </c>
    </row>
    <row r="966" spans="1:4" x14ac:dyDescent="0.35">
      <c r="A966" s="5" t="str">
        <f t="shared" si="465"/>
        <v>Agency</v>
      </c>
      <c r="B966" s="6" t="str">
        <f t="shared" si="495"/>
        <v>No of Terminations</v>
      </c>
      <c r="C966" s="4" t="str">
        <f>CHOOSE(2, "5462030031", "Jul 26")</f>
        <v>Jul 26</v>
      </c>
      <c r="D966" s="14">
        <v>12</v>
      </c>
    </row>
    <row r="967" spans="1:4" x14ac:dyDescent="0.35">
      <c r="A967" s="5" t="str">
        <f t="shared" si="465"/>
        <v>Agency</v>
      </c>
      <c r="B967" s="3" t="str">
        <f t="shared" ref="B967:B968" si="496">CHOOSE(2, "1395000000679", "No of Terminations in FA or equivalent")</f>
        <v>No of Terminations in FA or equivalent</v>
      </c>
      <c r="C967" s="4" t="str">
        <f>CHOOSE(2, "5461730030", "Jun 26")</f>
        <v>Jun 26</v>
      </c>
      <c r="D967" s="2" t="s">
        <v>5</v>
      </c>
    </row>
    <row r="968" spans="1:4" x14ac:dyDescent="0.35">
      <c r="A968" s="5" t="str">
        <f t="shared" si="465"/>
        <v>Agency</v>
      </c>
      <c r="B968" s="6" t="str">
        <f t="shared" si="496"/>
        <v>No of Terminations in FA or equivalent</v>
      </c>
      <c r="C968" s="4" t="str">
        <f>CHOOSE(2, "5462030031", "Jul 26")</f>
        <v>Jul 26</v>
      </c>
      <c r="D968" s="2" t="s">
        <v>5</v>
      </c>
    </row>
    <row r="969" spans="1:4" x14ac:dyDescent="0.35">
      <c r="A969" s="5" t="str">
        <f t="shared" si="465"/>
        <v>Agency</v>
      </c>
      <c r="B969" s="3" t="str">
        <f t="shared" ref="B969:B970" si="497">CHOOSE(2, "1395000000678", "No of Terminations in UM")</f>
        <v>No of Terminations in UM</v>
      </c>
      <c r="C969" s="4" t="str">
        <f>CHOOSE(2, "5461730030", "Jun 26")</f>
        <v>Jun 26</v>
      </c>
      <c r="D969" s="2" t="s">
        <v>5</v>
      </c>
    </row>
    <row r="970" spans="1:4" x14ac:dyDescent="0.35">
      <c r="A970" s="5" t="str">
        <f t="shared" si="465"/>
        <v>Agency</v>
      </c>
      <c r="B970" s="6" t="str">
        <f t="shared" si="497"/>
        <v>No of Terminations in UM</v>
      </c>
      <c r="C970" s="4" t="str">
        <f>CHOOSE(2, "5462030031", "Jul 26")</f>
        <v>Jul 26</v>
      </c>
      <c r="D970" s="2" t="s">
        <v>5</v>
      </c>
    </row>
    <row r="971" spans="1:4" x14ac:dyDescent="0.35">
      <c r="A971" s="5" t="str">
        <f t="shared" ref="A971:A1034" si="498">CHOOSE(2, "1260000000011", "Agency")</f>
        <v>Agency</v>
      </c>
      <c r="B971" s="3" t="str">
        <f t="shared" ref="B971:B972" si="499">CHOOSE(2, "1395000000677", "No of Terminations in Leaders above UM")</f>
        <v>No of Terminations in Leaders above UM</v>
      </c>
      <c r="C971" s="4" t="str">
        <f>CHOOSE(2, "5461730030", "Jun 26")</f>
        <v>Jun 26</v>
      </c>
      <c r="D971" s="2" t="s">
        <v>5</v>
      </c>
    </row>
    <row r="972" spans="1:4" x14ac:dyDescent="0.35">
      <c r="A972" s="5" t="str">
        <f t="shared" si="498"/>
        <v>Agency</v>
      </c>
      <c r="B972" s="6" t="str">
        <f t="shared" si="499"/>
        <v>No of Terminations in Leaders above UM</v>
      </c>
      <c r="C972" s="4" t="str">
        <f>CHOOSE(2, "5462030031", "Jul 26")</f>
        <v>Jul 26</v>
      </c>
      <c r="D972" s="2" t="s">
        <v>5</v>
      </c>
    </row>
    <row r="973" spans="1:4" x14ac:dyDescent="0.35">
      <c r="A973" s="5" t="str">
        <f t="shared" si="498"/>
        <v>Agency</v>
      </c>
      <c r="B973" s="3" t="str">
        <f t="shared" ref="B973:B974" si="500">CHOOSE(2, "1395000000676", "No of Terminations in Top-tier Agents")</f>
        <v>No of Terminations in Top-tier Agents</v>
      </c>
      <c r="C973" s="4" t="str">
        <f>CHOOSE(2, "5461730030", "Jun 26")</f>
        <v>Jun 26</v>
      </c>
      <c r="D973" s="2" t="s">
        <v>5</v>
      </c>
    </row>
    <row r="974" spans="1:4" x14ac:dyDescent="0.35">
      <c r="A974" s="5" t="str">
        <f t="shared" si="498"/>
        <v>Agency</v>
      </c>
      <c r="B974" s="6" t="str">
        <f t="shared" si="500"/>
        <v>No of Terminations in Top-tier Agents</v>
      </c>
      <c r="C974" s="4" t="str">
        <f>CHOOSE(2, "5462030031", "Jul 26")</f>
        <v>Jul 26</v>
      </c>
      <c r="D974" s="2" t="s">
        <v>5</v>
      </c>
    </row>
    <row r="975" spans="1:4" x14ac:dyDescent="0.35">
      <c r="A975" s="5" t="str">
        <f t="shared" si="498"/>
        <v>Agency</v>
      </c>
      <c r="B975" s="3" t="str">
        <f t="shared" ref="B975:B976" si="501">CHOOSE(2, "1395000000675", "No of Terminations in pro-rated MDRT agents (&gt;100%)")</f>
        <v>No of Terminations in pro-rated MDRT agents (&gt;100%)</v>
      </c>
      <c r="C975" s="4" t="str">
        <f>CHOOSE(2, "5461730030", "Jun 26")</f>
        <v>Jun 26</v>
      </c>
      <c r="D975" s="2" t="s">
        <v>5</v>
      </c>
    </row>
    <row r="976" spans="1:4" x14ac:dyDescent="0.35">
      <c r="A976" s="5" t="str">
        <f t="shared" si="498"/>
        <v>Agency</v>
      </c>
      <c r="B976" s="6" t="str">
        <f t="shared" si="501"/>
        <v>No of Terminations in pro-rated MDRT agents (&gt;100%)</v>
      </c>
      <c r="C976" s="4" t="str">
        <f>CHOOSE(2, "5462030031", "Jul 26")</f>
        <v>Jul 26</v>
      </c>
      <c r="D976" s="2" t="s">
        <v>5</v>
      </c>
    </row>
    <row r="977" spans="1:4" x14ac:dyDescent="0.35">
      <c r="A977" s="5" t="str">
        <f t="shared" si="498"/>
        <v>Agency</v>
      </c>
      <c r="B977" s="3" t="str">
        <f t="shared" ref="B977:B978" si="502">CHOOSE(2, "1395000000674", "No of Terminations in pro-rated MDRT agents (70-99%)")</f>
        <v>No of Terminations in pro-rated MDRT agents (70-99%)</v>
      </c>
      <c r="C977" s="4" t="str">
        <f>CHOOSE(2, "5461730030", "Jun 26")</f>
        <v>Jun 26</v>
      </c>
      <c r="D977" s="2" t="s">
        <v>5</v>
      </c>
    </row>
    <row r="978" spans="1:4" x14ac:dyDescent="0.35">
      <c r="A978" s="5" t="str">
        <f t="shared" si="498"/>
        <v>Agency</v>
      </c>
      <c r="B978" s="6" t="str">
        <f t="shared" si="502"/>
        <v>No of Terminations in pro-rated MDRT agents (70-99%)</v>
      </c>
      <c r="C978" s="4" t="str">
        <f>CHOOSE(2, "5462030031", "Jul 26")</f>
        <v>Jul 26</v>
      </c>
      <c r="D978" s="2" t="s">
        <v>5</v>
      </c>
    </row>
    <row r="979" spans="1:4" x14ac:dyDescent="0.35">
      <c r="A979" s="5" t="str">
        <f t="shared" si="498"/>
        <v>Agency</v>
      </c>
      <c r="B979" s="3" t="str">
        <f t="shared" ref="B979:B980" si="503">CHOOSE(2, "1395000000673", "No of Terminations in pro-rated MDRT agents (50-69%)")</f>
        <v>No of Terminations in pro-rated MDRT agents (50-69%)</v>
      </c>
      <c r="C979" s="4" t="str">
        <f>CHOOSE(2, "5461730030", "Jun 26")</f>
        <v>Jun 26</v>
      </c>
      <c r="D979" s="2" t="s">
        <v>5</v>
      </c>
    </row>
    <row r="980" spans="1:4" x14ac:dyDescent="0.35">
      <c r="A980" s="5" t="str">
        <f t="shared" si="498"/>
        <v>Agency</v>
      </c>
      <c r="B980" s="6" t="str">
        <f t="shared" si="503"/>
        <v>No of Terminations in pro-rated MDRT agents (50-69%)</v>
      </c>
      <c r="C980" s="4" t="str">
        <f>CHOOSE(2, "5462030031", "Jul 26")</f>
        <v>Jul 26</v>
      </c>
      <c r="D980" s="2" t="s">
        <v>5</v>
      </c>
    </row>
    <row r="981" spans="1:4" x14ac:dyDescent="0.35">
      <c r="A981" s="5" t="str">
        <f t="shared" si="498"/>
        <v>Agency</v>
      </c>
      <c r="B981" s="3" t="str">
        <f t="shared" ref="B981:B982" si="504">CHOOSE(2, "1395000000672", "No of Terminations in Manulife Pro Qualifiers - Total")</f>
        <v>No of Terminations in Manulife Pro Qualifiers - Total</v>
      </c>
      <c r="C981" s="4" t="str">
        <f>CHOOSE(2, "5461730030", "Jun 26")</f>
        <v>Jun 26</v>
      </c>
      <c r="D981" s="2" t="s">
        <v>5</v>
      </c>
    </row>
    <row r="982" spans="1:4" x14ac:dyDescent="0.35">
      <c r="A982" s="5" t="str">
        <f t="shared" si="498"/>
        <v>Agency</v>
      </c>
      <c r="B982" s="6" t="str">
        <f t="shared" si="504"/>
        <v>No of Terminations in Manulife Pro Qualifiers - Total</v>
      </c>
      <c r="C982" s="4" t="str">
        <f>CHOOSE(2, "5462030031", "Jul 26")</f>
        <v>Jul 26</v>
      </c>
      <c r="D982" s="2" t="s">
        <v>5</v>
      </c>
    </row>
    <row r="983" spans="1:4" x14ac:dyDescent="0.35">
      <c r="A983" s="5" t="str">
        <f t="shared" si="498"/>
        <v>Agency</v>
      </c>
      <c r="B983" s="3" t="str">
        <f t="shared" ref="B983:B984" si="505">CHOOSE(2, "1395000000671", "First Year Agents Terminated without Sales")</f>
        <v>First Year Agents Terminated without Sales</v>
      </c>
      <c r="C983" s="4" t="str">
        <f>CHOOSE(2, "5461730030", "Jun 26")</f>
        <v>Jun 26</v>
      </c>
      <c r="D983" s="2" t="s">
        <v>5</v>
      </c>
    </row>
    <row r="984" spans="1:4" x14ac:dyDescent="0.35">
      <c r="A984" s="5" t="str">
        <f t="shared" si="498"/>
        <v>Agency</v>
      </c>
      <c r="B984" s="6" t="str">
        <f t="shared" si="505"/>
        <v>First Year Agents Terminated without Sales</v>
      </c>
      <c r="C984" s="4" t="str">
        <f>CHOOSE(2, "5462030031", "Jul 26")</f>
        <v>Jul 26</v>
      </c>
      <c r="D984" s="2" t="s">
        <v>5</v>
      </c>
    </row>
    <row r="985" spans="1:4" x14ac:dyDescent="0.35">
      <c r="A985" s="5" t="str">
        <f t="shared" si="498"/>
        <v>Agency</v>
      </c>
      <c r="B985" s="3" t="str">
        <f t="shared" ref="B985:B986" si="506">CHOOSE(2, "1395000000670", "6mth Agency Retention Ratio")</f>
        <v>6mth Agency Retention Ratio</v>
      </c>
      <c r="C985" s="4" t="str">
        <f>CHOOSE(2, "5461730030", "Jun 26")</f>
        <v>Jun 26</v>
      </c>
      <c r="D985" s="2" t="s">
        <v>5</v>
      </c>
    </row>
    <row r="986" spans="1:4" x14ac:dyDescent="0.35">
      <c r="A986" s="5" t="str">
        <f t="shared" si="498"/>
        <v>Agency</v>
      </c>
      <c r="B986" s="6" t="str">
        <f t="shared" si="506"/>
        <v>6mth Agency Retention Ratio</v>
      </c>
      <c r="C986" s="4" t="str">
        <f>CHOOSE(2, "5462030031", "Jul 26")</f>
        <v>Jul 26</v>
      </c>
      <c r="D986" s="2" t="s">
        <v>5</v>
      </c>
    </row>
    <row r="987" spans="1:4" x14ac:dyDescent="0.35">
      <c r="A987" s="5" t="str">
        <f t="shared" si="498"/>
        <v>Agency</v>
      </c>
      <c r="B987" s="3" t="str">
        <f t="shared" ref="B987:B988" si="507">CHOOSE(2, "1395000000669", "12mth Agency Retention Ratio")</f>
        <v>12mth Agency Retention Ratio</v>
      </c>
      <c r="C987" s="4" t="str">
        <f>CHOOSE(2, "5461730030", "Jun 26")</f>
        <v>Jun 26</v>
      </c>
      <c r="D987" s="2" t="s">
        <v>5</v>
      </c>
    </row>
    <row r="988" spans="1:4" x14ac:dyDescent="0.35">
      <c r="A988" s="5" t="str">
        <f t="shared" si="498"/>
        <v>Agency</v>
      </c>
      <c r="B988" s="6" t="str">
        <f t="shared" si="507"/>
        <v>12mth Agency Retention Ratio</v>
      </c>
      <c r="C988" s="4" t="str">
        <f>CHOOSE(2, "5462030031", "Jul 26")</f>
        <v>Jul 26</v>
      </c>
      <c r="D988" s="2" t="s">
        <v>5</v>
      </c>
    </row>
    <row r="989" spans="1:4" x14ac:dyDescent="0.35">
      <c r="A989" s="5" t="str">
        <f t="shared" si="498"/>
        <v>Agency</v>
      </c>
      <c r="B989" s="3" t="str">
        <f t="shared" ref="B989:B990" si="508">CHOOSE(2, "1395000000668", "24mth Agency Retention Ratio")</f>
        <v>24mth Agency Retention Ratio</v>
      </c>
      <c r="C989" s="4" t="str">
        <f>CHOOSE(2, "5461730030", "Jun 26")</f>
        <v>Jun 26</v>
      </c>
      <c r="D989" s="2" t="s">
        <v>5</v>
      </c>
    </row>
    <row r="990" spans="1:4" x14ac:dyDescent="0.35">
      <c r="A990" s="5" t="str">
        <f t="shared" si="498"/>
        <v>Agency</v>
      </c>
      <c r="B990" s="6" t="str">
        <f t="shared" si="508"/>
        <v>24mth Agency Retention Ratio</v>
      </c>
      <c r="C990" s="4" t="str">
        <f>CHOOSE(2, "5462030031", "Jul 26")</f>
        <v>Jul 26</v>
      </c>
      <c r="D990" s="2" t="s">
        <v>5</v>
      </c>
    </row>
    <row r="991" spans="1:4" x14ac:dyDescent="0.35">
      <c r="A991" s="5" t="str">
        <f t="shared" si="498"/>
        <v>Agency</v>
      </c>
      <c r="B991" s="3" t="str">
        <f t="shared" ref="B991:B992" si="509">CHOOSE(2, "1395000000667", "Total # of Leaders (end of period)")</f>
        <v>Total # of Leaders (end of period)</v>
      </c>
      <c r="C991" s="4" t="str">
        <f>CHOOSE(2, "5461730030", "Jun 26")</f>
        <v>Jun 26</v>
      </c>
      <c r="D991" s="14">
        <v>113</v>
      </c>
    </row>
    <row r="992" spans="1:4" x14ac:dyDescent="0.35">
      <c r="A992" s="5" t="str">
        <f t="shared" si="498"/>
        <v>Agency</v>
      </c>
      <c r="B992" s="6" t="str">
        <f t="shared" si="509"/>
        <v>Total # of Leaders (end of period)</v>
      </c>
      <c r="C992" s="4" t="str">
        <f>CHOOSE(2, "5462030031", "Jul 26")</f>
        <v>Jul 26</v>
      </c>
      <c r="D992" s="14">
        <v>115</v>
      </c>
    </row>
    <row r="993" spans="1:4" x14ac:dyDescent="0.35">
      <c r="A993" s="5" t="str">
        <f t="shared" si="498"/>
        <v>Agency</v>
      </c>
      <c r="B993" s="3" t="str">
        <f t="shared" ref="B993:B994" si="510">CHOOSE(2, "1395000000666", "Total # of Unit Managers")</f>
        <v>Total # of Unit Managers</v>
      </c>
      <c r="C993" s="4" t="str">
        <f>CHOOSE(2, "5461730030", "Jun 26")</f>
        <v>Jun 26</v>
      </c>
      <c r="D993" s="14">
        <v>97</v>
      </c>
    </row>
    <row r="994" spans="1:4" x14ac:dyDescent="0.35">
      <c r="A994" s="5" t="str">
        <f t="shared" si="498"/>
        <v>Agency</v>
      </c>
      <c r="B994" s="6" t="str">
        <f t="shared" si="510"/>
        <v>Total # of Unit Managers</v>
      </c>
      <c r="C994" s="4" t="str">
        <f>CHOOSE(2, "5462030031", "Jul 26")</f>
        <v>Jul 26</v>
      </c>
      <c r="D994" s="14">
        <v>99</v>
      </c>
    </row>
    <row r="995" spans="1:4" x14ac:dyDescent="0.35">
      <c r="A995" s="5" t="str">
        <f t="shared" si="498"/>
        <v>Agency</v>
      </c>
      <c r="B995" s="3" t="str">
        <f t="shared" ref="B995:B996" si="511">CHOOSE(2, "1395000000665", "Total # of Leaders above Unit Manager level")</f>
        <v>Total # of Leaders above Unit Manager level</v>
      </c>
      <c r="C995" s="4" t="str">
        <f>CHOOSE(2, "5461730030", "Jun 26")</f>
        <v>Jun 26</v>
      </c>
      <c r="D995" s="14">
        <v>16</v>
      </c>
    </row>
    <row r="996" spans="1:4" x14ac:dyDescent="0.35">
      <c r="A996" s="5" t="str">
        <f t="shared" si="498"/>
        <v>Agency</v>
      </c>
      <c r="B996" s="6" t="str">
        <f t="shared" si="511"/>
        <v>Total # of Leaders above Unit Manager level</v>
      </c>
      <c r="C996" s="4" t="str">
        <f>CHOOSE(2, "5462030031", "Jul 26")</f>
        <v>Jul 26</v>
      </c>
      <c r="D996" s="14">
        <v>16</v>
      </c>
    </row>
    <row r="997" spans="1:4" x14ac:dyDescent="0.35">
      <c r="A997" s="5" t="str">
        <f t="shared" si="498"/>
        <v>Agency</v>
      </c>
      <c r="B997" s="3" t="str">
        <f t="shared" ref="B997:B998" si="512">CHOOSE(2, "1395000000664", "Total # of Agents below Unit Manager level (end of period)")</f>
        <v>Total # of Agents below Unit Manager level (end of period)</v>
      </c>
      <c r="C997" s="4" t="str">
        <f>CHOOSE(2, "5461730030", "Jun 26")</f>
        <v>Jun 26</v>
      </c>
      <c r="D997" s="14">
        <v>0</v>
      </c>
    </row>
    <row r="998" spans="1:4" x14ac:dyDescent="0.35">
      <c r="A998" s="5" t="str">
        <f t="shared" si="498"/>
        <v>Agency</v>
      </c>
      <c r="B998" s="6" t="str">
        <f t="shared" si="512"/>
        <v>Total # of Agents below Unit Manager level (end of period)</v>
      </c>
      <c r="C998" s="4" t="str">
        <f>CHOOSE(2, "5462030031", "Jul 26")</f>
        <v>Jul 26</v>
      </c>
      <c r="D998" s="14">
        <v>0</v>
      </c>
    </row>
    <row r="999" spans="1:4" x14ac:dyDescent="0.35">
      <c r="A999" s="5" t="str">
        <f t="shared" si="498"/>
        <v>Agency</v>
      </c>
      <c r="B999" s="3" t="str">
        <f t="shared" ref="B999:B1000" si="513">CHOOSE(2, "1395000000663", "# of Active Recruiting Leaders")</f>
        <v># of Active Recruiting Leaders</v>
      </c>
      <c r="C999" s="4" t="str">
        <f>CHOOSE(2, "5461730030", "Jun 26")</f>
        <v>Jun 26</v>
      </c>
      <c r="D999" s="14">
        <v>9</v>
      </c>
    </row>
    <row r="1000" spans="1:4" x14ac:dyDescent="0.35">
      <c r="A1000" s="5" t="str">
        <f t="shared" si="498"/>
        <v>Agency</v>
      </c>
      <c r="B1000" s="6" t="str">
        <f t="shared" si="513"/>
        <v># of Active Recruiting Leaders</v>
      </c>
      <c r="C1000" s="4" t="str">
        <f>CHOOSE(2, "5462030031", "Jul 26")</f>
        <v>Jul 26</v>
      </c>
      <c r="D1000" s="14">
        <v>7</v>
      </c>
    </row>
    <row r="1001" spans="1:4" x14ac:dyDescent="0.35">
      <c r="A1001" s="5" t="str">
        <f t="shared" si="498"/>
        <v>Agency</v>
      </c>
      <c r="B1001" s="3" t="str">
        <f t="shared" ref="B1001:B1002" si="514">CHOOSE(2, "1395000000662", "# of leaders with &gt;1 YTD recruit")</f>
        <v># of leaders with &gt;1 YTD recruit</v>
      </c>
      <c r="C1001" s="4" t="str">
        <f>CHOOSE(2, "5461730030", "Jun 26")</f>
        <v>Jun 26</v>
      </c>
      <c r="D1001" s="14">
        <v>30</v>
      </c>
    </row>
    <row r="1002" spans="1:4" x14ac:dyDescent="0.35">
      <c r="A1002" s="5" t="str">
        <f t="shared" si="498"/>
        <v>Agency</v>
      </c>
      <c r="B1002" s="6" t="str">
        <f t="shared" si="514"/>
        <v># of leaders with &gt;1 YTD recruit</v>
      </c>
      <c r="C1002" s="4" t="str">
        <f>CHOOSE(2, "5462030031", "Jul 26")</f>
        <v>Jul 26</v>
      </c>
      <c r="D1002" s="14">
        <v>37</v>
      </c>
    </row>
    <row r="1003" spans="1:4" x14ac:dyDescent="0.35">
      <c r="A1003" s="5" t="str">
        <f t="shared" si="498"/>
        <v>Agency</v>
      </c>
      <c r="B1003" s="3" t="str">
        <f t="shared" ref="B1003:B1004" si="515">CHOOSE(2, "1395000000661", "Income ratio from personal sales (UM)")</f>
        <v>Income ratio from personal sales (UM)</v>
      </c>
      <c r="C1003" s="4" t="str">
        <f>CHOOSE(2, "5461730030", "Jun 26")</f>
        <v>Jun 26</v>
      </c>
      <c r="D1003" s="2" t="s">
        <v>5</v>
      </c>
    </row>
    <row r="1004" spans="1:4" x14ac:dyDescent="0.35">
      <c r="A1004" s="5" t="str">
        <f t="shared" si="498"/>
        <v>Agency</v>
      </c>
      <c r="B1004" s="6" t="str">
        <f t="shared" si="515"/>
        <v>Income ratio from personal sales (UM)</v>
      </c>
      <c r="C1004" s="4" t="str">
        <f>CHOOSE(2, "5462030031", "Jul 26")</f>
        <v>Jul 26</v>
      </c>
      <c r="D1004" s="2" t="s">
        <v>5</v>
      </c>
    </row>
    <row r="1005" spans="1:4" x14ac:dyDescent="0.35">
      <c r="A1005" s="5" t="str">
        <f t="shared" si="498"/>
        <v>Agency</v>
      </c>
      <c r="B1005" s="3" t="str">
        <f t="shared" ref="B1005:B1006" si="516">CHOOSE(2, "1395000000660", "Income ratio from personal sales (UM) (numerator)")</f>
        <v>Income ratio from personal sales (UM) (numerator)</v>
      </c>
      <c r="C1005" s="4" t="str">
        <f>CHOOSE(2, "5461730030", "Jun 26")</f>
        <v>Jun 26</v>
      </c>
      <c r="D1005" s="2" t="s">
        <v>5</v>
      </c>
    </row>
    <row r="1006" spans="1:4" x14ac:dyDescent="0.35">
      <c r="A1006" s="5" t="str">
        <f t="shared" si="498"/>
        <v>Agency</v>
      </c>
      <c r="B1006" s="6" t="str">
        <f t="shared" si="516"/>
        <v>Income ratio from personal sales (UM) (numerator)</v>
      </c>
      <c r="C1006" s="4" t="str">
        <f>CHOOSE(2, "5462030031", "Jul 26")</f>
        <v>Jul 26</v>
      </c>
      <c r="D1006" s="2" t="s">
        <v>5</v>
      </c>
    </row>
    <row r="1007" spans="1:4" x14ac:dyDescent="0.35">
      <c r="A1007" s="5" t="str">
        <f t="shared" si="498"/>
        <v>Agency</v>
      </c>
      <c r="B1007" s="3" t="str">
        <f t="shared" ref="B1007:B1008" si="517">CHOOSE(2, "1395000000659", "Income ratio from personal sales (UM) (denominator)")</f>
        <v>Income ratio from personal sales (UM) (denominator)</v>
      </c>
      <c r="C1007" s="4" t="str">
        <f>CHOOSE(2, "5461730030", "Jun 26")</f>
        <v>Jun 26</v>
      </c>
      <c r="D1007" s="2" t="s">
        <v>5</v>
      </c>
    </row>
    <row r="1008" spans="1:4" x14ac:dyDescent="0.35">
      <c r="A1008" s="5" t="str">
        <f t="shared" si="498"/>
        <v>Agency</v>
      </c>
      <c r="B1008" s="6" t="str">
        <f t="shared" si="517"/>
        <v>Income ratio from personal sales (UM) (denominator)</v>
      </c>
      <c r="C1008" s="4" t="str">
        <f>CHOOSE(2, "5462030031", "Jul 26")</f>
        <v>Jul 26</v>
      </c>
      <c r="D1008" s="2" t="s">
        <v>5</v>
      </c>
    </row>
    <row r="1009" spans="1:4" x14ac:dyDescent="0.35">
      <c r="A1009" s="5" t="str">
        <f t="shared" si="498"/>
        <v>Agency</v>
      </c>
      <c r="B1009" s="3" t="str">
        <f t="shared" ref="B1009:B1010" si="518">CHOOSE(2, "1395000000658", "Income ratio from personal sales (Leader above UM)")</f>
        <v>Income ratio from personal sales (Leader above UM)</v>
      </c>
      <c r="C1009" s="4" t="str">
        <f>CHOOSE(2, "5461730030", "Jun 26")</f>
        <v>Jun 26</v>
      </c>
      <c r="D1009" s="2" t="s">
        <v>5</v>
      </c>
    </row>
    <row r="1010" spans="1:4" x14ac:dyDescent="0.35">
      <c r="A1010" s="5" t="str">
        <f t="shared" si="498"/>
        <v>Agency</v>
      </c>
      <c r="B1010" s="6" t="str">
        <f t="shared" si="518"/>
        <v>Income ratio from personal sales (Leader above UM)</v>
      </c>
      <c r="C1010" s="4" t="str">
        <f>CHOOSE(2, "5462030031", "Jul 26")</f>
        <v>Jul 26</v>
      </c>
      <c r="D1010" s="2" t="s">
        <v>5</v>
      </c>
    </row>
    <row r="1011" spans="1:4" x14ac:dyDescent="0.35">
      <c r="A1011" s="5" t="str">
        <f t="shared" si="498"/>
        <v>Agency</v>
      </c>
      <c r="B1011" s="3" t="str">
        <f t="shared" ref="B1011:B1012" si="519">CHOOSE(2, "1395000000657", "Income ratio from personal sales (Leader above UM) (num)")</f>
        <v>Income ratio from personal sales (Leader above UM) (num)</v>
      </c>
      <c r="C1011" s="4" t="str">
        <f>CHOOSE(2, "5461730030", "Jun 26")</f>
        <v>Jun 26</v>
      </c>
      <c r="D1011" s="2" t="s">
        <v>5</v>
      </c>
    </row>
    <row r="1012" spans="1:4" x14ac:dyDescent="0.35">
      <c r="A1012" s="5" t="str">
        <f t="shared" si="498"/>
        <v>Agency</v>
      </c>
      <c r="B1012" s="6" t="str">
        <f t="shared" si="519"/>
        <v>Income ratio from personal sales (Leader above UM) (num)</v>
      </c>
      <c r="C1012" s="4" t="str">
        <f>CHOOSE(2, "5462030031", "Jul 26")</f>
        <v>Jul 26</v>
      </c>
      <c r="D1012" s="2" t="s">
        <v>5</v>
      </c>
    </row>
    <row r="1013" spans="1:4" x14ac:dyDescent="0.35">
      <c r="A1013" s="5" t="str">
        <f t="shared" si="498"/>
        <v>Agency</v>
      </c>
      <c r="B1013" s="3" t="str">
        <f t="shared" ref="B1013:B1014" si="520">CHOOSE(2, "1395000000656", "Income ratio from personal sales (Leader above UM) (den)")</f>
        <v>Income ratio from personal sales (Leader above UM) (den)</v>
      </c>
      <c r="C1013" s="4" t="str">
        <f>CHOOSE(2, "5461730030", "Jun 26")</f>
        <v>Jun 26</v>
      </c>
      <c r="D1013" s="2" t="s">
        <v>5</v>
      </c>
    </row>
    <row r="1014" spans="1:4" x14ac:dyDescent="0.35">
      <c r="A1014" s="5" t="str">
        <f t="shared" si="498"/>
        <v>Agency</v>
      </c>
      <c r="B1014" s="6" t="str">
        <f t="shared" si="520"/>
        <v>Income ratio from personal sales (Leader above UM) (den)</v>
      </c>
      <c r="C1014" s="4" t="str">
        <f>CHOOSE(2, "5462030031", "Jul 26")</f>
        <v>Jul 26</v>
      </c>
      <c r="D1014" s="2" t="s">
        <v>5</v>
      </c>
    </row>
    <row r="1015" spans="1:4" x14ac:dyDescent="0.35">
      <c r="A1015" s="5" t="str">
        <f t="shared" si="498"/>
        <v>Agency</v>
      </c>
      <c r="B1015" s="3" t="str">
        <f t="shared" ref="B1015:B1016" si="521">CHOOSE(2, "1395000000655", "Total agent earnings")</f>
        <v>Total agent earnings</v>
      </c>
      <c r="C1015" s="4" t="str">
        <f>CHOOSE(2, "5461730030", "Jun 26")</f>
        <v>Jun 26</v>
      </c>
      <c r="D1015" s="2" t="s">
        <v>5</v>
      </c>
    </row>
    <row r="1016" spans="1:4" x14ac:dyDescent="0.35">
      <c r="A1016" s="5" t="str">
        <f t="shared" si="498"/>
        <v>Agency</v>
      </c>
      <c r="B1016" s="6" t="str">
        <f t="shared" si="521"/>
        <v>Total agent earnings</v>
      </c>
      <c r="C1016" s="4" t="str">
        <f>CHOOSE(2, "5462030031", "Jul 26")</f>
        <v>Jul 26</v>
      </c>
      <c r="D1016" s="2" t="s">
        <v>5</v>
      </c>
    </row>
    <row r="1017" spans="1:4" x14ac:dyDescent="0.35">
      <c r="A1017" s="5" t="str">
        <f t="shared" si="498"/>
        <v>Agency</v>
      </c>
      <c r="B1017" s="3" t="str">
        <f t="shared" ref="B1017:B1018" si="522">CHOOSE(2, "1395000000654", "Total agent earnings in FA or equivalent")</f>
        <v>Total agent earnings in FA or equivalent</v>
      </c>
      <c r="C1017" s="4" t="str">
        <f>CHOOSE(2, "5461730030", "Jun 26")</f>
        <v>Jun 26</v>
      </c>
      <c r="D1017" s="2" t="s">
        <v>5</v>
      </c>
    </row>
    <row r="1018" spans="1:4" x14ac:dyDescent="0.35">
      <c r="A1018" s="5" t="str">
        <f t="shared" si="498"/>
        <v>Agency</v>
      </c>
      <c r="B1018" s="6" t="str">
        <f t="shared" si="522"/>
        <v>Total agent earnings in FA or equivalent</v>
      </c>
      <c r="C1018" s="4" t="str">
        <f>CHOOSE(2, "5462030031", "Jul 26")</f>
        <v>Jul 26</v>
      </c>
      <c r="D1018" s="2" t="s">
        <v>5</v>
      </c>
    </row>
    <row r="1019" spans="1:4" x14ac:dyDescent="0.35">
      <c r="A1019" s="5" t="str">
        <f t="shared" si="498"/>
        <v>Agency</v>
      </c>
      <c r="B1019" s="3" t="str">
        <f t="shared" ref="B1019:B1020" si="523">CHOOSE(2, "1395000000653", "Total agent earnings in UM")</f>
        <v>Total agent earnings in UM</v>
      </c>
      <c r="C1019" s="4" t="str">
        <f>CHOOSE(2, "5461730030", "Jun 26")</f>
        <v>Jun 26</v>
      </c>
      <c r="D1019" s="2" t="s">
        <v>5</v>
      </c>
    </row>
    <row r="1020" spans="1:4" x14ac:dyDescent="0.35">
      <c r="A1020" s="5" t="str">
        <f t="shared" si="498"/>
        <v>Agency</v>
      </c>
      <c r="B1020" s="6" t="str">
        <f t="shared" si="523"/>
        <v>Total agent earnings in UM</v>
      </c>
      <c r="C1020" s="4" t="str">
        <f>CHOOSE(2, "5462030031", "Jul 26")</f>
        <v>Jul 26</v>
      </c>
      <c r="D1020" s="2" t="s">
        <v>5</v>
      </c>
    </row>
    <row r="1021" spans="1:4" x14ac:dyDescent="0.35">
      <c r="A1021" s="5" t="str">
        <f t="shared" si="498"/>
        <v>Agency</v>
      </c>
      <c r="B1021" s="3" t="str">
        <f t="shared" ref="B1021:B1022" si="524">CHOOSE(2, "1395000000652", "Total agent earnings in Leaders above UM")</f>
        <v>Total agent earnings in Leaders above UM</v>
      </c>
      <c r="C1021" s="4" t="str">
        <f>CHOOSE(2, "5461730030", "Jun 26")</f>
        <v>Jun 26</v>
      </c>
      <c r="D1021" s="2" t="s">
        <v>5</v>
      </c>
    </row>
    <row r="1022" spans="1:4" x14ac:dyDescent="0.35">
      <c r="A1022" s="5" t="str">
        <f t="shared" si="498"/>
        <v>Agency</v>
      </c>
      <c r="B1022" s="6" t="str">
        <f t="shared" si="524"/>
        <v>Total agent earnings in Leaders above UM</v>
      </c>
      <c r="C1022" s="4" t="str">
        <f>CHOOSE(2, "5462030031", "Jul 26")</f>
        <v>Jul 26</v>
      </c>
      <c r="D1022" s="2" t="s">
        <v>5</v>
      </c>
    </row>
    <row r="1023" spans="1:4" x14ac:dyDescent="0.35">
      <c r="A1023" s="5" t="str">
        <f t="shared" si="498"/>
        <v>Agency</v>
      </c>
      <c r="B1023" s="3" t="str">
        <f t="shared" ref="B1023:B1024" si="525">CHOOSE(2, "1395000000651", "# of Newly Promoted UM")</f>
        <v># of Newly Promoted UM</v>
      </c>
      <c r="C1023" s="4" t="str">
        <f>CHOOSE(2, "5461730030", "Jun 26")</f>
        <v>Jun 26</v>
      </c>
      <c r="D1023" s="14">
        <v>3</v>
      </c>
    </row>
    <row r="1024" spans="1:4" x14ac:dyDescent="0.35">
      <c r="A1024" s="5" t="str">
        <f t="shared" si="498"/>
        <v>Agency</v>
      </c>
      <c r="B1024" s="6" t="str">
        <f t="shared" si="525"/>
        <v># of Newly Promoted UM</v>
      </c>
      <c r="C1024" s="4" t="str">
        <f>CHOOSE(2, "5462030031", "Jul 26")</f>
        <v>Jul 26</v>
      </c>
      <c r="D1024" s="14">
        <v>2</v>
      </c>
    </row>
    <row r="1025" spans="1:4" x14ac:dyDescent="0.35">
      <c r="A1025" s="5" t="str">
        <f t="shared" si="498"/>
        <v>Agency</v>
      </c>
      <c r="B1025" s="3" t="str">
        <f t="shared" ref="B1025:B1026" si="526">CHOOSE(2, "1395000000650", "# of Newly Promoted Leaders above UM")</f>
        <v># of Newly Promoted Leaders above UM</v>
      </c>
      <c r="C1025" s="4" t="str">
        <f>CHOOSE(2, "5461730030", "Jun 26")</f>
        <v>Jun 26</v>
      </c>
      <c r="D1025" s="14">
        <v>0</v>
      </c>
    </row>
    <row r="1026" spans="1:4" x14ac:dyDescent="0.35">
      <c r="A1026" s="5" t="str">
        <f t="shared" si="498"/>
        <v>Agency</v>
      </c>
      <c r="B1026" s="6" t="str">
        <f t="shared" si="526"/>
        <v># of Newly Promoted Leaders above UM</v>
      </c>
      <c r="C1026" s="4" t="str">
        <f>CHOOSE(2, "5462030031", "Jul 26")</f>
        <v>Jul 26</v>
      </c>
      <c r="D1026" s="14">
        <v>0</v>
      </c>
    </row>
    <row r="1027" spans="1:4" x14ac:dyDescent="0.35">
      <c r="A1027" s="5" t="str">
        <f t="shared" si="498"/>
        <v>Agency</v>
      </c>
      <c r="B1027" s="3" t="str">
        <f t="shared" ref="B1027:B1028" si="527">CHOOSE(2, "1395000000649", "# of Total Leader Promotions")</f>
        <v># of Total Leader Promotions</v>
      </c>
      <c r="C1027" s="4" t="str">
        <f>CHOOSE(2, "5461730030", "Jun 26")</f>
        <v>Jun 26</v>
      </c>
      <c r="D1027" s="14">
        <v>3</v>
      </c>
    </row>
    <row r="1028" spans="1:4" x14ac:dyDescent="0.35">
      <c r="A1028" s="5" t="str">
        <f t="shared" si="498"/>
        <v>Agency</v>
      </c>
      <c r="B1028" s="6" t="str">
        <f t="shared" si="527"/>
        <v># of Total Leader Promotions</v>
      </c>
      <c r="C1028" s="4" t="str">
        <f>CHOOSE(2, "5462030031", "Jul 26")</f>
        <v>Jul 26</v>
      </c>
      <c r="D1028" s="14">
        <v>2</v>
      </c>
    </row>
    <row r="1029" spans="1:4" x14ac:dyDescent="0.35">
      <c r="A1029" s="5" t="str">
        <f t="shared" si="498"/>
        <v>Agency</v>
      </c>
      <c r="B1029" s="3" t="str">
        <f t="shared" ref="B1029:B1030" si="528">CHOOSE(2, "1395000000648", "# of Newly Demoted UM")</f>
        <v># of Newly Demoted UM</v>
      </c>
      <c r="C1029" s="4" t="str">
        <f>CHOOSE(2, "5461730030", "Jun 26")</f>
        <v>Jun 26</v>
      </c>
      <c r="D1029" s="14">
        <v>0</v>
      </c>
    </row>
    <row r="1030" spans="1:4" x14ac:dyDescent="0.35">
      <c r="A1030" s="5" t="str">
        <f t="shared" si="498"/>
        <v>Agency</v>
      </c>
      <c r="B1030" s="6" t="str">
        <f t="shared" si="528"/>
        <v># of Newly Demoted UM</v>
      </c>
      <c r="C1030" s="4" t="str">
        <f>CHOOSE(2, "5462030031", "Jul 26")</f>
        <v>Jul 26</v>
      </c>
      <c r="D1030" s="14">
        <v>0</v>
      </c>
    </row>
    <row r="1031" spans="1:4" x14ac:dyDescent="0.35">
      <c r="A1031" s="5" t="str">
        <f t="shared" si="498"/>
        <v>Agency</v>
      </c>
      <c r="B1031" s="3" t="str">
        <f t="shared" ref="B1031:B1032" si="529">CHOOSE(2, "1395000000647", "# of Newly Demoted Leaders above UM")</f>
        <v># of Newly Demoted Leaders above UM</v>
      </c>
      <c r="C1031" s="4" t="str">
        <f>CHOOSE(2, "5461730030", "Jun 26")</f>
        <v>Jun 26</v>
      </c>
      <c r="D1031" s="14">
        <v>0</v>
      </c>
    </row>
    <row r="1032" spans="1:4" x14ac:dyDescent="0.35">
      <c r="A1032" s="5" t="str">
        <f t="shared" si="498"/>
        <v>Agency</v>
      </c>
      <c r="B1032" s="6" t="str">
        <f t="shared" si="529"/>
        <v># of Newly Demoted Leaders above UM</v>
      </c>
      <c r="C1032" s="4" t="str">
        <f>CHOOSE(2, "5462030031", "Jul 26")</f>
        <v>Jul 26</v>
      </c>
      <c r="D1032" s="14">
        <v>0</v>
      </c>
    </row>
    <row r="1033" spans="1:4" x14ac:dyDescent="0.35">
      <c r="A1033" s="5" t="str">
        <f t="shared" si="498"/>
        <v>Agency</v>
      </c>
      <c r="B1033" s="3" t="str">
        <f t="shared" ref="B1033:B1034" si="530">CHOOSE(2, "1395000000646", "# of Total Leader Demotions")</f>
        <v># of Total Leader Demotions</v>
      </c>
      <c r="C1033" s="4" t="str">
        <f>CHOOSE(2, "5461730030", "Jun 26")</f>
        <v>Jun 26</v>
      </c>
      <c r="D1033" s="14">
        <v>0</v>
      </c>
    </row>
    <row r="1034" spans="1:4" x14ac:dyDescent="0.35">
      <c r="A1034" s="5" t="str">
        <f t="shared" si="498"/>
        <v>Agency</v>
      </c>
      <c r="B1034" s="6" t="str">
        <f t="shared" si="530"/>
        <v># of Total Leader Demotions</v>
      </c>
      <c r="C1034" s="4" t="str">
        <f>CHOOSE(2, "5462030031", "Jul 26")</f>
        <v>Jul 26</v>
      </c>
      <c r="D1034" s="14">
        <v>0</v>
      </c>
    </row>
    <row r="1035" spans="1:4" x14ac:dyDescent="0.35">
      <c r="A1035" s="5" t="str">
        <f t="shared" ref="A1035:A1098" si="531">CHOOSE(2, "1260000000011", "Agency")</f>
        <v>Agency</v>
      </c>
      <c r="B1035" s="3" t="str">
        <f t="shared" ref="B1035:B1036" si="532">CHOOSE(2, "1395000000645", "# of agents meeting MOC")</f>
        <v># of agents meeting MOC</v>
      </c>
      <c r="C1035" s="4" t="str">
        <f>CHOOSE(2, "5461730030", "Jun 26")</f>
        <v>Jun 26</v>
      </c>
      <c r="D1035" s="14">
        <v>0</v>
      </c>
    </row>
    <row r="1036" spans="1:4" x14ac:dyDescent="0.35">
      <c r="A1036" s="5" t="str">
        <f t="shared" si="531"/>
        <v>Agency</v>
      </c>
      <c r="B1036" s="6" t="str">
        <f t="shared" si="532"/>
        <v># of agents meeting MOC</v>
      </c>
      <c r="C1036" s="4" t="str">
        <f>CHOOSE(2, "5462030031", "Jul 26")</f>
        <v>Jul 26</v>
      </c>
      <c r="D1036" s="14">
        <v>0</v>
      </c>
    </row>
    <row r="1037" spans="1:4" x14ac:dyDescent="0.35">
      <c r="A1037" s="5" t="str">
        <f t="shared" si="531"/>
        <v>Agency</v>
      </c>
      <c r="B1037" s="3" t="str">
        <f t="shared" ref="B1037:B1038" si="533">CHOOSE(2, "1395000000644", "# of agents meeting MOC in FA or equivalent")</f>
        <v># of agents meeting MOC in FA or equivalent</v>
      </c>
      <c r="C1037" s="4" t="str">
        <f>CHOOSE(2, "5461730030", "Jun 26")</f>
        <v>Jun 26</v>
      </c>
      <c r="D1037" s="2" t="s">
        <v>5</v>
      </c>
    </row>
    <row r="1038" spans="1:4" x14ac:dyDescent="0.35">
      <c r="A1038" s="5" t="str">
        <f t="shared" si="531"/>
        <v>Agency</v>
      </c>
      <c r="B1038" s="6" t="str">
        <f t="shared" si="533"/>
        <v># of agents meeting MOC in FA or equivalent</v>
      </c>
      <c r="C1038" s="4" t="str">
        <f>CHOOSE(2, "5462030031", "Jul 26")</f>
        <v>Jul 26</v>
      </c>
      <c r="D1038" s="2" t="s">
        <v>5</v>
      </c>
    </row>
    <row r="1039" spans="1:4" x14ac:dyDescent="0.35">
      <c r="A1039" s="5" t="str">
        <f t="shared" si="531"/>
        <v>Agency</v>
      </c>
      <c r="B1039" s="3" t="str">
        <f t="shared" ref="B1039:B1040" si="534">CHOOSE(2, "1395000000643", "# of agents meeting MOC in UM")</f>
        <v># of agents meeting MOC in UM</v>
      </c>
      <c r="C1039" s="4" t="str">
        <f>CHOOSE(2, "5461730030", "Jun 26")</f>
        <v>Jun 26</v>
      </c>
      <c r="D1039" s="2" t="s">
        <v>5</v>
      </c>
    </row>
    <row r="1040" spans="1:4" x14ac:dyDescent="0.35">
      <c r="A1040" s="5" t="str">
        <f t="shared" si="531"/>
        <v>Agency</v>
      </c>
      <c r="B1040" s="6" t="str">
        <f t="shared" si="534"/>
        <v># of agents meeting MOC in UM</v>
      </c>
      <c r="C1040" s="4" t="str">
        <f>CHOOSE(2, "5462030031", "Jul 26")</f>
        <v>Jul 26</v>
      </c>
      <c r="D1040" s="2" t="s">
        <v>5</v>
      </c>
    </row>
    <row r="1041" spans="1:4" x14ac:dyDescent="0.35">
      <c r="A1041" s="5" t="str">
        <f t="shared" si="531"/>
        <v>Agency</v>
      </c>
      <c r="B1041" s="3" t="str">
        <f t="shared" ref="B1041:B1042" si="535">CHOOSE(2, "1395000000642", "# of agents meeting MOC in Leaders above UM")</f>
        <v># of agents meeting MOC in Leaders above UM</v>
      </c>
      <c r="C1041" s="4" t="str">
        <f>CHOOSE(2, "5461730030", "Jun 26")</f>
        <v>Jun 26</v>
      </c>
      <c r="D1041" s="2" t="s">
        <v>5</v>
      </c>
    </row>
    <row r="1042" spans="1:4" x14ac:dyDescent="0.35">
      <c r="A1042" s="5" t="str">
        <f t="shared" si="531"/>
        <v>Agency</v>
      </c>
      <c r="B1042" s="6" t="str">
        <f t="shared" si="535"/>
        <v># of agents meeting MOC in Leaders above UM</v>
      </c>
      <c r="C1042" s="4" t="str">
        <f>CHOOSE(2, "5462030031", "Jul 26")</f>
        <v>Jul 26</v>
      </c>
      <c r="D1042" s="2" t="s">
        <v>5</v>
      </c>
    </row>
    <row r="1043" spans="1:4" x14ac:dyDescent="0.35">
      <c r="A1043" s="5" t="str">
        <f t="shared" si="531"/>
        <v>Agency</v>
      </c>
      <c r="B1043" s="3" t="str">
        <f t="shared" ref="B1043:B1044" si="536">CHOOSE(2, "1395000000641", "New Leaders 3M Activation Rate (by cohort)")</f>
        <v>New Leaders 3M Activation Rate (by cohort)</v>
      </c>
      <c r="C1043" s="4" t="str">
        <f>CHOOSE(2, "5461730030", "Jun 26")</f>
        <v>Jun 26</v>
      </c>
      <c r="D1043" s="14">
        <v>0</v>
      </c>
    </row>
    <row r="1044" spans="1:4" x14ac:dyDescent="0.35">
      <c r="A1044" s="5" t="str">
        <f t="shared" si="531"/>
        <v>Agency</v>
      </c>
      <c r="B1044" s="6" t="str">
        <f t="shared" si="536"/>
        <v>New Leaders 3M Activation Rate (by cohort)</v>
      </c>
      <c r="C1044" s="4" t="str">
        <f>CHOOSE(2, "5462030031", "Jul 26")</f>
        <v>Jul 26</v>
      </c>
      <c r="D1044" s="14">
        <v>0.2</v>
      </c>
    </row>
    <row r="1045" spans="1:4" x14ac:dyDescent="0.35">
      <c r="A1045" s="5" t="str">
        <f t="shared" si="531"/>
        <v>Agency</v>
      </c>
      <c r="B1045" s="3" t="str">
        <f t="shared" ref="B1045:B1046" si="537">CHOOSE(2, "1395000000640", "New Leaders 3M Activation Rate (by cohort) (numerator)")</f>
        <v>New Leaders 3M Activation Rate (by cohort) (numerator)</v>
      </c>
      <c r="C1045" s="4" t="str">
        <f>CHOOSE(2, "5461730030", "Jun 26")</f>
        <v>Jun 26</v>
      </c>
      <c r="D1045" s="14">
        <v>0</v>
      </c>
    </row>
    <row r="1046" spans="1:4" x14ac:dyDescent="0.35">
      <c r="A1046" s="5" t="str">
        <f t="shared" si="531"/>
        <v>Agency</v>
      </c>
      <c r="B1046" s="6" t="str">
        <f t="shared" si="537"/>
        <v>New Leaders 3M Activation Rate (by cohort) (numerator)</v>
      </c>
      <c r="C1046" s="4" t="str">
        <f>CHOOSE(2, "5462030031", "Jul 26")</f>
        <v>Jul 26</v>
      </c>
      <c r="D1046" s="14">
        <v>1</v>
      </c>
    </row>
    <row r="1047" spans="1:4" x14ac:dyDescent="0.35">
      <c r="A1047" s="5" t="str">
        <f t="shared" si="531"/>
        <v>Agency</v>
      </c>
      <c r="B1047" s="3" t="str">
        <f t="shared" ref="B1047:B1048" si="538">CHOOSE(2, "1395000000639", "New Leaders 3M Activation Rate (by cohort) (denominator)")</f>
        <v>New Leaders 3M Activation Rate (by cohort) (denominator)</v>
      </c>
      <c r="C1047" s="4" t="str">
        <f>CHOOSE(2, "5461730030", "Jun 26")</f>
        <v>Jun 26</v>
      </c>
      <c r="D1047" s="14">
        <v>3</v>
      </c>
    </row>
    <row r="1048" spans="1:4" x14ac:dyDescent="0.35">
      <c r="A1048" s="5" t="str">
        <f t="shared" si="531"/>
        <v>Agency</v>
      </c>
      <c r="B1048" s="6" t="str">
        <f t="shared" si="538"/>
        <v>New Leaders 3M Activation Rate (by cohort) (denominator)</v>
      </c>
      <c r="C1048" s="4" t="str">
        <f>CHOOSE(2, "5462030031", "Jul 26")</f>
        <v>Jul 26</v>
      </c>
      <c r="D1048" s="14">
        <v>5</v>
      </c>
    </row>
    <row r="1049" spans="1:4" x14ac:dyDescent="0.35">
      <c r="A1049" s="5" t="str">
        <f t="shared" si="531"/>
        <v>Agency</v>
      </c>
      <c r="B1049" s="3" t="str">
        <f t="shared" ref="B1049:B1050" si="539">CHOOSE(2, "1395000000638", "# of pro-rated MDRT agents (100%)")</f>
        <v># of pro-rated MDRT agents (100%)</v>
      </c>
      <c r="C1049" s="4" t="str">
        <f>CHOOSE(2, "5461730030", "Jun 26")</f>
        <v>Jun 26</v>
      </c>
      <c r="D1049" s="14">
        <v>149</v>
      </c>
    </row>
    <row r="1050" spans="1:4" x14ac:dyDescent="0.35">
      <c r="A1050" s="5" t="str">
        <f t="shared" si="531"/>
        <v>Agency</v>
      </c>
      <c r="B1050" s="6" t="str">
        <f t="shared" si="539"/>
        <v># of pro-rated MDRT agents (100%)</v>
      </c>
      <c r="C1050" s="4" t="str">
        <f>CHOOSE(2, "5462030031", "Jul 26")</f>
        <v>Jul 26</v>
      </c>
      <c r="D1050" s="14">
        <v>142</v>
      </c>
    </row>
    <row r="1051" spans="1:4" x14ac:dyDescent="0.35">
      <c r="A1051" s="5" t="str">
        <f t="shared" si="531"/>
        <v>Agency</v>
      </c>
      <c r="B1051" s="3" t="str">
        <f t="shared" ref="B1051:B1052" si="540">CHOOSE(2, "1395000000637", "# of pro-rated MDRT agents (90%-99%)")</f>
        <v># of pro-rated MDRT agents (90%-99%)</v>
      </c>
      <c r="C1051" s="4" t="str">
        <f>CHOOSE(2, "5461730030", "Jun 26")</f>
        <v>Jun 26</v>
      </c>
      <c r="D1051" s="2" t="s">
        <v>5</v>
      </c>
    </row>
    <row r="1052" spans="1:4" x14ac:dyDescent="0.35">
      <c r="A1052" s="5" t="str">
        <f t="shared" si="531"/>
        <v>Agency</v>
      </c>
      <c r="B1052" s="6" t="str">
        <f t="shared" si="540"/>
        <v># of pro-rated MDRT agents (90%-99%)</v>
      </c>
      <c r="C1052" s="4" t="str">
        <f>CHOOSE(2, "5462030031", "Jul 26")</f>
        <v>Jul 26</v>
      </c>
      <c r="D1052" s="2" t="s">
        <v>5</v>
      </c>
    </row>
    <row r="1053" spans="1:4" x14ac:dyDescent="0.35">
      <c r="A1053" s="5" t="str">
        <f t="shared" si="531"/>
        <v>Agency</v>
      </c>
      <c r="B1053" s="3" t="str">
        <f t="shared" ref="B1053:B1054" si="541">CHOOSE(2, "1395000000636", "# of pro-rated MDRT agents (70%-90%)")</f>
        <v># of pro-rated MDRT agents (70%-90%)</v>
      </c>
      <c r="C1053" s="4" t="str">
        <f>CHOOSE(2, "5461730030", "Jun 26")</f>
        <v>Jun 26</v>
      </c>
      <c r="D1053" s="2" t="s">
        <v>5</v>
      </c>
    </row>
    <row r="1054" spans="1:4" x14ac:dyDescent="0.35">
      <c r="A1054" s="5" t="str">
        <f t="shared" si="531"/>
        <v>Agency</v>
      </c>
      <c r="B1054" s="6" t="str">
        <f t="shared" si="541"/>
        <v># of pro-rated MDRT agents (70%-90%)</v>
      </c>
      <c r="C1054" s="4" t="str">
        <f>CHOOSE(2, "5462030031", "Jul 26")</f>
        <v>Jul 26</v>
      </c>
      <c r="D1054" s="2" t="s">
        <v>5</v>
      </c>
    </row>
    <row r="1055" spans="1:4" x14ac:dyDescent="0.35">
      <c r="A1055" s="5" t="str">
        <f t="shared" si="531"/>
        <v>Agency</v>
      </c>
      <c r="B1055" s="3" t="str">
        <f t="shared" ref="B1055:B1056" si="542">CHOOSE(2, "1395000000635", "# of pro-rated MDRT agents (&lt;70%)")</f>
        <v># of pro-rated MDRT agents (&lt;70%)</v>
      </c>
      <c r="C1055" s="4" t="str">
        <f>CHOOSE(2, "5461730030", "Jun 26")</f>
        <v>Jun 26</v>
      </c>
      <c r="D1055" s="2" t="s">
        <v>5</v>
      </c>
    </row>
    <row r="1056" spans="1:4" x14ac:dyDescent="0.35">
      <c r="A1056" s="5" t="str">
        <f t="shared" si="531"/>
        <v>Agency</v>
      </c>
      <c r="B1056" s="6" t="str">
        <f t="shared" si="542"/>
        <v># of pro-rated MDRT agents (&lt;70%)</v>
      </c>
      <c r="C1056" s="4" t="str">
        <f>CHOOSE(2, "5462030031", "Jul 26")</f>
        <v>Jul 26</v>
      </c>
      <c r="D1056" s="2" t="s">
        <v>5</v>
      </c>
    </row>
    <row r="1057" spans="1:4" x14ac:dyDescent="0.35">
      <c r="A1057" s="5" t="str">
        <f t="shared" si="531"/>
        <v>Agency</v>
      </c>
      <c r="B1057" s="3" t="str">
        <f t="shared" ref="B1057:B1058" si="543">CHOOSE(2, "1395000000634", "# of pro-rated MDRT agents (50%-70%)")</f>
        <v># of pro-rated MDRT agents (50%-70%)</v>
      </c>
      <c r="C1057" s="4" t="str">
        <f>CHOOSE(2, "5461730030", "Jun 26")</f>
        <v>Jun 26</v>
      </c>
      <c r="D1057" s="2" t="s">
        <v>5</v>
      </c>
    </row>
    <row r="1058" spans="1:4" x14ac:dyDescent="0.35">
      <c r="A1058" s="5" t="str">
        <f t="shared" si="531"/>
        <v>Agency</v>
      </c>
      <c r="B1058" s="6" t="str">
        <f t="shared" si="543"/>
        <v># of pro-rated MDRT agents (50%-70%)</v>
      </c>
      <c r="C1058" s="4" t="str">
        <f>CHOOSE(2, "5462030031", "Jul 26")</f>
        <v>Jul 26</v>
      </c>
      <c r="D1058" s="2" t="s">
        <v>5</v>
      </c>
    </row>
    <row r="1059" spans="1:4" x14ac:dyDescent="0.35">
      <c r="A1059" s="5" t="str">
        <f t="shared" si="531"/>
        <v>Agency</v>
      </c>
      <c r="B1059" s="3" t="str">
        <f t="shared" ref="B1059:B1060" si="544">CHOOSE(2, "1395000000633", "# of pro-rated MDRT agents (&lt;50%)")</f>
        <v># of pro-rated MDRT agents (&lt;50%)</v>
      </c>
      <c r="C1059" s="4" t="str">
        <f>CHOOSE(2, "5461730030", "Jun 26")</f>
        <v>Jun 26</v>
      </c>
      <c r="D1059" s="2" t="s">
        <v>5</v>
      </c>
    </row>
    <row r="1060" spans="1:4" x14ac:dyDescent="0.35">
      <c r="A1060" s="5" t="str">
        <f t="shared" si="531"/>
        <v>Agency</v>
      </c>
      <c r="B1060" s="6" t="str">
        <f t="shared" si="544"/>
        <v># of pro-rated MDRT agents (&lt;50%)</v>
      </c>
      <c r="C1060" s="4" t="str">
        <f>CHOOSE(2, "5462030031", "Jul 26")</f>
        <v>Jul 26</v>
      </c>
      <c r="D1060" s="2" t="s">
        <v>5</v>
      </c>
    </row>
    <row r="1061" spans="1:4" x14ac:dyDescent="0.35">
      <c r="A1061" s="5" t="str">
        <f t="shared" si="531"/>
        <v>Agency</v>
      </c>
      <c r="B1061" s="3" t="str">
        <f t="shared" ref="B1061:B1062" si="545">CHOOSE(2, "1395000000632", "# of pro-rated MDRT agents (70-99%)")</f>
        <v># of pro-rated MDRT agents (70-99%)</v>
      </c>
      <c r="C1061" s="4" t="str">
        <f>CHOOSE(2, "5461730030", "Jun 26")</f>
        <v>Jun 26</v>
      </c>
      <c r="D1061" s="14">
        <v>112</v>
      </c>
    </row>
    <row r="1062" spans="1:4" x14ac:dyDescent="0.35">
      <c r="A1062" s="5" t="str">
        <f t="shared" si="531"/>
        <v>Agency</v>
      </c>
      <c r="B1062" s="6" t="str">
        <f t="shared" si="545"/>
        <v># of pro-rated MDRT agents (70-99%)</v>
      </c>
      <c r="C1062" s="4" t="str">
        <f>CHOOSE(2, "5462030031", "Jul 26")</f>
        <v>Jul 26</v>
      </c>
      <c r="D1062" s="14">
        <v>114</v>
      </c>
    </row>
    <row r="1063" spans="1:4" x14ac:dyDescent="0.35">
      <c r="A1063" s="5" t="str">
        <f t="shared" si="531"/>
        <v>Agency</v>
      </c>
      <c r="B1063" s="3" t="str">
        <f t="shared" ref="B1063:B1064" si="546">CHOOSE(2, "1395000000631", "# of pro-rated MDRT agents (50-69%)")</f>
        <v># of pro-rated MDRT agents (50-69%)</v>
      </c>
      <c r="C1063" s="4" t="str">
        <f>CHOOSE(2, "5461730030", "Jun 26")</f>
        <v>Jun 26</v>
      </c>
      <c r="D1063" s="14">
        <v>143</v>
      </c>
    </row>
    <row r="1064" spans="1:4" x14ac:dyDescent="0.35">
      <c r="A1064" s="5" t="str">
        <f t="shared" si="531"/>
        <v>Agency</v>
      </c>
      <c r="B1064" s="6" t="str">
        <f t="shared" si="546"/>
        <v># of pro-rated MDRT agents (50-69%)</v>
      </c>
      <c r="C1064" s="4" t="str">
        <f>CHOOSE(2, "5462030031", "Jul 26")</f>
        <v>Jul 26</v>
      </c>
      <c r="D1064" s="14">
        <v>139</v>
      </c>
    </row>
    <row r="1065" spans="1:4" x14ac:dyDescent="0.35">
      <c r="A1065" s="5" t="str">
        <f t="shared" si="531"/>
        <v>Agency</v>
      </c>
      <c r="B1065" s="3" t="str">
        <f t="shared" ref="B1065:B1066" si="547">CHOOSE(2, "1395000000630", "# of Top-tier agents")</f>
        <v># of Top-tier agents</v>
      </c>
      <c r="C1065" s="4" t="str">
        <f>CHOOSE(2, "5461730030", "Jun 26")</f>
        <v>Jun 26</v>
      </c>
      <c r="D1065" s="14">
        <v>404</v>
      </c>
    </row>
    <row r="1066" spans="1:4" x14ac:dyDescent="0.35">
      <c r="A1066" s="5" t="str">
        <f t="shared" si="531"/>
        <v>Agency</v>
      </c>
      <c r="B1066" s="6" t="str">
        <f t="shared" si="547"/>
        <v># of Top-tier agents</v>
      </c>
      <c r="C1066" s="4" t="str">
        <f>CHOOSE(2, "5462030031", "Jul 26")</f>
        <v>Jul 26</v>
      </c>
      <c r="D1066" s="14">
        <v>395</v>
      </c>
    </row>
    <row r="1067" spans="1:4" x14ac:dyDescent="0.35">
      <c r="A1067" s="5" t="str">
        <f t="shared" si="531"/>
        <v>Agency</v>
      </c>
      <c r="B1067" s="3" t="str">
        <f t="shared" ref="B1067:B1068" si="548">CHOOSE(2, "1395000000629", "$ APE from pro-rated MDRT agents (100%)")</f>
        <v>$ APE from pro-rated MDRT agents (100%)</v>
      </c>
      <c r="C1067" s="4" t="str">
        <f>CHOOSE(2, "5461730030", "Jun 26")</f>
        <v>Jun 26</v>
      </c>
      <c r="D1067" s="14">
        <v>2684401.2110000001</v>
      </c>
    </row>
    <row r="1068" spans="1:4" x14ac:dyDescent="0.35">
      <c r="A1068" s="5" t="str">
        <f t="shared" si="531"/>
        <v>Agency</v>
      </c>
      <c r="B1068" s="6" t="str">
        <f t="shared" si="548"/>
        <v>$ APE from pro-rated MDRT agents (100%)</v>
      </c>
      <c r="C1068" s="4" t="str">
        <f>CHOOSE(2, "5462030031", "Jul 26")</f>
        <v>Jul 26</v>
      </c>
      <c r="D1068" s="14">
        <v>2036661.45</v>
      </c>
    </row>
    <row r="1069" spans="1:4" x14ac:dyDescent="0.35">
      <c r="A1069" s="5" t="str">
        <f t="shared" si="531"/>
        <v>Agency</v>
      </c>
      <c r="B1069" s="3" t="str">
        <f t="shared" ref="B1069:B1070" si="549">CHOOSE(2, "1395000000628", "$ APE from pro-rated MDRT agents (70-99%)")</f>
        <v>$ APE from pro-rated MDRT agents (70-99%)</v>
      </c>
      <c r="C1069" s="4" t="str">
        <f>CHOOSE(2, "5461730030", "Jun 26")</f>
        <v>Jun 26</v>
      </c>
      <c r="D1069" s="14">
        <v>1029971.893</v>
      </c>
    </row>
    <row r="1070" spans="1:4" x14ac:dyDescent="0.35">
      <c r="A1070" s="5" t="str">
        <f t="shared" si="531"/>
        <v>Agency</v>
      </c>
      <c r="B1070" s="6" t="str">
        <f t="shared" si="549"/>
        <v>$ APE from pro-rated MDRT agents (70-99%)</v>
      </c>
      <c r="C1070" s="4" t="str">
        <f>CHOOSE(2, "5462030031", "Jul 26")</f>
        <v>Jul 26</v>
      </c>
      <c r="D1070" s="14">
        <v>874580.81400000001</v>
      </c>
    </row>
    <row r="1071" spans="1:4" x14ac:dyDescent="0.35">
      <c r="A1071" s="5" t="str">
        <f t="shared" si="531"/>
        <v>Agency</v>
      </c>
      <c r="B1071" s="3" t="str">
        <f t="shared" ref="B1071:B1072" si="550">CHOOSE(2, "1395000000627", "$ APE from pro-rated MDRT agents (50-69%)")</f>
        <v>$ APE from pro-rated MDRT agents (50-69%)</v>
      </c>
      <c r="C1071" s="4" t="str">
        <f>CHOOSE(2, "5461730030", "Jun 26")</f>
        <v>Jun 26</v>
      </c>
      <c r="D1071" s="14">
        <v>1064405.2509999999</v>
      </c>
    </row>
    <row r="1072" spans="1:4" x14ac:dyDescent="0.35">
      <c r="A1072" s="5" t="str">
        <f t="shared" si="531"/>
        <v>Agency</v>
      </c>
      <c r="B1072" s="6" t="str">
        <f t="shared" si="550"/>
        <v>$ APE from pro-rated MDRT agents (50-69%)</v>
      </c>
      <c r="C1072" s="4" t="str">
        <f>CHOOSE(2, "5462030031", "Jul 26")</f>
        <v>Jul 26</v>
      </c>
      <c r="D1072" s="14">
        <v>775305.76500000001</v>
      </c>
    </row>
    <row r="1073" spans="1:4" x14ac:dyDescent="0.35">
      <c r="A1073" s="5" t="str">
        <f t="shared" si="531"/>
        <v>Agency</v>
      </c>
      <c r="B1073" s="3" t="str">
        <f t="shared" ref="B1073:B1074" si="551">CHOOSE(2, "1395000000626", "$ APE from Top-tier agents")</f>
        <v>$ APE from Top-tier agents</v>
      </c>
      <c r="C1073" s="4" t="str">
        <f>CHOOSE(2, "5461730030", "Jun 26")</f>
        <v>Jun 26</v>
      </c>
      <c r="D1073" s="14">
        <v>4778778.3550000004</v>
      </c>
    </row>
    <row r="1074" spans="1:4" x14ac:dyDescent="0.35">
      <c r="A1074" s="5" t="str">
        <f t="shared" si="531"/>
        <v>Agency</v>
      </c>
      <c r="B1074" s="6" t="str">
        <f t="shared" si="551"/>
        <v>$ APE from Top-tier agents</v>
      </c>
      <c r="C1074" s="4" t="str">
        <f>CHOOSE(2, "5462030031", "Jul 26")</f>
        <v>Jul 26</v>
      </c>
      <c r="D1074" s="14">
        <v>3686548.0290000001</v>
      </c>
    </row>
    <row r="1075" spans="1:4" x14ac:dyDescent="0.35">
      <c r="A1075" s="5" t="str">
        <f t="shared" si="531"/>
        <v>Agency</v>
      </c>
      <c r="B1075" s="3" t="str">
        <f t="shared" ref="B1075:B1076" si="552">CHOOSE(2, "1395000000625", "# of MDRT qualifiers - YTD")</f>
        <v># of MDRT qualifiers - YTD</v>
      </c>
      <c r="C1075" s="4" t="str">
        <f>CHOOSE(2, "5461730030", "Jun 26")</f>
        <v>Jun 26</v>
      </c>
      <c r="D1075" s="14">
        <v>27</v>
      </c>
    </row>
    <row r="1076" spans="1:4" x14ac:dyDescent="0.35">
      <c r="A1076" s="5" t="str">
        <f t="shared" si="531"/>
        <v>Agency</v>
      </c>
      <c r="B1076" s="6" t="str">
        <f t="shared" si="552"/>
        <v># of MDRT qualifiers - YTD</v>
      </c>
      <c r="C1076" s="4" t="str">
        <f>CHOOSE(2, "5462030031", "Jul 26")</f>
        <v>Jul 26</v>
      </c>
      <c r="D1076" s="14">
        <v>39</v>
      </c>
    </row>
    <row r="1077" spans="1:4" x14ac:dyDescent="0.35">
      <c r="A1077" s="5" t="str">
        <f t="shared" si="531"/>
        <v>Agency</v>
      </c>
      <c r="B1077" s="3" t="str">
        <f t="shared" ref="B1077:B1078" si="553">CHOOSE(2, "1395000000624", "# of MDRT COT qualifiers - YTD")</f>
        <v># of MDRT COT qualifiers - YTD</v>
      </c>
      <c r="C1077" s="4" t="str">
        <f>CHOOSE(2, "5461730030", "Jun 26")</f>
        <v>Jun 26</v>
      </c>
      <c r="D1077" s="14">
        <v>1</v>
      </c>
    </row>
    <row r="1078" spans="1:4" x14ac:dyDescent="0.35">
      <c r="A1078" s="5" t="str">
        <f t="shared" si="531"/>
        <v>Agency</v>
      </c>
      <c r="B1078" s="6" t="str">
        <f t="shared" si="553"/>
        <v># of MDRT COT qualifiers - YTD</v>
      </c>
      <c r="C1078" s="4" t="str">
        <f>CHOOSE(2, "5462030031", "Jul 26")</f>
        <v>Jul 26</v>
      </c>
      <c r="D1078" s="14">
        <v>1</v>
      </c>
    </row>
    <row r="1079" spans="1:4" x14ac:dyDescent="0.35">
      <c r="A1079" s="5" t="str">
        <f t="shared" si="531"/>
        <v>Agency</v>
      </c>
      <c r="B1079" s="3" t="str">
        <f t="shared" ref="B1079:B1080" si="554">CHOOSE(2, "1395000000623", "# of MDRT TOT qualifiers - YTD")</f>
        <v># of MDRT TOT qualifiers - YTD</v>
      </c>
      <c r="C1079" s="4" t="str">
        <f>CHOOSE(2, "5461730030", "Jun 26")</f>
        <v>Jun 26</v>
      </c>
      <c r="D1079" s="14">
        <v>0</v>
      </c>
    </row>
    <row r="1080" spans="1:4" x14ac:dyDescent="0.35">
      <c r="A1080" s="5" t="str">
        <f t="shared" si="531"/>
        <v>Agency</v>
      </c>
      <c r="B1080" s="6" t="str">
        <f t="shared" si="554"/>
        <v># of MDRT TOT qualifiers - YTD</v>
      </c>
      <c r="C1080" s="4" t="str">
        <f>CHOOSE(2, "5462030031", "Jul 26")</f>
        <v>Jul 26</v>
      </c>
      <c r="D1080" s="14">
        <v>0</v>
      </c>
    </row>
    <row r="1081" spans="1:4" x14ac:dyDescent="0.35">
      <c r="A1081" s="5" t="str">
        <f t="shared" si="531"/>
        <v>Agency</v>
      </c>
      <c r="B1081" s="3" t="str">
        <f t="shared" ref="B1081:B1082" si="555">CHOOSE(2, "1395000000622", "Manulife Pro Qualifiers - Total")</f>
        <v>Manulife Pro Qualifiers - Total</v>
      </c>
      <c r="C1081" s="4" t="str">
        <f>CHOOSE(2, "5461730030", "Jun 26")</f>
        <v>Jun 26</v>
      </c>
      <c r="D1081" s="14">
        <v>127</v>
      </c>
    </row>
    <row r="1082" spans="1:4" x14ac:dyDescent="0.35">
      <c r="A1082" s="5" t="str">
        <f t="shared" si="531"/>
        <v>Agency</v>
      </c>
      <c r="B1082" s="6" t="str">
        <f t="shared" si="555"/>
        <v>Manulife Pro Qualifiers - Total</v>
      </c>
      <c r="C1082" s="4" t="str">
        <f>CHOOSE(2, "5462030031", "Jul 26")</f>
        <v>Jul 26</v>
      </c>
      <c r="D1082" s="14">
        <v>126</v>
      </c>
    </row>
    <row r="1083" spans="1:4" x14ac:dyDescent="0.35">
      <c r="A1083" s="5" t="str">
        <f t="shared" si="531"/>
        <v>Agency</v>
      </c>
      <c r="B1083" s="3" t="str">
        <f t="shared" ref="B1083:B1084" si="556">CHOOSE(2, "1395000000621", "Manulife Pro Qualifiers - Silver")</f>
        <v>Manulife Pro Qualifiers - Silver</v>
      </c>
      <c r="C1083" s="4" t="str">
        <f>CHOOSE(2, "5461730030", "Jun 26")</f>
        <v>Jun 26</v>
      </c>
      <c r="D1083" s="2" t="s">
        <v>5</v>
      </c>
    </row>
    <row r="1084" spans="1:4" x14ac:dyDescent="0.35">
      <c r="A1084" s="5" t="str">
        <f t="shared" si="531"/>
        <v>Agency</v>
      </c>
      <c r="B1084" s="6" t="str">
        <f t="shared" si="556"/>
        <v>Manulife Pro Qualifiers - Silver</v>
      </c>
      <c r="C1084" s="4" t="str">
        <f>CHOOSE(2, "5462030031", "Jul 26")</f>
        <v>Jul 26</v>
      </c>
      <c r="D1084" s="2" t="s">
        <v>5</v>
      </c>
    </row>
    <row r="1085" spans="1:4" x14ac:dyDescent="0.35">
      <c r="A1085" s="5" t="str">
        <f t="shared" si="531"/>
        <v>Agency</v>
      </c>
      <c r="B1085" s="3" t="str">
        <f t="shared" ref="B1085:B1086" si="557">CHOOSE(2, "1395000000620", "Manulife Pro Qualifiers - Gold")</f>
        <v>Manulife Pro Qualifiers - Gold</v>
      </c>
      <c r="C1085" s="4" t="str">
        <f>CHOOSE(2, "5461730030", "Jun 26")</f>
        <v>Jun 26</v>
      </c>
      <c r="D1085" s="2" t="s">
        <v>5</v>
      </c>
    </row>
    <row r="1086" spans="1:4" x14ac:dyDescent="0.35">
      <c r="A1086" s="5" t="str">
        <f t="shared" si="531"/>
        <v>Agency</v>
      </c>
      <c r="B1086" s="6" t="str">
        <f t="shared" si="557"/>
        <v>Manulife Pro Qualifiers - Gold</v>
      </c>
      <c r="C1086" s="4" t="str">
        <f>CHOOSE(2, "5462030031", "Jul 26")</f>
        <v>Jul 26</v>
      </c>
      <c r="D1086" s="2" t="s">
        <v>5</v>
      </c>
    </row>
    <row r="1087" spans="1:4" x14ac:dyDescent="0.35">
      <c r="A1087" s="5" t="str">
        <f t="shared" si="531"/>
        <v>Agency</v>
      </c>
      <c r="B1087" s="3" t="str">
        <f t="shared" ref="B1087:B1088" si="558">CHOOSE(2, "1395000000619", "Manulife Pro Qualifiers  - Platinum")</f>
        <v>Manulife Pro Qualifiers  - Platinum</v>
      </c>
      <c r="C1087" s="4" t="str">
        <f>CHOOSE(2, "5461730030", "Jun 26")</f>
        <v>Jun 26</v>
      </c>
      <c r="D1087" s="2" t="s">
        <v>5</v>
      </c>
    </row>
    <row r="1088" spans="1:4" x14ac:dyDescent="0.35">
      <c r="A1088" s="5" t="str">
        <f t="shared" si="531"/>
        <v>Agency</v>
      </c>
      <c r="B1088" s="6" t="str">
        <f t="shared" si="558"/>
        <v>Manulife Pro Qualifiers  - Platinum</v>
      </c>
      <c r="C1088" s="4" t="str">
        <f>CHOOSE(2, "5462030031", "Jul 26")</f>
        <v>Jul 26</v>
      </c>
      <c r="D1088" s="2" t="s">
        <v>5</v>
      </c>
    </row>
    <row r="1089" spans="1:4" x14ac:dyDescent="0.35">
      <c r="A1089" s="5" t="str">
        <f t="shared" si="531"/>
        <v>Agency</v>
      </c>
      <c r="B1089" s="3" t="str">
        <f t="shared" ref="B1089:B1090" si="559">CHOOSE(2, "1395000000618", "$ APE from Manulife Pro - Total")</f>
        <v>$ APE from Manulife Pro - Total</v>
      </c>
      <c r="C1089" s="4" t="str">
        <f>CHOOSE(2, "5461730030", "Jun 26")</f>
        <v>Jun 26</v>
      </c>
      <c r="D1089" s="2" t="s">
        <v>5</v>
      </c>
    </row>
    <row r="1090" spans="1:4" x14ac:dyDescent="0.35">
      <c r="A1090" s="5" t="str">
        <f t="shared" si="531"/>
        <v>Agency</v>
      </c>
      <c r="B1090" s="6" t="str">
        <f t="shared" si="559"/>
        <v>$ APE from Manulife Pro - Total</v>
      </c>
      <c r="C1090" s="4" t="str">
        <f>CHOOSE(2, "5462030031", "Jul 26")</f>
        <v>Jul 26</v>
      </c>
      <c r="D1090" s="2" t="s">
        <v>5</v>
      </c>
    </row>
    <row r="1091" spans="1:4" x14ac:dyDescent="0.35">
      <c r="A1091" s="5" t="str">
        <f t="shared" si="531"/>
        <v>Agency</v>
      </c>
      <c r="B1091" s="3" t="str">
        <f t="shared" ref="B1091:B1092" si="560">CHOOSE(2, "1395000000617", "$ APE from Manulife Pro - Silver")</f>
        <v>$ APE from Manulife Pro - Silver</v>
      </c>
      <c r="C1091" s="4" t="str">
        <f>CHOOSE(2, "5461730030", "Jun 26")</f>
        <v>Jun 26</v>
      </c>
      <c r="D1091" s="2" t="s">
        <v>5</v>
      </c>
    </row>
    <row r="1092" spans="1:4" x14ac:dyDescent="0.35">
      <c r="A1092" s="5" t="str">
        <f t="shared" si="531"/>
        <v>Agency</v>
      </c>
      <c r="B1092" s="6" t="str">
        <f t="shared" si="560"/>
        <v>$ APE from Manulife Pro - Silver</v>
      </c>
      <c r="C1092" s="4" t="str">
        <f>CHOOSE(2, "5462030031", "Jul 26")</f>
        <v>Jul 26</v>
      </c>
      <c r="D1092" s="2" t="s">
        <v>5</v>
      </c>
    </row>
    <row r="1093" spans="1:4" x14ac:dyDescent="0.35">
      <c r="A1093" s="5" t="str">
        <f t="shared" si="531"/>
        <v>Agency</v>
      </c>
      <c r="B1093" s="3" t="str">
        <f t="shared" ref="B1093:B1094" si="561">CHOOSE(2, "1395000000616", "$ APE from Manulife Pro - Gold")</f>
        <v>$ APE from Manulife Pro - Gold</v>
      </c>
      <c r="C1093" s="4" t="str">
        <f>CHOOSE(2, "5461730030", "Jun 26")</f>
        <v>Jun 26</v>
      </c>
      <c r="D1093" s="2" t="s">
        <v>5</v>
      </c>
    </row>
    <row r="1094" spans="1:4" x14ac:dyDescent="0.35">
      <c r="A1094" s="5" t="str">
        <f t="shared" si="531"/>
        <v>Agency</v>
      </c>
      <c r="B1094" s="6" t="str">
        <f t="shared" si="561"/>
        <v>$ APE from Manulife Pro - Gold</v>
      </c>
      <c r="C1094" s="4" t="str">
        <f>CHOOSE(2, "5462030031", "Jul 26")</f>
        <v>Jul 26</v>
      </c>
      <c r="D1094" s="2" t="s">
        <v>5</v>
      </c>
    </row>
    <row r="1095" spans="1:4" x14ac:dyDescent="0.35">
      <c r="A1095" s="5" t="str">
        <f t="shared" si="531"/>
        <v>Agency</v>
      </c>
      <c r="B1095" s="3" t="str">
        <f t="shared" ref="B1095:B1096" si="562">CHOOSE(2, "1395000000615", "$ APE from Manulife Pro  - Platinum")</f>
        <v>$ APE from Manulife Pro  - Platinum</v>
      </c>
      <c r="C1095" s="4" t="str">
        <f>CHOOSE(2, "5461730030", "Jun 26")</f>
        <v>Jun 26</v>
      </c>
      <c r="D1095" s="2" t="s">
        <v>5</v>
      </c>
    </row>
    <row r="1096" spans="1:4" x14ac:dyDescent="0.35">
      <c r="A1096" s="5" t="str">
        <f t="shared" si="531"/>
        <v>Agency</v>
      </c>
      <c r="B1096" s="6" t="str">
        <f t="shared" si="562"/>
        <v>$ APE from Manulife Pro  - Platinum</v>
      </c>
      <c r="C1096" s="4" t="str">
        <f>CHOOSE(2, "5462030031", "Jul 26")</f>
        <v>Jul 26</v>
      </c>
      <c r="D1096" s="2" t="s">
        <v>5</v>
      </c>
    </row>
    <row r="1097" spans="1:4" x14ac:dyDescent="0.35">
      <c r="A1097" s="5" t="str">
        <f t="shared" si="531"/>
        <v>Agency</v>
      </c>
      <c r="B1097" s="3" t="str">
        <f t="shared" ref="B1097:B1098" si="563">CHOOSE(2, "1395000000614", "Issued APE")</f>
        <v>Issued APE</v>
      </c>
      <c r="C1097" s="4" t="str">
        <f>CHOOSE(2, "5461730030", "Jun 26")</f>
        <v>Jun 26</v>
      </c>
      <c r="D1097" s="14">
        <v>6638433.1958317505</v>
      </c>
    </row>
    <row r="1098" spans="1:4" x14ac:dyDescent="0.35">
      <c r="A1098" s="5" t="str">
        <f t="shared" si="531"/>
        <v>Agency</v>
      </c>
      <c r="B1098" s="6" t="str">
        <f t="shared" si="563"/>
        <v>Issued APE</v>
      </c>
      <c r="C1098" s="4" t="str">
        <f>CHOOSE(2, "5462030031", "Jul 26")</f>
        <v>Jul 26</v>
      </c>
      <c r="D1098" s="14">
        <v>5282967.4022685001</v>
      </c>
    </row>
    <row r="1099" spans="1:4" x14ac:dyDescent="0.35">
      <c r="A1099" s="5" t="str">
        <f t="shared" ref="A1099:A1162" si="564">CHOOSE(2, "1260000000011", "Agency")</f>
        <v>Agency</v>
      </c>
      <c r="B1099" s="3" t="str">
        <f t="shared" ref="B1099:B1100" si="565">CHOOSE(2, "1395000000613", "Post-MI APE")</f>
        <v>Post-MI APE</v>
      </c>
      <c r="C1099" s="4" t="str">
        <f>CHOOSE(2, "5461730030", "Jun 26")</f>
        <v>Jun 26</v>
      </c>
      <c r="D1099" s="14">
        <v>6638433.1958317505</v>
      </c>
    </row>
    <row r="1100" spans="1:4" x14ac:dyDescent="0.35">
      <c r="A1100" s="5" t="str">
        <f t="shared" si="564"/>
        <v>Agency</v>
      </c>
      <c r="B1100" s="6" t="str">
        <f t="shared" si="565"/>
        <v>Post-MI APE</v>
      </c>
      <c r="C1100" s="4" t="str">
        <f>CHOOSE(2, "5462030031", "Jul 26")</f>
        <v>Jul 26</v>
      </c>
      <c r="D1100" s="14">
        <v>5282967.4022685001</v>
      </c>
    </row>
    <row r="1101" spans="1:4" x14ac:dyDescent="0.35">
      <c r="A1101" s="5" t="str">
        <f t="shared" si="564"/>
        <v>Agency</v>
      </c>
      <c r="B1101" s="3" t="str">
        <f t="shared" ref="B1101:B1102" si="566">CHOOSE(2, "1395000000610", "Pre-gap NBV")</f>
        <v>Pre-gap NBV</v>
      </c>
      <c r="C1101" s="4" t="str">
        <f>CHOOSE(2, "5461730030", "Jun 26")</f>
        <v>Jun 26</v>
      </c>
      <c r="D1101" s="14">
        <v>2338017.2505129999</v>
      </c>
    </row>
    <row r="1102" spans="1:4" x14ac:dyDescent="0.35">
      <c r="A1102" s="5" t="str">
        <f t="shared" si="564"/>
        <v>Agency</v>
      </c>
      <c r="B1102" s="6" t="str">
        <f t="shared" si="566"/>
        <v>Pre-gap NBV</v>
      </c>
      <c r="C1102" s="4" t="str">
        <f>CHOOSE(2, "5462030031", "Jul 26")</f>
        <v>Jul 26</v>
      </c>
      <c r="D1102" s="14">
        <v>1543647.9834032501</v>
      </c>
    </row>
    <row r="1103" spans="1:4" x14ac:dyDescent="0.35">
      <c r="A1103" s="5" t="str">
        <f t="shared" si="564"/>
        <v>Agency</v>
      </c>
      <c r="B1103" s="3" t="str">
        <f t="shared" ref="B1103:B1104" si="567">CHOOSE(2, "1395000000609", "Pre-gap NBV Margin %")</f>
        <v>Pre-gap NBV Margin %</v>
      </c>
      <c r="C1103" s="4" t="str">
        <f>CHOOSE(2, "5461730030", "Jun 26")</f>
        <v>Jun 26</v>
      </c>
      <c r="D1103" s="14">
        <v>0.35219413701128044</v>
      </c>
    </row>
    <row r="1104" spans="1:4" x14ac:dyDescent="0.35">
      <c r="A1104" s="5" t="str">
        <f t="shared" si="564"/>
        <v>Agency</v>
      </c>
      <c r="B1104" s="6" t="str">
        <f t="shared" si="567"/>
        <v>Pre-gap NBV Margin %</v>
      </c>
      <c r="C1104" s="4" t="str">
        <f>CHOOSE(2, "5462030031", "Jul 26")</f>
        <v>Jul 26</v>
      </c>
      <c r="D1104" s="14">
        <v>0.29219335760815207</v>
      </c>
    </row>
    <row r="1105" spans="1:4" x14ac:dyDescent="0.35">
      <c r="A1105" s="5" t="str">
        <f t="shared" si="564"/>
        <v>Agency</v>
      </c>
      <c r="B1105" s="3" t="str">
        <f t="shared" ref="B1105:B1106" si="568">CHOOSE(2, "1395000000608", "Post-gap NBV")</f>
        <v>Post-gap NBV</v>
      </c>
      <c r="C1105" s="4" t="str">
        <f>CHOOSE(2, "5461730030", "Jun 26")</f>
        <v>Jun 26</v>
      </c>
      <c r="D1105" s="14">
        <v>2338017.2505129999</v>
      </c>
    </row>
    <row r="1106" spans="1:4" x14ac:dyDescent="0.35">
      <c r="A1106" s="5" t="str">
        <f t="shared" si="564"/>
        <v>Agency</v>
      </c>
      <c r="B1106" s="6" t="str">
        <f t="shared" si="568"/>
        <v>Post-gap NBV</v>
      </c>
      <c r="C1106" s="4" t="str">
        <f>CHOOSE(2, "5462030031", "Jul 26")</f>
        <v>Jul 26</v>
      </c>
      <c r="D1106" s="14">
        <v>1543647.9834032501</v>
      </c>
    </row>
    <row r="1107" spans="1:4" x14ac:dyDescent="0.35">
      <c r="A1107" s="5" t="str">
        <f t="shared" si="564"/>
        <v>Agency</v>
      </c>
      <c r="B1107" s="3" t="str">
        <f t="shared" ref="B1107:B1108" si="569">CHOOSE(2, "1395000000607", "Post-gap NBV Margin %")</f>
        <v>Post-gap NBV Margin %</v>
      </c>
      <c r="C1107" s="4" t="str">
        <f>CHOOSE(2, "5461730030", "Jun 26")</f>
        <v>Jun 26</v>
      </c>
      <c r="D1107" s="14">
        <v>0.35219413701128044</v>
      </c>
    </row>
    <row r="1108" spans="1:4" x14ac:dyDescent="0.35">
      <c r="A1108" s="5" t="str">
        <f t="shared" si="564"/>
        <v>Agency</v>
      </c>
      <c r="B1108" s="6" t="str">
        <f t="shared" si="569"/>
        <v>Post-gap NBV Margin %</v>
      </c>
      <c r="C1108" s="4" t="str">
        <f>CHOOSE(2, "5462030031", "Jul 26")</f>
        <v>Jul 26</v>
      </c>
      <c r="D1108" s="14">
        <v>0.29219335760815207</v>
      </c>
    </row>
    <row r="1109" spans="1:4" x14ac:dyDescent="0.35">
      <c r="A1109" s="5" t="str">
        <f t="shared" si="564"/>
        <v>Agency</v>
      </c>
      <c r="B1109" s="3" t="str">
        <f t="shared" ref="B1109:B1110" si="570">CHOOSE(2, "1395000000606", "NB CSM")</f>
        <v>NB CSM</v>
      </c>
      <c r="C1109" s="4" t="str">
        <f>CHOOSE(2, "5461730030", "Jun 26")</f>
        <v>Jun 26</v>
      </c>
      <c r="D1109" s="14">
        <v>4088461.38759975</v>
      </c>
    </row>
    <row r="1110" spans="1:4" x14ac:dyDescent="0.35">
      <c r="A1110" s="5" t="str">
        <f t="shared" si="564"/>
        <v>Agency</v>
      </c>
      <c r="B1110" s="6" t="str">
        <f t="shared" si="570"/>
        <v>NB CSM</v>
      </c>
      <c r="C1110" s="4" t="str">
        <f>CHOOSE(2, "5462030031", "Jul 26")</f>
        <v>Jul 26</v>
      </c>
      <c r="D1110" s="14">
        <v>2833748.1398515003</v>
      </c>
    </row>
    <row r="1111" spans="1:4" x14ac:dyDescent="0.35">
      <c r="A1111" s="5" t="str">
        <f t="shared" si="564"/>
        <v>Agency</v>
      </c>
      <c r="B1111" s="3" t="str">
        <f t="shared" ref="B1111:B1112" si="571">CHOOSE(2, "1395000000605", "NB CSM Margin %")</f>
        <v>NB CSM Margin %</v>
      </c>
      <c r="C1111" s="4" t="str">
        <f>CHOOSE(2, "5461730030", "Jun 26")</f>
        <v>Jun 26</v>
      </c>
      <c r="D1111" s="14">
        <v>0.61587746189370118</v>
      </c>
    </row>
    <row r="1112" spans="1:4" x14ac:dyDescent="0.35">
      <c r="A1112" s="5" t="str">
        <f t="shared" si="564"/>
        <v>Agency</v>
      </c>
      <c r="B1112" s="6" t="str">
        <f t="shared" si="571"/>
        <v>NB CSM Margin %</v>
      </c>
      <c r="C1112" s="4" t="str">
        <f>CHOOSE(2, "5462030031", "Jul 26")</f>
        <v>Jul 26</v>
      </c>
      <c r="D1112" s="14">
        <v>0.53639326614710747</v>
      </c>
    </row>
    <row r="1113" spans="1:4" x14ac:dyDescent="0.35">
      <c r="A1113" s="5" t="str">
        <f t="shared" si="564"/>
        <v>Agency</v>
      </c>
      <c r="B1113" s="3" t="str">
        <f t="shared" ref="B1113:B1114" si="572">CHOOSE(2, "1395000000604", "PRE")</f>
        <v>PRE</v>
      </c>
      <c r="C1113" s="4" t="str">
        <f>CHOOSE(2, "5461730030", "Jun 26")</f>
        <v>Jun 26</v>
      </c>
      <c r="D1113" s="14">
        <v>1485796.4779671922</v>
      </c>
    </row>
    <row r="1114" spans="1:4" x14ac:dyDescent="0.35">
      <c r="A1114" s="5" t="str">
        <f t="shared" si="564"/>
        <v>Agency</v>
      </c>
      <c r="B1114" s="6" t="str">
        <f t="shared" si="572"/>
        <v>PRE</v>
      </c>
      <c r="C1114" s="4" t="str">
        <f>CHOOSE(2, "5462030031", "Jul 26")</f>
        <v>Jul 26</v>
      </c>
      <c r="D1114" s="14">
        <v>1185670.2315857192</v>
      </c>
    </row>
    <row r="1115" spans="1:4" x14ac:dyDescent="0.35">
      <c r="A1115" s="5" t="str">
        <f t="shared" si="564"/>
        <v>Agency</v>
      </c>
      <c r="B1115" s="3" t="str">
        <f t="shared" ref="B1115:B1116" si="573">CHOOSE(2, "1395000000603", "ContEx")</f>
        <v>ContEx</v>
      </c>
      <c r="C1115" s="4" t="str">
        <f>CHOOSE(2, "5461730030", "Jun 26")</f>
        <v>Jun 26</v>
      </c>
      <c r="D1115" s="14">
        <v>0</v>
      </c>
    </row>
    <row r="1116" spans="1:4" x14ac:dyDescent="0.35">
      <c r="A1116" s="5" t="str">
        <f t="shared" si="564"/>
        <v>Agency</v>
      </c>
      <c r="B1116" s="6" t="str">
        <f t="shared" si="573"/>
        <v>ContEx</v>
      </c>
      <c r="C1116" s="4" t="str">
        <f>CHOOSE(2, "5462030031", "Jul 26")</f>
        <v>Jul 26</v>
      </c>
      <c r="D1116" s="14">
        <v>0</v>
      </c>
    </row>
    <row r="1117" spans="1:4" x14ac:dyDescent="0.35">
      <c r="A1117" s="5" t="str">
        <f t="shared" si="564"/>
        <v>Agency</v>
      </c>
      <c r="B1117" s="3" t="str">
        <f t="shared" ref="B1117:B1118" si="574">CHOOSE(2, "1395000000602", "% of 6-90 agents")</f>
        <v>% of 6-90 agents</v>
      </c>
      <c r="C1117" s="4" t="str">
        <f>CHOOSE(2, "5461730030", "Jun 26")</f>
        <v>Jun 26</v>
      </c>
      <c r="D1117" s="14">
        <v>0.14516129032258066</v>
      </c>
    </row>
    <row r="1118" spans="1:4" x14ac:dyDescent="0.35">
      <c r="A1118" s="5" t="str">
        <f t="shared" si="564"/>
        <v>Agency</v>
      </c>
      <c r="B1118" s="6" t="str">
        <f t="shared" si="574"/>
        <v>% of 6-90 agents</v>
      </c>
      <c r="C1118" s="4" t="str">
        <f>CHOOSE(2, "5462030031", "Jul 26")</f>
        <v>Jul 26</v>
      </c>
      <c r="D1118" s="14">
        <v>0.37931034482758619</v>
      </c>
    </row>
    <row r="1119" spans="1:4" x14ac:dyDescent="0.35">
      <c r="A1119" s="5" t="str">
        <f t="shared" si="564"/>
        <v>Agency</v>
      </c>
      <c r="B1119" s="3" t="str">
        <f t="shared" ref="B1119:B1120" si="575">CHOOSE(2, "1395000000601", "New Recruits 3M Activation Rate")</f>
        <v>New Recruits 3M Activation Rate</v>
      </c>
      <c r="C1119" s="4" t="str">
        <f>CHOOSE(2, "5461730030", "Jun 26")</f>
        <v>Jun 26</v>
      </c>
      <c r="D1119" s="14">
        <v>1</v>
      </c>
    </row>
    <row r="1120" spans="1:4" x14ac:dyDescent="0.35">
      <c r="A1120" s="5" t="str">
        <f t="shared" si="564"/>
        <v>Agency</v>
      </c>
      <c r="B1120" s="6" t="str">
        <f t="shared" si="575"/>
        <v>New Recruits 3M Activation Rate</v>
      </c>
      <c r="C1120" s="4" t="str">
        <f>CHOOSE(2, "5462030031", "Jul 26")</f>
        <v>Jul 26</v>
      </c>
      <c r="D1120" s="14">
        <v>0.95833333333333337</v>
      </c>
    </row>
    <row r="1121" spans="1:4" x14ac:dyDescent="0.35">
      <c r="A1121" s="5" t="str">
        <f t="shared" si="564"/>
        <v>Agency</v>
      </c>
      <c r="B1121" s="3" t="str">
        <f t="shared" ref="B1121:B1122" si="576">CHOOSE(2, "1395000000600", "No. of Recruits from leaders")</f>
        <v>No. of Recruits from leaders</v>
      </c>
      <c r="C1121" s="4" t="str">
        <f>CHOOSE(2, "5461730030", "Jun 26")</f>
        <v>Jun 26</v>
      </c>
      <c r="D1121" s="2" t="s">
        <v>5</v>
      </c>
    </row>
    <row r="1122" spans="1:4" x14ac:dyDescent="0.35">
      <c r="A1122" s="5" t="str">
        <f t="shared" si="564"/>
        <v>Agency</v>
      </c>
      <c r="B1122" s="6" t="str">
        <f t="shared" si="576"/>
        <v>No. of Recruits from leaders</v>
      </c>
      <c r="C1122" s="4" t="str">
        <f>CHOOSE(2, "5462030031", "Jul 26")</f>
        <v>Jul 26</v>
      </c>
      <c r="D1122" s="2" t="s">
        <v>5</v>
      </c>
    </row>
    <row r="1123" spans="1:4" x14ac:dyDescent="0.35">
      <c r="A1123" s="5" t="str">
        <f t="shared" si="564"/>
        <v>Agency</v>
      </c>
      <c r="B1123" s="3" t="str">
        <f t="shared" ref="B1123:B1124" si="577">CHOOSE(2, "1395000000599", "No. of Recruits per Active Recruiting Leader per month")</f>
        <v>No. of Recruits per Active Recruiting Leader per month</v>
      </c>
      <c r="C1123" s="4" t="str">
        <f>CHOOSE(2, "5461730030", "Jun 26")</f>
        <v>Jun 26</v>
      </c>
      <c r="D1123" s="14">
        <v>0</v>
      </c>
    </row>
    <row r="1124" spans="1:4" x14ac:dyDescent="0.35">
      <c r="A1124" s="5" t="str">
        <f t="shared" si="564"/>
        <v>Agency</v>
      </c>
      <c r="B1124" s="6" t="str">
        <f t="shared" si="577"/>
        <v>No. of Recruits per Active Recruiting Leader per month</v>
      </c>
      <c r="C1124" s="4" t="str">
        <f>CHOOSE(2, "5462030031", "Jul 26")</f>
        <v>Jul 26</v>
      </c>
      <c r="D1124" s="14">
        <v>0</v>
      </c>
    </row>
    <row r="1125" spans="1:4" x14ac:dyDescent="0.35">
      <c r="A1125" s="5" t="str">
        <f t="shared" si="564"/>
        <v>Agency</v>
      </c>
      <c r="B1125" s="3" t="str">
        <f t="shared" ref="B1125:B1126" si="578">CHOOSE(2, "1395000000598", "PRE as % of APE")</f>
        <v>PRE as % of APE</v>
      </c>
      <c r="C1125" s="4" t="str">
        <f>CHOOSE(2, "5461730030", "Jun 26")</f>
        <v>Jun 26</v>
      </c>
      <c r="D1125" s="14">
        <v>0.22381734275794454</v>
      </c>
    </row>
    <row r="1126" spans="1:4" x14ac:dyDescent="0.35">
      <c r="A1126" s="5" t="str">
        <f t="shared" si="564"/>
        <v>Agency</v>
      </c>
      <c r="B1126" s="6" t="str">
        <f t="shared" si="578"/>
        <v>PRE as % of APE</v>
      </c>
      <c r="C1126" s="4" t="str">
        <f>CHOOSE(2, "5462030031", "Jul 26")</f>
        <v>Jul 26</v>
      </c>
      <c r="D1126" s="14">
        <v>0.22443262305131653</v>
      </c>
    </row>
    <row r="1127" spans="1:4" x14ac:dyDescent="0.35">
      <c r="A1127" s="5" t="str">
        <f t="shared" si="564"/>
        <v>Agency</v>
      </c>
      <c r="B1127" s="3" t="str">
        <f t="shared" ref="B1127:B1128" si="579">CHOOSE(2, "1395000000597", "ContEx as % of APE")</f>
        <v>ContEx as % of APE</v>
      </c>
      <c r="C1127" s="4" t="str">
        <f>CHOOSE(2, "5461730030", "Jun 26")</f>
        <v>Jun 26</v>
      </c>
      <c r="D1127" s="14">
        <v>0</v>
      </c>
    </row>
    <row r="1128" spans="1:4" x14ac:dyDescent="0.35">
      <c r="A1128" s="5" t="str">
        <f t="shared" si="564"/>
        <v>Agency</v>
      </c>
      <c r="B1128" s="6" t="str">
        <f t="shared" si="579"/>
        <v>ContEx as % of APE</v>
      </c>
      <c r="C1128" s="4" t="str">
        <f>CHOOSE(2, "5462030031", "Jul 26")</f>
        <v>Jul 26</v>
      </c>
      <c r="D1128" s="14">
        <v>0</v>
      </c>
    </row>
    <row r="1129" spans="1:4" x14ac:dyDescent="0.35">
      <c r="A1129" s="5" t="str">
        <f t="shared" si="564"/>
        <v>Agency</v>
      </c>
      <c r="B1129" s="3" t="str">
        <f t="shared" ref="B1129:B1130" si="580">CHOOSE(2, "1395000000596", "% of 1-Month Active Agents")</f>
        <v>% of 1-Month Active Agents</v>
      </c>
      <c r="C1129" s="4" t="str">
        <f>CHOOSE(2, "5461730030", "Jun 26")</f>
        <v>Jun 26</v>
      </c>
      <c r="D1129" s="14">
        <v>0.86310679611650487</v>
      </c>
    </row>
    <row r="1130" spans="1:4" x14ac:dyDescent="0.35">
      <c r="A1130" s="5" t="str">
        <f t="shared" si="564"/>
        <v>Agency</v>
      </c>
      <c r="B1130" s="6" t="str">
        <f t="shared" si="580"/>
        <v>% of 1-Month Active Agents</v>
      </c>
      <c r="C1130" s="4" t="str">
        <f>CHOOSE(2, "5462030031", "Jul 26")</f>
        <v>Jul 26</v>
      </c>
      <c r="D1130" s="14">
        <v>0.83815028901734101</v>
      </c>
    </row>
    <row r="1131" spans="1:4" x14ac:dyDescent="0.35">
      <c r="A1131" s="5" t="str">
        <f t="shared" si="564"/>
        <v>Agency</v>
      </c>
      <c r="B1131" s="3" t="str">
        <f t="shared" ref="B1131:B1132" si="581">CHOOSE(2, "1395000000595", "% of 3-Month Active Agents")</f>
        <v>% of 3-Month Active Agents</v>
      </c>
      <c r="C1131" s="4" t="str">
        <f>CHOOSE(2, "5461730030", "Jun 26")</f>
        <v>Jun 26</v>
      </c>
      <c r="D1131" s="14">
        <v>0.31603003591250406</v>
      </c>
    </row>
    <row r="1132" spans="1:4" x14ac:dyDescent="0.35">
      <c r="A1132" s="5" t="str">
        <f t="shared" si="564"/>
        <v>Agency</v>
      </c>
      <c r="B1132" s="6" t="str">
        <f t="shared" si="581"/>
        <v>% of 3-Month Active Agents</v>
      </c>
      <c r="C1132" s="4" t="str">
        <f>CHOOSE(2, "5462030031", "Jul 26")</f>
        <v>Jul 26</v>
      </c>
      <c r="D1132" s="14">
        <v>0.31776913099870296</v>
      </c>
    </row>
    <row r="1133" spans="1:4" x14ac:dyDescent="0.35">
      <c r="A1133" s="5" t="str">
        <f t="shared" si="564"/>
        <v>Agency</v>
      </c>
      <c r="B1133" s="3" t="str">
        <f t="shared" ref="B1133:B1134" si="582">CHOOSE(2, "1395000000594", "Active agents per active leader")</f>
        <v>Active agents per active leader</v>
      </c>
      <c r="C1133" s="4" t="str">
        <f>CHOOSE(2, "5461730030", "Jun 26")</f>
        <v>Jun 26</v>
      </c>
      <c r="D1133" s="14">
        <v>98.777777777777771</v>
      </c>
    </row>
    <row r="1134" spans="1:4" x14ac:dyDescent="0.35">
      <c r="A1134" s="5" t="str">
        <f t="shared" si="564"/>
        <v>Agency</v>
      </c>
      <c r="B1134" s="6" t="str">
        <f t="shared" si="582"/>
        <v>Active agents per active leader</v>
      </c>
      <c r="C1134" s="4" t="str">
        <f>CHOOSE(2, "5462030031", "Jul 26")</f>
        <v>Jul 26</v>
      </c>
      <c r="D1134" s="14">
        <v>124.28571428571429</v>
      </c>
    </row>
    <row r="1135" spans="1:4" x14ac:dyDescent="0.35">
      <c r="A1135" s="5" t="str">
        <f t="shared" si="564"/>
        <v>Agency</v>
      </c>
      <c r="B1135" s="3" t="str">
        <f t="shared" ref="B1135:B1136" si="583">CHOOSE(2, "1395000000593", "Avg. Case count per 1-Month Active Agent")</f>
        <v>Avg. Case count per 1-Month Active Agent</v>
      </c>
      <c r="C1135" s="4" t="str">
        <f>CHOOSE(2, "5461730030", "Jun 26")</f>
        <v>Jun 26</v>
      </c>
      <c r="D1135" s="14">
        <v>3.3683914510686166</v>
      </c>
    </row>
    <row r="1136" spans="1:4" x14ac:dyDescent="0.35">
      <c r="A1136" s="5" t="str">
        <f t="shared" si="564"/>
        <v>Agency</v>
      </c>
      <c r="B1136" s="6" t="str">
        <f t="shared" si="583"/>
        <v>Avg. Case count per 1-Month Active Agent</v>
      </c>
      <c r="C1136" s="4" t="str">
        <f>CHOOSE(2, "5462030031", "Jul 26")</f>
        <v>Jul 26</v>
      </c>
      <c r="D1136" s="14">
        <v>3.1436781609195403</v>
      </c>
    </row>
    <row r="1137" spans="1:4" x14ac:dyDescent="0.35">
      <c r="A1137" s="5" t="str">
        <f t="shared" si="564"/>
        <v>Agency</v>
      </c>
      <c r="B1137" s="3" t="str">
        <f t="shared" ref="B1137:B1138" si="584">CHOOSE(2, "1395000000592", "Avg. Case size")</f>
        <v>Avg. Case size</v>
      </c>
      <c r="C1137" s="4" t="str">
        <f>CHOOSE(2, "5461730030", "Jun 26")</f>
        <v>Jun 26</v>
      </c>
      <c r="D1137" s="14">
        <v>2216.8753367279182</v>
      </c>
    </row>
    <row r="1138" spans="1:4" x14ac:dyDescent="0.35">
      <c r="A1138" s="5" t="str">
        <f t="shared" si="564"/>
        <v>Agency</v>
      </c>
      <c r="B1138" s="6" t="str">
        <f t="shared" si="584"/>
        <v>Avg. Case size</v>
      </c>
      <c r="C1138" s="4" t="str">
        <f>CHOOSE(2, "5462030031", "Jul 26")</f>
        <v>Jul 26</v>
      </c>
      <c r="D1138" s="14">
        <v>1931.6151379409507</v>
      </c>
    </row>
    <row r="1139" spans="1:4" x14ac:dyDescent="0.35">
      <c r="A1139" s="5" t="str">
        <f t="shared" si="564"/>
        <v>Agency</v>
      </c>
      <c r="B1139" s="3" t="str">
        <f t="shared" ref="B1139:B1140" si="585">CHOOSE(2, "1395000000591", "APE per 1-Month Active Agent")</f>
        <v>APE per 1-Month Active Agent</v>
      </c>
      <c r="C1139" s="4" t="str">
        <f>CHOOSE(2, "5461730030", "Jun 26")</f>
        <v>Jun 26</v>
      </c>
      <c r="D1139" s="14">
        <v>7467.3039323191797</v>
      </c>
    </row>
    <row r="1140" spans="1:4" x14ac:dyDescent="0.35">
      <c r="A1140" s="5" t="str">
        <f t="shared" si="564"/>
        <v>Agency</v>
      </c>
      <c r="B1140" s="6" t="str">
        <f t="shared" si="585"/>
        <v>APE per 1-Month Active Agent</v>
      </c>
      <c r="C1140" s="4" t="str">
        <f>CHOOSE(2, "5462030031", "Jul 26")</f>
        <v>Jul 26</v>
      </c>
      <c r="D1140" s="14">
        <v>6072.3763244465517</v>
      </c>
    </row>
    <row r="1141" spans="1:4" x14ac:dyDescent="0.35">
      <c r="A1141" s="5" t="str">
        <f t="shared" si="564"/>
        <v>Agency</v>
      </c>
      <c r="B1141" s="3" t="str">
        <f t="shared" ref="B1141:B1142" si="586">CHOOSE(2, "1395000000590", "% Conversion of Proposals to cases")</f>
        <v>% Conversion of Proposals to cases</v>
      </c>
      <c r="C1141" s="4" t="str">
        <f>CHOOSE(2, "5461730030", "Jun 26")</f>
        <v>Jun 26</v>
      </c>
      <c r="D1141" s="14">
        <v>0</v>
      </c>
    </row>
    <row r="1142" spans="1:4" x14ac:dyDescent="0.35">
      <c r="A1142" s="5" t="str">
        <f t="shared" si="564"/>
        <v>Agency</v>
      </c>
      <c r="B1142" s="6" t="str">
        <f t="shared" si="586"/>
        <v>% Conversion of Proposals to cases</v>
      </c>
      <c r="C1142" s="4" t="str">
        <f>CHOOSE(2, "5462030031", "Jul 26")</f>
        <v>Jul 26</v>
      </c>
      <c r="D1142" s="14">
        <v>0</v>
      </c>
    </row>
    <row r="1143" spans="1:4" x14ac:dyDescent="0.35">
      <c r="A1143" s="5" t="str">
        <f t="shared" si="564"/>
        <v>Agency</v>
      </c>
      <c r="B1143" s="3" t="str">
        <f t="shared" ref="B1143:B1144" si="587">CHOOSE(2, "1395000000588", "% APE from Agents in X tenure")</f>
        <v>% APE from Agents in X tenure</v>
      </c>
      <c r="C1143" s="4" t="str">
        <f>CHOOSE(2, "5461730030", "Jun 26")</f>
        <v>Jun 26</v>
      </c>
      <c r="D1143" s="14">
        <v>1</v>
      </c>
    </row>
    <row r="1144" spans="1:4" x14ac:dyDescent="0.35">
      <c r="A1144" s="5" t="str">
        <f t="shared" si="564"/>
        <v>Agency</v>
      </c>
      <c r="B1144" s="6" t="str">
        <f t="shared" si="587"/>
        <v>% APE from Agents in X tenure</v>
      </c>
      <c r="C1144" s="4" t="str">
        <f>CHOOSE(2, "5462030031", "Jul 26")</f>
        <v>Jul 26</v>
      </c>
      <c r="D1144" s="14">
        <v>1</v>
      </c>
    </row>
    <row r="1145" spans="1:4" x14ac:dyDescent="0.35">
      <c r="A1145" s="5" t="str">
        <f t="shared" si="564"/>
        <v>Agency</v>
      </c>
      <c r="B1145" s="3" t="str">
        <f t="shared" ref="B1145:B1146" si="588">CHOOSE(2, "1395000000587", "% APE from Agents in X tenure in 0-1M")</f>
        <v>% APE from Agents in X tenure in 0-1M</v>
      </c>
      <c r="C1145" s="4" t="str">
        <f>CHOOSE(2, "5461730030", "Jun 26")</f>
        <v>Jun 26</v>
      </c>
      <c r="D1145" s="14">
        <v>0.1</v>
      </c>
    </row>
    <row r="1146" spans="1:4" x14ac:dyDescent="0.35">
      <c r="A1146" s="5" t="str">
        <f t="shared" si="564"/>
        <v>Agency</v>
      </c>
      <c r="B1146" s="6" t="str">
        <f t="shared" si="588"/>
        <v>% APE from Agents in X tenure in 0-1M</v>
      </c>
      <c r="C1146" s="4" t="str">
        <f>CHOOSE(2, "5462030031", "Jul 26")</f>
        <v>Jul 26</v>
      </c>
      <c r="D1146" s="14">
        <v>0.1</v>
      </c>
    </row>
    <row r="1147" spans="1:4" x14ac:dyDescent="0.35">
      <c r="A1147" s="5" t="str">
        <f t="shared" si="564"/>
        <v>Agency</v>
      </c>
      <c r="B1147" s="3" t="str">
        <f t="shared" ref="B1147:B1148" si="589">CHOOSE(2, "1395000000586", "% APE from Agents in X tenure in 2-3M")</f>
        <v>% APE from Agents in X tenure in 2-3M</v>
      </c>
      <c r="C1147" s="4" t="str">
        <f>CHOOSE(2, "5461730030", "Jun 26")</f>
        <v>Jun 26</v>
      </c>
      <c r="D1147" s="14">
        <v>0.2</v>
      </c>
    </row>
    <row r="1148" spans="1:4" x14ac:dyDescent="0.35">
      <c r="A1148" s="5" t="str">
        <f t="shared" si="564"/>
        <v>Agency</v>
      </c>
      <c r="B1148" s="6" t="str">
        <f t="shared" si="589"/>
        <v>% APE from Agents in X tenure in 2-3M</v>
      </c>
      <c r="C1148" s="4" t="str">
        <f>CHOOSE(2, "5462030031", "Jul 26")</f>
        <v>Jul 26</v>
      </c>
      <c r="D1148" s="14">
        <v>0.2</v>
      </c>
    </row>
    <row r="1149" spans="1:4" x14ac:dyDescent="0.35">
      <c r="A1149" s="5" t="str">
        <f t="shared" si="564"/>
        <v>Agency</v>
      </c>
      <c r="B1149" s="3" t="str">
        <f t="shared" ref="B1149:B1150" si="590">CHOOSE(2, "1395000000585", "% APE from Agents in X tenure in 4-12M")</f>
        <v>% APE from Agents in X tenure in 4-12M</v>
      </c>
      <c r="C1149" s="4" t="str">
        <f>CHOOSE(2, "5461730030", "Jun 26")</f>
        <v>Jun 26</v>
      </c>
      <c r="D1149" s="14">
        <v>0.3</v>
      </c>
    </row>
    <row r="1150" spans="1:4" x14ac:dyDescent="0.35">
      <c r="A1150" s="5" t="str">
        <f t="shared" si="564"/>
        <v>Agency</v>
      </c>
      <c r="B1150" s="6" t="str">
        <f t="shared" si="590"/>
        <v>% APE from Agents in X tenure in 4-12M</v>
      </c>
      <c r="C1150" s="4" t="str">
        <f>CHOOSE(2, "5462030031", "Jul 26")</f>
        <v>Jul 26</v>
      </c>
      <c r="D1150" s="14">
        <v>0.3</v>
      </c>
    </row>
    <row r="1151" spans="1:4" x14ac:dyDescent="0.35">
      <c r="A1151" s="5" t="str">
        <f t="shared" si="564"/>
        <v>Agency</v>
      </c>
      <c r="B1151" s="3" t="str">
        <f t="shared" ref="B1151:B1152" si="591">CHOOSE(2, "1395000000584", "% APE from Agents in X tenure 13+M")</f>
        <v>% APE from Agents in X tenure 13+M</v>
      </c>
      <c r="C1151" s="4" t="str">
        <f>CHOOSE(2, "5461730030", "Jun 26")</f>
        <v>Jun 26</v>
      </c>
      <c r="D1151" s="14">
        <v>0.4</v>
      </c>
    </row>
    <row r="1152" spans="1:4" x14ac:dyDescent="0.35">
      <c r="A1152" s="5" t="str">
        <f t="shared" si="564"/>
        <v>Agency</v>
      </c>
      <c r="B1152" s="6" t="str">
        <f t="shared" si="591"/>
        <v>% APE from Agents in X tenure 13+M</v>
      </c>
      <c r="C1152" s="4" t="str">
        <f>CHOOSE(2, "5462030031", "Jul 26")</f>
        <v>Jul 26</v>
      </c>
      <c r="D1152" s="14">
        <v>0.4</v>
      </c>
    </row>
    <row r="1153" spans="1:4" x14ac:dyDescent="0.35">
      <c r="A1153" s="5" t="str">
        <f t="shared" si="564"/>
        <v>Agency</v>
      </c>
      <c r="B1153" s="3" t="str">
        <f t="shared" ref="B1153:B1154" si="592">CHOOSE(2, "1395000000583", "% APE from pro-rated MDRT agents (100%)")</f>
        <v>% APE from pro-rated MDRT agents (100%)</v>
      </c>
      <c r="C1153" s="4" t="str">
        <f>CHOOSE(2, "5461730030", "Jun 26")</f>
        <v>Jun 26</v>
      </c>
      <c r="D1153" s="14">
        <v>0.40437270841040118</v>
      </c>
    </row>
    <row r="1154" spans="1:4" x14ac:dyDescent="0.35">
      <c r="A1154" s="5" t="str">
        <f t="shared" si="564"/>
        <v>Agency</v>
      </c>
      <c r="B1154" s="6" t="str">
        <f t="shared" si="592"/>
        <v>% APE from pro-rated MDRT agents (100%)</v>
      </c>
      <c r="C1154" s="4" t="str">
        <f>CHOOSE(2, "5462030031", "Jul 26")</f>
        <v>Jul 26</v>
      </c>
      <c r="D1154" s="14">
        <v>0.38551467289490748</v>
      </c>
    </row>
    <row r="1155" spans="1:4" x14ac:dyDescent="0.35">
      <c r="A1155" s="5" t="str">
        <f t="shared" si="564"/>
        <v>Agency</v>
      </c>
      <c r="B1155" s="3" t="str">
        <f t="shared" ref="B1155:B1156" si="593">CHOOSE(2, "1395000000582", "% APE from pro-rated MDRT agents (70-99%)")</f>
        <v>% APE from pro-rated MDRT agents (70-99%)</v>
      </c>
      <c r="C1155" s="4" t="str">
        <f>CHOOSE(2, "5461730030", "Jun 26")</f>
        <v>Jun 26</v>
      </c>
      <c r="D1155" s="14">
        <v>0.15515285951008981</v>
      </c>
    </row>
    <row r="1156" spans="1:4" x14ac:dyDescent="0.35">
      <c r="A1156" s="5" t="str">
        <f t="shared" si="564"/>
        <v>Agency</v>
      </c>
      <c r="B1156" s="6" t="str">
        <f t="shared" si="593"/>
        <v>% APE from pro-rated MDRT agents (70-99%)</v>
      </c>
      <c r="C1156" s="4" t="str">
        <f>CHOOSE(2, "5462030031", "Jul 26")</f>
        <v>Jul 26</v>
      </c>
      <c r="D1156" s="14">
        <v>0.16554726679260903</v>
      </c>
    </row>
    <row r="1157" spans="1:4" x14ac:dyDescent="0.35">
      <c r="A1157" s="5" t="str">
        <f t="shared" si="564"/>
        <v>Agency</v>
      </c>
      <c r="B1157" s="3" t="str">
        <f t="shared" ref="B1157:B1158" si="594">CHOOSE(2, "1395000000581", "% APE from pro-rated MDRT agents (50-69%)")</f>
        <v>% APE from pro-rated MDRT agents (50-69%)</v>
      </c>
      <c r="C1157" s="4" t="str">
        <f>CHOOSE(2, "5461730030", "Jun 26")</f>
        <v>Jun 26</v>
      </c>
      <c r="D1157" s="14">
        <v>0.16033983013768013</v>
      </c>
    </row>
    <row r="1158" spans="1:4" x14ac:dyDescent="0.35">
      <c r="A1158" s="5" t="str">
        <f t="shared" si="564"/>
        <v>Agency</v>
      </c>
      <c r="B1158" s="6" t="str">
        <f t="shared" si="594"/>
        <v>% APE from pro-rated MDRT agents (50-69%)</v>
      </c>
      <c r="C1158" s="4" t="str">
        <f>CHOOSE(2, "5462030031", "Jul 26")</f>
        <v>Jul 26</v>
      </c>
      <c r="D1158" s="14">
        <v>0.14675573517017815</v>
      </c>
    </row>
    <row r="1159" spans="1:4" x14ac:dyDescent="0.35">
      <c r="A1159" s="5" t="str">
        <f t="shared" si="564"/>
        <v>Agency</v>
      </c>
      <c r="B1159" s="3" t="str">
        <f t="shared" ref="B1159:B1160" si="595">CHOOSE(2, "1395000000580", "% APE from Top-tier agents")</f>
        <v>% APE from Top-tier agents</v>
      </c>
      <c r="C1159" s="4" t="str">
        <f>CHOOSE(2, "5461730030", "Jun 26")</f>
        <v>Jun 26</v>
      </c>
      <c r="D1159" s="14">
        <v>0.71986539805817118</v>
      </c>
    </row>
    <row r="1160" spans="1:4" x14ac:dyDescent="0.35">
      <c r="A1160" s="5" t="str">
        <f t="shared" si="564"/>
        <v>Agency</v>
      </c>
      <c r="B1160" s="6" t="str">
        <f t="shared" si="595"/>
        <v>% APE from Top-tier agents</v>
      </c>
      <c r="C1160" s="4" t="str">
        <f>CHOOSE(2, "5462030031", "Jul 26")</f>
        <v>Jul 26</v>
      </c>
      <c r="D1160" s="14">
        <v>0.69781767485769464</v>
      </c>
    </row>
    <row r="1161" spans="1:4" x14ac:dyDescent="0.35">
      <c r="A1161" s="5" t="str">
        <f t="shared" si="564"/>
        <v>Agency</v>
      </c>
      <c r="B1161" s="3" t="str">
        <f t="shared" ref="B1161:B1162" si="596">CHOOSE(2, "1395000000579", "% of Active Recruiting Leaders")</f>
        <v>% of Active Recruiting Leaders</v>
      </c>
      <c r="C1161" s="4" t="str">
        <f>CHOOSE(2, "5461730030", "Jun 26")</f>
        <v>Jun 26</v>
      </c>
      <c r="D1161" s="14">
        <v>7.9646017699115043E-2</v>
      </c>
    </row>
    <row r="1162" spans="1:4" x14ac:dyDescent="0.35">
      <c r="A1162" s="5" t="str">
        <f t="shared" si="564"/>
        <v>Agency</v>
      </c>
      <c r="B1162" s="6" t="str">
        <f t="shared" si="596"/>
        <v>% of Active Recruiting Leaders</v>
      </c>
      <c r="C1162" s="4" t="str">
        <f>CHOOSE(2, "5462030031", "Jul 26")</f>
        <v>Jul 26</v>
      </c>
      <c r="D1162" s="14">
        <v>6.0869565217391307E-2</v>
      </c>
    </row>
    <row r="1163" spans="1:4" x14ac:dyDescent="0.35">
      <c r="A1163" s="5" t="str">
        <f t="shared" ref="A1163:A1226" si="597">CHOOSE(2, "1260000000011", "Agency")</f>
        <v>Agency</v>
      </c>
      <c r="B1163" s="3" t="str">
        <f t="shared" ref="B1163:B1164" si="598">CHOOSE(2, "1395000000578", "% of leaders with &gt;1 YTD recruit")</f>
        <v>% of leaders with &gt;1 YTD recruit</v>
      </c>
      <c r="C1163" s="4" t="str">
        <f>CHOOSE(2, "5461730030", "Jun 26")</f>
        <v>Jun 26</v>
      </c>
      <c r="D1163" s="14">
        <v>0.26548672566371684</v>
      </c>
    </row>
    <row r="1164" spans="1:4" x14ac:dyDescent="0.35">
      <c r="A1164" s="5" t="str">
        <f t="shared" si="597"/>
        <v>Agency</v>
      </c>
      <c r="B1164" s="6" t="str">
        <f t="shared" si="598"/>
        <v>% of leaders with &gt;1 YTD recruit</v>
      </c>
      <c r="C1164" s="4" t="str">
        <f>CHOOSE(2, "5462030031", "Jul 26")</f>
        <v>Jul 26</v>
      </c>
      <c r="D1164" s="14">
        <v>0.32173913043478258</v>
      </c>
    </row>
    <row r="1165" spans="1:4" x14ac:dyDescent="0.35">
      <c r="A1165" s="5" t="str">
        <f t="shared" si="597"/>
        <v>Agency</v>
      </c>
      <c r="B1165" s="3" t="str">
        <f t="shared" ref="B1165:B1166" si="599">CHOOSE(2, "1395000000577", "% of 1-Month Active Top-tier agents")</f>
        <v>% of 1-Month Active Top-tier agents</v>
      </c>
      <c r="C1165" s="4" t="str">
        <f>CHOOSE(2, "5461730030", "Jun 26")</f>
        <v>Jun 26</v>
      </c>
      <c r="D1165" s="14">
        <v>0.99009900990099009</v>
      </c>
    </row>
    <row r="1166" spans="1:4" x14ac:dyDescent="0.35">
      <c r="A1166" s="5" t="str">
        <f t="shared" si="597"/>
        <v>Agency</v>
      </c>
      <c r="B1166" s="6" t="str">
        <f t="shared" si="599"/>
        <v>% of 1-Month Active Top-tier agents</v>
      </c>
      <c r="C1166" s="4" t="str">
        <f>CHOOSE(2, "5462030031", "Jul 26")</f>
        <v>Jul 26</v>
      </c>
      <c r="D1166" s="14">
        <v>0.96455696202531649</v>
      </c>
    </row>
    <row r="1167" spans="1:4" x14ac:dyDescent="0.35">
      <c r="A1167" s="5" t="str">
        <f t="shared" si="597"/>
        <v>Agency</v>
      </c>
      <c r="B1167" s="3" t="str">
        <f t="shared" ref="B1167:B1168" si="600">CHOOSE(2, "1395000000576", "% APE from Manulife Pro - Total")</f>
        <v>% APE from Manulife Pro - Total</v>
      </c>
      <c r="C1167" s="4" t="str">
        <f>CHOOSE(2, "5461730030", "Jun 26")</f>
        <v>Jun 26</v>
      </c>
      <c r="D1167" s="14">
        <v>0</v>
      </c>
    </row>
    <row r="1168" spans="1:4" x14ac:dyDescent="0.35">
      <c r="A1168" s="5" t="str">
        <f t="shared" si="597"/>
        <v>Agency</v>
      </c>
      <c r="B1168" s="6" t="str">
        <f t="shared" si="600"/>
        <v>% APE from Manulife Pro - Total</v>
      </c>
      <c r="C1168" s="4" t="str">
        <f>CHOOSE(2, "5462030031", "Jul 26")</f>
        <v>Jul 26</v>
      </c>
      <c r="D1168" s="14">
        <v>0</v>
      </c>
    </row>
    <row r="1169" spans="1:4" x14ac:dyDescent="0.35">
      <c r="A1169" s="5" t="str">
        <f t="shared" si="597"/>
        <v>Agency</v>
      </c>
      <c r="B1169" s="3" t="str">
        <f t="shared" ref="B1169:B1170" si="601">CHOOSE(2, "1395000000575", "% of 1-Month Active Agents Manulife Pro Qualifiers - Total")</f>
        <v>% of 1-Month Active Agents Manulife Pro Qualifiers - Total</v>
      </c>
      <c r="C1169" s="4" t="str">
        <f>CHOOSE(2, "5461730030", "Jun 26")</f>
        <v>Jun 26</v>
      </c>
      <c r="D1169" s="14">
        <v>0.98425196850393704</v>
      </c>
    </row>
    <row r="1170" spans="1:4" x14ac:dyDescent="0.35">
      <c r="A1170" s="5" t="str">
        <f t="shared" si="597"/>
        <v>Agency</v>
      </c>
      <c r="B1170" s="6" t="str">
        <f t="shared" si="601"/>
        <v>% of 1-Month Active Agents Manulife Pro Qualifiers - Total</v>
      </c>
      <c r="C1170" s="4" t="str">
        <f>CHOOSE(2, "5462030031", "Jul 26")</f>
        <v>Jul 26</v>
      </c>
      <c r="D1170" s="14">
        <v>0.96825396825396826</v>
      </c>
    </row>
    <row r="1171" spans="1:4" x14ac:dyDescent="0.35">
      <c r="A1171" s="5" t="str">
        <f t="shared" si="597"/>
        <v>Agency</v>
      </c>
      <c r="B1171" s="3" t="str">
        <f t="shared" ref="B1171:B1172" si="602">CHOOSE(2, "1395000000574", "% of Newly Demoted UM")</f>
        <v>% of Newly Demoted UM</v>
      </c>
      <c r="C1171" s="4" t="str">
        <f>CHOOSE(2, "5461730030", "Jun 26")</f>
        <v>Jun 26</v>
      </c>
      <c r="D1171" s="14">
        <v>0</v>
      </c>
    </row>
    <row r="1172" spans="1:4" x14ac:dyDescent="0.35">
      <c r="A1172" s="5" t="str">
        <f t="shared" si="597"/>
        <v>Agency</v>
      </c>
      <c r="B1172" s="6" t="str">
        <f t="shared" si="602"/>
        <v>% of Newly Demoted UM</v>
      </c>
      <c r="C1172" s="4" t="str">
        <f>CHOOSE(2, "5462030031", "Jul 26")</f>
        <v>Jul 26</v>
      </c>
      <c r="D1172" s="14">
        <v>0</v>
      </c>
    </row>
    <row r="1173" spans="1:4" x14ac:dyDescent="0.35">
      <c r="A1173" s="5" t="str">
        <f t="shared" si="597"/>
        <v>Agency</v>
      </c>
      <c r="B1173" s="3" t="str">
        <f t="shared" ref="B1173:B1174" si="603">CHOOSE(2, "1395000000573", "% of Newly Demoted Leaders above UM")</f>
        <v>% of Newly Demoted Leaders above UM</v>
      </c>
      <c r="C1173" s="4" t="str">
        <f>CHOOSE(2, "5461730030", "Jun 26")</f>
        <v>Jun 26</v>
      </c>
      <c r="D1173" s="14">
        <v>0</v>
      </c>
    </row>
    <row r="1174" spans="1:4" x14ac:dyDescent="0.35">
      <c r="A1174" s="5" t="str">
        <f t="shared" si="597"/>
        <v>Agency</v>
      </c>
      <c r="B1174" s="6" t="str">
        <f t="shared" si="603"/>
        <v>% of Newly Demoted Leaders above UM</v>
      </c>
      <c r="C1174" s="4" t="str">
        <f>CHOOSE(2, "5462030031", "Jul 26")</f>
        <v>Jul 26</v>
      </c>
      <c r="D1174" s="14">
        <v>0</v>
      </c>
    </row>
    <row r="1175" spans="1:4" x14ac:dyDescent="0.35">
      <c r="A1175" s="5" t="str">
        <f t="shared" si="597"/>
        <v>Agency</v>
      </c>
      <c r="B1175" s="3" t="str">
        <f t="shared" ref="B1175:B1176" si="604">CHOOSE(2, "1395000000572", "Avg. Earning per agent")</f>
        <v>Avg. Earning per agent</v>
      </c>
      <c r="C1175" s="4" t="str">
        <f>CHOOSE(2, "5461730030", "Jun 26")</f>
        <v>Jun 26</v>
      </c>
      <c r="D1175" s="14">
        <v>0</v>
      </c>
    </row>
    <row r="1176" spans="1:4" x14ac:dyDescent="0.35">
      <c r="A1176" s="5" t="str">
        <f t="shared" si="597"/>
        <v>Agency</v>
      </c>
      <c r="B1176" s="6" t="str">
        <f t="shared" si="604"/>
        <v>Avg. Earning per agent</v>
      </c>
      <c r="C1176" s="4" t="str">
        <f>CHOOSE(2, "5462030031", "Jul 26")</f>
        <v>Jul 26</v>
      </c>
      <c r="D1176" s="14">
        <v>0</v>
      </c>
    </row>
    <row r="1177" spans="1:4" x14ac:dyDescent="0.35">
      <c r="A1177" s="5" t="str">
        <f t="shared" si="597"/>
        <v>Agency</v>
      </c>
      <c r="B1177" s="3" t="str">
        <f t="shared" ref="B1177:B1178" si="605">CHOOSE(2, "1395000000571", "Avg. Earning per agent in FA or equivalent")</f>
        <v>Avg. Earning per agent in FA or equivalent</v>
      </c>
      <c r="C1177" s="4" t="str">
        <f>CHOOSE(2, "5461730030", "Jun 26")</f>
        <v>Jun 26</v>
      </c>
      <c r="D1177" s="14">
        <v>0</v>
      </c>
    </row>
    <row r="1178" spans="1:4" x14ac:dyDescent="0.35">
      <c r="A1178" s="5" t="str">
        <f t="shared" si="597"/>
        <v>Agency</v>
      </c>
      <c r="B1178" s="6" t="str">
        <f t="shared" si="605"/>
        <v>Avg. Earning per agent in FA or equivalent</v>
      </c>
      <c r="C1178" s="4" t="str">
        <f>CHOOSE(2, "5462030031", "Jul 26")</f>
        <v>Jul 26</v>
      </c>
      <c r="D1178" s="14">
        <v>0</v>
      </c>
    </row>
    <row r="1179" spans="1:4" x14ac:dyDescent="0.35">
      <c r="A1179" s="5" t="str">
        <f t="shared" si="597"/>
        <v>Agency</v>
      </c>
      <c r="B1179" s="3" t="str">
        <f t="shared" ref="B1179:B1180" si="606">CHOOSE(2, "1395000000570", "Avg. Earning per agent in UM")</f>
        <v>Avg. Earning per agent in UM</v>
      </c>
      <c r="C1179" s="4" t="str">
        <f>CHOOSE(2, "5461730030", "Jun 26")</f>
        <v>Jun 26</v>
      </c>
      <c r="D1179" s="14">
        <v>0</v>
      </c>
    </row>
    <row r="1180" spans="1:4" x14ac:dyDescent="0.35">
      <c r="A1180" s="5" t="str">
        <f t="shared" si="597"/>
        <v>Agency</v>
      </c>
      <c r="B1180" s="6" t="str">
        <f t="shared" si="606"/>
        <v>Avg. Earning per agent in UM</v>
      </c>
      <c r="C1180" s="4" t="str">
        <f>CHOOSE(2, "5462030031", "Jul 26")</f>
        <v>Jul 26</v>
      </c>
      <c r="D1180" s="14">
        <v>0</v>
      </c>
    </row>
    <row r="1181" spans="1:4" x14ac:dyDescent="0.35">
      <c r="A1181" s="5" t="str">
        <f t="shared" si="597"/>
        <v>Agency</v>
      </c>
      <c r="B1181" s="3" t="str">
        <f t="shared" ref="B1181:B1182" si="607">CHOOSE(2, "1395000000569", "Avg. Earning per agent in Leaders above UM")</f>
        <v>Avg. Earning per agent in Leaders above UM</v>
      </c>
      <c r="C1181" s="4" t="str">
        <f>CHOOSE(2, "5461730030", "Jun 26")</f>
        <v>Jun 26</v>
      </c>
      <c r="D1181" s="14">
        <v>0</v>
      </c>
    </row>
    <row r="1182" spans="1:4" x14ac:dyDescent="0.35">
      <c r="A1182" s="5" t="str">
        <f t="shared" si="597"/>
        <v>Agency</v>
      </c>
      <c r="B1182" s="6" t="str">
        <f t="shared" si="607"/>
        <v>Avg. Earning per agent in Leaders above UM</v>
      </c>
      <c r="C1182" s="4" t="str">
        <f>CHOOSE(2, "5462030031", "Jul 26")</f>
        <v>Jul 26</v>
      </c>
      <c r="D1182" s="14">
        <v>0</v>
      </c>
    </row>
    <row r="1183" spans="1:4" x14ac:dyDescent="0.35">
      <c r="A1183" s="5" t="str">
        <f t="shared" si="597"/>
        <v>Agency</v>
      </c>
      <c r="B1183" s="3" t="str">
        <f t="shared" ref="B1183:B1184" si="608">CHOOSE(2, "1395000000568", "% of 1-Month Active Agents 0-1M")</f>
        <v>% of 1-Month Active Agents 0-1M</v>
      </c>
      <c r="C1183" s="4" t="str">
        <f>CHOOSE(2, "5461730030", "Jun 26")</f>
        <v>Jun 26</v>
      </c>
      <c r="D1183" s="14">
        <v>0.34210526315789475</v>
      </c>
    </row>
    <row r="1184" spans="1:4" x14ac:dyDescent="0.35">
      <c r="A1184" s="5" t="str">
        <f t="shared" si="597"/>
        <v>Agency</v>
      </c>
      <c r="B1184" s="6" t="str">
        <f t="shared" si="608"/>
        <v>% of 1-Month Active Agents 0-1M</v>
      </c>
      <c r="C1184" s="4" t="str">
        <f>CHOOSE(2, "5462030031", "Jul 26")</f>
        <v>Jul 26</v>
      </c>
      <c r="D1184" s="14">
        <v>0.53333333333333333</v>
      </c>
    </row>
    <row r="1185" spans="1:4" x14ac:dyDescent="0.35">
      <c r="A1185" s="5" t="str">
        <f t="shared" si="597"/>
        <v>Agency</v>
      </c>
      <c r="B1185" s="3" t="str">
        <f t="shared" ref="B1185:B1186" si="609">CHOOSE(2, "1395000000567", "% of 1-Month Active Agents in 2-3M")</f>
        <v>% of 1-Month Active Agents in 2-3M</v>
      </c>
      <c r="C1185" s="4" t="str">
        <f>CHOOSE(2, "5461730030", "Jun 26")</f>
        <v>Jun 26</v>
      </c>
      <c r="D1185" s="14">
        <v>0.94285714285714284</v>
      </c>
    </row>
    <row r="1186" spans="1:4" x14ac:dyDescent="0.35">
      <c r="A1186" s="5" t="str">
        <f t="shared" si="597"/>
        <v>Agency</v>
      </c>
      <c r="B1186" s="6" t="str">
        <f t="shared" si="609"/>
        <v>% of 1-Month Active Agents in 2-3M</v>
      </c>
      <c r="C1186" s="4" t="str">
        <f>CHOOSE(2, "5462030031", "Jul 26")</f>
        <v>Jul 26</v>
      </c>
      <c r="D1186" s="14">
        <v>0.91891891891891897</v>
      </c>
    </row>
    <row r="1187" spans="1:4" x14ac:dyDescent="0.35">
      <c r="A1187" s="5" t="str">
        <f t="shared" si="597"/>
        <v>Agency</v>
      </c>
      <c r="B1187" s="3" t="str">
        <f t="shared" ref="B1187:B1188" si="610">CHOOSE(2, "1395000000566", "% of 1-Month Active Agents 4-12M")</f>
        <v>% of 1-Month Active Agents 4-12M</v>
      </c>
      <c r="C1187" s="4" t="str">
        <f>CHOOSE(2, "5461730030", "Jun 26")</f>
        <v>Jun 26</v>
      </c>
      <c r="D1187" s="14">
        <v>0.80851063829787229</v>
      </c>
    </row>
    <row r="1188" spans="1:4" x14ac:dyDescent="0.35">
      <c r="A1188" s="5" t="str">
        <f t="shared" si="597"/>
        <v>Agency</v>
      </c>
      <c r="B1188" s="6" t="str">
        <f t="shared" si="610"/>
        <v>% of 1-Month Active Agents 4-12M</v>
      </c>
      <c r="C1188" s="4" t="str">
        <f>CHOOSE(2, "5462030031", "Jul 26")</f>
        <v>Jul 26</v>
      </c>
      <c r="D1188" s="14">
        <v>0.77536231884057971</v>
      </c>
    </row>
    <row r="1189" spans="1:4" x14ac:dyDescent="0.35">
      <c r="A1189" s="5" t="str">
        <f t="shared" si="597"/>
        <v>Agency</v>
      </c>
      <c r="B1189" s="3" t="str">
        <f t="shared" ref="B1189:B1190" si="611">CHOOSE(2, "1395000000565", "% of 1-Month Active Agents 13+M")</f>
        <v>% of 1-Month Active Agents 13+M</v>
      </c>
      <c r="C1189" s="4" t="str">
        <f>CHOOSE(2, "5461730030", "Jun 26")</f>
        <v>Jun 26</v>
      </c>
      <c r="D1189" s="14">
        <v>0.89338235294117652</v>
      </c>
    </row>
    <row r="1190" spans="1:4" x14ac:dyDescent="0.35">
      <c r="A1190" s="5" t="str">
        <f t="shared" si="597"/>
        <v>Agency</v>
      </c>
      <c r="B1190" s="6" t="str">
        <f t="shared" si="611"/>
        <v>% of 1-Month Active Agents 13+M</v>
      </c>
      <c r="C1190" s="4" t="str">
        <f>CHOOSE(2, "5462030031", "Jul 26")</f>
        <v>Jul 26</v>
      </c>
      <c r="D1190" s="14">
        <v>0.86185819070904646</v>
      </c>
    </row>
    <row r="1191" spans="1:4" x14ac:dyDescent="0.35">
      <c r="A1191" s="5" t="str">
        <f t="shared" si="597"/>
        <v>Agency</v>
      </c>
      <c r="B1191" s="3" t="str">
        <f t="shared" ref="B1191:B1192" si="612">CHOOSE(2, "1395000000564", "% of 3-Month Active Agents 0-1M")</f>
        <v>% of 3-Month Active Agents 0-1M</v>
      </c>
      <c r="C1191" s="4" t="str">
        <f>CHOOSE(2, "5461730030", "Jun 26")</f>
        <v>Jun 26</v>
      </c>
      <c r="D1191" s="14">
        <v>0.34210526315789475</v>
      </c>
    </row>
    <row r="1192" spans="1:4" x14ac:dyDescent="0.35">
      <c r="A1192" s="5" t="str">
        <f t="shared" si="597"/>
        <v>Agency</v>
      </c>
      <c r="B1192" s="6" t="str">
        <f t="shared" si="612"/>
        <v>% of 3-Month Active Agents 0-1M</v>
      </c>
      <c r="C1192" s="4" t="str">
        <f>CHOOSE(2, "5462030031", "Jul 26")</f>
        <v>Jul 26</v>
      </c>
      <c r="D1192" s="14">
        <v>0.53333333333333333</v>
      </c>
    </row>
    <row r="1193" spans="1:4" x14ac:dyDescent="0.35">
      <c r="A1193" s="5" t="str">
        <f t="shared" si="597"/>
        <v>Agency</v>
      </c>
      <c r="B1193" s="3" t="str">
        <f t="shared" ref="B1193:B1194" si="613">CHOOSE(2, "1395000000563", "% of 3-Month Active Agents in 2-3M")</f>
        <v>% of 3-Month Active Agents in 2-3M</v>
      </c>
      <c r="C1193" s="4" t="str">
        <f>CHOOSE(2, "5461730030", "Jun 26")</f>
        <v>Jun 26</v>
      </c>
      <c r="D1193" s="14">
        <v>0.97142857142857142</v>
      </c>
    </row>
    <row r="1194" spans="1:4" x14ac:dyDescent="0.35">
      <c r="A1194" s="5" t="str">
        <f t="shared" si="597"/>
        <v>Agency</v>
      </c>
      <c r="B1194" s="6" t="str">
        <f t="shared" si="613"/>
        <v>% of 3-Month Active Agents in 2-3M</v>
      </c>
      <c r="C1194" s="4" t="str">
        <f>CHOOSE(2, "5462030031", "Jul 26")</f>
        <v>Jul 26</v>
      </c>
      <c r="D1194" s="14">
        <v>0.97297297297297303</v>
      </c>
    </row>
    <row r="1195" spans="1:4" x14ac:dyDescent="0.35">
      <c r="A1195" s="5" t="str">
        <f t="shared" si="597"/>
        <v>Agency</v>
      </c>
      <c r="B1195" s="3" t="str">
        <f t="shared" ref="B1195:B1196" si="614">CHOOSE(2, "1395000000562", "% of 3-Month Active Agents 4-12M")</f>
        <v>% of 3-Month Active Agents 4-12M</v>
      </c>
      <c r="C1195" s="4" t="str">
        <f>CHOOSE(2, "5461730030", "Jun 26")</f>
        <v>Jun 26</v>
      </c>
      <c r="D1195" s="14">
        <v>0.95744680851063835</v>
      </c>
    </row>
    <row r="1196" spans="1:4" x14ac:dyDescent="0.35">
      <c r="A1196" s="5" t="str">
        <f t="shared" si="597"/>
        <v>Agency</v>
      </c>
      <c r="B1196" s="6" t="str">
        <f t="shared" si="614"/>
        <v>% of 3-Month Active Agents 4-12M</v>
      </c>
      <c r="C1196" s="4" t="str">
        <f>CHOOSE(2, "5462030031", "Jul 26")</f>
        <v>Jul 26</v>
      </c>
      <c r="D1196" s="14">
        <v>0.95652173913043481</v>
      </c>
    </row>
    <row r="1197" spans="1:4" x14ac:dyDescent="0.35">
      <c r="A1197" s="5" t="str">
        <f t="shared" si="597"/>
        <v>Agency</v>
      </c>
      <c r="B1197" s="3" t="str">
        <f t="shared" ref="B1197:B1198" si="615">CHOOSE(2, "1395000000561", "% of 3-Month Active Agents 13+M")</f>
        <v>% of 3-Month Active Agents 13+M</v>
      </c>
      <c r="C1197" s="4" t="str">
        <f>CHOOSE(2, "5461730030", "Jun 26")</f>
        <v>Jun 26</v>
      </c>
      <c r="D1197" s="14">
        <v>0.96323529411764708</v>
      </c>
    </row>
    <row r="1198" spans="1:4" x14ac:dyDescent="0.35">
      <c r="A1198" s="5" t="str">
        <f t="shared" si="597"/>
        <v>Agency</v>
      </c>
      <c r="B1198" s="6" t="str">
        <f t="shared" si="615"/>
        <v>% of 3-Month Active Agents 13+M</v>
      </c>
      <c r="C1198" s="4" t="str">
        <f>CHOOSE(2, "5462030031", "Jul 26")</f>
        <v>Jul 26</v>
      </c>
      <c r="D1198" s="14">
        <v>0.96332518337408313</v>
      </c>
    </row>
    <row r="1199" spans="1:4" x14ac:dyDescent="0.35">
      <c r="A1199" s="5" t="str">
        <f t="shared" si="597"/>
        <v>Agency</v>
      </c>
      <c r="B1199" s="3" t="str">
        <f t="shared" ref="B1199:B1200" si="616">CHOOSE(2, "1395000000560", "Avg. Case count per 1-Month Active Agent 0-1M")</f>
        <v>Avg. Case count per 1-Month Active Agent 0-1M</v>
      </c>
      <c r="C1199" s="4" t="str">
        <f>CHOOSE(2, "5461730030", "Jun 26")</f>
        <v>Jun 26</v>
      </c>
      <c r="D1199" s="14">
        <v>2.6923076923076925</v>
      </c>
    </row>
    <row r="1200" spans="1:4" x14ac:dyDescent="0.35">
      <c r="A1200" s="5" t="str">
        <f t="shared" si="597"/>
        <v>Agency</v>
      </c>
      <c r="B1200" s="6" t="str">
        <f t="shared" si="616"/>
        <v>Avg. Case count per 1-Month Active Agent 0-1M</v>
      </c>
      <c r="C1200" s="4" t="str">
        <f>CHOOSE(2, "5462030031", "Jul 26")</f>
        <v>Jul 26</v>
      </c>
      <c r="D1200" s="14">
        <v>2.0416666666666665</v>
      </c>
    </row>
    <row r="1201" spans="1:4" x14ac:dyDescent="0.35">
      <c r="A1201" s="5" t="str">
        <f t="shared" si="597"/>
        <v>Agency</v>
      </c>
      <c r="B1201" s="3" t="str">
        <f t="shared" ref="B1201:B1202" si="617">CHOOSE(2, "1395000000559", "Avg. Case count per 1-Month Active Agent in 2-3M")</f>
        <v>Avg. Case count per 1-Month Active Agent in 2-3M</v>
      </c>
      <c r="C1201" s="4" t="str">
        <f>CHOOSE(2, "5461730030", "Jun 26")</f>
        <v>Jun 26</v>
      </c>
      <c r="D1201" s="14">
        <v>4.1515151515151514</v>
      </c>
    </row>
    <row r="1202" spans="1:4" x14ac:dyDescent="0.35">
      <c r="A1202" s="5" t="str">
        <f t="shared" si="597"/>
        <v>Agency</v>
      </c>
      <c r="B1202" s="6" t="str">
        <f t="shared" si="617"/>
        <v>Avg. Case count per 1-Month Active Agent in 2-3M</v>
      </c>
      <c r="C1202" s="4" t="str">
        <f>CHOOSE(2, "5462030031", "Jul 26")</f>
        <v>Jul 26</v>
      </c>
      <c r="D1202" s="14">
        <v>3.9117647058823528</v>
      </c>
    </row>
    <row r="1203" spans="1:4" x14ac:dyDescent="0.35">
      <c r="A1203" s="5" t="str">
        <f t="shared" si="597"/>
        <v>Agency</v>
      </c>
      <c r="B1203" s="3" t="str">
        <f t="shared" ref="B1203:B1204" si="618">CHOOSE(2, "1395000000558", "Avg. Case count per 1-Month Active Agent 4-12M")</f>
        <v>Avg. Case count per 1-Month Active Agent 4-12M</v>
      </c>
      <c r="C1203" s="4" t="str">
        <f>CHOOSE(2, "5461730030", "Jun 26")</f>
        <v>Jun 26</v>
      </c>
      <c r="D1203" s="14">
        <v>3.4780701754385963</v>
      </c>
    </row>
    <row r="1204" spans="1:4" x14ac:dyDescent="0.35">
      <c r="A1204" s="5" t="str">
        <f t="shared" si="597"/>
        <v>Agency</v>
      </c>
      <c r="B1204" s="6" t="str">
        <f t="shared" si="618"/>
        <v>Avg. Case count per 1-Month Active Agent 4-12M</v>
      </c>
      <c r="C1204" s="4" t="str">
        <f>CHOOSE(2, "5462030031", "Jul 26")</f>
        <v>Jul 26</v>
      </c>
      <c r="D1204" s="14">
        <v>3.4065420560747666</v>
      </c>
    </row>
    <row r="1205" spans="1:4" x14ac:dyDescent="0.35">
      <c r="A1205" s="5" t="str">
        <f t="shared" si="597"/>
        <v>Agency</v>
      </c>
      <c r="B1205" s="3" t="str">
        <f t="shared" ref="B1205:B1206" si="619">CHOOSE(2, "1395000000557", "Avg. Case count per 1-Month Active Agent 13+M")</f>
        <v>Avg. Case count per 1-Month Active Agent 13+M</v>
      </c>
      <c r="C1205" s="4" t="str">
        <f>CHOOSE(2, "5461730030", "Jun 26")</f>
        <v>Jun 26</v>
      </c>
      <c r="D1205" s="14">
        <v>3.3237311385459534</v>
      </c>
    </row>
    <row r="1206" spans="1:4" x14ac:dyDescent="0.35">
      <c r="A1206" s="5" t="str">
        <f t="shared" si="597"/>
        <v>Agency</v>
      </c>
      <c r="B1206" s="6" t="str">
        <f t="shared" si="619"/>
        <v>Avg. Case count per 1-Month Active Agent 13+M</v>
      </c>
      <c r="C1206" s="4" t="str">
        <f>CHOOSE(2, "5462030031", "Jul 26")</f>
        <v>Jul 26</v>
      </c>
      <c r="D1206" s="14">
        <v>3.0957446808510638</v>
      </c>
    </row>
    <row r="1207" spans="1:4" x14ac:dyDescent="0.35">
      <c r="A1207" s="5" t="str">
        <f t="shared" si="597"/>
        <v>Agency</v>
      </c>
      <c r="B1207" s="3" t="str">
        <f t="shared" ref="B1207:B1208" si="620">CHOOSE(2, "1395000000556", "Avg. Case size 0-1M")</f>
        <v>Avg. Case size 0-1M</v>
      </c>
      <c r="C1207" s="4" t="str">
        <f>CHOOSE(2, "5461730030", "Jun 26")</f>
        <v>Jun 26</v>
      </c>
      <c r="D1207" s="14">
        <v>18966.951988090717</v>
      </c>
    </row>
    <row r="1208" spans="1:4" x14ac:dyDescent="0.35">
      <c r="A1208" s="5" t="str">
        <f t="shared" si="597"/>
        <v>Agency</v>
      </c>
      <c r="B1208" s="6" t="str">
        <f t="shared" si="620"/>
        <v>Avg. Case size 0-1M</v>
      </c>
      <c r="C1208" s="4" t="str">
        <f>CHOOSE(2, "5462030031", "Jul 26")</f>
        <v>Jul 26</v>
      </c>
      <c r="D1208" s="14">
        <v>10781.566127078571</v>
      </c>
    </row>
    <row r="1209" spans="1:4" x14ac:dyDescent="0.35">
      <c r="A1209" s="5" t="str">
        <f t="shared" si="597"/>
        <v>Agency</v>
      </c>
      <c r="B1209" s="3" t="str">
        <f t="shared" ref="B1209:B1210" si="621">CHOOSE(2, "1395000000555", "Avg. Case size in 2-3M")</f>
        <v>Avg. Case size in 2-3M</v>
      </c>
      <c r="C1209" s="4" t="str">
        <f>CHOOSE(2, "5461730030", "Jun 26")</f>
        <v>Jun 26</v>
      </c>
      <c r="D1209" s="14">
        <v>9691.1433515791996</v>
      </c>
    </row>
    <row r="1210" spans="1:4" x14ac:dyDescent="0.35">
      <c r="A1210" s="5" t="str">
        <f t="shared" si="597"/>
        <v>Agency</v>
      </c>
      <c r="B1210" s="6" t="str">
        <f t="shared" si="621"/>
        <v>Avg. Case size in 2-3M</v>
      </c>
      <c r="C1210" s="4" t="str">
        <f>CHOOSE(2, "5462030031", "Jul 26")</f>
        <v>Jul 26</v>
      </c>
      <c r="D1210" s="14">
        <v>7944.3118831105267</v>
      </c>
    </row>
    <row r="1211" spans="1:4" x14ac:dyDescent="0.35">
      <c r="A1211" s="5" t="str">
        <f t="shared" si="597"/>
        <v>Agency</v>
      </c>
      <c r="B1211" s="3" t="str">
        <f t="shared" ref="B1211:B1212" si="622">CHOOSE(2, "1395000000554", "Avg. Case size 4-12M")</f>
        <v>Avg. Case size 4-12M</v>
      </c>
      <c r="C1211" s="4" t="str">
        <f>CHOOSE(2, "5461730030", "Jun 26")</f>
        <v>Jun 26</v>
      </c>
      <c r="D1211" s="14">
        <v>5022.7741708689155</v>
      </c>
    </row>
    <row r="1212" spans="1:4" x14ac:dyDescent="0.35">
      <c r="A1212" s="5" t="str">
        <f t="shared" si="597"/>
        <v>Agency</v>
      </c>
      <c r="B1212" s="6" t="str">
        <f t="shared" si="622"/>
        <v>Avg. Case size 4-12M</v>
      </c>
      <c r="C1212" s="4" t="str">
        <f>CHOOSE(2, "5462030031", "Jul 26")</f>
        <v>Jul 26</v>
      </c>
      <c r="D1212" s="14">
        <v>4348.121318739506</v>
      </c>
    </row>
    <row r="1213" spans="1:4" x14ac:dyDescent="0.35">
      <c r="A1213" s="5" t="str">
        <f t="shared" si="597"/>
        <v>Agency</v>
      </c>
      <c r="B1213" s="3" t="str">
        <f t="shared" ref="B1213:B1214" si="623">CHOOSE(2, "1395000000553", "Avg. Case size 13+M")</f>
        <v>Avg. Case size 13+M</v>
      </c>
      <c r="C1213" s="4" t="str">
        <f>CHOOSE(2, "5461730030", "Jun 26")</f>
        <v>Jun 26</v>
      </c>
      <c r="D1213" s="14">
        <v>1095.9031276651674</v>
      </c>
    </row>
    <row r="1214" spans="1:4" x14ac:dyDescent="0.35">
      <c r="A1214" s="5" t="str">
        <f t="shared" si="597"/>
        <v>Agency</v>
      </c>
      <c r="B1214" s="6" t="str">
        <f t="shared" si="623"/>
        <v>Avg. Case size 13+M</v>
      </c>
      <c r="C1214" s="4" t="str">
        <f>CHOOSE(2, "5462030031", "Jul 26")</f>
        <v>Jul 26</v>
      </c>
      <c r="D1214" s="14">
        <v>968.24144829663237</v>
      </c>
    </row>
    <row r="1215" spans="1:4" x14ac:dyDescent="0.35">
      <c r="A1215" s="5" t="str">
        <f t="shared" si="597"/>
        <v>Agency</v>
      </c>
      <c r="B1215" s="3" t="str">
        <f t="shared" ref="B1215:B1216" si="624">CHOOSE(2, "1395000000552", "Avg. Case size UM")</f>
        <v>Avg. Case size UM</v>
      </c>
      <c r="C1215" s="4" t="str">
        <f>CHOOSE(2, "5461730030", "Jun 26")</f>
        <v>Jun 26</v>
      </c>
      <c r="D1215" s="14">
        <v>0</v>
      </c>
    </row>
    <row r="1216" spans="1:4" x14ac:dyDescent="0.35">
      <c r="A1216" s="5" t="str">
        <f t="shared" si="597"/>
        <v>Agency</v>
      </c>
      <c r="B1216" s="6" t="str">
        <f t="shared" si="624"/>
        <v>Avg. Case size UM</v>
      </c>
      <c r="C1216" s="4" t="str">
        <f>CHOOSE(2, "5462030031", "Jul 26")</f>
        <v>Jul 26</v>
      </c>
      <c r="D1216" s="14">
        <v>0</v>
      </c>
    </row>
    <row r="1217" spans="1:4" x14ac:dyDescent="0.35">
      <c r="A1217" s="5" t="str">
        <f t="shared" si="597"/>
        <v>Agency</v>
      </c>
      <c r="B1217" s="3" t="str">
        <f t="shared" ref="B1217:B1218" si="625">CHOOSE(2, "1395000000551", "Avg. Case size Leaders above UM")</f>
        <v>Avg. Case size Leaders above UM</v>
      </c>
      <c r="C1217" s="4" t="str">
        <f>CHOOSE(2, "5461730030", "Jun 26")</f>
        <v>Jun 26</v>
      </c>
      <c r="D1217" s="14">
        <v>0</v>
      </c>
    </row>
    <row r="1218" spans="1:4" x14ac:dyDescent="0.35">
      <c r="A1218" s="5" t="str">
        <f t="shared" si="597"/>
        <v>Agency</v>
      </c>
      <c r="B1218" s="6" t="str">
        <f t="shared" si="625"/>
        <v>Avg. Case size Leaders above UM</v>
      </c>
      <c r="C1218" s="4" t="str">
        <f>CHOOSE(2, "5462030031", "Jul 26")</f>
        <v>Jul 26</v>
      </c>
      <c r="D1218" s="14">
        <v>0</v>
      </c>
    </row>
    <row r="1219" spans="1:4" x14ac:dyDescent="0.35">
      <c r="A1219" s="5" t="str">
        <f t="shared" si="597"/>
        <v>Agency</v>
      </c>
      <c r="B1219" s="3" t="str">
        <f t="shared" ref="B1219:B1220" si="626">CHOOSE(2, "1395000000550", "Avg. Case size Top-tier agents")</f>
        <v>Avg. Case size Top-tier agents</v>
      </c>
      <c r="C1219" s="4" t="str">
        <f>CHOOSE(2, "5461730030", "Jun 26")</f>
        <v>Jun 26</v>
      </c>
      <c r="D1219" s="14">
        <v>2783.2139516598722</v>
      </c>
    </row>
    <row r="1220" spans="1:4" x14ac:dyDescent="0.35">
      <c r="A1220" s="5" t="str">
        <f t="shared" si="597"/>
        <v>Agency</v>
      </c>
      <c r="B1220" s="6" t="str">
        <f t="shared" si="626"/>
        <v>Avg. Case size Top-tier agents</v>
      </c>
      <c r="C1220" s="4" t="str">
        <f>CHOOSE(2, "5462030031", "Jul 26")</f>
        <v>Jul 26</v>
      </c>
      <c r="D1220" s="14">
        <v>2472.5338893360163</v>
      </c>
    </row>
    <row r="1221" spans="1:4" x14ac:dyDescent="0.35">
      <c r="A1221" s="5" t="str">
        <f t="shared" si="597"/>
        <v>Agency</v>
      </c>
      <c r="B1221" s="3" t="str">
        <f t="shared" ref="B1221:B1222" si="627">CHOOSE(2, "1395000000549", "Avg. Case size Manulife Pro Qualifiers - Total")</f>
        <v>Avg. Case size Manulife Pro Qualifiers - Total</v>
      </c>
      <c r="C1221" s="4" t="str">
        <f>CHOOSE(2, "5461730030", "Jun 26")</f>
        <v>Jun 26</v>
      </c>
      <c r="D1221" s="14">
        <v>0</v>
      </c>
    </row>
    <row r="1222" spans="1:4" x14ac:dyDescent="0.35">
      <c r="A1222" s="5" t="str">
        <f t="shared" si="597"/>
        <v>Agency</v>
      </c>
      <c r="B1222" s="6" t="str">
        <f t="shared" si="627"/>
        <v>Avg. Case size Manulife Pro Qualifiers - Total</v>
      </c>
      <c r="C1222" s="4" t="str">
        <f>CHOOSE(2, "5462030031", "Jul 26")</f>
        <v>Jul 26</v>
      </c>
      <c r="D1222" s="14">
        <v>0</v>
      </c>
    </row>
    <row r="1223" spans="1:4" x14ac:dyDescent="0.35">
      <c r="A1223" s="5" t="str">
        <f t="shared" si="597"/>
        <v>Agency</v>
      </c>
      <c r="B1223" s="3" t="str">
        <f t="shared" ref="B1223:B1224" si="628">CHOOSE(2, "1395000000548", "Avg. Case size FA or equivalent")</f>
        <v>Avg. Case size FA or equivalent</v>
      </c>
      <c r="C1223" s="4" t="str">
        <f>CHOOSE(2, "5461730030", "Jun 26")</f>
        <v>Jun 26</v>
      </c>
      <c r="D1223" s="14">
        <v>0</v>
      </c>
    </row>
    <row r="1224" spans="1:4" x14ac:dyDescent="0.35">
      <c r="A1224" s="5" t="str">
        <f t="shared" si="597"/>
        <v>Agency</v>
      </c>
      <c r="B1224" s="6" t="str">
        <f t="shared" si="628"/>
        <v>Avg. Case size FA or equivalent</v>
      </c>
      <c r="C1224" s="4" t="str">
        <f>CHOOSE(2, "5462030031", "Jul 26")</f>
        <v>Jul 26</v>
      </c>
      <c r="D1224" s="14">
        <v>0</v>
      </c>
    </row>
    <row r="1225" spans="1:4" x14ac:dyDescent="0.35">
      <c r="A1225" s="5" t="str">
        <f t="shared" si="597"/>
        <v>Agency</v>
      </c>
      <c r="B1225" s="3" t="str">
        <f t="shared" ref="B1225:B1226" si="629">CHOOSE(2, "1395000000547", "Avg. Case size pro-rated MDRT agents (&gt;100%)")</f>
        <v>Avg. Case size pro-rated MDRT agents (&gt;100%)</v>
      </c>
      <c r="C1225" s="4" t="str">
        <f>CHOOSE(2, "5461730030", "Jun 26")</f>
        <v>Jun 26</v>
      </c>
      <c r="D1225" s="14">
        <v>3470.4605184227539</v>
      </c>
    </row>
    <row r="1226" spans="1:4" x14ac:dyDescent="0.35">
      <c r="A1226" s="5" t="str">
        <f t="shared" si="597"/>
        <v>Agency</v>
      </c>
      <c r="B1226" s="6" t="str">
        <f t="shared" si="629"/>
        <v>Avg. Case size pro-rated MDRT agents (&gt;100%)</v>
      </c>
      <c r="C1226" s="4" t="str">
        <f>CHOOSE(2, "5462030031", "Jul 26")</f>
        <v>Jul 26</v>
      </c>
      <c r="D1226" s="14">
        <v>2941.0273646209384</v>
      </c>
    </row>
    <row r="1227" spans="1:4" x14ac:dyDescent="0.35">
      <c r="A1227" s="5" t="str">
        <f t="shared" ref="A1227:A1260" si="630">CHOOSE(2, "1260000000011", "Agency")</f>
        <v>Agency</v>
      </c>
      <c r="B1227" s="3" t="str">
        <f t="shared" ref="B1227:B1228" si="631">CHOOSE(2, "1395000000546", "Avg. Case size pro-rated MDRT agents (70-99%)")</f>
        <v>Avg. Case size pro-rated MDRT agents (70-99%)</v>
      </c>
      <c r="C1227" s="4" t="str">
        <f>CHOOSE(2, "5461730030", "Jun 26")</f>
        <v>Jun 26</v>
      </c>
      <c r="D1227" s="14">
        <v>2296.4813667781495</v>
      </c>
    </row>
    <row r="1228" spans="1:4" x14ac:dyDescent="0.35">
      <c r="A1228" s="5" t="str">
        <f t="shared" si="630"/>
        <v>Agency</v>
      </c>
      <c r="B1228" s="6" t="str">
        <f t="shared" si="631"/>
        <v>Avg. Case size pro-rated MDRT agents (70-99%)</v>
      </c>
      <c r="C1228" s="4" t="str">
        <f>CHOOSE(2, "5462030031", "Jul 26")</f>
        <v>Jul 26</v>
      </c>
      <c r="D1228" s="14">
        <v>2245.39361745828</v>
      </c>
    </row>
    <row r="1229" spans="1:4" x14ac:dyDescent="0.35">
      <c r="A1229" s="5" t="str">
        <f t="shared" si="630"/>
        <v>Agency</v>
      </c>
      <c r="B1229" s="3" t="str">
        <f t="shared" ref="B1229:B1230" si="632">CHOOSE(2, "1395000000545", "Avg. Case size pro-rated MDRT agents (50-69%)")</f>
        <v>Avg. Case size pro-rated MDRT agents (50-69%)</v>
      </c>
      <c r="C1229" s="4" t="str">
        <f>CHOOSE(2, "5461730030", "Jun 26")</f>
        <v>Jun 26</v>
      </c>
      <c r="D1229" s="14">
        <v>2150.3136383838382</v>
      </c>
    </row>
    <row r="1230" spans="1:4" x14ac:dyDescent="0.35">
      <c r="A1230" s="5" t="str">
        <f t="shared" si="630"/>
        <v>Agency</v>
      </c>
      <c r="B1230" s="6" t="str">
        <f t="shared" si="632"/>
        <v>Avg. Case size pro-rated MDRT agents (50-69%)</v>
      </c>
      <c r="C1230" s="4" t="str">
        <f>CHOOSE(2, "5462030031", "Jul 26")</f>
        <v>Jul 26</v>
      </c>
      <c r="D1230" s="14">
        <v>1895.6131173594133</v>
      </c>
    </row>
    <row r="1231" spans="1:4" x14ac:dyDescent="0.35">
      <c r="A1231" s="5" t="str">
        <f t="shared" si="630"/>
        <v>Agency</v>
      </c>
      <c r="B1231" s="3" t="str">
        <f t="shared" ref="B1231:B1232" si="633">CHOOSE(2, "1395000000544", "% of 1-Month Active Agents UM")</f>
        <v>% of 1-Month Active Agents UM</v>
      </c>
      <c r="C1231" s="4" t="str">
        <f>CHOOSE(2, "5461730030", "Jun 26")</f>
        <v>Jun 26</v>
      </c>
      <c r="D1231" s="14">
        <v>0.92783505154639179</v>
      </c>
    </row>
    <row r="1232" spans="1:4" x14ac:dyDescent="0.35">
      <c r="A1232" s="5" t="str">
        <f t="shared" si="630"/>
        <v>Agency</v>
      </c>
      <c r="B1232" s="6" t="str">
        <f t="shared" si="633"/>
        <v>% of 1-Month Active Agents UM</v>
      </c>
      <c r="C1232" s="4" t="str">
        <f>CHOOSE(2, "5462030031", "Jul 26")</f>
        <v>Jul 26</v>
      </c>
      <c r="D1232" s="14">
        <v>0.82828282828282829</v>
      </c>
    </row>
    <row r="1233" spans="1:4" x14ac:dyDescent="0.35">
      <c r="A1233" s="5" t="str">
        <f t="shared" si="630"/>
        <v>Agency</v>
      </c>
      <c r="B1233" s="3" t="str">
        <f t="shared" ref="B1233:B1234" si="634">CHOOSE(2, "1395000000543", "% of 1-Month Active Agents Leaders above UM")</f>
        <v>% of 1-Month Active Agents Leaders above UM</v>
      </c>
      <c r="C1233" s="4" t="str">
        <f>CHOOSE(2, "5461730030", "Jun 26")</f>
        <v>Jun 26</v>
      </c>
      <c r="D1233" s="14">
        <v>0.6875</v>
      </c>
    </row>
    <row r="1234" spans="1:4" x14ac:dyDescent="0.35">
      <c r="A1234" s="5" t="str">
        <f t="shared" si="630"/>
        <v>Agency</v>
      </c>
      <c r="B1234" s="6" t="str">
        <f t="shared" si="634"/>
        <v>% of 1-Month Active Agents Leaders above UM</v>
      </c>
      <c r="C1234" s="4" t="str">
        <f>CHOOSE(2, "5462030031", "Jul 26")</f>
        <v>Jul 26</v>
      </c>
      <c r="D1234" s="14">
        <v>0.6875</v>
      </c>
    </row>
    <row r="1235" spans="1:4" x14ac:dyDescent="0.35">
      <c r="A1235" s="5" t="str">
        <f t="shared" si="630"/>
        <v>Agency</v>
      </c>
      <c r="B1235" s="3" t="str">
        <f t="shared" ref="B1235:B1236" si="635">CHOOSE(2, "1395000000542", "% of 1-Month Active Agents Top-tier agents")</f>
        <v>% of 1-Month Active Agents Top-tier agents</v>
      </c>
      <c r="C1235" s="4" t="str">
        <f>CHOOSE(2, "5461730030", "Jun 26")</f>
        <v>Jun 26</v>
      </c>
      <c r="D1235" s="14">
        <v>0.99009900990099009</v>
      </c>
    </row>
    <row r="1236" spans="1:4" x14ac:dyDescent="0.35">
      <c r="A1236" s="5" t="str">
        <f t="shared" si="630"/>
        <v>Agency</v>
      </c>
      <c r="B1236" s="6" t="str">
        <f t="shared" si="635"/>
        <v>% of 1-Month Active Agents Top-tier agents</v>
      </c>
      <c r="C1236" s="4" t="str">
        <f>CHOOSE(2, "5462030031", "Jul 26")</f>
        <v>Jul 26</v>
      </c>
      <c r="D1236" s="14">
        <v>0.96455696202531649</v>
      </c>
    </row>
    <row r="1237" spans="1:4" x14ac:dyDescent="0.35">
      <c r="A1237" s="5" t="str">
        <f t="shared" si="630"/>
        <v>Agency</v>
      </c>
      <c r="B1237" s="3" t="str">
        <f t="shared" ref="B1237:B1238" si="636">CHOOSE(2, "1395000000541", "% of 1-Month Active Agents FA or equivalent")</f>
        <v>% of 1-Month Active Agents FA or equivalent</v>
      </c>
      <c r="C1237" s="4" t="str">
        <f>CHOOSE(2, "5461730030", "Jun 26")</f>
        <v>Jun 26</v>
      </c>
      <c r="D1237" s="14">
        <v>0.85932388222464562</v>
      </c>
    </row>
    <row r="1238" spans="1:4" x14ac:dyDescent="0.35">
      <c r="A1238" s="5" t="str">
        <f t="shared" si="630"/>
        <v>Agency</v>
      </c>
      <c r="B1238" s="6" t="str">
        <f t="shared" si="636"/>
        <v>% of 1-Month Active Agents FA or equivalent</v>
      </c>
      <c r="C1238" s="4" t="str">
        <f>CHOOSE(2, "5462030031", "Jul 26")</f>
        <v>Jul 26</v>
      </c>
      <c r="D1238" s="14">
        <v>0.84182015167930657</v>
      </c>
    </row>
    <row r="1239" spans="1:4" x14ac:dyDescent="0.35">
      <c r="A1239" s="5" t="str">
        <f t="shared" si="630"/>
        <v>Agency</v>
      </c>
      <c r="B1239" s="3" t="str">
        <f t="shared" ref="B1239:B1240" si="637">CHOOSE(2, "1395000000540", "% of 1-Month Active Agents pro-rated MDRT agents (&gt;100%)")</f>
        <v>% of 1-Month Active Agents pro-rated MDRT agents (&gt;100%)</v>
      </c>
      <c r="C1239" s="4" t="str">
        <f>CHOOSE(2, "5461730030", "Jun 26")</f>
        <v>Jun 26</v>
      </c>
      <c r="D1239" s="14">
        <v>0.98657718120805371</v>
      </c>
    </row>
    <row r="1240" spans="1:4" x14ac:dyDescent="0.35">
      <c r="A1240" s="5" t="str">
        <f t="shared" si="630"/>
        <v>Agency</v>
      </c>
      <c r="B1240" s="6" t="str">
        <f t="shared" si="637"/>
        <v>% of 1-Month Active Agents pro-rated MDRT agents (&gt;100%)</v>
      </c>
      <c r="C1240" s="4" t="str">
        <f>CHOOSE(2, "5462030031", "Jul 26")</f>
        <v>Jul 26</v>
      </c>
      <c r="D1240" s="14">
        <v>0.97887323943661975</v>
      </c>
    </row>
    <row r="1241" spans="1:4" x14ac:dyDescent="0.35">
      <c r="A1241" s="5" t="str">
        <f t="shared" si="630"/>
        <v>Agency</v>
      </c>
      <c r="B1241" s="3" t="str">
        <f t="shared" ref="B1241:B1242" si="638">CHOOSE(2, "1395000000539", "% of 1-Month Active Agents pro-rated MDRT agents (70-99%)")</f>
        <v>% of 1-Month Active Agents pro-rated MDRT agents (70-99%)</v>
      </c>
      <c r="C1241" s="4" t="str">
        <f>CHOOSE(2, "5461730030", "Jun 26")</f>
        <v>Jun 26</v>
      </c>
      <c r="D1241" s="14">
        <v>0.9910714285714286</v>
      </c>
    </row>
    <row r="1242" spans="1:4" x14ac:dyDescent="0.35">
      <c r="A1242" s="5" t="str">
        <f t="shared" si="630"/>
        <v>Agency</v>
      </c>
      <c r="B1242" s="6" t="str">
        <f t="shared" si="638"/>
        <v>% of 1-Month Active Agents pro-rated MDRT agents (70-99%)</v>
      </c>
      <c r="C1242" s="4" t="str">
        <f>CHOOSE(2, "5462030031", "Jul 26")</f>
        <v>Jul 26</v>
      </c>
      <c r="D1242" s="14">
        <v>0.96491228070175439</v>
      </c>
    </row>
    <row r="1243" spans="1:4" x14ac:dyDescent="0.35">
      <c r="A1243" s="5" t="str">
        <f t="shared" si="630"/>
        <v>Agency</v>
      </c>
      <c r="B1243" s="3" t="str">
        <f t="shared" ref="B1243:B1244" si="639">CHOOSE(2, "1395000000538", "% of 1-Month Active Agents pro-rated MDRT agents (50-69%)")</f>
        <v>% of 1-Month Active Agents pro-rated MDRT agents (50-69%)</v>
      </c>
      <c r="C1243" s="4" t="str">
        <f>CHOOSE(2, "5461730030", "Jun 26")</f>
        <v>Jun 26</v>
      </c>
      <c r="D1243" s="14">
        <v>0.99300699300699302</v>
      </c>
    </row>
    <row r="1244" spans="1:4" x14ac:dyDescent="0.35">
      <c r="A1244" s="5" t="str">
        <f t="shared" si="630"/>
        <v>Agency</v>
      </c>
      <c r="B1244" s="6" t="str">
        <f t="shared" si="639"/>
        <v>% of 1-Month Active Agents pro-rated MDRT agents (50-69%)</v>
      </c>
      <c r="C1244" s="4" t="str">
        <f>CHOOSE(2, "5462030031", "Jul 26")</f>
        <v>Jul 26</v>
      </c>
      <c r="D1244" s="14">
        <v>0.94964028776978415</v>
      </c>
    </row>
    <row r="1245" spans="1:4" x14ac:dyDescent="0.35">
      <c r="A1245" s="5" t="str">
        <f t="shared" si="630"/>
        <v>Agency</v>
      </c>
      <c r="B1245" s="3" t="str">
        <f t="shared" ref="B1245:B1246" si="640">CHOOSE(2, "1395000000537", "Avg. Case count per 1-Month Active Agent UM")</f>
        <v>Avg. Case count per 1-Month Active Agent UM</v>
      </c>
      <c r="C1245" s="4" t="str">
        <f>CHOOSE(2, "5461730030", "Jun 26")</f>
        <v>Jun 26</v>
      </c>
      <c r="D1245" s="14">
        <v>3.7555555555555555</v>
      </c>
    </row>
    <row r="1246" spans="1:4" x14ac:dyDescent="0.35">
      <c r="A1246" s="5" t="str">
        <f t="shared" si="630"/>
        <v>Agency</v>
      </c>
      <c r="B1246" s="6" t="str">
        <f t="shared" si="640"/>
        <v>Avg. Case count per 1-Month Active Agent UM</v>
      </c>
      <c r="C1246" s="4" t="str">
        <f>CHOOSE(2, "5462030031", "Jul 26")</f>
        <v>Jul 26</v>
      </c>
      <c r="D1246" s="14">
        <v>3.4939024390243905</v>
      </c>
    </row>
    <row r="1247" spans="1:4" x14ac:dyDescent="0.35">
      <c r="A1247" s="5" t="str">
        <f t="shared" si="630"/>
        <v>Agency</v>
      </c>
      <c r="B1247" s="3" t="str">
        <f t="shared" ref="B1247:B1248" si="641">CHOOSE(2, "1395000000536", "Avg. Case count per 1-Month Active Agent Leaders above UM")</f>
        <v>Avg. Case count per 1-Month Active Agent Leaders above UM</v>
      </c>
      <c r="C1247" s="4" t="str">
        <f>CHOOSE(2, "5461730030", "Jun 26")</f>
        <v>Jun 26</v>
      </c>
      <c r="D1247" s="14">
        <v>4.5</v>
      </c>
    </row>
    <row r="1248" spans="1:4" x14ac:dyDescent="0.35">
      <c r="A1248" s="5" t="str">
        <f t="shared" si="630"/>
        <v>Agency</v>
      </c>
      <c r="B1248" s="6" t="str">
        <f t="shared" si="641"/>
        <v>Avg. Case count per 1-Month Active Agent Leaders above UM</v>
      </c>
      <c r="C1248" s="4" t="str">
        <f>CHOOSE(2, "5462030031", "Jul 26")</f>
        <v>Jul 26</v>
      </c>
      <c r="D1248" s="14">
        <v>3.7272727272727271</v>
      </c>
    </row>
    <row r="1249" spans="1:4" x14ac:dyDescent="0.35">
      <c r="A1249" s="5" t="str">
        <f t="shared" si="630"/>
        <v>Agency</v>
      </c>
      <c r="B1249" s="3" t="str">
        <f t="shared" ref="B1249:B1250" si="642">CHOOSE(2, "1395000000535", "Avg. Case count per 1-Month Active Agent Top-tier agents")</f>
        <v>Avg. Case count per 1-Month Active Agent Top-tier agents</v>
      </c>
      <c r="C1249" s="4" t="str">
        <f>CHOOSE(2, "5461730030", "Jun 26")</f>
        <v>Jun 26</v>
      </c>
      <c r="D1249" s="14">
        <v>4.2925000000000004</v>
      </c>
    </row>
    <row r="1250" spans="1:4" x14ac:dyDescent="0.35">
      <c r="A1250" s="5" t="str">
        <f t="shared" si="630"/>
        <v>Agency</v>
      </c>
      <c r="B1250" s="6" t="str">
        <f t="shared" si="642"/>
        <v>Avg. Case count per 1-Month Active Agent Top-tier agents</v>
      </c>
      <c r="C1250" s="4" t="str">
        <f>CHOOSE(2, "5462030031", "Jul 26")</f>
        <v>Jul 26</v>
      </c>
      <c r="D1250" s="14">
        <v>3.9133858267716537</v>
      </c>
    </row>
    <row r="1251" spans="1:4" x14ac:dyDescent="0.35">
      <c r="A1251" s="5" t="str">
        <f t="shared" si="630"/>
        <v>Agency</v>
      </c>
      <c r="B1251" s="3" t="str">
        <f t="shared" ref="B1251:B1252" si="643">CHOOSE(2, "1395000000534", "Avg. Case count per 1-Month Manulife Pro Qualifiers - Total")</f>
        <v>Avg. Case count per 1-Month Manulife Pro Qualifiers - Total</v>
      </c>
      <c r="C1251" s="4" t="str">
        <f>CHOOSE(2, "5461730030", "Jun 26")</f>
        <v>Jun 26</v>
      </c>
      <c r="D1251" s="14">
        <v>4.5999999999999996</v>
      </c>
    </row>
    <row r="1252" spans="1:4" x14ac:dyDescent="0.35">
      <c r="A1252" s="5" t="str">
        <f t="shared" si="630"/>
        <v>Agency</v>
      </c>
      <c r="B1252" s="6" t="str">
        <f t="shared" si="643"/>
        <v>Avg. Case count per 1-Month Manulife Pro Qualifiers - Total</v>
      </c>
      <c r="C1252" s="4" t="str">
        <f>CHOOSE(2, "5462030031", "Jul 26")</f>
        <v>Jul 26</v>
      </c>
      <c r="D1252" s="14">
        <v>4.6721311475409832</v>
      </c>
    </row>
    <row r="1253" spans="1:4" x14ac:dyDescent="0.35">
      <c r="A1253" s="5" t="str">
        <f t="shared" si="630"/>
        <v>Agency</v>
      </c>
      <c r="B1253" s="3" t="str">
        <f t="shared" ref="B1253:B1254" si="644">CHOOSE(2, "1395000000533", "Avg. Case count per 1-Month Active Agent FA or equivalent")</f>
        <v>Avg. Case count per 1-Month Active Agent FA or equivalent</v>
      </c>
      <c r="C1253" s="4" t="str">
        <f>CHOOSE(2, "5461730030", "Jun 26")</f>
        <v>Jun 26</v>
      </c>
      <c r="D1253" s="14">
        <v>3.3045685279187818</v>
      </c>
    </row>
    <row r="1254" spans="1:4" x14ac:dyDescent="0.35">
      <c r="A1254" s="5" t="str">
        <f t="shared" si="630"/>
        <v>Agency</v>
      </c>
      <c r="B1254" s="6" t="str">
        <f t="shared" si="644"/>
        <v>Avg. Case count per 1-Month Active Agent FA or equivalent</v>
      </c>
      <c r="C1254" s="4" t="str">
        <f>CHOOSE(2, "5462030031", "Jul 26")</f>
        <v>Jul 26</v>
      </c>
      <c r="D1254" s="14">
        <v>3.0907335907335907</v>
      </c>
    </row>
    <row r="1255" spans="1:4" x14ac:dyDescent="0.35">
      <c r="A1255" s="5" t="str">
        <f t="shared" si="630"/>
        <v>Agency</v>
      </c>
      <c r="B1255" s="3" t="str">
        <f t="shared" ref="B1255:B1256" si="645">CHOOSE(2, "1395000000532", "Avg. Case count per 1-Month pro-rated MDRT agents (&gt;100%)")</f>
        <v>Avg. Case count per 1-Month pro-rated MDRT agents (&gt;100%)</v>
      </c>
      <c r="C1255" s="4" t="str">
        <f>CHOOSE(2, "5461730030", "Jun 26")</f>
        <v>Jun 26</v>
      </c>
      <c r="D1255" s="14">
        <v>5.2619047619047619</v>
      </c>
    </row>
    <row r="1256" spans="1:4" x14ac:dyDescent="0.35">
      <c r="A1256" s="5" t="str">
        <f t="shared" si="630"/>
        <v>Agency</v>
      </c>
      <c r="B1256" s="6" t="str">
        <f t="shared" si="645"/>
        <v>Avg. Case count per 1-Month pro-rated MDRT agents (&gt;100%)</v>
      </c>
      <c r="C1256" s="4" t="str">
        <f>CHOOSE(2, "5462030031", "Jul 26")</f>
        <v>Jul 26</v>
      </c>
      <c r="D1256" s="14">
        <v>4.9820143884892083</v>
      </c>
    </row>
    <row r="1257" spans="1:4" x14ac:dyDescent="0.35">
      <c r="A1257" s="5" t="str">
        <f t="shared" si="630"/>
        <v>Agency</v>
      </c>
      <c r="B1257" s="3" t="str">
        <f t="shared" ref="B1257:B1258" si="646">CHOOSE(2, "1395000000531", "Avg. Case count per 1-Month pro-rated MDRT agents (70-99%)")</f>
        <v>Avg. Case count per 1-Month pro-rated MDRT agents (70-99%)</v>
      </c>
      <c r="C1257" s="4" t="str">
        <f>CHOOSE(2, "5461730030", "Jun 26")</f>
        <v>Jun 26</v>
      </c>
      <c r="D1257" s="14">
        <v>4.0405405405405403</v>
      </c>
    </row>
    <row r="1258" spans="1:4" x14ac:dyDescent="0.35">
      <c r="A1258" s="5" t="str">
        <f t="shared" si="630"/>
        <v>Agency</v>
      </c>
      <c r="B1258" s="6" t="str">
        <f t="shared" si="646"/>
        <v>Avg. Case count per 1-Month pro-rated MDRT agents (70-99%)</v>
      </c>
      <c r="C1258" s="4" t="str">
        <f>CHOOSE(2, "5462030031", "Jul 26")</f>
        <v>Jul 26</v>
      </c>
      <c r="D1258" s="14">
        <v>3.540909090909091</v>
      </c>
    </row>
    <row r="1259" spans="1:4" x14ac:dyDescent="0.35">
      <c r="A1259" s="5" t="str">
        <f t="shared" si="630"/>
        <v>Agency</v>
      </c>
      <c r="B1259" s="3" t="str">
        <f t="shared" ref="B1259:B1260" si="647">CHOOSE(2, "1395000000530", "Avg. Case count per 1-Month pro-rated MDRT agents (50-69%)")</f>
        <v>Avg. Case count per 1-Month pro-rated MDRT agents (50-69%)</v>
      </c>
      <c r="C1259" s="4" t="str">
        <f>CHOOSE(2, "5461730030", "Jun 26")</f>
        <v>Jun 26</v>
      </c>
      <c r="D1259" s="14">
        <v>3.4859154929577465</v>
      </c>
    </row>
    <row r="1260" spans="1:4" x14ac:dyDescent="0.35">
      <c r="A1260" s="6" t="str">
        <f t="shared" si="630"/>
        <v>Agency</v>
      </c>
      <c r="B1260" s="6" t="str">
        <f t="shared" si="647"/>
        <v>Avg. Case count per 1-Month pro-rated MDRT agents (50-69%)</v>
      </c>
      <c r="C1260" s="4" t="str">
        <f>CHOOSE(2, "5462030031", "Jul 26")</f>
        <v>Jul 26</v>
      </c>
      <c r="D1260" s="14">
        <v>3.0984848484848486</v>
      </c>
    </row>
    <row r="1261" spans="1:4" x14ac:dyDescent="0.35">
      <c r="A1261" s="7" t="str">
        <f t="shared" ref="A1261:A1324" si="648">CHOOSE(2, "204000000002", "Japan")</f>
        <v>Japan</v>
      </c>
      <c r="B1261" s="3" t="str">
        <f t="shared" ref="B1261:B1262" si="649">CHOOSE(2, "1395000000741", "Submitted APE")</f>
        <v>Submitted APE</v>
      </c>
      <c r="C1261" s="4" t="str">
        <f>CHOOSE(2, "5461730030", "Jun 26")</f>
        <v>Jun 26</v>
      </c>
      <c r="D1261" s="14">
        <v>6570660.3735250002</v>
      </c>
    </row>
    <row r="1262" spans="1:4" x14ac:dyDescent="0.35">
      <c r="A1262" s="8" t="str">
        <f t="shared" si="648"/>
        <v>Japan</v>
      </c>
      <c r="B1262" s="6" t="str">
        <f t="shared" si="649"/>
        <v>Submitted APE</v>
      </c>
      <c r="C1262" s="4" t="str">
        <f>CHOOSE(2, "5462030031", "Jul 26")</f>
        <v>Jul 26</v>
      </c>
      <c r="D1262" s="14">
        <v>5196560.1518749008</v>
      </c>
    </row>
    <row r="1263" spans="1:4" x14ac:dyDescent="0.35">
      <c r="A1263" s="8" t="str">
        <f t="shared" si="648"/>
        <v>Japan</v>
      </c>
      <c r="B1263" s="3" t="str">
        <f t="shared" ref="B1263:B1264" si="650">CHOOSE(2, "1395000000740", "# of 1-Month Active Agents")</f>
        <v># of 1-Month Active Agents</v>
      </c>
      <c r="C1263" s="4" t="str">
        <f>CHOOSE(2, "5461730030", "Jun 26")</f>
        <v>Jun 26</v>
      </c>
      <c r="D1263" s="14">
        <v>889</v>
      </c>
    </row>
    <row r="1264" spans="1:4" x14ac:dyDescent="0.35">
      <c r="A1264" s="8" t="str">
        <f t="shared" si="648"/>
        <v>Japan</v>
      </c>
      <c r="B1264" s="6" t="str">
        <f t="shared" si="650"/>
        <v># of 1-Month Active Agents</v>
      </c>
      <c r="C1264" s="4" t="str">
        <f>CHOOSE(2, "5462030031", "Jul 26")</f>
        <v>Jul 26</v>
      </c>
      <c r="D1264" s="14">
        <v>870</v>
      </c>
    </row>
    <row r="1265" spans="1:4" x14ac:dyDescent="0.35">
      <c r="A1265" s="8" t="str">
        <f t="shared" si="648"/>
        <v>Japan</v>
      </c>
      <c r="B1265" s="3" t="str">
        <f t="shared" ref="B1265:B1266" si="651">CHOOSE(2, "1395000000739", "# of 1-Month Active Agents in 0-1M")</f>
        <v># of 1-Month Active Agents in 0-1M</v>
      </c>
      <c r="C1265" s="4" t="str">
        <f>CHOOSE(2, "5461730030", "Jun 26")</f>
        <v>Jun 26</v>
      </c>
      <c r="D1265" s="14">
        <v>13</v>
      </c>
    </row>
    <row r="1266" spans="1:4" x14ac:dyDescent="0.35">
      <c r="A1266" s="8" t="str">
        <f t="shared" si="648"/>
        <v>Japan</v>
      </c>
      <c r="B1266" s="6" t="str">
        <f t="shared" si="651"/>
        <v># of 1-Month Active Agents in 0-1M</v>
      </c>
      <c r="C1266" s="4" t="str">
        <f>CHOOSE(2, "5462030031", "Jul 26")</f>
        <v>Jul 26</v>
      </c>
      <c r="D1266" s="14">
        <v>24</v>
      </c>
    </row>
    <row r="1267" spans="1:4" x14ac:dyDescent="0.35">
      <c r="A1267" s="8" t="str">
        <f t="shared" si="648"/>
        <v>Japan</v>
      </c>
      <c r="B1267" s="3" t="str">
        <f t="shared" ref="B1267:B1268" si="652">CHOOSE(2, "1395000000738", "# of 1-Month Active Agents in 2-3M")</f>
        <v># of 1-Month Active Agents in 2-3M</v>
      </c>
      <c r="C1267" s="4" t="str">
        <f>CHOOSE(2, "5461730030", "Jun 26")</f>
        <v>Jun 26</v>
      </c>
      <c r="D1267" s="14">
        <v>33</v>
      </c>
    </row>
    <row r="1268" spans="1:4" x14ac:dyDescent="0.35">
      <c r="A1268" s="8" t="str">
        <f t="shared" si="648"/>
        <v>Japan</v>
      </c>
      <c r="B1268" s="6" t="str">
        <f t="shared" si="652"/>
        <v># of 1-Month Active Agents in 2-3M</v>
      </c>
      <c r="C1268" s="4" t="str">
        <f>CHOOSE(2, "5462030031", "Jul 26")</f>
        <v>Jul 26</v>
      </c>
      <c r="D1268" s="14">
        <v>34</v>
      </c>
    </row>
    <row r="1269" spans="1:4" x14ac:dyDescent="0.35">
      <c r="A1269" s="8" t="str">
        <f t="shared" si="648"/>
        <v>Japan</v>
      </c>
      <c r="B1269" s="3" t="str">
        <f t="shared" ref="B1269:B1270" si="653">CHOOSE(2, "1395000000737", "# of 1-Month Active Agents in 4-12M")</f>
        <v># of 1-Month Active Agents in 4-12M</v>
      </c>
      <c r="C1269" s="4" t="str">
        <f>CHOOSE(2, "5461730030", "Jun 26")</f>
        <v>Jun 26</v>
      </c>
      <c r="D1269" s="14">
        <v>114</v>
      </c>
    </row>
    <row r="1270" spans="1:4" x14ac:dyDescent="0.35">
      <c r="A1270" s="8" t="str">
        <f t="shared" si="648"/>
        <v>Japan</v>
      </c>
      <c r="B1270" s="6" t="str">
        <f t="shared" si="653"/>
        <v># of 1-Month Active Agents in 4-12M</v>
      </c>
      <c r="C1270" s="4" t="str">
        <f>CHOOSE(2, "5462030031", "Jul 26")</f>
        <v>Jul 26</v>
      </c>
      <c r="D1270" s="14">
        <v>107</v>
      </c>
    </row>
    <row r="1271" spans="1:4" x14ac:dyDescent="0.35">
      <c r="A1271" s="8" t="str">
        <f t="shared" si="648"/>
        <v>Japan</v>
      </c>
      <c r="B1271" s="3" t="str">
        <f t="shared" ref="B1271:B1272" si="654">CHOOSE(2, "1395000000736", "# of 1-Month Active Agents 13+M")</f>
        <v># of 1-Month Active Agents 13+M</v>
      </c>
      <c r="C1271" s="4" t="str">
        <f>CHOOSE(2, "5461730030", "Jun 26")</f>
        <v>Jun 26</v>
      </c>
      <c r="D1271" s="14">
        <v>729</v>
      </c>
    </row>
    <row r="1272" spans="1:4" x14ac:dyDescent="0.35">
      <c r="A1272" s="8" t="str">
        <f t="shared" si="648"/>
        <v>Japan</v>
      </c>
      <c r="B1272" s="6" t="str">
        <f t="shared" si="654"/>
        <v># of 1-Month Active Agents 13+M</v>
      </c>
      <c r="C1272" s="4" t="str">
        <f>CHOOSE(2, "5462030031", "Jul 26")</f>
        <v>Jul 26</v>
      </c>
      <c r="D1272" s="14">
        <v>705</v>
      </c>
    </row>
    <row r="1273" spans="1:4" x14ac:dyDescent="0.35">
      <c r="A1273" s="8" t="str">
        <f t="shared" si="648"/>
        <v>Japan</v>
      </c>
      <c r="B1273" s="3" t="str">
        <f t="shared" ref="B1273:B1274" si="655">CHOOSE(2, "1395000000735", "# of 1-Month Active Agents in FA or equivalent")</f>
        <v># of 1-Month Active Agents in FA or equivalent</v>
      </c>
      <c r="C1273" s="4" t="str">
        <f>CHOOSE(2, "5461730030", "Jun 26")</f>
        <v>Jun 26</v>
      </c>
      <c r="D1273" s="14">
        <v>788</v>
      </c>
    </row>
    <row r="1274" spans="1:4" x14ac:dyDescent="0.35">
      <c r="A1274" s="8" t="str">
        <f t="shared" si="648"/>
        <v>Japan</v>
      </c>
      <c r="B1274" s="6" t="str">
        <f t="shared" si="655"/>
        <v># of 1-Month Active Agents in FA or equivalent</v>
      </c>
      <c r="C1274" s="4" t="str">
        <f>CHOOSE(2, "5462030031", "Jul 26")</f>
        <v>Jul 26</v>
      </c>
      <c r="D1274" s="14">
        <v>777</v>
      </c>
    </row>
    <row r="1275" spans="1:4" x14ac:dyDescent="0.35">
      <c r="A1275" s="8" t="str">
        <f t="shared" si="648"/>
        <v>Japan</v>
      </c>
      <c r="B1275" s="3" t="str">
        <f t="shared" ref="B1275:B1276" si="656">CHOOSE(2, "1395000000734", "# of 1-Month Active Agents in UM")</f>
        <v># of 1-Month Active Agents in UM</v>
      </c>
      <c r="C1275" s="4" t="str">
        <f>CHOOSE(2, "5461730030", "Jun 26")</f>
        <v>Jun 26</v>
      </c>
      <c r="D1275" s="14">
        <v>90</v>
      </c>
    </row>
    <row r="1276" spans="1:4" x14ac:dyDescent="0.35">
      <c r="A1276" s="8" t="str">
        <f t="shared" si="648"/>
        <v>Japan</v>
      </c>
      <c r="B1276" s="6" t="str">
        <f t="shared" si="656"/>
        <v># of 1-Month Active Agents in UM</v>
      </c>
      <c r="C1276" s="4" t="str">
        <f>CHOOSE(2, "5462030031", "Jul 26")</f>
        <v>Jul 26</v>
      </c>
      <c r="D1276" s="14">
        <v>82</v>
      </c>
    </row>
    <row r="1277" spans="1:4" x14ac:dyDescent="0.35">
      <c r="A1277" s="8" t="str">
        <f t="shared" si="648"/>
        <v>Japan</v>
      </c>
      <c r="B1277" s="3" t="str">
        <f t="shared" ref="B1277:B1278" si="657">CHOOSE(2, "1395000000733", "# of 1-Month Active Agents in Leaders above UM")</f>
        <v># of 1-Month Active Agents in Leaders above UM</v>
      </c>
      <c r="C1277" s="4" t="str">
        <f>CHOOSE(2, "5461730030", "Jun 26")</f>
        <v>Jun 26</v>
      </c>
      <c r="D1277" s="14">
        <v>11</v>
      </c>
    </row>
    <row r="1278" spans="1:4" x14ac:dyDescent="0.35">
      <c r="A1278" s="8" t="str">
        <f t="shared" si="648"/>
        <v>Japan</v>
      </c>
      <c r="B1278" s="6" t="str">
        <f t="shared" si="657"/>
        <v># of 1-Month Active Agents in Leaders above UM</v>
      </c>
      <c r="C1278" s="4" t="str">
        <f>CHOOSE(2, "5462030031", "Jul 26")</f>
        <v>Jul 26</v>
      </c>
      <c r="D1278" s="14">
        <v>11</v>
      </c>
    </row>
    <row r="1279" spans="1:4" x14ac:dyDescent="0.35">
      <c r="A1279" s="8" t="str">
        <f t="shared" si="648"/>
        <v>Japan</v>
      </c>
      <c r="B1279" s="3" t="str">
        <f t="shared" ref="B1279:B1280" si="658">CHOOSE(2, "1395000000732", "# of 1-Month Active Top-tier Agents")</f>
        <v># of 1-Month Active Top-tier Agents</v>
      </c>
      <c r="C1279" s="4" t="str">
        <f>CHOOSE(2, "5461730030", "Jun 26")</f>
        <v>Jun 26</v>
      </c>
      <c r="D1279" s="14">
        <v>400</v>
      </c>
    </row>
    <row r="1280" spans="1:4" x14ac:dyDescent="0.35">
      <c r="A1280" s="8" t="str">
        <f t="shared" si="648"/>
        <v>Japan</v>
      </c>
      <c r="B1280" s="6" t="str">
        <f t="shared" si="658"/>
        <v># of 1-Month Active Top-tier Agents</v>
      </c>
      <c r="C1280" s="4" t="str">
        <f>CHOOSE(2, "5462030031", "Jul 26")</f>
        <v>Jul 26</v>
      </c>
      <c r="D1280" s="14">
        <v>381</v>
      </c>
    </row>
    <row r="1281" spans="1:4" x14ac:dyDescent="0.35">
      <c r="A1281" s="8" t="str">
        <f t="shared" si="648"/>
        <v>Japan</v>
      </c>
      <c r="B1281" s="3" t="str">
        <f t="shared" ref="B1281:B1282" si="659">CHOOSE(2, "1395000000731", "# of 1-Month Active Agents in pro-rated MDRT agents (&gt;100%)")</f>
        <v># of 1-Month Active Agents in pro-rated MDRT agents (&gt;100%)</v>
      </c>
      <c r="C1281" s="4" t="str">
        <f>CHOOSE(2, "5461730030", "Jun 26")</f>
        <v>Jun 26</v>
      </c>
      <c r="D1281" s="14">
        <v>147</v>
      </c>
    </row>
    <row r="1282" spans="1:4" x14ac:dyDescent="0.35">
      <c r="A1282" s="8" t="str">
        <f t="shared" si="648"/>
        <v>Japan</v>
      </c>
      <c r="B1282" s="6" t="str">
        <f t="shared" si="659"/>
        <v># of 1-Month Active Agents in pro-rated MDRT agents (&gt;100%)</v>
      </c>
      <c r="C1282" s="4" t="str">
        <f>CHOOSE(2, "5462030031", "Jul 26")</f>
        <v>Jul 26</v>
      </c>
      <c r="D1282" s="14">
        <v>139</v>
      </c>
    </row>
    <row r="1283" spans="1:4" x14ac:dyDescent="0.35">
      <c r="A1283" s="8" t="str">
        <f t="shared" si="648"/>
        <v>Japan</v>
      </c>
      <c r="B1283" s="3" t="str">
        <f t="shared" ref="B1283:B1284" si="660">CHOOSE(2, "1395000000730", "# of 1-Month Active Agents in pro-rated MDRT agents (70-99%)")</f>
        <v># of 1-Month Active Agents in pro-rated MDRT agents (70-99%)</v>
      </c>
      <c r="C1283" s="4" t="str">
        <f>CHOOSE(2, "5461730030", "Jun 26")</f>
        <v>Jun 26</v>
      </c>
      <c r="D1283" s="14">
        <v>111</v>
      </c>
    </row>
    <row r="1284" spans="1:4" x14ac:dyDescent="0.35">
      <c r="A1284" s="8" t="str">
        <f t="shared" si="648"/>
        <v>Japan</v>
      </c>
      <c r="B1284" s="6" t="str">
        <f t="shared" si="660"/>
        <v># of 1-Month Active Agents in pro-rated MDRT agents (70-99%)</v>
      </c>
      <c r="C1284" s="4" t="str">
        <f>CHOOSE(2, "5462030031", "Jul 26")</f>
        <v>Jul 26</v>
      </c>
      <c r="D1284" s="14">
        <v>110</v>
      </c>
    </row>
    <row r="1285" spans="1:4" x14ac:dyDescent="0.35">
      <c r="A1285" s="8" t="str">
        <f t="shared" si="648"/>
        <v>Japan</v>
      </c>
      <c r="B1285" s="3" t="str">
        <f t="shared" ref="B1285:B1286" si="661">CHOOSE(2, "1395000000729", "# of 1-Month Active Agents in pro-rated MDRT agents (50-69%)")</f>
        <v># of 1-Month Active Agents in pro-rated MDRT agents (50-69%)</v>
      </c>
      <c r="C1285" s="4" t="str">
        <f>CHOOSE(2, "5461730030", "Jun 26")</f>
        <v>Jun 26</v>
      </c>
      <c r="D1285" s="14">
        <v>142</v>
      </c>
    </row>
    <row r="1286" spans="1:4" x14ac:dyDescent="0.35">
      <c r="A1286" s="8" t="str">
        <f t="shared" si="648"/>
        <v>Japan</v>
      </c>
      <c r="B1286" s="6" t="str">
        <f t="shared" si="661"/>
        <v># of 1-Month Active Agents in pro-rated MDRT agents (50-69%)</v>
      </c>
      <c r="C1286" s="4" t="str">
        <f>CHOOSE(2, "5462030031", "Jul 26")</f>
        <v>Jul 26</v>
      </c>
      <c r="D1286" s="14">
        <v>132</v>
      </c>
    </row>
    <row r="1287" spans="1:4" x14ac:dyDescent="0.35">
      <c r="A1287" s="8" t="str">
        <f t="shared" si="648"/>
        <v>Japan</v>
      </c>
      <c r="B1287" s="3" t="str">
        <f t="shared" ref="B1287:B1288" si="662">CHOOSE(2, "1395000000728", "# of 1-Month Active Agents in Manulife Pro Qualifiers -Total")</f>
        <v># of 1-Month Active Agents in Manulife Pro Qualifiers -Total</v>
      </c>
      <c r="C1287" s="4" t="str">
        <f>CHOOSE(2, "5461730030", "Jun 26")</f>
        <v>Jun 26</v>
      </c>
      <c r="D1287" s="14">
        <v>125</v>
      </c>
    </row>
    <row r="1288" spans="1:4" x14ac:dyDescent="0.35">
      <c r="A1288" s="8" t="str">
        <f t="shared" si="648"/>
        <v>Japan</v>
      </c>
      <c r="B1288" s="6" t="str">
        <f t="shared" si="662"/>
        <v># of 1-Month Active Agents in Manulife Pro Qualifiers -Total</v>
      </c>
      <c r="C1288" s="4" t="str">
        <f>CHOOSE(2, "5462030031", "Jul 26")</f>
        <v>Jul 26</v>
      </c>
      <c r="D1288" s="14">
        <v>122</v>
      </c>
    </row>
    <row r="1289" spans="1:4" x14ac:dyDescent="0.35">
      <c r="A1289" s="8" t="str">
        <f t="shared" si="648"/>
        <v>Japan</v>
      </c>
      <c r="B1289" s="3" t="str">
        <f t="shared" ref="B1289:B1290" si="663">CHOOSE(2, "1395000000727", "# of 3-Month Active Agents")</f>
        <v># of 3-Month Active Agents</v>
      </c>
      <c r="C1289" s="4" t="str">
        <f>CHOOSE(2, "5461730030", "Jun 26")</f>
        <v>Jun 26</v>
      </c>
      <c r="D1289" s="14">
        <v>968</v>
      </c>
    </row>
    <row r="1290" spans="1:4" x14ac:dyDescent="0.35">
      <c r="A1290" s="8" t="str">
        <f t="shared" si="648"/>
        <v>Japan</v>
      </c>
      <c r="B1290" s="6" t="str">
        <f t="shared" si="663"/>
        <v># of 3-Month Active Agents</v>
      </c>
      <c r="C1290" s="4" t="str">
        <f>CHOOSE(2, "5462030031", "Jul 26")</f>
        <v>Jul 26</v>
      </c>
      <c r="D1290" s="14">
        <v>980</v>
      </c>
    </row>
    <row r="1291" spans="1:4" x14ac:dyDescent="0.35">
      <c r="A1291" s="8" t="str">
        <f t="shared" si="648"/>
        <v>Japan</v>
      </c>
      <c r="B1291" s="3" t="str">
        <f t="shared" ref="B1291:B1292" si="664">CHOOSE(2, "1395000000726", "# of 3-Month Active Agents in 0-1M")</f>
        <v># of 3-Month Active Agents in 0-1M</v>
      </c>
      <c r="C1291" s="4" t="str">
        <f>CHOOSE(2, "5461730030", "Jun 26")</f>
        <v>Jun 26</v>
      </c>
      <c r="D1291" s="14">
        <v>13</v>
      </c>
    </row>
    <row r="1292" spans="1:4" x14ac:dyDescent="0.35">
      <c r="A1292" s="8" t="str">
        <f t="shared" si="648"/>
        <v>Japan</v>
      </c>
      <c r="B1292" s="6" t="str">
        <f t="shared" si="664"/>
        <v># of 3-Month Active Agents in 0-1M</v>
      </c>
      <c r="C1292" s="4" t="str">
        <f>CHOOSE(2, "5462030031", "Jul 26")</f>
        <v>Jul 26</v>
      </c>
      <c r="D1292" s="14">
        <v>24</v>
      </c>
    </row>
    <row r="1293" spans="1:4" x14ac:dyDescent="0.35">
      <c r="A1293" s="8" t="str">
        <f t="shared" si="648"/>
        <v>Japan</v>
      </c>
      <c r="B1293" s="3" t="str">
        <f t="shared" ref="B1293:B1294" si="665">CHOOSE(2, "1395000000725", "# of 3-Month Active Agents in 2-3M")</f>
        <v># of 3-Month Active Agents in 2-3M</v>
      </c>
      <c r="C1293" s="4" t="str">
        <f>CHOOSE(2, "5461730030", "Jun 26")</f>
        <v>Jun 26</v>
      </c>
      <c r="D1293" s="14">
        <v>34</v>
      </c>
    </row>
    <row r="1294" spans="1:4" x14ac:dyDescent="0.35">
      <c r="A1294" s="8" t="str">
        <f t="shared" si="648"/>
        <v>Japan</v>
      </c>
      <c r="B1294" s="6" t="str">
        <f t="shared" si="665"/>
        <v># of 3-Month Active Agents in 2-3M</v>
      </c>
      <c r="C1294" s="4" t="str">
        <f>CHOOSE(2, "5462030031", "Jul 26")</f>
        <v>Jul 26</v>
      </c>
      <c r="D1294" s="14">
        <v>36</v>
      </c>
    </row>
    <row r="1295" spans="1:4" x14ac:dyDescent="0.35">
      <c r="A1295" s="8" t="str">
        <f t="shared" si="648"/>
        <v>Japan</v>
      </c>
      <c r="B1295" s="3" t="str">
        <f t="shared" ref="B1295:B1296" si="666">CHOOSE(2, "1395000000724", "# of 3-Month Active Agents in 4-12M")</f>
        <v># of 3-Month Active Agents in 4-12M</v>
      </c>
      <c r="C1295" s="4" t="str">
        <f>CHOOSE(2, "5461730030", "Jun 26")</f>
        <v>Jun 26</v>
      </c>
      <c r="D1295" s="14">
        <v>135</v>
      </c>
    </row>
    <row r="1296" spans="1:4" x14ac:dyDescent="0.35">
      <c r="A1296" s="8" t="str">
        <f t="shared" si="648"/>
        <v>Japan</v>
      </c>
      <c r="B1296" s="6" t="str">
        <f t="shared" si="666"/>
        <v># of 3-Month Active Agents in 4-12M</v>
      </c>
      <c r="C1296" s="4" t="str">
        <f>CHOOSE(2, "5462030031", "Jul 26")</f>
        <v>Jul 26</v>
      </c>
      <c r="D1296" s="14">
        <v>132</v>
      </c>
    </row>
    <row r="1297" spans="1:4" x14ac:dyDescent="0.35">
      <c r="A1297" s="8" t="str">
        <f t="shared" si="648"/>
        <v>Japan</v>
      </c>
      <c r="B1297" s="3" t="str">
        <f t="shared" ref="B1297:B1298" si="667">CHOOSE(2, "1395000000723", "# of 3-Month Active Agents 13+M")</f>
        <v># of 3-Month Active Agents 13+M</v>
      </c>
      <c r="C1297" s="4" t="str">
        <f>CHOOSE(2, "5461730030", "Jun 26")</f>
        <v>Jun 26</v>
      </c>
      <c r="D1297" s="14">
        <v>786</v>
      </c>
    </row>
    <row r="1298" spans="1:4" x14ac:dyDescent="0.35">
      <c r="A1298" s="8" t="str">
        <f t="shared" si="648"/>
        <v>Japan</v>
      </c>
      <c r="B1298" s="6" t="str">
        <f t="shared" si="667"/>
        <v># of 3-Month Active Agents 13+M</v>
      </c>
      <c r="C1298" s="4" t="str">
        <f>CHOOSE(2, "5462030031", "Jul 26")</f>
        <v>Jul 26</v>
      </c>
      <c r="D1298" s="14">
        <v>788</v>
      </c>
    </row>
    <row r="1299" spans="1:4" x14ac:dyDescent="0.35">
      <c r="A1299" s="8" t="str">
        <f t="shared" si="648"/>
        <v>Japan</v>
      </c>
      <c r="B1299" s="3" t="str">
        <f t="shared" ref="B1299:B1300" si="668">CHOOSE(2, "1395000000722", "# of 3-Month Active Agents in UM")</f>
        <v># of 3-Month Active Agents in UM</v>
      </c>
      <c r="C1299" s="4" t="str">
        <f>CHOOSE(2, "5461730030", "Jun 26")</f>
        <v>Jun 26</v>
      </c>
      <c r="D1299" s="2" t="s">
        <v>5</v>
      </c>
    </row>
    <row r="1300" spans="1:4" x14ac:dyDescent="0.35">
      <c r="A1300" s="8" t="str">
        <f t="shared" si="648"/>
        <v>Japan</v>
      </c>
      <c r="B1300" s="6" t="str">
        <f t="shared" si="668"/>
        <v># of 3-Month Active Agents in UM</v>
      </c>
      <c r="C1300" s="4" t="str">
        <f>CHOOSE(2, "5462030031", "Jul 26")</f>
        <v>Jul 26</v>
      </c>
      <c r="D1300" s="2" t="s">
        <v>5</v>
      </c>
    </row>
    <row r="1301" spans="1:4" x14ac:dyDescent="0.35">
      <c r="A1301" s="8" t="str">
        <f t="shared" si="648"/>
        <v>Japan</v>
      </c>
      <c r="B1301" s="3" t="str">
        <f t="shared" ref="B1301:B1302" si="669">CHOOSE(2, "1395000000721", "# of 3-Month Active Agents in Leaders above UM")</f>
        <v># of 3-Month Active Agents in Leaders above UM</v>
      </c>
      <c r="C1301" s="4" t="str">
        <f>CHOOSE(2, "5461730030", "Jun 26")</f>
        <v>Jun 26</v>
      </c>
      <c r="D1301" s="2" t="s">
        <v>5</v>
      </c>
    </row>
    <row r="1302" spans="1:4" x14ac:dyDescent="0.35">
      <c r="A1302" s="8" t="str">
        <f t="shared" si="648"/>
        <v>Japan</v>
      </c>
      <c r="B1302" s="6" t="str">
        <f t="shared" si="669"/>
        <v># of 3-Month Active Agents in Leaders above UM</v>
      </c>
      <c r="C1302" s="4" t="str">
        <f>CHOOSE(2, "5462030031", "Jul 26")</f>
        <v>Jul 26</v>
      </c>
      <c r="D1302" s="2" t="s">
        <v>5</v>
      </c>
    </row>
    <row r="1303" spans="1:4" x14ac:dyDescent="0.35">
      <c r="A1303" s="8" t="str">
        <f t="shared" si="648"/>
        <v>Japan</v>
      </c>
      <c r="B1303" s="3" t="str">
        <f t="shared" ref="B1303:B1304" si="670">CHOOSE(2, "1395000000720", "# of 3-Month Active Agents in FA or equivalent")</f>
        <v># of 3-Month Active Agents in FA or equivalent</v>
      </c>
      <c r="C1303" s="4" t="str">
        <f>CHOOSE(2, "5461730030", "Jun 26")</f>
        <v>Jun 26</v>
      </c>
      <c r="D1303" s="2" t="s">
        <v>5</v>
      </c>
    </row>
    <row r="1304" spans="1:4" x14ac:dyDescent="0.35">
      <c r="A1304" s="8" t="str">
        <f t="shared" si="648"/>
        <v>Japan</v>
      </c>
      <c r="B1304" s="6" t="str">
        <f t="shared" si="670"/>
        <v># of 3-Month Active Agents in FA or equivalent</v>
      </c>
      <c r="C1304" s="4" t="str">
        <f>CHOOSE(2, "5462030031", "Jul 26")</f>
        <v>Jul 26</v>
      </c>
      <c r="D1304" s="2" t="s">
        <v>5</v>
      </c>
    </row>
    <row r="1305" spans="1:4" x14ac:dyDescent="0.35">
      <c r="A1305" s="8" t="str">
        <f t="shared" si="648"/>
        <v>Japan</v>
      </c>
      <c r="B1305" s="3" t="str">
        <f t="shared" ref="B1305:B1306" si="671">CHOOSE(2, "1395000000719", "Net Case Count - Agency")</f>
        <v>Net Case Count - Agency</v>
      </c>
      <c r="C1305" s="4" t="str">
        <f>CHOOSE(2, "5461730030", "Jun 26")</f>
        <v>Jun 26</v>
      </c>
      <c r="D1305" s="14">
        <v>2994.5</v>
      </c>
    </row>
    <row r="1306" spans="1:4" x14ac:dyDescent="0.35">
      <c r="A1306" s="8" t="str">
        <f t="shared" si="648"/>
        <v>Japan</v>
      </c>
      <c r="B1306" s="6" t="str">
        <f t="shared" si="671"/>
        <v>Net Case Count - Agency</v>
      </c>
      <c r="C1306" s="4" t="str">
        <f>CHOOSE(2, "5462030031", "Jul 26")</f>
        <v>Jul 26</v>
      </c>
      <c r="D1306" s="14">
        <v>2735</v>
      </c>
    </row>
    <row r="1307" spans="1:4" x14ac:dyDescent="0.35">
      <c r="A1307" s="8" t="str">
        <f t="shared" si="648"/>
        <v>Japan</v>
      </c>
      <c r="B1307" s="3" t="str">
        <f t="shared" ref="B1307:B1308" si="672">CHOOSE(2, "1395000000718", "Net Case Count - Agency in 0-1M")</f>
        <v>Net Case Count - Agency in 0-1M</v>
      </c>
      <c r="C1307" s="4" t="str">
        <f>CHOOSE(2, "5461730030", "Jun 26")</f>
        <v>Jun 26</v>
      </c>
      <c r="D1307" s="14">
        <v>35</v>
      </c>
    </row>
    <row r="1308" spans="1:4" x14ac:dyDescent="0.35">
      <c r="A1308" s="8" t="str">
        <f t="shared" si="648"/>
        <v>Japan</v>
      </c>
      <c r="B1308" s="6" t="str">
        <f t="shared" si="672"/>
        <v>Net Case Count - Agency in 0-1M</v>
      </c>
      <c r="C1308" s="4" t="str">
        <f>CHOOSE(2, "5462030031", "Jul 26")</f>
        <v>Jul 26</v>
      </c>
      <c r="D1308" s="14">
        <v>49</v>
      </c>
    </row>
    <row r="1309" spans="1:4" x14ac:dyDescent="0.35">
      <c r="A1309" s="8" t="str">
        <f t="shared" si="648"/>
        <v>Japan</v>
      </c>
      <c r="B1309" s="3" t="str">
        <f t="shared" ref="B1309:B1310" si="673">CHOOSE(2, "1395000000717", "Net Case Count - Agency in 2-3M")</f>
        <v>Net Case Count - Agency in 2-3M</v>
      </c>
      <c r="C1309" s="4" t="str">
        <f>CHOOSE(2, "5461730030", "Jun 26")</f>
        <v>Jun 26</v>
      </c>
      <c r="D1309" s="14">
        <v>137</v>
      </c>
    </row>
    <row r="1310" spans="1:4" x14ac:dyDescent="0.35">
      <c r="A1310" s="8" t="str">
        <f t="shared" si="648"/>
        <v>Japan</v>
      </c>
      <c r="B1310" s="6" t="str">
        <f t="shared" si="673"/>
        <v>Net Case Count - Agency in 2-3M</v>
      </c>
      <c r="C1310" s="4" t="str">
        <f>CHOOSE(2, "5462030031", "Jul 26")</f>
        <v>Jul 26</v>
      </c>
      <c r="D1310" s="14">
        <v>133</v>
      </c>
    </row>
    <row r="1311" spans="1:4" x14ac:dyDescent="0.35">
      <c r="A1311" s="8" t="str">
        <f t="shared" si="648"/>
        <v>Japan</v>
      </c>
      <c r="B1311" s="3" t="str">
        <f t="shared" ref="B1311:B1312" si="674">CHOOSE(2, "1395000000716", "Net Case Count - Agency in 4-12M")</f>
        <v>Net Case Count - Agency in 4-12M</v>
      </c>
      <c r="C1311" s="4" t="str">
        <f>CHOOSE(2, "5461730030", "Jun 26")</f>
        <v>Jun 26</v>
      </c>
      <c r="D1311" s="14">
        <v>396.5</v>
      </c>
    </row>
    <row r="1312" spans="1:4" x14ac:dyDescent="0.35">
      <c r="A1312" s="8" t="str">
        <f t="shared" si="648"/>
        <v>Japan</v>
      </c>
      <c r="B1312" s="6" t="str">
        <f t="shared" si="674"/>
        <v>Net Case Count - Agency in 4-12M</v>
      </c>
      <c r="C1312" s="4" t="str">
        <f>CHOOSE(2, "5462030031", "Jul 26")</f>
        <v>Jul 26</v>
      </c>
      <c r="D1312" s="14">
        <v>364.5</v>
      </c>
    </row>
    <row r="1313" spans="1:4" x14ac:dyDescent="0.35">
      <c r="A1313" s="8" t="str">
        <f t="shared" si="648"/>
        <v>Japan</v>
      </c>
      <c r="B1313" s="3" t="str">
        <f t="shared" ref="B1313:B1314" si="675">CHOOSE(2, "1395000000715", "Net Case Count - Agency 13+M")</f>
        <v>Net Case Count - Agency 13+M</v>
      </c>
      <c r="C1313" s="4" t="str">
        <f>CHOOSE(2, "5461730030", "Jun 26")</f>
        <v>Jun 26</v>
      </c>
      <c r="D1313" s="14">
        <v>2423</v>
      </c>
    </row>
    <row r="1314" spans="1:4" x14ac:dyDescent="0.35">
      <c r="A1314" s="8" t="str">
        <f t="shared" si="648"/>
        <v>Japan</v>
      </c>
      <c r="B1314" s="6" t="str">
        <f t="shared" si="675"/>
        <v>Net Case Count - Agency 13+M</v>
      </c>
      <c r="C1314" s="4" t="str">
        <f>CHOOSE(2, "5462030031", "Jul 26")</f>
        <v>Jul 26</v>
      </c>
      <c r="D1314" s="14">
        <v>2182.5</v>
      </c>
    </row>
    <row r="1315" spans="1:4" x14ac:dyDescent="0.35">
      <c r="A1315" s="8" t="str">
        <f t="shared" si="648"/>
        <v>Japan</v>
      </c>
      <c r="B1315" s="3" t="str">
        <f t="shared" ref="B1315:B1316" si="676">CHOOSE(2, "1395000000714", "Net Case Count - Agency in FA or equivalent")</f>
        <v>Net Case Count - Agency in FA or equivalent</v>
      </c>
      <c r="C1315" s="4" t="str">
        <f>CHOOSE(2, "5461730030", "Jun 26")</f>
        <v>Jun 26</v>
      </c>
      <c r="D1315" s="14">
        <v>2604</v>
      </c>
    </row>
    <row r="1316" spans="1:4" x14ac:dyDescent="0.35">
      <c r="A1316" s="8" t="str">
        <f t="shared" si="648"/>
        <v>Japan</v>
      </c>
      <c r="B1316" s="6" t="str">
        <f t="shared" si="676"/>
        <v>Net Case Count - Agency in FA or equivalent</v>
      </c>
      <c r="C1316" s="4" t="str">
        <f>CHOOSE(2, "5462030031", "Jul 26")</f>
        <v>Jul 26</v>
      </c>
      <c r="D1316" s="14">
        <v>2401.5</v>
      </c>
    </row>
    <row r="1317" spans="1:4" x14ac:dyDescent="0.35">
      <c r="A1317" s="8" t="str">
        <f t="shared" si="648"/>
        <v>Japan</v>
      </c>
      <c r="B1317" s="3" t="str">
        <f t="shared" ref="B1317:B1318" si="677">CHOOSE(2, "1395000000713", "Net Case Count - Agency in UM")</f>
        <v>Net Case Count - Agency in UM</v>
      </c>
      <c r="C1317" s="4" t="str">
        <f>CHOOSE(2, "5461730030", "Jun 26")</f>
        <v>Jun 26</v>
      </c>
      <c r="D1317" s="14">
        <v>338</v>
      </c>
    </row>
    <row r="1318" spans="1:4" x14ac:dyDescent="0.35">
      <c r="A1318" s="8" t="str">
        <f t="shared" si="648"/>
        <v>Japan</v>
      </c>
      <c r="B1318" s="6" t="str">
        <f t="shared" si="677"/>
        <v>Net Case Count - Agency in UM</v>
      </c>
      <c r="C1318" s="4" t="str">
        <f>CHOOSE(2, "5462030031", "Jul 26")</f>
        <v>Jul 26</v>
      </c>
      <c r="D1318" s="14">
        <v>286.5</v>
      </c>
    </row>
    <row r="1319" spans="1:4" x14ac:dyDescent="0.35">
      <c r="A1319" s="8" t="str">
        <f t="shared" si="648"/>
        <v>Japan</v>
      </c>
      <c r="B1319" s="3" t="str">
        <f t="shared" ref="B1319:B1320" si="678">CHOOSE(2, "1395000000712", "Net Case Count - Agency in Leaders above UM")</f>
        <v>Net Case Count - Agency in Leaders above UM</v>
      </c>
      <c r="C1319" s="4" t="str">
        <f>CHOOSE(2, "5461730030", "Jun 26")</f>
        <v>Jun 26</v>
      </c>
      <c r="D1319" s="14">
        <v>49.5</v>
      </c>
    </row>
    <row r="1320" spans="1:4" x14ac:dyDescent="0.35">
      <c r="A1320" s="8" t="str">
        <f t="shared" si="648"/>
        <v>Japan</v>
      </c>
      <c r="B1320" s="6" t="str">
        <f t="shared" si="678"/>
        <v>Net Case Count - Agency in Leaders above UM</v>
      </c>
      <c r="C1320" s="4" t="str">
        <f>CHOOSE(2, "5462030031", "Jul 26")</f>
        <v>Jul 26</v>
      </c>
      <c r="D1320" s="14">
        <v>41</v>
      </c>
    </row>
    <row r="1321" spans="1:4" x14ac:dyDescent="0.35">
      <c r="A1321" s="8" t="str">
        <f t="shared" si="648"/>
        <v>Japan</v>
      </c>
      <c r="B1321" s="3" t="str">
        <f t="shared" ref="B1321:B1322" si="679">CHOOSE(2, "1395000000711", "Net Case Count - Agency in Top-tier Agents")</f>
        <v>Net Case Count - Agency in Top-tier Agents</v>
      </c>
      <c r="C1321" s="4" t="str">
        <f>CHOOSE(2, "5461730030", "Jun 26")</f>
        <v>Jun 26</v>
      </c>
      <c r="D1321" s="14">
        <v>1717</v>
      </c>
    </row>
    <row r="1322" spans="1:4" x14ac:dyDescent="0.35">
      <c r="A1322" s="8" t="str">
        <f t="shared" si="648"/>
        <v>Japan</v>
      </c>
      <c r="B1322" s="6" t="str">
        <f t="shared" si="679"/>
        <v>Net Case Count - Agency in Top-tier Agents</v>
      </c>
      <c r="C1322" s="4" t="str">
        <f>CHOOSE(2, "5462030031", "Jul 26")</f>
        <v>Jul 26</v>
      </c>
      <c r="D1322" s="14">
        <v>1491</v>
      </c>
    </row>
    <row r="1323" spans="1:4" x14ac:dyDescent="0.35">
      <c r="A1323" s="8" t="str">
        <f t="shared" si="648"/>
        <v>Japan</v>
      </c>
      <c r="B1323" s="3" t="str">
        <f t="shared" ref="B1323:B1324" si="680">CHOOSE(2, "1395000000710", "Net Case Count - Agency in pro-rated MDRT agents (&gt;100%)")</f>
        <v>Net Case Count - Agency in pro-rated MDRT agents (&gt;100%)</v>
      </c>
      <c r="C1323" s="4" t="str">
        <f>CHOOSE(2, "5461730030", "Jun 26")</f>
        <v>Jun 26</v>
      </c>
      <c r="D1323" s="14">
        <v>773.5</v>
      </c>
    </row>
    <row r="1324" spans="1:4" x14ac:dyDescent="0.35">
      <c r="A1324" s="8" t="str">
        <f t="shared" si="648"/>
        <v>Japan</v>
      </c>
      <c r="B1324" s="6" t="str">
        <f t="shared" si="680"/>
        <v>Net Case Count - Agency in pro-rated MDRT agents (&gt;100%)</v>
      </c>
      <c r="C1324" s="4" t="str">
        <f>CHOOSE(2, "5462030031", "Jul 26")</f>
        <v>Jul 26</v>
      </c>
      <c r="D1324" s="14">
        <v>692.5</v>
      </c>
    </row>
    <row r="1325" spans="1:4" x14ac:dyDescent="0.35">
      <c r="A1325" s="8" t="str">
        <f t="shared" ref="A1325:A1388" si="681">CHOOSE(2, "204000000002", "Japan")</f>
        <v>Japan</v>
      </c>
      <c r="B1325" s="3" t="str">
        <f t="shared" ref="B1325:B1326" si="682">CHOOSE(2, "1395000000709", "Net Case Count - Agency in pro-rated MDRT agents (70-99%)")</f>
        <v>Net Case Count - Agency in pro-rated MDRT agents (70-99%)</v>
      </c>
      <c r="C1325" s="4" t="str">
        <f>CHOOSE(2, "5461730030", "Jun 26")</f>
        <v>Jun 26</v>
      </c>
      <c r="D1325" s="14">
        <v>448.5</v>
      </c>
    </row>
    <row r="1326" spans="1:4" x14ac:dyDescent="0.35">
      <c r="A1326" s="8" t="str">
        <f t="shared" si="681"/>
        <v>Japan</v>
      </c>
      <c r="B1326" s="6" t="str">
        <f t="shared" si="682"/>
        <v>Net Case Count - Agency in pro-rated MDRT agents (70-99%)</v>
      </c>
      <c r="C1326" s="4" t="str">
        <f>CHOOSE(2, "5462030031", "Jul 26")</f>
        <v>Jul 26</v>
      </c>
      <c r="D1326" s="14">
        <v>389.5</v>
      </c>
    </row>
    <row r="1327" spans="1:4" x14ac:dyDescent="0.35">
      <c r="A1327" s="8" t="str">
        <f t="shared" si="681"/>
        <v>Japan</v>
      </c>
      <c r="B1327" s="3" t="str">
        <f t="shared" ref="B1327:B1328" si="683">CHOOSE(2, "1395000000708", "Net Case Count - Agency in pro-rated MDRT agents (50-69%)")</f>
        <v>Net Case Count - Agency in pro-rated MDRT agents (50-69%)</v>
      </c>
      <c r="C1327" s="4" t="str">
        <f>CHOOSE(2, "5461730030", "Jun 26")</f>
        <v>Jun 26</v>
      </c>
      <c r="D1327" s="14">
        <v>495</v>
      </c>
    </row>
    <row r="1328" spans="1:4" x14ac:dyDescent="0.35">
      <c r="A1328" s="8" t="str">
        <f t="shared" si="681"/>
        <v>Japan</v>
      </c>
      <c r="B1328" s="6" t="str">
        <f t="shared" si="683"/>
        <v>Net Case Count - Agency in pro-rated MDRT agents (50-69%)</v>
      </c>
      <c r="C1328" s="4" t="str">
        <f>CHOOSE(2, "5462030031", "Jul 26")</f>
        <v>Jul 26</v>
      </c>
      <c r="D1328" s="14">
        <v>409</v>
      </c>
    </row>
    <row r="1329" spans="1:4" x14ac:dyDescent="0.35">
      <c r="A1329" s="8" t="str">
        <f t="shared" si="681"/>
        <v>Japan</v>
      </c>
      <c r="B1329" s="3" t="str">
        <f t="shared" ref="B1329:B1330" si="684">CHOOSE(2, "1395000000707", "Net Case Count - Agency in Manulife Pro Qualifiers - Total")</f>
        <v>Net Case Count - Agency in Manulife Pro Qualifiers - Total</v>
      </c>
      <c r="C1329" s="4" t="str">
        <f>CHOOSE(2, "5461730030", "Jun 26")</f>
        <v>Jun 26</v>
      </c>
      <c r="D1329" s="14">
        <v>575</v>
      </c>
    </row>
    <row r="1330" spans="1:4" x14ac:dyDescent="0.35">
      <c r="A1330" s="8" t="str">
        <f t="shared" si="681"/>
        <v>Japan</v>
      </c>
      <c r="B1330" s="6" t="str">
        <f t="shared" si="684"/>
        <v>Net Case Count - Agency in Manulife Pro Qualifiers - Total</v>
      </c>
      <c r="C1330" s="4" t="str">
        <f>CHOOSE(2, "5462030031", "Jul 26")</f>
        <v>Jul 26</v>
      </c>
      <c r="D1330" s="14">
        <v>570</v>
      </c>
    </row>
    <row r="1331" spans="1:4" x14ac:dyDescent="0.35">
      <c r="A1331" s="8" t="str">
        <f t="shared" si="681"/>
        <v>Japan</v>
      </c>
      <c r="B1331" s="3" t="str">
        <f t="shared" ref="B1331:B1332" si="685">CHOOSE(2, "1395000000706", "No. of Sales Proposal Generated")</f>
        <v>No. of Sales Proposal Generated</v>
      </c>
      <c r="C1331" s="4" t="str">
        <f>CHOOSE(2, "5461730030", "Jun 26")</f>
        <v>Jun 26</v>
      </c>
      <c r="D1331" s="2" t="s">
        <v>5</v>
      </c>
    </row>
    <row r="1332" spans="1:4" x14ac:dyDescent="0.35">
      <c r="A1332" s="8" t="str">
        <f t="shared" si="681"/>
        <v>Japan</v>
      </c>
      <c r="B1332" s="6" t="str">
        <f t="shared" si="685"/>
        <v>No. of Sales Proposal Generated</v>
      </c>
      <c r="C1332" s="4" t="str">
        <f>CHOOSE(2, "5462030031", "Jul 26")</f>
        <v>Jul 26</v>
      </c>
      <c r="D1332" s="2" t="s">
        <v>5</v>
      </c>
    </row>
    <row r="1333" spans="1:4" x14ac:dyDescent="0.35">
      <c r="A1333" s="8" t="str">
        <f t="shared" si="681"/>
        <v>Japan</v>
      </c>
      <c r="B1333" s="3" t="str">
        <f t="shared" ref="B1333:B1334" si="686">CHOOSE(2, "1395000000705", "$ APE from Agents in X tenure")</f>
        <v>$ APE from Agents in X tenure</v>
      </c>
      <c r="C1333" s="4" t="str">
        <f>CHOOSE(2, "5461730030", "Jun 26")</f>
        <v>Jun 26</v>
      </c>
      <c r="D1333" s="14">
        <v>6638433.1958317505</v>
      </c>
    </row>
    <row r="1334" spans="1:4" x14ac:dyDescent="0.35">
      <c r="A1334" s="8" t="str">
        <f t="shared" si="681"/>
        <v>Japan</v>
      </c>
      <c r="B1334" s="6" t="str">
        <f t="shared" si="686"/>
        <v>$ APE from Agents in X tenure</v>
      </c>
      <c r="C1334" s="4" t="str">
        <f>CHOOSE(2, "5462030031", "Jul 26")</f>
        <v>Jul 26</v>
      </c>
      <c r="D1334" s="14">
        <v>5282967.4022685001</v>
      </c>
    </row>
    <row r="1335" spans="1:4" x14ac:dyDescent="0.35">
      <c r="A1335" s="8" t="str">
        <f t="shared" si="681"/>
        <v>Japan</v>
      </c>
      <c r="B1335" s="3" t="str">
        <f t="shared" ref="B1335:B1336" si="687">CHOOSE(2, "1395000000704", "$ APE from Agents in X tenure in 0-1M")</f>
        <v>$ APE from Agents in X tenure in 0-1M</v>
      </c>
      <c r="C1335" s="4" t="str">
        <f>CHOOSE(2, "5461730030", "Jun 26")</f>
        <v>Jun 26</v>
      </c>
      <c r="D1335" s="14">
        <v>663843.31958317512</v>
      </c>
    </row>
    <row r="1336" spans="1:4" x14ac:dyDescent="0.35">
      <c r="A1336" s="8" t="str">
        <f t="shared" si="681"/>
        <v>Japan</v>
      </c>
      <c r="B1336" s="6" t="str">
        <f t="shared" si="687"/>
        <v>$ APE from Agents in X tenure in 0-1M</v>
      </c>
      <c r="C1336" s="4" t="str">
        <f>CHOOSE(2, "5462030031", "Jul 26")</f>
        <v>Jul 26</v>
      </c>
      <c r="D1336" s="14">
        <v>528296.74022685003</v>
      </c>
    </row>
    <row r="1337" spans="1:4" x14ac:dyDescent="0.35">
      <c r="A1337" s="8" t="str">
        <f t="shared" si="681"/>
        <v>Japan</v>
      </c>
      <c r="B1337" s="3" t="str">
        <f t="shared" ref="B1337:B1338" si="688">CHOOSE(2, "1395000000703", "$ APE from Agents in X tenure in 2-3M")</f>
        <v>$ APE from Agents in X tenure in 2-3M</v>
      </c>
      <c r="C1337" s="4" t="str">
        <f>CHOOSE(2, "5461730030", "Jun 26")</f>
        <v>Jun 26</v>
      </c>
      <c r="D1337" s="14">
        <v>1327686.6391663502</v>
      </c>
    </row>
    <row r="1338" spans="1:4" x14ac:dyDescent="0.35">
      <c r="A1338" s="8" t="str">
        <f t="shared" si="681"/>
        <v>Japan</v>
      </c>
      <c r="B1338" s="6" t="str">
        <f t="shared" si="688"/>
        <v>$ APE from Agents in X tenure in 2-3M</v>
      </c>
      <c r="C1338" s="4" t="str">
        <f>CHOOSE(2, "5462030031", "Jul 26")</f>
        <v>Jul 26</v>
      </c>
      <c r="D1338" s="14">
        <v>1056593.4804537001</v>
      </c>
    </row>
    <row r="1339" spans="1:4" x14ac:dyDescent="0.35">
      <c r="A1339" s="8" t="str">
        <f t="shared" si="681"/>
        <v>Japan</v>
      </c>
      <c r="B1339" s="3" t="str">
        <f t="shared" ref="B1339:B1340" si="689">CHOOSE(2, "1395000000702", "$ APE from Agents in X tenure in 4-12M")</f>
        <v>$ APE from Agents in X tenure in 4-12M</v>
      </c>
      <c r="C1339" s="4" t="str">
        <f>CHOOSE(2, "5461730030", "Jun 26")</f>
        <v>Jun 26</v>
      </c>
      <c r="D1339" s="14">
        <v>1991529.958749525</v>
      </c>
    </row>
    <row r="1340" spans="1:4" x14ac:dyDescent="0.35">
      <c r="A1340" s="8" t="str">
        <f t="shared" si="681"/>
        <v>Japan</v>
      </c>
      <c r="B1340" s="6" t="str">
        <f t="shared" si="689"/>
        <v>$ APE from Agents in X tenure in 4-12M</v>
      </c>
      <c r="C1340" s="4" t="str">
        <f>CHOOSE(2, "5462030031", "Jul 26")</f>
        <v>Jul 26</v>
      </c>
      <c r="D1340" s="14">
        <v>1584890.22068055</v>
      </c>
    </row>
    <row r="1341" spans="1:4" x14ac:dyDescent="0.35">
      <c r="A1341" s="8" t="str">
        <f t="shared" si="681"/>
        <v>Japan</v>
      </c>
      <c r="B1341" s="3" t="str">
        <f t="shared" ref="B1341:B1342" si="690">CHOOSE(2, "1395000000701", "$ APE from Agents in X tenure 13+M")</f>
        <v>$ APE from Agents in X tenure 13+M</v>
      </c>
      <c r="C1341" s="4" t="str">
        <f>CHOOSE(2, "5461730030", "Jun 26")</f>
        <v>Jun 26</v>
      </c>
      <c r="D1341" s="14">
        <v>2655373.2783327005</v>
      </c>
    </row>
    <row r="1342" spans="1:4" x14ac:dyDescent="0.35">
      <c r="A1342" s="8" t="str">
        <f t="shared" si="681"/>
        <v>Japan</v>
      </c>
      <c r="B1342" s="6" t="str">
        <f t="shared" si="690"/>
        <v>$ APE from Agents in X tenure 13+M</v>
      </c>
      <c r="C1342" s="4" t="str">
        <f>CHOOSE(2, "5462030031", "Jul 26")</f>
        <v>Jul 26</v>
      </c>
      <c r="D1342" s="14">
        <v>2113186.9609074001</v>
      </c>
    </row>
    <row r="1343" spans="1:4" x14ac:dyDescent="0.35">
      <c r="A1343" s="8" t="str">
        <f t="shared" si="681"/>
        <v>Japan</v>
      </c>
      <c r="B1343" s="3" t="str">
        <f t="shared" ref="B1343:B1344" si="691">CHOOSE(2, "1395000000700", "Total agent headcount (end of period)")</f>
        <v>Total agent headcount (end of period)</v>
      </c>
      <c r="C1343" s="4" t="str">
        <f>CHOOSE(2, "5461730030", "Jun 26")</f>
        <v>Jun 26</v>
      </c>
      <c r="D1343" s="14">
        <v>1030</v>
      </c>
    </row>
    <row r="1344" spans="1:4" x14ac:dyDescent="0.35">
      <c r="A1344" s="8" t="str">
        <f t="shared" si="681"/>
        <v>Japan</v>
      </c>
      <c r="B1344" s="6" t="str">
        <f t="shared" si="691"/>
        <v>Total agent headcount (end of period)</v>
      </c>
      <c r="C1344" s="4" t="str">
        <f>CHOOSE(2, "5462030031", "Jul 26")</f>
        <v>Jul 26</v>
      </c>
      <c r="D1344" s="14">
        <v>1038</v>
      </c>
    </row>
    <row r="1345" spans="1:4" x14ac:dyDescent="0.35">
      <c r="A1345" s="8" t="str">
        <f t="shared" si="681"/>
        <v>Japan</v>
      </c>
      <c r="B1345" s="3" t="str">
        <f t="shared" ref="B1345:B1346" si="692">CHOOSE(2, "1395000000699", "Total agent headcount (end of period) in 0-1M")</f>
        <v>Total agent headcount (end of period) in 0-1M</v>
      </c>
      <c r="C1345" s="4" t="str">
        <f>CHOOSE(2, "5461730030", "Jun 26")</f>
        <v>Jun 26</v>
      </c>
      <c r="D1345" s="14">
        <v>38</v>
      </c>
    </row>
    <row r="1346" spans="1:4" x14ac:dyDescent="0.35">
      <c r="A1346" s="8" t="str">
        <f t="shared" si="681"/>
        <v>Japan</v>
      </c>
      <c r="B1346" s="6" t="str">
        <f t="shared" si="692"/>
        <v>Total agent headcount (end of period) in 0-1M</v>
      </c>
      <c r="C1346" s="4" t="str">
        <f>CHOOSE(2, "5462030031", "Jul 26")</f>
        <v>Jul 26</v>
      </c>
      <c r="D1346" s="14">
        <v>45</v>
      </c>
    </row>
    <row r="1347" spans="1:4" x14ac:dyDescent="0.35">
      <c r="A1347" s="8" t="str">
        <f t="shared" si="681"/>
        <v>Japan</v>
      </c>
      <c r="B1347" s="3" t="str">
        <f t="shared" ref="B1347:B1348" si="693">CHOOSE(2, "1395000000698", "Total agent headcount (end of period) in 2-3M")</f>
        <v>Total agent headcount (end of period) in 2-3M</v>
      </c>
      <c r="C1347" s="4" t="str">
        <f>CHOOSE(2, "5461730030", "Jun 26")</f>
        <v>Jun 26</v>
      </c>
      <c r="D1347" s="14">
        <v>35</v>
      </c>
    </row>
    <row r="1348" spans="1:4" x14ac:dyDescent="0.35">
      <c r="A1348" s="8" t="str">
        <f t="shared" si="681"/>
        <v>Japan</v>
      </c>
      <c r="B1348" s="6" t="str">
        <f t="shared" si="693"/>
        <v>Total agent headcount (end of period) in 2-3M</v>
      </c>
      <c r="C1348" s="4" t="str">
        <f>CHOOSE(2, "5462030031", "Jul 26")</f>
        <v>Jul 26</v>
      </c>
      <c r="D1348" s="14">
        <v>37</v>
      </c>
    </row>
    <row r="1349" spans="1:4" x14ac:dyDescent="0.35">
      <c r="A1349" s="8" t="str">
        <f t="shared" si="681"/>
        <v>Japan</v>
      </c>
      <c r="B1349" s="3" t="str">
        <f t="shared" ref="B1349:B1350" si="694">CHOOSE(2, "1395000000697", "Total agent headcount (end of period) in 4-12M")</f>
        <v>Total agent headcount (end of period) in 4-12M</v>
      </c>
      <c r="C1349" s="4" t="str">
        <f>CHOOSE(2, "5461730030", "Jun 26")</f>
        <v>Jun 26</v>
      </c>
      <c r="D1349" s="14">
        <v>141</v>
      </c>
    </row>
    <row r="1350" spans="1:4" x14ac:dyDescent="0.35">
      <c r="A1350" s="8" t="str">
        <f t="shared" si="681"/>
        <v>Japan</v>
      </c>
      <c r="B1350" s="6" t="str">
        <f t="shared" si="694"/>
        <v>Total agent headcount (end of period) in 4-12M</v>
      </c>
      <c r="C1350" s="4" t="str">
        <f>CHOOSE(2, "5462030031", "Jul 26")</f>
        <v>Jul 26</v>
      </c>
      <c r="D1350" s="14">
        <v>138</v>
      </c>
    </row>
    <row r="1351" spans="1:4" x14ac:dyDescent="0.35">
      <c r="A1351" s="8" t="str">
        <f t="shared" si="681"/>
        <v>Japan</v>
      </c>
      <c r="B1351" s="3" t="str">
        <f t="shared" ref="B1351:B1352" si="695">CHOOSE(2, "1395000000696", "Total agent headcount (end of period) 13+M")</f>
        <v>Total agent headcount (end of period) 13+M</v>
      </c>
      <c r="C1351" s="4" t="str">
        <f>CHOOSE(2, "5461730030", "Jun 26")</f>
        <v>Jun 26</v>
      </c>
      <c r="D1351" s="14">
        <v>816</v>
      </c>
    </row>
    <row r="1352" spans="1:4" x14ac:dyDescent="0.35">
      <c r="A1352" s="8" t="str">
        <f t="shared" si="681"/>
        <v>Japan</v>
      </c>
      <c r="B1352" s="6" t="str">
        <f t="shared" si="695"/>
        <v>Total agent headcount (end of period) 13+M</v>
      </c>
      <c r="C1352" s="4" t="str">
        <f>CHOOSE(2, "5462030031", "Jul 26")</f>
        <v>Jul 26</v>
      </c>
      <c r="D1352" s="14">
        <v>818</v>
      </c>
    </row>
    <row r="1353" spans="1:4" x14ac:dyDescent="0.35">
      <c r="A1353" s="8" t="str">
        <f t="shared" si="681"/>
        <v>Japan</v>
      </c>
      <c r="B1353" s="3" t="str">
        <f t="shared" ref="B1353:B1354" si="696">CHOOSE(2, "1395000000695", "Total agent headcount (end of period) in FA or equivalent")</f>
        <v>Total agent headcount (end of period) in FA or equivalent</v>
      </c>
      <c r="C1353" s="4" t="str">
        <f>CHOOSE(2, "5461730030", "Jun 26")</f>
        <v>Jun 26</v>
      </c>
      <c r="D1353" s="14">
        <v>917</v>
      </c>
    </row>
    <row r="1354" spans="1:4" x14ac:dyDescent="0.35">
      <c r="A1354" s="8" t="str">
        <f t="shared" si="681"/>
        <v>Japan</v>
      </c>
      <c r="B1354" s="6" t="str">
        <f t="shared" si="696"/>
        <v>Total agent headcount (end of period) in FA or equivalent</v>
      </c>
      <c r="C1354" s="4" t="str">
        <f>CHOOSE(2, "5462030031", "Jul 26")</f>
        <v>Jul 26</v>
      </c>
      <c r="D1354" s="14">
        <v>923</v>
      </c>
    </row>
    <row r="1355" spans="1:4" x14ac:dyDescent="0.35">
      <c r="A1355" s="8" t="str">
        <f t="shared" si="681"/>
        <v>Japan</v>
      </c>
      <c r="B1355" s="3" t="str">
        <f t="shared" ref="B1355:B1356" si="697">CHOOSE(2, "1395000000694", "Total agent headcount (end of period) in UM")</f>
        <v>Total agent headcount (end of period) in UM</v>
      </c>
      <c r="C1355" s="4" t="str">
        <f>CHOOSE(2, "5461730030", "Jun 26")</f>
        <v>Jun 26</v>
      </c>
      <c r="D1355" s="14">
        <v>97</v>
      </c>
    </row>
    <row r="1356" spans="1:4" x14ac:dyDescent="0.35">
      <c r="A1356" s="8" t="str">
        <f t="shared" si="681"/>
        <v>Japan</v>
      </c>
      <c r="B1356" s="6" t="str">
        <f t="shared" si="697"/>
        <v>Total agent headcount (end of period) in UM</v>
      </c>
      <c r="C1356" s="4" t="str">
        <f>CHOOSE(2, "5462030031", "Jul 26")</f>
        <v>Jul 26</v>
      </c>
      <c r="D1356" s="14">
        <v>99</v>
      </c>
    </row>
    <row r="1357" spans="1:4" x14ac:dyDescent="0.35">
      <c r="A1357" s="8" t="str">
        <f t="shared" si="681"/>
        <v>Japan</v>
      </c>
      <c r="B1357" s="3" t="str">
        <f t="shared" ref="B1357:B1358" si="698">CHOOSE(2, "1395000000693", "Total agent headcount (end of period) in Leaders above UM")</f>
        <v>Total agent headcount (end of period) in Leaders above UM</v>
      </c>
      <c r="C1357" s="4" t="str">
        <f>CHOOSE(2, "5461730030", "Jun 26")</f>
        <v>Jun 26</v>
      </c>
      <c r="D1357" s="14">
        <v>16</v>
      </c>
    </row>
    <row r="1358" spans="1:4" x14ac:dyDescent="0.35">
      <c r="A1358" s="8" t="str">
        <f t="shared" si="681"/>
        <v>Japan</v>
      </c>
      <c r="B1358" s="6" t="str">
        <f t="shared" si="698"/>
        <v>Total agent headcount (end of period) in Leaders above UM</v>
      </c>
      <c r="C1358" s="4" t="str">
        <f>CHOOSE(2, "5462030031", "Jul 26")</f>
        <v>Jul 26</v>
      </c>
      <c r="D1358" s="14">
        <v>16</v>
      </c>
    </row>
    <row r="1359" spans="1:4" x14ac:dyDescent="0.35">
      <c r="A1359" s="8" t="str">
        <f t="shared" si="681"/>
        <v>Japan</v>
      </c>
      <c r="B1359" s="3" t="str">
        <f t="shared" ref="B1359:B1360" si="699">CHOOSE(2, "1395000000692", "Total agent headcount (end of period) in Top-tier agents")</f>
        <v>Total agent headcount (end of period) in Top-tier agents</v>
      </c>
      <c r="C1359" s="4" t="str">
        <f>CHOOSE(2, "5461730030", "Jun 26")</f>
        <v>Jun 26</v>
      </c>
      <c r="D1359" s="14">
        <v>404</v>
      </c>
    </row>
    <row r="1360" spans="1:4" x14ac:dyDescent="0.35">
      <c r="A1360" s="8" t="str">
        <f t="shared" si="681"/>
        <v>Japan</v>
      </c>
      <c r="B1360" s="6" t="str">
        <f t="shared" si="699"/>
        <v>Total agent headcount (end of period) in Top-tier agents</v>
      </c>
      <c r="C1360" s="4" t="str">
        <f>CHOOSE(2, "5462030031", "Jul 26")</f>
        <v>Jul 26</v>
      </c>
      <c r="D1360" s="14">
        <v>395</v>
      </c>
    </row>
    <row r="1361" spans="1:4" x14ac:dyDescent="0.35">
      <c r="A1361" s="8" t="str">
        <f t="shared" si="681"/>
        <v>Japan</v>
      </c>
      <c r="B1361" s="3" t="str">
        <f t="shared" ref="B1361:B1362" si="700">CHOOSE(2, "1395000000691", "Total agent headcount  in pro-rated MDRT agents (&gt;100%)")</f>
        <v>Total agent headcount  in pro-rated MDRT agents (&gt;100%)</v>
      </c>
      <c r="C1361" s="4" t="str">
        <f>CHOOSE(2, "5461730030", "Jun 26")</f>
        <v>Jun 26</v>
      </c>
      <c r="D1361" s="14">
        <v>149</v>
      </c>
    </row>
    <row r="1362" spans="1:4" x14ac:dyDescent="0.35">
      <c r="A1362" s="8" t="str">
        <f t="shared" si="681"/>
        <v>Japan</v>
      </c>
      <c r="B1362" s="6" t="str">
        <f t="shared" si="700"/>
        <v>Total agent headcount  in pro-rated MDRT agents (&gt;100%)</v>
      </c>
      <c r="C1362" s="4" t="str">
        <f>CHOOSE(2, "5462030031", "Jul 26")</f>
        <v>Jul 26</v>
      </c>
      <c r="D1362" s="14">
        <v>142</v>
      </c>
    </row>
    <row r="1363" spans="1:4" x14ac:dyDescent="0.35">
      <c r="A1363" s="8" t="str">
        <f t="shared" si="681"/>
        <v>Japan</v>
      </c>
      <c r="B1363" s="3" t="str">
        <f t="shared" ref="B1363:B1364" si="701">CHOOSE(2, "1395000000690", "Total agent headcount  in pro-rated MDRT agents (70-99%)")</f>
        <v>Total agent headcount  in pro-rated MDRT agents (70-99%)</v>
      </c>
      <c r="C1363" s="4" t="str">
        <f>CHOOSE(2, "5461730030", "Jun 26")</f>
        <v>Jun 26</v>
      </c>
      <c r="D1363" s="14">
        <v>112</v>
      </c>
    </row>
    <row r="1364" spans="1:4" x14ac:dyDescent="0.35">
      <c r="A1364" s="8" t="str">
        <f t="shared" si="681"/>
        <v>Japan</v>
      </c>
      <c r="B1364" s="6" t="str">
        <f t="shared" si="701"/>
        <v>Total agent headcount  in pro-rated MDRT agents (70-99%)</v>
      </c>
      <c r="C1364" s="4" t="str">
        <f>CHOOSE(2, "5462030031", "Jul 26")</f>
        <v>Jul 26</v>
      </c>
      <c r="D1364" s="14">
        <v>114</v>
      </c>
    </row>
    <row r="1365" spans="1:4" x14ac:dyDescent="0.35">
      <c r="A1365" s="8" t="str">
        <f t="shared" si="681"/>
        <v>Japan</v>
      </c>
      <c r="B1365" s="3" t="str">
        <f t="shared" ref="B1365:B1366" si="702">CHOOSE(2, "1395000000689", "Total agent headcount  in pro-rated MDRT agents (50-69%)")</f>
        <v>Total agent headcount  in pro-rated MDRT agents (50-69%)</v>
      </c>
      <c r="C1365" s="4" t="str">
        <f>CHOOSE(2, "5461730030", "Jun 26")</f>
        <v>Jun 26</v>
      </c>
      <c r="D1365" s="14">
        <v>143</v>
      </c>
    </row>
    <row r="1366" spans="1:4" x14ac:dyDescent="0.35">
      <c r="A1366" s="8" t="str">
        <f t="shared" si="681"/>
        <v>Japan</v>
      </c>
      <c r="B1366" s="6" t="str">
        <f t="shared" si="702"/>
        <v>Total agent headcount  in pro-rated MDRT agents (50-69%)</v>
      </c>
      <c r="C1366" s="4" t="str">
        <f>CHOOSE(2, "5462030031", "Jul 26")</f>
        <v>Jul 26</v>
      </c>
      <c r="D1366" s="14">
        <v>139</v>
      </c>
    </row>
    <row r="1367" spans="1:4" x14ac:dyDescent="0.35">
      <c r="A1367" s="8" t="str">
        <f t="shared" si="681"/>
        <v>Japan</v>
      </c>
      <c r="B1367" s="3" t="str">
        <f t="shared" ref="B1367:B1368" si="703">CHOOSE(2, "1395000000688", "Total agent headcount  in Manulife Pro Qualifiers - Total")</f>
        <v>Total agent headcount  in Manulife Pro Qualifiers - Total</v>
      </c>
      <c r="C1367" s="4" t="str">
        <f>CHOOSE(2, "5461730030", "Jun 26")</f>
        <v>Jun 26</v>
      </c>
      <c r="D1367" s="14">
        <v>127</v>
      </c>
    </row>
    <row r="1368" spans="1:4" x14ac:dyDescent="0.35">
      <c r="A1368" s="8" t="str">
        <f t="shared" si="681"/>
        <v>Japan</v>
      </c>
      <c r="B1368" s="6" t="str">
        <f t="shared" si="703"/>
        <v>Total agent headcount  in Manulife Pro Qualifiers - Total</v>
      </c>
      <c r="C1368" s="4" t="str">
        <f>CHOOSE(2, "5462030031", "Jul 26")</f>
        <v>Jul 26</v>
      </c>
      <c r="D1368" s="14">
        <v>126</v>
      </c>
    </row>
    <row r="1369" spans="1:4" x14ac:dyDescent="0.35">
      <c r="A1369" s="8" t="str">
        <f t="shared" si="681"/>
        <v>Japan</v>
      </c>
      <c r="B1369" s="3" t="str">
        <f t="shared" ref="B1369:B1370" si="704">CHOOSE(2, "1395000000687", "New recruits")</f>
        <v>New recruits</v>
      </c>
      <c r="C1369" s="4" t="str">
        <f>CHOOSE(2, "5461730030", "Jun 26")</f>
        <v>Jun 26</v>
      </c>
      <c r="D1369" s="14">
        <v>25</v>
      </c>
    </row>
    <row r="1370" spans="1:4" x14ac:dyDescent="0.35">
      <c r="A1370" s="8" t="str">
        <f t="shared" si="681"/>
        <v>Japan</v>
      </c>
      <c r="B1370" s="6" t="str">
        <f t="shared" si="704"/>
        <v>New recruits</v>
      </c>
      <c r="C1370" s="4" t="str">
        <f>CHOOSE(2, "5462030031", "Jul 26")</f>
        <v>Jul 26</v>
      </c>
      <c r="D1370" s="14">
        <v>20</v>
      </c>
    </row>
    <row r="1371" spans="1:4" x14ac:dyDescent="0.35">
      <c r="A1371" s="8" t="str">
        <f t="shared" si="681"/>
        <v>Japan</v>
      </c>
      <c r="B1371" s="3" t="str">
        <f t="shared" ref="B1371:B1372" si="705">CHOOSE(2, "1395000000686", "New recruits - Leader level")</f>
        <v>New recruits - Leader level</v>
      </c>
      <c r="C1371" s="4" t="str">
        <f>CHOOSE(2, "5461730030", "Jun 26")</f>
        <v>Jun 26</v>
      </c>
      <c r="D1371" s="2" t="s">
        <v>5</v>
      </c>
    </row>
    <row r="1372" spans="1:4" x14ac:dyDescent="0.35">
      <c r="A1372" s="8" t="str">
        <f t="shared" si="681"/>
        <v>Japan</v>
      </c>
      <c r="B1372" s="6" t="str">
        <f t="shared" si="705"/>
        <v>New recruits - Leader level</v>
      </c>
      <c r="C1372" s="4" t="str">
        <f>CHOOSE(2, "5462030031", "Jul 26")</f>
        <v>Jul 26</v>
      </c>
      <c r="D1372" s="2" t="s">
        <v>5</v>
      </c>
    </row>
    <row r="1373" spans="1:4" x14ac:dyDescent="0.35">
      <c r="A1373" s="8" t="str">
        <f t="shared" si="681"/>
        <v>Japan</v>
      </c>
      <c r="B1373" s="3" t="str">
        <f t="shared" ref="B1373:B1374" si="706">CHOOSE(2, "1395000000685", "New recruits - FA or equivalent")</f>
        <v>New recruits - FA or equivalent</v>
      </c>
      <c r="C1373" s="4" t="str">
        <f>CHOOSE(2, "5461730030", "Jun 26")</f>
        <v>Jun 26</v>
      </c>
      <c r="D1373" s="14">
        <v>25</v>
      </c>
    </row>
    <row r="1374" spans="1:4" x14ac:dyDescent="0.35">
      <c r="A1374" s="8" t="str">
        <f t="shared" si="681"/>
        <v>Japan</v>
      </c>
      <c r="B1374" s="6" t="str">
        <f t="shared" si="706"/>
        <v>New recruits - FA or equivalent</v>
      </c>
      <c r="C1374" s="4" t="str">
        <f>CHOOSE(2, "5462030031", "Jul 26")</f>
        <v>Jul 26</v>
      </c>
      <c r="D1374" s="14">
        <v>20</v>
      </c>
    </row>
    <row r="1375" spans="1:4" x14ac:dyDescent="0.35">
      <c r="A1375" s="8" t="str">
        <f t="shared" si="681"/>
        <v>Japan</v>
      </c>
      <c r="B1375" s="3" t="str">
        <f t="shared" ref="B1375:B1376" si="707">CHOOSE(2, "1395000000684", "New recruits in UM")</f>
        <v>New recruits in UM</v>
      </c>
      <c r="C1375" s="4" t="str">
        <f>CHOOSE(2, "5461730030", "Jun 26")</f>
        <v>Jun 26</v>
      </c>
      <c r="D1375" s="14">
        <v>0</v>
      </c>
    </row>
    <row r="1376" spans="1:4" x14ac:dyDescent="0.35">
      <c r="A1376" s="8" t="str">
        <f t="shared" si="681"/>
        <v>Japan</v>
      </c>
      <c r="B1376" s="6" t="str">
        <f t="shared" si="707"/>
        <v>New recruits in UM</v>
      </c>
      <c r="C1376" s="4" t="str">
        <f>CHOOSE(2, "5462030031", "Jul 26")</f>
        <v>Jul 26</v>
      </c>
      <c r="D1376" s="14">
        <v>0</v>
      </c>
    </row>
    <row r="1377" spans="1:4" x14ac:dyDescent="0.35">
      <c r="A1377" s="8" t="str">
        <f t="shared" si="681"/>
        <v>Japan</v>
      </c>
      <c r="B1377" s="3" t="str">
        <f t="shared" ref="B1377:B1378" si="708">CHOOSE(2, "1395000000683", "New recruits in Leaders above UM")</f>
        <v>New recruits in Leaders above UM</v>
      </c>
      <c r="C1377" s="4" t="str">
        <f>CHOOSE(2, "5461730030", "Jun 26")</f>
        <v>Jun 26</v>
      </c>
      <c r="D1377" s="14">
        <v>0</v>
      </c>
    </row>
    <row r="1378" spans="1:4" x14ac:dyDescent="0.35">
      <c r="A1378" s="8" t="str">
        <f t="shared" si="681"/>
        <v>Japan</v>
      </c>
      <c r="B1378" s="6" t="str">
        <f t="shared" si="708"/>
        <v>New recruits in Leaders above UM</v>
      </c>
      <c r="C1378" s="4" t="str">
        <f>CHOOSE(2, "5462030031", "Jul 26")</f>
        <v>Jul 26</v>
      </c>
      <c r="D1378" s="14">
        <v>0</v>
      </c>
    </row>
    <row r="1379" spans="1:4" x14ac:dyDescent="0.35">
      <c r="A1379" s="8" t="str">
        <f t="shared" si="681"/>
        <v>Japan</v>
      </c>
      <c r="B1379" s="3" t="str">
        <f t="shared" ref="B1379:B1380" si="709">CHOOSE(2, "1395000000682", "# of 6-90 agents")</f>
        <v># of 6-90 agents</v>
      </c>
      <c r="C1379" s="4" t="str">
        <f>CHOOSE(2, "5461730030", "Jun 26")</f>
        <v>Jun 26</v>
      </c>
      <c r="D1379" s="14">
        <v>9</v>
      </c>
    </row>
    <row r="1380" spans="1:4" x14ac:dyDescent="0.35">
      <c r="A1380" s="8" t="str">
        <f t="shared" si="681"/>
        <v>Japan</v>
      </c>
      <c r="B1380" s="6" t="str">
        <f t="shared" si="709"/>
        <v># of 6-90 agents</v>
      </c>
      <c r="C1380" s="4" t="str">
        <f>CHOOSE(2, "5462030031", "Jul 26")</f>
        <v>Jul 26</v>
      </c>
      <c r="D1380" s="14">
        <v>22</v>
      </c>
    </row>
    <row r="1381" spans="1:4" x14ac:dyDescent="0.35">
      <c r="A1381" s="8" t="str">
        <f t="shared" si="681"/>
        <v>Japan</v>
      </c>
      <c r="B1381" s="3" t="str">
        <f t="shared" ref="B1381:B1382" si="710">CHOOSE(2, "1395000000681", "New Recruits 3M Activation #")</f>
        <v>New Recruits 3M Activation #</v>
      </c>
      <c r="C1381" s="4" t="str">
        <f>CHOOSE(2, "5461730030", "Jun 26")</f>
        <v>Jun 26</v>
      </c>
      <c r="D1381" s="14">
        <v>11</v>
      </c>
    </row>
    <row r="1382" spans="1:4" x14ac:dyDescent="0.35">
      <c r="A1382" s="8" t="str">
        <f t="shared" si="681"/>
        <v>Japan</v>
      </c>
      <c r="B1382" s="6" t="str">
        <f t="shared" si="710"/>
        <v>New Recruits 3M Activation #</v>
      </c>
      <c r="C1382" s="4" t="str">
        <f>CHOOSE(2, "5462030031", "Jul 26")</f>
        <v>Jul 26</v>
      </c>
      <c r="D1382" s="14">
        <v>23</v>
      </c>
    </row>
    <row r="1383" spans="1:4" x14ac:dyDescent="0.35">
      <c r="A1383" s="8" t="str">
        <f t="shared" si="681"/>
        <v>Japan</v>
      </c>
      <c r="B1383" s="3" t="str">
        <f t="shared" ref="B1383:B1384" si="711">CHOOSE(2, "1395000000680", "No of Terminations")</f>
        <v>No of Terminations</v>
      </c>
      <c r="C1383" s="4" t="str">
        <f>CHOOSE(2, "5461730030", "Jun 26")</f>
        <v>Jun 26</v>
      </c>
      <c r="D1383" s="14">
        <v>11</v>
      </c>
    </row>
    <row r="1384" spans="1:4" x14ac:dyDescent="0.35">
      <c r="A1384" s="8" t="str">
        <f t="shared" si="681"/>
        <v>Japan</v>
      </c>
      <c r="B1384" s="6" t="str">
        <f t="shared" si="711"/>
        <v>No of Terminations</v>
      </c>
      <c r="C1384" s="4" t="str">
        <f>CHOOSE(2, "5462030031", "Jul 26")</f>
        <v>Jul 26</v>
      </c>
      <c r="D1384" s="14">
        <v>12</v>
      </c>
    </row>
    <row r="1385" spans="1:4" x14ac:dyDescent="0.35">
      <c r="A1385" s="8" t="str">
        <f t="shared" si="681"/>
        <v>Japan</v>
      </c>
      <c r="B1385" s="3" t="str">
        <f t="shared" ref="B1385:B1386" si="712">CHOOSE(2, "1395000000679", "No of Terminations in FA or equivalent")</f>
        <v>No of Terminations in FA or equivalent</v>
      </c>
      <c r="C1385" s="4" t="str">
        <f>CHOOSE(2, "5461730030", "Jun 26")</f>
        <v>Jun 26</v>
      </c>
      <c r="D1385" s="2" t="s">
        <v>5</v>
      </c>
    </row>
    <row r="1386" spans="1:4" x14ac:dyDescent="0.35">
      <c r="A1386" s="8" t="str">
        <f t="shared" si="681"/>
        <v>Japan</v>
      </c>
      <c r="B1386" s="6" t="str">
        <f t="shared" si="712"/>
        <v>No of Terminations in FA or equivalent</v>
      </c>
      <c r="C1386" s="4" t="str">
        <f>CHOOSE(2, "5462030031", "Jul 26")</f>
        <v>Jul 26</v>
      </c>
      <c r="D1386" s="2" t="s">
        <v>5</v>
      </c>
    </row>
    <row r="1387" spans="1:4" x14ac:dyDescent="0.35">
      <c r="A1387" s="8" t="str">
        <f t="shared" si="681"/>
        <v>Japan</v>
      </c>
      <c r="B1387" s="3" t="str">
        <f t="shared" ref="B1387:B1388" si="713">CHOOSE(2, "1395000000678", "No of Terminations in UM")</f>
        <v>No of Terminations in UM</v>
      </c>
      <c r="C1387" s="4" t="str">
        <f>CHOOSE(2, "5461730030", "Jun 26")</f>
        <v>Jun 26</v>
      </c>
      <c r="D1387" s="2" t="s">
        <v>5</v>
      </c>
    </row>
    <row r="1388" spans="1:4" x14ac:dyDescent="0.35">
      <c r="A1388" s="8" t="str">
        <f t="shared" si="681"/>
        <v>Japan</v>
      </c>
      <c r="B1388" s="6" t="str">
        <f t="shared" si="713"/>
        <v>No of Terminations in UM</v>
      </c>
      <c r="C1388" s="4" t="str">
        <f>CHOOSE(2, "5462030031", "Jul 26")</f>
        <v>Jul 26</v>
      </c>
      <c r="D1388" s="2" t="s">
        <v>5</v>
      </c>
    </row>
    <row r="1389" spans="1:4" x14ac:dyDescent="0.35">
      <c r="A1389" s="8" t="str">
        <f t="shared" ref="A1389:A1452" si="714">CHOOSE(2, "204000000002", "Japan")</f>
        <v>Japan</v>
      </c>
      <c r="B1389" s="3" t="str">
        <f t="shared" ref="B1389:B1390" si="715">CHOOSE(2, "1395000000677", "No of Terminations in Leaders above UM")</f>
        <v>No of Terminations in Leaders above UM</v>
      </c>
      <c r="C1389" s="4" t="str">
        <f>CHOOSE(2, "5461730030", "Jun 26")</f>
        <v>Jun 26</v>
      </c>
      <c r="D1389" s="2" t="s">
        <v>5</v>
      </c>
    </row>
    <row r="1390" spans="1:4" x14ac:dyDescent="0.35">
      <c r="A1390" s="8" t="str">
        <f t="shared" si="714"/>
        <v>Japan</v>
      </c>
      <c r="B1390" s="6" t="str">
        <f t="shared" si="715"/>
        <v>No of Terminations in Leaders above UM</v>
      </c>
      <c r="C1390" s="4" t="str">
        <f>CHOOSE(2, "5462030031", "Jul 26")</f>
        <v>Jul 26</v>
      </c>
      <c r="D1390" s="2" t="s">
        <v>5</v>
      </c>
    </row>
    <row r="1391" spans="1:4" x14ac:dyDescent="0.35">
      <c r="A1391" s="8" t="str">
        <f t="shared" si="714"/>
        <v>Japan</v>
      </c>
      <c r="B1391" s="3" t="str">
        <f t="shared" ref="B1391:B1392" si="716">CHOOSE(2, "1395000000676", "No of Terminations in Top-tier Agents")</f>
        <v>No of Terminations in Top-tier Agents</v>
      </c>
      <c r="C1391" s="4" t="str">
        <f>CHOOSE(2, "5461730030", "Jun 26")</f>
        <v>Jun 26</v>
      </c>
      <c r="D1391" s="2" t="s">
        <v>5</v>
      </c>
    </row>
    <row r="1392" spans="1:4" x14ac:dyDescent="0.35">
      <c r="A1392" s="8" t="str">
        <f t="shared" si="714"/>
        <v>Japan</v>
      </c>
      <c r="B1392" s="6" t="str">
        <f t="shared" si="716"/>
        <v>No of Terminations in Top-tier Agents</v>
      </c>
      <c r="C1392" s="4" t="str">
        <f>CHOOSE(2, "5462030031", "Jul 26")</f>
        <v>Jul 26</v>
      </c>
      <c r="D1392" s="2" t="s">
        <v>5</v>
      </c>
    </row>
    <row r="1393" spans="1:4" x14ac:dyDescent="0.35">
      <c r="A1393" s="8" t="str">
        <f t="shared" si="714"/>
        <v>Japan</v>
      </c>
      <c r="B1393" s="3" t="str">
        <f t="shared" ref="B1393:B1394" si="717">CHOOSE(2, "1395000000675", "No of Terminations in pro-rated MDRT agents (&gt;100%)")</f>
        <v>No of Terminations in pro-rated MDRT agents (&gt;100%)</v>
      </c>
      <c r="C1393" s="4" t="str">
        <f>CHOOSE(2, "5461730030", "Jun 26")</f>
        <v>Jun 26</v>
      </c>
      <c r="D1393" s="2" t="s">
        <v>5</v>
      </c>
    </row>
    <row r="1394" spans="1:4" x14ac:dyDescent="0.35">
      <c r="A1394" s="8" t="str">
        <f t="shared" si="714"/>
        <v>Japan</v>
      </c>
      <c r="B1394" s="6" t="str">
        <f t="shared" si="717"/>
        <v>No of Terminations in pro-rated MDRT agents (&gt;100%)</v>
      </c>
      <c r="C1394" s="4" t="str">
        <f>CHOOSE(2, "5462030031", "Jul 26")</f>
        <v>Jul 26</v>
      </c>
      <c r="D1394" s="2" t="s">
        <v>5</v>
      </c>
    </row>
    <row r="1395" spans="1:4" x14ac:dyDescent="0.35">
      <c r="A1395" s="8" t="str">
        <f t="shared" si="714"/>
        <v>Japan</v>
      </c>
      <c r="B1395" s="3" t="str">
        <f t="shared" ref="B1395:B1396" si="718">CHOOSE(2, "1395000000674", "No of Terminations in pro-rated MDRT agents (70-99%)")</f>
        <v>No of Terminations in pro-rated MDRT agents (70-99%)</v>
      </c>
      <c r="C1395" s="4" t="str">
        <f>CHOOSE(2, "5461730030", "Jun 26")</f>
        <v>Jun 26</v>
      </c>
      <c r="D1395" s="2" t="s">
        <v>5</v>
      </c>
    </row>
    <row r="1396" spans="1:4" x14ac:dyDescent="0.35">
      <c r="A1396" s="8" t="str">
        <f t="shared" si="714"/>
        <v>Japan</v>
      </c>
      <c r="B1396" s="6" t="str">
        <f t="shared" si="718"/>
        <v>No of Terminations in pro-rated MDRT agents (70-99%)</v>
      </c>
      <c r="C1396" s="4" t="str">
        <f>CHOOSE(2, "5462030031", "Jul 26")</f>
        <v>Jul 26</v>
      </c>
      <c r="D1396" s="2" t="s">
        <v>5</v>
      </c>
    </row>
    <row r="1397" spans="1:4" x14ac:dyDescent="0.35">
      <c r="A1397" s="8" t="str">
        <f t="shared" si="714"/>
        <v>Japan</v>
      </c>
      <c r="B1397" s="3" t="str">
        <f t="shared" ref="B1397:B1398" si="719">CHOOSE(2, "1395000000673", "No of Terminations in pro-rated MDRT agents (50-69%)")</f>
        <v>No of Terminations in pro-rated MDRT agents (50-69%)</v>
      </c>
      <c r="C1397" s="4" t="str">
        <f>CHOOSE(2, "5461730030", "Jun 26")</f>
        <v>Jun 26</v>
      </c>
      <c r="D1397" s="2" t="s">
        <v>5</v>
      </c>
    </row>
    <row r="1398" spans="1:4" x14ac:dyDescent="0.35">
      <c r="A1398" s="8" t="str">
        <f t="shared" si="714"/>
        <v>Japan</v>
      </c>
      <c r="B1398" s="6" t="str">
        <f t="shared" si="719"/>
        <v>No of Terminations in pro-rated MDRT agents (50-69%)</v>
      </c>
      <c r="C1398" s="4" t="str">
        <f>CHOOSE(2, "5462030031", "Jul 26")</f>
        <v>Jul 26</v>
      </c>
      <c r="D1398" s="2" t="s">
        <v>5</v>
      </c>
    </row>
    <row r="1399" spans="1:4" x14ac:dyDescent="0.35">
      <c r="A1399" s="8" t="str">
        <f t="shared" si="714"/>
        <v>Japan</v>
      </c>
      <c r="B1399" s="3" t="str">
        <f t="shared" ref="B1399:B1400" si="720">CHOOSE(2, "1395000000672", "No of Terminations in Manulife Pro Qualifiers - Total")</f>
        <v>No of Terminations in Manulife Pro Qualifiers - Total</v>
      </c>
      <c r="C1399" s="4" t="str">
        <f>CHOOSE(2, "5461730030", "Jun 26")</f>
        <v>Jun 26</v>
      </c>
      <c r="D1399" s="2" t="s">
        <v>5</v>
      </c>
    </row>
    <row r="1400" spans="1:4" x14ac:dyDescent="0.35">
      <c r="A1400" s="8" t="str">
        <f t="shared" si="714"/>
        <v>Japan</v>
      </c>
      <c r="B1400" s="6" t="str">
        <f t="shared" si="720"/>
        <v>No of Terminations in Manulife Pro Qualifiers - Total</v>
      </c>
      <c r="C1400" s="4" t="str">
        <f>CHOOSE(2, "5462030031", "Jul 26")</f>
        <v>Jul 26</v>
      </c>
      <c r="D1400" s="2" t="s">
        <v>5</v>
      </c>
    </row>
    <row r="1401" spans="1:4" x14ac:dyDescent="0.35">
      <c r="A1401" s="8" t="str">
        <f t="shared" si="714"/>
        <v>Japan</v>
      </c>
      <c r="B1401" s="3" t="str">
        <f t="shared" ref="B1401:B1402" si="721">CHOOSE(2, "1395000000671", "First Year Agents Terminated without Sales")</f>
        <v>First Year Agents Terminated without Sales</v>
      </c>
      <c r="C1401" s="4" t="str">
        <f>CHOOSE(2, "5461730030", "Jun 26")</f>
        <v>Jun 26</v>
      </c>
      <c r="D1401" s="2" t="s">
        <v>5</v>
      </c>
    </row>
    <row r="1402" spans="1:4" x14ac:dyDescent="0.35">
      <c r="A1402" s="8" t="str">
        <f t="shared" si="714"/>
        <v>Japan</v>
      </c>
      <c r="B1402" s="6" t="str">
        <f t="shared" si="721"/>
        <v>First Year Agents Terminated without Sales</v>
      </c>
      <c r="C1402" s="4" t="str">
        <f>CHOOSE(2, "5462030031", "Jul 26")</f>
        <v>Jul 26</v>
      </c>
      <c r="D1402" s="2" t="s">
        <v>5</v>
      </c>
    </row>
    <row r="1403" spans="1:4" x14ac:dyDescent="0.35">
      <c r="A1403" s="8" t="str">
        <f t="shared" si="714"/>
        <v>Japan</v>
      </c>
      <c r="B1403" s="3" t="str">
        <f t="shared" ref="B1403:B1404" si="722">CHOOSE(2, "1395000000670", "6mth Agency Retention Ratio")</f>
        <v>6mth Agency Retention Ratio</v>
      </c>
      <c r="C1403" s="4" t="str">
        <f>CHOOSE(2, "5461730030", "Jun 26")</f>
        <v>Jun 26</v>
      </c>
      <c r="D1403" s="2" t="s">
        <v>5</v>
      </c>
    </row>
    <row r="1404" spans="1:4" x14ac:dyDescent="0.35">
      <c r="A1404" s="8" t="str">
        <f t="shared" si="714"/>
        <v>Japan</v>
      </c>
      <c r="B1404" s="6" t="str">
        <f t="shared" si="722"/>
        <v>6mth Agency Retention Ratio</v>
      </c>
      <c r="C1404" s="4" t="str">
        <f>CHOOSE(2, "5462030031", "Jul 26")</f>
        <v>Jul 26</v>
      </c>
      <c r="D1404" s="2" t="s">
        <v>5</v>
      </c>
    </row>
    <row r="1405" spans="1:4" x14ac:dyDescent="0.35">
      <c r="A1405" s="8" t="str">
        <f t="shared" si="714"/>
        <v>Japan</v>
      </c>
      <c r="B1405" s="3" t="str">
        <f t="shared" ref="B1405:B1406" si="723">CHOOSE(2, "1395000000669", "12mth Agency Retention Ratio")</f>
        <v>12mth Agency Retention Ratio</v>
      </c>
      <c r="C1405" s="4" t="str">
        <f>CHOOSE(2, "5461730030", "Jun 26")</f>
        <v>Jun 26</v>
      </c>
      <c r="D1405" s="2" t="s">
        <v>5</v>
      </c>
    </row>
    <row r="1406" spans="1:4" x14ac:dyDescent="0.35">
      <c r="A1406" s="8" t="str">
        <f t="shared" si="714"/>
        <v>Japan</v>
      </c>
      <c r="B1406" s="6" t="str">
        <f t="shared" si="723"/>
        <v>12mth Agency Retention Ratio</v>
      </c>
      <c r="C1406" s="4" t="str">
        <f>CHOOSE(2, "5462030031", "Jul 26")</f>
        <v>Jul 26</v>
      </c>
      <c r="D1406" s="2" t="s">
        <v>5</v>
      </c>
    </row>
    <row r="1407" spans="1:4" x14ac:dyDescent="0.35">
      <c r="A1407" s="8" t="str">
        <f t="shared" si="714"/>
        <v>Japan</v>
      </c>
      <c r="B1407" s="3" t="str">
        <f t="shared" ref="B1407:B1408" si="724">CHOOSE(2, "1395000000668", "24mth Agency Retention Ratio")</f>
        <v>24mth Agency Retention Ratio</v>
      </c>
      <c r="C1407" s="4" t="str">
        <f>CHOOSE(2, "5461730030", "Jun 26")</f>
        <v>Jun 26</v>
      </c>
      <c r="D1407" s="2" t="s">
        <v>5</v>
      </c>
    </row>
    <row r="1408" spans="1:4" x14ac:dyDescent="0.35">
      <c r="A1408" s="8" t="str">
        <f t="shared" si="714"/>
        <v>Japan</v>
      </c>
      <c r="B1408" s="6" t="str">
        <f t="shared" si="724"/>
        <v>24mth Agency Retention Ratio</v>
      </c>
      <c r="C1408" s="4" t="str">
        <f>CHOOSE(2, "5462030031", "Jul 26")</f>
        <v>Jul 26</v>
      </c>
      <c r="D1408" s="2" t="s">
        <v>5</v>
      </c>
    </row>
    <row r="1409" spans="1:4" x14ac:dyDescent="0.35">
      <c r="A1409" s="8" t="str">
        <f t="shared" si="714"/>
        <v>Japan</v>
      </c>
      <c r="B1409" s="3" t="str">
        <f t="shared" ref="B1409:B1410" si="725">CHOOSE(2, "1395000000667", "Total # of Leaders (end of period)")</f>
        <v>Total # of Leaders (end of period)</v>
      </c>
      <c r="C1409" s="4" t="str">
        <f>CHOOSE(2, "5461730030", "Jun 26")</f>
        <v>Jun 26</v>
      </c>
      <c r="D1409" s="14">
        <v>113</v>
      </c>
    </row>
    <row r="1410" spans="1:4" x14ac:dyDescent="0.35">
      <c r="A1410" s="8" t="str">
        <f t="shared" si="714"/>
        <v>Japan</v>
      </c>
      <c r="B1410" s="6" t="str">
        <f t="shared" si="725"/>
        <v>Total # of Leaders (end of period)</v>
      </c>
      <c r="C1410" s="4" t="str">
        <f>CHOOSE(2, "5462030031", "Jul 26")</f>
        <v>Jul 26</v>
      </c>
      <c r="D1410" s="14">
        <v>115</v>
      </c>
    </row>
    <row r="1411" spans="1:4" x14ac:dyDescent="0.35">
      <c r="A1411" s="8" t="str">
        <f t="shared" si="714"/>
        <v>Japan</v>
      </c>
      <c r="B1411" s="3" t="str">
        <f t="shared" ref="B1411:B1412" si="726">CHOOSE(2, "1395000000666", "Total # of Unit Managers")</f>
        <v>Total # of Unit Managers</v>
      </c>
      <c r="C1411" s="4" t="str">
        <f>CHOOSE(2, "5461730030", "Jun 26")</f>
        <v>Jun 26</v>
      </c>
      <c r="D1411" s="14">
        <v>97</v>
      </c>
    </row>
    <row r="1412" spans="1:4" x14ac:dyDescent="0.35">
      <c r="A1412" s="8" t="str">
        <f t="shared" si="714"/>
        <v>Japan</v>
      </c>
      <c r="B1412" s="6" t="str">
        <f t="shared" si="726"/>
        <v>Total # of Unit Managers</v>
      </c>
      <c r="C1412" s="4" t="str">
        <f>CHOOSE(2, "5462030031", "Jul 26")</f>
        <v>Jul 26</v>
      </c>
      <c r="D1412" s="14">
        <v>99</v>
      </c>
    </row>
    <row r="1413" spans="1:4" x14ac:dyDescent="0.35">
      <c r="A1413" s="8" t="str">
        <f t="shared" si="714"/>
        <v>Japan</v>
      </c>
      <c r="B1413" s="3" t="str">
        <f t="shared" ref="B1413:B1414" si="727">CHOOSE(2, "1395000000665", "Total # of Leaders above Unit Manager level")</f>
        <v>Total # of Leaders above Unit Manager level</v>
      </c>
      <c r="C1413" s="4" t="str">
        <f>CHOOSE(2, "5461730030", "Jun 26")</f>
        <v>Jun 26</v>
      </c>
      <c r="D1413" s="14">
        <v>16</v>
      </c>
    </row>
    <row r="1414" spans="1:4" x14ac:dyDescent="0.35">
      <c r="A1414" s="8" t="str">
        <f t="shared" si="714"/>
        <v>Japan</v>
      </c>
      <c r="B1414" s="6" t="str">
        <f t="shared" si="727"/>
        <v>Total # of Leaders above Unit Manager level</v>
      </c>
      <c r="C1414" s="4" t="str">
        <f>CHOOSE(2, "5462030031", "Jul 26")</f>
        <v>Jul 26</v>
      </c>
      <c r="D1414" s="14">
        <v>16</v>
      </c>
    </row>
    <row r="1415" spans="1:4" x14ac:dyDescent="0.35">
      <c r="A1415" s="8" t="str">
        <f t="shared" si="714"/>
        <v>Japan</v>
      </c>
      <c r="B1415" s="3" t="str">
        <f t="shared" ref="B1415:B1416" si="728">CHOOSE(2, "1395000000664", "Total # of Agents below Unit Manager level (end of period)")</f>
        <v>Total # of Agents below Unit Manager level (end of period)</v>
      </c>
      <c r="C1415" s="4" t="str">
        <f>CHOOSE(2, "5461730030", "Jun 26")</f>
        <v>Jun 26</v>
      </c>
      <c r="D1415" s="14">
        <v>0</v>
      </c>
    </row>
    <row r="1416" spans="1:4" x14ac:dyDescent="0.35">
      <c r="A1416" s="8" t="str">
        <f t="shared" si="714"/>
        <v>Japan</v>
      </c>
      <c r="B1416" s="6" t="str">
        <f t="shared" si="728"/>
        <v>Total # of Agents below Unit Manager level (end of period)</v>
      </c>
      <c r="C1416" s="4" t="str">
        <f>CHOOSE(2, "5462030031", "Jul 26")</f>
        <v>Jul 26</v>
      </c>
      <c r="D1416" s="14">
        <v>0</v>
      </c>
    </row>
    <row r="1417" spans="1:4" x14ac:dyDescent="0.35">
      <c r="A1417" s="8" t="str">
        <f t="shared" si="714"/>
        <v>Japan</v>
      </c>
      <c r="B1417" s="3" t="str">
        <f t="shared" ref="B1417:B1418" si="729">CHOOSE(2, "1395000000663", "# of Active Recruiting Leaders")</f>
        <v># of Active Recruiting Leaders</v>
      </c>
      <c r="C1417" s="4" t="str">
        <f>CHOOSE(2, "5461730030", "Jun 26")</f>
        <v>Jun 26</v>
      </c>
      <c r="D1417" s="14">
        <v>9</v>
      </c>
    </row>
    <row r="1418" spans="1:4" x14ac:dyDescent="0.35">
      <c r="A1418" s="8" t="str">
        <f t="shared" si="714"/>
        <v>Japan</v>
      </c>
      <c r="B1418" s="6" t="str">
        <f t="shared" si="729"/>
        <v># of Active Recruiting Leaders</v>
      </c>
      <c r="C1418" s="4" t="str">
        <f>CHOOSE(2, "5462030031", "Jul 26")</f>
        <v>Jul 26</v>
      </c>
      <c r="D1418" s="14">
        <v>7</v>
      </c>
    </row>
    <row r="1419" spans="1:4" x14ac:dyDescent="0.35">
      <c r="A1419" s="8" t="str">
        <f t="shared" si="714"/>
        <v>Japan</v>
      </c>
      <c r="B1419" s="3" t="str">
        <f t="shared" ref="B1419:B1420" si="730">CHOOSE(2, "1395000000662", "# of leaders with &gt;1 YTD recruit")</f>
        <v># of leaders with &gt;1 YTD recruit</v>
      </c>
      <c r="C1419" s="4" t="str">
        <f>CHOOSE(2, "5461730030", "Jun 26")</f>
        <v>Jun 26</v>
      </c>
      <c r="D1419" s="14">
        <v>30</v>
      </c>
    </row>
    <row r="1420" spans="1:4" x14ac:dyDescent="0.35">
      <c r="A1420" s="8" t="str">
        <f t="shared" si="714"/>
        <v>Japan</v>
      </c>
      <c r="B1420" s="6" t="str">
        <f t="shared" si="730"/>
        <v># of leaders with &gt;1 YTD recruit</v>
      </c>
      <c r="C1420" s="4" t="str">
        <f>CHOOSE(2, "5462030031", "Jul 26")</f>
        <v>Jul 26</v>
      </c>
      <c r="D1420" s="14">
        <v>37</v>
      </c>
    </row>
    <row r="1421" spans="1:4" x14ac:dyDescent="0.35">
      <c r="A1421" s="8" t="str">
        <f t="shared" si="714"/>
        <v>Japan</v>
      </c>
      <c r="B1421" s="3" t="str">
        <f t="shared" ref="B1421:B1422" si="731">CHOOSE(2, "1395000000661", "Income ratio from personal sales (UM)")</f>
        <v>Income ratio from personal sales (UM)</v>
      </c>
      <c r="C1421" s="4" t="str">
        <f>CHOOSE(2, "5461730030", "Jun 26")</f>
        <v>Jun 26</v>
      </c>
      <c r="D1421" s="2" t="s">
        <v>5</v>
      </c>
    </row>
    <row r="1422" spans="1:4" x14ac:dyDescent="0.35">
      <c r="A1422" s="8" t="str">
        <f t="shared" si="714"/>
        <v>Japan</v>
      </c>
      <c r="B1422" s="6" t="str">
        <f t="shared" si="731"/>
        <v>Income ratio from personal sales (UM)</v>
      </c>
      <c r="C1422" s="4" t="str">
        <f>CHOOSE(2, "5462030031", "Jul 26")</f>
        <v>Jul 26</v>
      </c>
      <c r="D1422" s="2" t="s">
        <v>5</v>
      </c>
    </row>
    <row r="1423" spans="1:4" x14ac:dyDescent="0.35">
      <c r="A1423" s="8" t="str">
        <f t="shared" si="714"/>
        <v>Japan</v>
      </c>
      <c r="B1423" s="3" t="str">
        <f t="shared" ref="B1423:B1424" si="732">CHOOSE(2, "1395000000660", "Income ratio from personal sales (UM) (numerator)")</f>
        <v>Income ratio from personal sales (UM) (numerator)</v>
      </c>
      <c r="C1423" s="4" t="str">
        <f>CHOOSE(2, "5461730030", "Jun 26")</f>
        <v>Jun 26</v>
      </c>
      <c r="D1423" s="2" t="s">
        <v>5</v>
      </c>
    </row>
    <row r="1424" spans="1:4" x14ac:dyDescent="0.35">
      <c r="A1424" s="8" t="str">
        <f t="shared" si="714"/>
        <v>Japan</v>
      </c>
      <c r="B1424" s="6" t="str">
        <f t="shared" si="732"/>
        <v>Income ratio from personal sales (UM) (numerator)</v>
      </c>
      <c r="C1424" s="4" t="str">
        <f>CHOOSE(2, "5462030031", "Jul 26")</f>
        <v>Jul 26</v>
      </c>
      <c r="D1424" s="2" t="s">
        <v>5</v>
      </c>
    </row>
    <row r="1425" spans="1:4" x14ac:dyDescent="0.35">
      <c r="A1425" s="8" t="str">
        <f t="shared" si="714"/>
        <v>Japan</v>
      </c>
      <c r="B1425" s="3" t="str">
        <f t="shared" ref="B1425:B1426" si="733">CHOOSE(2, "1395000000659", "Income ratio from personal sales (UM) (denominator)")</f>
        <v>Income ratio from personal sales (UM) (denominator)</v>
      </c>
      <c r="C1425" s="4" t="str">
        <f>CHOOSE(2, "5461730030", "Jun 26")</f>
        <v>Jun 26</v>
      </c>
      <c r="D1425" s="2" t="s">
        <v>5</v>
      </c>
    </row>
    <row r="1426" spans="1:4" x14ac:dyDescent="0.35">
      <c r="A1426" s="8" t="str">
        <f t="shared" si="714"/>
        <v>Japan</v>
      </c>
      <c r="B1426" s="6" t="str">
        <f t="shared" si="733"/>
        <v>Income ratio from personal sales (UM) (denominator)</v>
      </c>
      <c r="C1426" s="4" t="str">
        <f>CHOOSE(2, "5462030031", "Jul 26")</f>
        <v>Jul 26</v>
      </c>
      <c r="D1426" s="2" t="s">
        <v>5</v>
      </c>
    </row>
    <row r="1427" spans="1:4" x14ac:dyDescent="0.35">
      <c r="A1427" s="8" t="str">
        <f t="shared" si="714"/>
        <v>Japan</v>
      </c>
      <c r="B1427" s="3" t="str">
        <f t="shared" ref="B1427:B1428" si="734">CHOOSE(2, "1395000000658", "Income ratio from personal sales (Leader above UM)")</f>
        <v>Income ratio from personal sales (Leader above UM)</v>
      </c>
      <c r="C1427" s="4" t="str">
        <f>CHOOSE(2, "5461730030", "Jun 26")</f>
        <v>Jun 26</v>
      </c>
      <c r="D1427" s="2" t="s">
        <v>5</v>
      </c>
    </row>
    <row r="1428" spans="1:4" x14ac:dyDescent="0.35">
      <c r="A1428" s="8" t="str">
        <f t="shared" si="714"/>
        <v>Japan</v>
      </c>
      <c r="B1428" s="6" t="str">
        <f t="shared" si="734"/>
        <v>Income ratio from personal sales (Leader above UM)</v>
      </c>
      <c r="C1428" s="4" t="str">
        <f>CHOOSE(2, "5462030031", "Jul 26")</f>
        <v>Jul 26</v>
      </c>
      <c r="D1428" s="2" t="s">
        <v>5</v>
      </c>
    </row>
    <row r="1429" spans="1:4" x14ac:dyDescent="0.35">
      <c r="A1429" s="8" t="str">
        <f t="shared" si="714"/>
        <v>Japan</v>
      </c>
      <c r="B1429" s="3" t="str">
        <f t="shared" ref="B1429:B1430" si="735">CHOOSE(2, "1395000000657", "Income ratio from personal sales (Leader above UM) (num)")</f>
        <v>Income ratio from personal sales (Leader above UM) (num)</v>
      </c>
      <c r="C1429" s="4" t="str">
        <f>CHOOSE(2, "5461730030", "Jun 26")</f>
        <v>Jun 26</v>
      </c>
      <c r="D1429" s="2" t="s">
        <v>5</v>
      </c>
    </row>
    <row r="1430" spans="1:4" x14ac:dyDescent="0.35">
      <c r="A1430" s="8" t="str">
        <f t="shared" si="714"/>
        <v>Japan</v>
      </c>
      <c r="B1430" s="6" t="str">
        <f t="shared" si="735"/>
        <v>Income ratio from personal sales (Leader above UM) (num)</v>
      </c>
      <c r="C1430" s="4" t="str">
        <f>CHOOSE(2, "5462030031", "Jul 26")</f>
        <v>Jul 26</v>
      </c>
      <c r="D1430" s="2" t="s">
        <v>5</v>
      </c>
    </row>
    <row r="1431" spans="1:4" x14ac:dyDescent="0.35">
      <c r="A1431" s="8" t="str">
        <f t="shared" si="714"/>
        <v>Japan</v>
      </c>
      <c r="B1431" s="3" t="str">
        <f t="shared" ref="B1431:B1432" si="736">CHOOSE(2, "1395000000656", "Income ratio from personal sales (Leader above UM) (den)")</f>
        <v>Income ratio from personal sales (Leader above UM) (den)</v>
      </c>
      <c r="C1431" s="4" t="str">
        <f>CHOOSE(2, "5461730030", "Jun 26")</f>
        <v>Jun 26</v>
      </c>
      <c r="D1431" s="2" t="s">
        <v>5</v>
      </c>
    </row>
    <row r="1432" spans="1:4" x14ac:dyDescent="0.35">
      <c r="A1432" s="8" t="str">
        <f t="shared" si="714"/>
        <v>Japan</v>
      </c>
      <c r="B1432" s="6" t="str">
        <f t="shared" si="736"/>
        <v>Income ratio from personal sales (Leader above UM) (den)</v>
      </c>
      <c r="C1432" s="4" t="str">
        <f>CHOOSE(2, "5462030031", "Jul 26")</f>
        <v>Jul 26</v>
      </c>
      <c r="D1432" s="2" t="s">
        <v>5</v>
      </c>
    </row>
    <row r="1433" spans="1:4" x14ac:dyDescent="0.35">
      <c r="A1433" s="8" t="str">
        <f t="shared" si="714"/>
        <v>Japan</v>
      </c>
      <c r="B1433" s="3" t="str">
        <f t="shared" ref="B1433:B1434" si="737">CHOOSE(2, "1395000000655", "Total agent earnings")</f>
        <v>Total agent earnings</v>
      </c>
      <c r="C1433" s="4" t="str">
        <f>CHOOSE(2, "5461730030", "Jun 26")</f>
        <v>Jun 26</v>
      </c>
      <c r="D1433" s="2" t="s">
        <v>5</v>
      </c>
    </row>
    <row r="1434" spans="1:4" x14ac:dyDescent="0.35">
      <c r="A1434" s="8" t="str">
        <f t="shared" si="714"/>
        <v>Japan</v>
      </c>
      <c r="B1434" s="6" t="str">
        <f t="shared" si="737"/>
        <v>Total agent earnings</v>
      </c>
      <c r="C1434" s="4" t="str">
        <f>CHOOSE(2, "5462030031", "Jul 26")</f>
        <v>Jul 26</v>
      </c>
      <c r="D1434" s="2" t="s">
        <v>5</v>
      </c>
    </row>
    <row r="1435" spans="1:4" x14ac:dyDescent="0.35">
      <c r="A1435" s="8" t="str">
        <f t="shared" si="714"/>
        <v>Japan</v>
      </c>
      <c r="B1435" s="3" t="str">
        <f t="shared" ref="B1435:B1436" si="738">CHOOSE(2, "1395000000654", "Total agent earnings in FA or equivalent")</f>
        <v>Total agent earnings in FA or equivalent</v>
      </c>
      <c r="C1435" s="4" t="str">
        <f>CHOOSE(2, "5461730030", "Jun 26")</f>
        <v>Jun 26</v>
      </c>
      <c r="D1435" s="2" t="s">
        <v>5</v>
      </c>
    </row>
    <row r="1436" spans="1:4" x14ac:dyDescent="0.35">
      <c r="A1436" s="8" t="str">
        <f t="shared" si="714"/>
        <v>Japan</v>
      </c>
      <c r="B1436" s="6" t="str">
        <f t="shared" si="738"/>
        <v>Total agent earnings in FA or equivalent</v>
      </c>
      <c r="C1436" s="4" t="str">
        <f>CHOOSE(2, "5462030031", "Jul 26")</f>
        <v>Jul 26</v>
      </c>
      <c r="D1436" s="2" t="s">
        <v>5</v>
      </c>
    </row>
    <row r="1437" spans="1:4" x14ac:dyDescent="0.35">
      <c r="A1437" s="8" t="str">
        <f t="shared" si="714"/>
        <v>Japan</v>
      </c>
      <c r="B1437" s="3" t="str">
        <f t="shared" ref="B1437:B1438" si="739">CHOOSE(2, "1395000000653", "Total agent earnings in UM")</f>
        <v>Total agent earnings in UM</v>
      </c>
      <c r="C1437" s="4" t="str">
        <f>CHOOSE(2, "5461730030", "Jun 26")</f>
        <v>Jun 26</v>
      </c>
      <c r="D1437" s="2" t="s">
        <v>5</v>
      </c>
    </row>
    <row r="1438" spans="1:4" x14ac:dyDescent="0.35">
      <c r="A1438" s="8" t="str">
        <f t="shared" si="714"/>
        <v>Japan</v>
      </c>
      <c r="B1438" s="6" t="str">
        <f t="shared" si="739"/>
        <v>Total agent earnings in UM</v>
      </c>
      <c r="C1438" s="4" t="str">
        <f>CHOOSE(2, "5462030031", "Jul 26")</f>
        <v>Jul 26</v>
      </c>
      <c r="D1438" s="2" t="s">
        <v>5</v>
      </c>
    </row>
    <row r="1439" spans="1:4" x14ac:dyDescent="0.35">
      <c r="A1439" s="8" t="str">
        <f t="shared" si="714"/>
        <v>Japan</v>
      </c>
      <c r="B1439" s="3" t="str">
        <f t="shared" ref="B1439:B1440" si="740">CHOOSE(2, "1395000000652", "Total agent earnings in Leaders above UM")</f>
        <v>Total agent earnings in Leaders above UM</v>
      </c>
      <c r="C1439" s="4" t="str">
        <f>CHOOSE(2, "5461730030", "Jun 26")</f>
        <v>Jun 26</v>
      </c>
      <c r="D1439" s="2" t="s">
        <v>5</v>
      </c>
    </row>
    <row r="1440" spans="1:4" x14ac:dyDescent="0.35">
      <c r="A1440" s="8" t="str">
        <f t="shared" si="714"/>
        <v>Japan</v>
      </c>
      <c r="B1440" s="6" t="str">
        <f t="shared" si="740"/>
        <v>Total agent earnings in Leaders above UM</v>
      </c>
      <c r="C1440" s="4" t="str">
        <f>CHOOSE(2, "5462030031", "Jul 26")</f>
        <v>Jul 26</v>
      </c>
      <c r="D1440" s="2" t="s">
        <v>5</v>
      </c>
    </row>
    <row r="1441" spans="1:4" x14ac:dyDescent="0.35">
      <c r="A1441" s="8" t="str">
        <f t="shared" si="714"/>
        <v>Japan</v>
      </c>
      <c r="B1441" s="3" t="str">
        <f t="shared" ref="B1441:B1442" si="741">CHOOSE(2, "1395000000651", "# of Newly Promoted UM")</f>
        <v># of Newly Promoted UM</v>
      </c>
      <c r="C1441" s="4" t="str">
        <f>CHOOSE(2, "5461730030", "Jun 26")</f>
        <v>Jun 26</v>
      </c>
      <c r="D1441" s="14">
        <v>3</v>
      </c>
    </row>
    <row r="1442" spans="1:4" x14ac:dyDescent="0.35">
      <c r="A1442" s="8" t="str">
        <f t="shared" si="714"/>
        <v>Japan</v>
      </c>
      <c r="B1442" s="6" t="str">
        <f t="shared" si="741"/>
        <v># of Newly Promoted UM</v>
      </c>
      <c r="C1442" s="4" t="str">
        <f>CHOOSE(2, "5462030031", "Jul 26")</f>
        <v>Jul 26</v>
      </c>
      <c r="D1442" s="14">
        <v>2</v>
      </c>
    </row>
    <row r="1443" spans="1:4" x14ac:dyDescent="0.35">
      <c r="A1443" s="8" t="str">
        <f t="shared" si="714"/>
        <v>Japan</v>
      </c>
      <c r="B1443" s="3" t="str">
        <f t="shared" ref="B1443:B1444" si="742">CHOOSE(2, "1395000000650", "# of Newly Promoted Leaders above UM")</f>
        <v># of Newly Promoted Leaders above UM</v>
      </c>
      <c r="C1443" s="4" t="str">
        <f>CHOOSE(2, "5461730030", "Jun 26")</f>
        <v>Jun 26</v>
      </c>
      <c r="D1443" s="14">
        <v>0</v>
      </c>
    </row>
    <row r="1444" spans="1:4" x14ac:dyDescent="0.35">
      <c r="A1444" s="8" t="str">
        <f t="shared" si="714"/>
        <v>Japan</v>
      </c>
      <c r="B1444" s="6" t="str">
        <f t="shared" si="742"/>
        <v># of Newly Promoted Leaders above UM</v>
      </c>
      <c r="C1444" s="4" t="str">
        <f>CHOOSE(2, "5462030031", "Jul 26")</f>
        <v>Jul 26</v>
      </c>
      <c r="D1444" s="14">
        <v>0</v>
      </c>
    </row>
    <row r="1445" spans="1:4" x14ac:dyDescent="0.35">
      <c r="A1445" s="8" t="str">
        <f t="shared" si="714"/>
        <v>Japan</v>
      </c>
      <c r="B1445" s="3" t="str">
        <f t="shared" ref="B1445:B1446" si="743">CHOOSE(2, "1395000000649", "# of Total Leader Promotions")</f>
        <v># of Total Leader Promotions</v>
      </c>
      <c r="C1445" s="4" t="str">
        <f>CHOOSE(2, "5461730030", "Jun 26")</f>
        <v>Jun 26</v>
      </c>
      <c r="D1445" s="14">
        <v>3</v>
      </c>
    </row>
    <row r="1446" spans="1:4" x14ac:dyDescent="0.35">
      <c r="A1446" s="8" t="str">
        <f t="shared" si="714"/>
        <v>Japan</v>
      </c>
      <c r="B1446" s="6" t="str">
        <f t="shared" si="743"/>
        <v># of Total Leader Promotions</v>
      </c>
      <c r="C1446" s="4" t="str">
        <f>CHOOSE(2, "5462030031", "Jul 26")</f>
        <v>Jul 26</v>
      </c>
      <c r="D1446" s="14">
        <v>2</v>
      </c>
    </row>
    <row r="1447" spans="1:4" x14ac:dyDescent="0.35">
      <c r="A1447" s="8" t="str">
        <f t="shared" si="714"/>
        <v>Japan</v>
      </c>
      <c r="B1447" s="3" t="str">
        <f t="shared" ref="B1447:B1448" si="744">CHOOSE(2, "1395000000648", "# of Newly Demoted UM")</f>
        <v># of Newly Demoted UM</v>
      </c>
      <c r="C1447" s="4" t="str">
        <f>CHOOSE(2, "5461730030", "Jun 26")</f>
        <v>Jun 26</v>
      </c>
      <c r="D1447" s="14">
        <v>0</v>
      </c>
    </row>
    <row r="1448" spans="1:4" x14ac:dyDescent="0.35">
      <c r="A1448" s="8" t="str">
        <f t="shared" si="714"/>
        <v>Japan</v>
      </c>
      <c r="B1448" s="6" t="str">
        <f t="shared" si="744"/>
        <v># of Newly Demoted UM</v>
      </c>
      <c r="C1448" s="4" t="str">
        <f>CHOOSE(2, "5462030031", "Jul 26")</f>
        <v>Jul 26</v>
      </c>
      <c r="D1448" s="14">
        <v>0</v>
      </c>
    </row>
    <row r="1449" spans="1:4" x14ac:dyDescent="0.35">
      <c r="A1449" s="8" t="str">
        <f t="shared" si="714"/>
        <v>Japan</v>
      </c>
      <c r="B1449" s="3" t="str">
        <f t="shared" ref="B1449:B1450" si="745">CHOOSE(2, "1395000000647", "# of Newly Demoted Leaders above UM")</f>
        <v># of Newly Demoted Leaders above UM</v>
      </c>
      <c r="C1449" s="4" t="str">
        <f>CHOOSE(2, "5461730030", "Jun 26")</f>
        <v>Jun 26</v>
      </c>
      <c r="D1449" s="14">
        <v>0</v>
      </c>
    </row>
    <row r="1450" spans="1:4" x14ac:dyDescent="0.35">
      <c r="A1450" s="8" t="str">
        <f t="shared" si="714"/>
        <v>Japan</v>
      </c>
      <c r="B1450" s="6" t="str">
        <f t="shared" si="745"/>
        <v># of Newly Demoted Leaders above UM</v>
      </c>
      <c r="C1450" s="4" t="str">
        <f>CHOOSE(2, "5462030031", "Jul 26")</f>
        <v>Jul 26</v>
      </c>
      <c r="D1450" s="14">
        <v>0</v>
      </c>
    </row>
    <row r="1451" spans="1:4" x14ac:dyDescent="0.35">
      <c r="A1451" s="8" t="str">
        <f t="shared" si="714"/>
        <v>Japan</v>
      </c>
      <c r="B1451" s="3" t="str">
        <f t="shared" ref="B1451:B1452" si="746">CHOOSE(2, "1395000000646", "# of Total Leader Demotions")</f>
        <v># of Total Leader Demotions</v>
      </c>
      <c r="C1451" s="4" t="str">
        <f>CHOOSE(2, "5461730030", "Jun 26")</f>
        <v>Jun 26</v>
      </c>
      <c r="D1451" s="14">
        <v>0</v>
      </c>
    </row>
    <row r="1452" spans="1:4" x14ac:dyDescent="0.35">
      <c r="A1452" s="8" t="str">
        <f t="shared" si="714"/>
        <v>Japan</v>
      </c>
      <c r="B1452" s="6" t="str">
        <f t="shared" si="746"/>
        <v># of Total Leader Demotions</v>
      </c>
      <c r="C1452" s="4" t="str">
        <f>CHOOSE(2, "5462030031", "Jul 26")</f>
        <v>Jul 26</v>
      </c>
      <c r="D1452" s="14">
        <v>0</v>
      </c>
    </row>
    <row r="1453" spans="1:4" x14ac:dyDescent="0.35">
      <c r="A1453" s="8" t="str">
        <f t="shared" ref="A1453:A1516" si="747">CHOOSE(2, "204000000002", "Japan")</f>
        <v>Japan</v>
      </c>
      <c r="B1453" s="3" t="str">
        <f t="shared" ref="B1453:B1454" si="748">CHOOSE(2, "1395000000645", "# of agents meeting MOC")</f>
        <v># of agents meeting MOC</v>
      </c>
      <c r="C1453" s="4" t="str">
        <f>CHOOSE(2, "5461730030", "Jun 26")</f>
        <v>Jun 26</v>
      </c>
      <c r="D1453" s="14">
        <v>0</v>
      </c>
    </row>
    <row r="1454" spans="1:4" x14ac:dyDescent="0.35">
      <c r="A1454" s="8" t="str">
        <f t="shared" si="747"/>
        <v>Japan</v>
      </c>
      <c r="B1454" s="6" t="str">
        <f t="shared" si="748"/>
        <v># of agents meeting MOC</v>
      </c>
      <c r="C1454" s="4" t="str">
        <f>CHOOSE(2, "5462030031", "Jul 26")</f>
        <v>Jul 26</v>
      </c>
      <c r="D1454" s="14">
        <v>0</v>
      </c>
    </row>
    <row r="1455" spans="1:4" x14ac:dyDescent="0.35">
      <c r="A1455" s="8" t="str">
        <f t="shared" si="747"/>
        <v>Japan</v>
      </c>
      <c r="B1455" s="3" t="str">
        <f t="shared" ref="B1455:B1456" si="749">CHOOSE(2, "1395000000644", "# of agents meeting MOC in FA or equivalent")</f>
        <v># of agents meeting MOC in FA or equivalent</v>
      </c>
      <c r="C1455" s="4" t="str">
        <f>CHOOSE(2, "5461730030", "Jun 26")</f>
        <v>Jun 26</v>
      </c>
      <c r="D1455" s="2" t="s">
        <v>5</v>
      </c>
    </row>
    <row r="1456" spans="1:4" x14ac:dyDescent="0.35">
      <c r="A1456" s="8" t="str">
        <f t="shared" si="747"/>
        <v>Japan</v>
      </c>
      <c r="B1456" s="6" t="str">
        <f t="shared" si="749"/>
        <v># of agents meeting MOC in FA or equivalent</v>
      </c>
      <c r="C1456" s="4" t="str">
        <f>CHOOSE(2, "5462030031", "Jul 26")</f>
        <v>Jul 26</v>
      </c>
      <c r="D1456" s="2" t="s">
        <v>5</v>
      </c>
    </row>
    <row r="1457" spans="1:4" x14ac:dyDescent="0.35">
      <c r="A1457" s="8" t="str">
        <f t="shared" si="747"/>
        <v>Japan</v>
      </c>
      <c r="B1457" s="3" t="str">
        <f t="shared" ref="B1457:B1458" si="750">CHOOSE(2, "1395000000643", "# of agents meeting MOC in UM")</f>
        <v># of agents meeting MOC in UM</v>
      </c>
      <c r="C1457" s="4" t="str">
        <f>CHOOSE(2, "5461730030", "Jun 26")</f>
        <v>Jun 26</v>
      </c>
      <c r="D1457" s="2" t="s">
        <v>5</v>
      </c>
    </row>
    <row r="1458" spans="1:4" x14ac:dyDescent="0.35">
      <c r="A1458" s="8" t="str">
        <f t="shared" si="747"/>
        <v>Japan</v>
      </c>
      <c r="B1458" s="6" t="str">
        <f t="shared" si="750"/>
        <v># of agents meeting MOC in UM</v>
      </c>
      <c r="C1458" s="4" t="str">
        <f>CHOOSE(2, "5462030031", "Jul 26")</f>
        <v>Jul 26</v>
      </c>
      <c r="D1458" s="2" t="s">
        <v>5</v>
      </c>
    </row>
    <row r="1459" spans="1:4" x14ac:dyDescent="0.35">
      <c r="A1459" s="8" t="str">
        <f t="shared" si="747"/>
        <v>Japan</v>
      </c>
      <c r="B1459" s="3" t="str">
        <f t="shared" ref="B1459:B1460" si="751">CHOOSE(2, "1395000000642", "# of agents meeting MOC in Leaders above UM")</f>
        <v># of agents meeting MOC in Leaders above UM</v>
      </c>
      <c r="C1459" s="4" t="str">
        <f>CHOOSE(2, "5461730030", "Jun 26")</f>
        <v>Jun 26</v>
      </c>
      <c r="D1459" s="2" t="s">
        <v>5</v>
      </c>
    </row>
    <row r="1460" spans="1:4" x14ac:dyDescent="0.35">
      <c r="A1460" s="8" t="str">
        <f t="shared" si="747"/>
        <v>Japan</v>
      </c>
      <c r="B1460" s="6" t="str">
        <f t="shared" si="751"/>
        <v># of agents meeting MOC in Leaders above UM</v>
      </c>
      <c r="C1460" s="4" t="str">
        <f>CHOOSE(2, "5462030031", "Jul 26")</f>
        <v>Jul 26</v>
      </c>
      <c r="D1460" s="2" t="s">
        <v>5</v>
      </c>
    </row>
    <row r="1461" spans="1:4" x14ac:dyDescent="0.35">
      <c r="A1461" s="8" t="str">
        <f t="shared" si="747"/>
        <v>Japan</v>
      </c>
      <c r="B1461" s="3" t="str">
        <f t="shared" ref="B1461:B1462" si="752">CHOOSE(2, "1395000000641", "New Leaders 3M Activation Rate (by cohort)")</f>
        <v>New Leaders 3M Activation Rate (by cohort)</v>
      </c>
      <c r="C1461" s="4" t="str">
        <f>CHOOSE(2, "5461730030", "Jun 26")</f>
        <v>Jun 26</v>
      </c>
      <c r="D1461" s="14">
        <v>0</v>
      </c>
    </row>
    <row r="1462" spans="1:4" x14ac:dyDescent="0.35">
      <c r="A1462" s="8" t="str">
        <f t="shared" si="747"/>
        <v>Japan</v>
      </c>
      <c r="B1462" s="6" t="str">
        <f t="shared" si="752"/>
        <v>New Leaders 3M Activation Rate (by cohort)</v>
      </c>
      <c r="C1462" s="4" t="str">
        <f>CHOOSE(2, "5462030031", "Jul 26")</f>
        <v>Jul 26</v>
      </c>
      <c r="D1462" s="14">
        <v>0.2</v>
      </c>
    </row>
    <row r="1463" spans="1:4" x14ac:dyDescent="0.35">
      <c r="A1463" s="8" t="str">
        <f t="shared" si="747"/>
        <v>Japan</v>
      </c>
      <c r="B1463" s="3" t="str">
        <f t="shared" ref="B1463:B1464" si="753">CHOOSE(2, "1395000000640", "New Leaders 3M Activation Rate (by cohort) (numerator)")</f>
        <v>New Leaders 3M Activation Rate (by cohort) (numerator)</v>
      </c>
      <c r="C1463" s="4" t="str">
        <f>CHOOSE(2, "5461730030", "Jun 26")</f>
        <v>Jun 26</v>
      </c>
      <c r="D1463" s="14">
        <v>0</v>
      </c>
    </row>
    <row r="1464" spans="1:4" x14ac:dyDescent="0.35">
      <c r="A1464" s="8" t="str">
        <f t="shared" si="747"/>
        <v>Japan</v>
      </c>
      <c r="B1464" s="6" t="str">
        <f t="shared" si="753"/>
        <v>New Leaders 3M Activation Rate (by cohort) (numerator)</v>
      </c>
      <c r="C1464" s="4" t="str">
        <f>CHOOSE(2, "5462030031", "Jul 26")</f>
        <v>Jul 26</v>
      </c>
      <c r="D1464" s="14">
        <v>1</v>
      </c>
    </row>
    <row r="1465" spans="1:4" x14ac:dyDescent="0.35">
      <c r="A1465" s="8" t="str">
        <f t="shared" si="747"/>
        <v>Japan</v>
      </c>
      <c r="B1465" s="3" t="str">
        <f t="shared" ref="B1465:B1466" si="754">CHOOSE(2, "1395000000639", "New Leaders 3M Activation Rate (by cohort) (denominator)")</f>
        <v>New Leaders 3M Activation Rate (by cohort) (denominator)</v>
      </c>
      <c r="C1465" s="4" t="str">
        <f>CHOOSE(2, "5461730030", "Jun 26")</f>
        <v>Jun 26</v>
      </c>
      <c r="D1465" s="14">
        <v>3</v>
      </c>
    </row>
    <row r="1466" spans="1:4" x14ac:dyDescent="0.35">
      <c r="A1466" s="8" t="str">
        <f t="shared" si="747"/>
        <v>Japan</v>
      </c>
      <c r="B1466" s="6" t="str">
        <f t="shared" si="754"/>
        <v>New Leaders 3M Activation Rate (by cohort) (denominator)</v>
      </c>
      <c r="C1466" s="4" t="str">
        <f>CHOOSE(2, "5462030031", "Jul 26")</f>
        <v>Jul 26</v>
      </c>
      <c r="D1466" s="14">
        <v>5</v>
      </c>
    </row>
    <row r="1467" spans="1:4" x14ac:dyDescent="0.35">
      <c r="A1467" s="8" t="str">
        <f t="shared" si="747"/>
        <v>Japan</v>
      </c>
      <c r="B1467" s="3" t="str">
        <f t="shared" ref="B1467:B1468" si="755">CHOOSE(2, "1395000000638", "# of pro-rated MDRT agents (100%)")</f>
        <v># of pro-rated MDRT agents (100%)</v>
      </c>
      <c r="C1467" s="4" t="str">
        <f>CHOOSE(2, "5461730030", "Jun 26")</f>
        <v>Jun 26</v>
      </c>
      <c r="D1467" s="14">
        <v>149</v>
      </c>
    </row>
    <row r="1468" spans="1:4" x14ac:dyDescent="0.35">
      <c r="A1468" s="8" t="str">
        <f t="shared" si="747"/>
        <v>Japan</v>
      </c>
      <c r="B1468" s="6" t="str">
        <f t="shared" si="755"/>
        <v># of pro-rated MDRT agents (100%)</v>
      </c>
      <c r="C1468" s="4" t="str">
        <f>CHOOSE(2, "5462030031", "Jul 26")</f>
        <v>Jul 26</v>
      </c>
      <c r="D1468" s="14">
        <v>142</v>
      </c>
    </row>
    <row r="1469" spans="1:4" x14ac:dyDescent="0.35">
      <c r="A1469" s="8" t="str">
        <f t="shared" si="747"/>
        <v>Japan</v>
      </c>
      <c r="B1469" s="3" t="str">
        <f t="shared" ref="B1469:B1470" si="756">CHOOSE(2, "1395000000637", "# of pro-rated MDRT agents (90%-99%)")</f>
        <v># of pro-rated MDRT agents (90%-99%)</v>
      </c>
      <c r="C1469" s="4" t="str">
        <f>CHOOSE(2, "5461730030", "Jun 26")</f>
        <v>Jun 26</v>
      </c>
      <c r="D1469" s="2" t="s">
        <v>5</v>
      </c>
    </row>
    <row r="1470" spans="1:4" x14ac:dyDescent="0.35">
      <c r="A1470" s="8" t="str">
        <f t="shared" si="747"/>
        <v>Japan</v>
      </c>
      <c r="B1470" s="6" t="str">
        <f t="shared" si="756"/>
        <v># of pro-rated MDRT agents (90%-99%)</v>
      </c>
      <c r="C1470" s="4" t="str">
        <f>CHOOSE(2, "5462030031", "Jul 26")</f>
        <v>Jul 26</v>
      </c>
      <c r="D1470" s="2" t="s">
        <v>5</v>
      </c>
    </row>
    <row r="1471" spans="1:4" x14ac:dyDescent="0.35">
      <c r="A1471" s="8" t="str">
        <f t="shared" si="747"/>
        <v>Japan</v>
      </c>
      <c r="B1471" s="3" t="str">
        <f t="shared" ref="B1471:B1472" si="757">CHOOSE(2, "1395000000636", "# of pro-rated MDRT agents (70%-90%)")</f>
        <v># of pro-rated MDRT agents (70%-90%)</v>
      </c>
      <c r="C1471" s="4" t="str">
        <f>CHOOSE(2, "5461730030", "Jun 26")</f>
        <v>Jun 26</v>
      </c>
      <c r="D1471" s="2" t="s">
        <v>5</v>
      </c>
    </row>
    <row r="1472" spans="1:4" x14ac:dyDescent="0.35">
      <c r="A1472" s="8" t="str">
        <f t="shared" si="747"/>
        <v>Japan</v>
      </c>
      <c r="B1472" s="6" t="str">
        <f t="shared" si="757"/>
        <v># of pro-rated MDRT agents (70%-90%)</v>
      </c>
      <c r="C1472" s="4" t="str">
        <f>CHOOSE(2, "5462030031", "Jul 26")</f>
        <v>Jul 26</v>
      </c>
      <c r="D1472" s="2" t="s">
        <v>5</v>
      </c>
    </row>
    <row r="1473" spans="1:4" x14ac:dyDescent="0.35">
      <c r="A1473" s="8" t="str">
        <f t="shared" si="747"/>
        <v>Japan</v>
      </c>
      <c r="B1473" s="3" t="str">
        <f t="shared" ref="B1473:B1474" si="758">CHOOSE(2, "1395000000635", "# of pro-rated MDRT agents (&lt;70%)")</f>
        <v># of pro-rated MDRT agents (&lt;70%)</v>
      </c>
      <c r="C1473" s="4" t="str">
        <f>CHOOSE(2, "5461730030", "Jun 26")</f>
        <v>Jun 26</v>
      </c>
      <c r="D1473" s="2" t="s">
        <v>5</v>
      </c>
    </row>
    <row r="1474" spans="1:4" x14ac:dyDescent="0.35">
      <c r="A1474" s="8" t="str">
        <f t="shared" si="747"/>
        <v>Japan</v>
      </c>
      <c r="B1474" s="6" t="str">
        <f t="shared" si="758"/>
        <v># of pro-rated MDRT agents (&lt;70%)</v>
      </c>
      <c r="C1474" s="4" t="str">
        <f>CHOOSE(2, "5462030031", "Jul 26")</f>
        <v>Jul 26</v>
      </c>
      <c r="D1474" s="2" t="s">
        <v>5</v>
      </c>
    </row>
    <row r="1475" spans="1:4" x14ac:dyDescent="0.35">
      <c r="A1475" s="8" t="str">
        <f t="shared" si="747"/>
        <v>Japan</v>
      </c>
      <c r="B1475" s="3" t="str">
        <f t="shared" ref="B1475:B1476" si="759">CHOOSE(2, "1395000000634", "# of pro-rated MDRT agents (50%-70%)")</f>
        <v># of pro-rated MDRT agents (50%-70%)</v>
      </c>
      <c r="C1475" s="4" t="str">
        <f>CHOOSE(2, "5461730030", "Jun 26")</f>
        <v>Jun 26</v>
      </c>
      <c r="D1475" s="2" t="s">
        <v>5</v>
      </c>
    </row>
    <row r="1476" spans="1:4" x14ac:dyDescent="0.35">
      <c r="A1476" s="8" t="str">
        <f t="shared" si="747"/>
        <v>Japan</v>
      </c>
      <c r="B1476" s="6" t="str">
        <f t="shared" si="759"/>
        <v># of pro-rated MDRT agents (50%-70%)</v>
      </c>
      <c r="C1476" s="4" t="str">
        <f>CHOOSE(2, "5462030031", "Jul 26")</f>
        <v>Jul 26</v>
      </c>
      <c r="D1476" s="2" t="s">
        <v>5</v>
      </c>
    </row>
    <row r="1477" spans="1:4" x14ac:dyDescent="0.35">
      <c r="A1477" s="8" t="str">
        <f t="shared" si="747"/>
        <v>Japan</v>
      </c>
      <c r="B1477" s="3" t="str">
        <f t="shared" ref="B1477:B1478" si="760">CHOOSE(2, "1395000000633", "# of pro-rated MDRT agents (&lt;50%)")</f>
        <v># of pro-rated MDRT agents (&lt;50%)</v>
      </c>
      <c r="C1477" s="4" t="str">
        <f>CHOOSE(2, "5461730030", "Jun 26")</f>
        <v>Jun 26</v>
      </c>
      <c r="D1477" s="2" t="s">
        <v>5</v>
      </c>
    </row>
    <row r="1478" spans="1:4" x14ac:dyDescent="0.35">
      <c r="A1478" s="8" t="str">
        <f t="shared" si="747"/>
        <v>Japan</v>
      </c>
      <c r="B1478" s="6" t="str">
        <f t="shared" si="760"/>
        <v># of pro-rated MDRT agents (&lt;50%)</v>
      </c>
      <c r="C1478" s="4" t="str">
        <f>CHOOSE(2, "5462030031", "Jul 26")</f>
        <v>Jul 26</v>
      </c>
      <c r="D1478" s="2" t="s">
        <v>5</v>
      </c>
    </row>
    <row r="1479" spans="1:4" x14ac:dyDescent="0.35">
      <c r="A1479" s="8" t="str">
        <f t="shared" si="747"/>
        <v>Japan</v>
      </c>
      <c r="B1479" s="3" t="str">
        <f t="shared" ref="B1479:B1480" si="761">CHOOSE(2, "1395000000632", "# of pro-rated MDRT agents (70-99%)")</f>
        <v># of pro-rated MDRT agents (70-99%)</v>
      </c>
      <c r="C1479" s="4" t="str">
        <f>CHOOSE(2, "5461730030", "Jun 26")</f>
        <v>Jun 26</v>
      </c>
      <c r="D1479" s="14">
        <v>112</v>
      </c>
    </row>
    <row r="1480" spans="1:4" x14ac:dyDescent="0.35">
      <c r="A1480" s="8" t="str">
        <f t="shared" si="747"/>
        <v>Japan</v>
      </c>
      <c r="B1480" s="6" t="str">
        <f t="shared" si="761"/>
        <v># of pro-rated MDRT agents (70-99%)</v>
      </c>
      <c r="C1480" s="4" t="str">
        <f>CHOOSE(2, "5462030031", "Jul 26")</f>
        <v>Jul 26</v>
      </c>
      <c r="D1480" s="14">
        <v>114</v>
      </c>
    </row>
    <row r="1481" spans="1:4" x14ac:dyDescent="0.35">
      <c r="A1481" s="8" t="str">
        <f t="shared" si="747"/>
        <v>Japan</v>
      </c>
      <c r="B1481" s="3" t="str">
        <f t="shared" ref="B1481:B1482" si="762">CHOOSE(2, "1395000000631", "# of pro-rated MDRT agents (50-69%)")</f>
        <v># of pro-rated MDRT agents (50-69%)</v>
      </c>
      <c r="C1481" s="4" t="str">
        <f>CHOOSE(2, "5461730030", "Jun 26")</f>
        <v>Jun 26</v>
      </c>
      <c r="D1481" s="14">
        <v>143</v>
      </c>
    </row>
    <row r="1482" spans="1:4" x14ac:dyDescent="0.35">
      <c r="A1482" s="8" t="str">
        <f t="shared" si="747"/>
        <v>Japan</v>
      </c>
      <c r="B1482" s="6" t="str">
        <f t="shared" si="762"/>
        <v># of pro-rated MDRT agents (50-69%)</v>
      </c>
      <c r="C1482" s="4" t="str">
        <f>CHOOSE(2, "5462030031", "Jul 26")</f>
        <v>Jul 26</v>
      </c>
      <c r="D1482" s="14">
        <v>139</v>
      </c>
    </row>
    <row r="1483" spans="1:4" x14ac:dyDescent="0.35">
      <c r="A1483" s="8" t="str">
        <f t="shared" si="747"/>
        <v>Japan</v>
      </c>
      <c r="B1483" s="3" t="str">
        <f t="shared" ref="B1483:B1484" si="763">CHOOSE(2, "1395000000630", "# of Top-tier agents")</f>
        <v># of Top-tier agents</v>
      </c>
      <c r="C1483" s="4" t="str">
        <f>CHOOSE(2, "5461730030", "Jun 26")</f>
        <v>Jun 26</v>
      </c>
      <c r="D1483" s="14">
        <v>404</v>
      </c>
    </row>
    <row r="1484" spans="1:4" x14ac:dyDescent="0.35">
      <c r="A1484" s="8" t="str">
        <f t="shared" si="747"/>
        <v>Japan</v>
      </c>
      <c r="B1484" s="6" t="str">
        <f t="shared" si="763"/>
        <v># of Top-tier agents</v>
      </c>
      <c r="C1484" s="4" t="str">
        <f>CHOOSE(2, "5462030031", "Jul 26")</f>
        <v>Jul 26</v>
      </c>
      <c r="D1484" s="14">
        <v>395</v>
      </c>
    </row>
    <row r="1485" spans="1:4" x14ac:dyDescent="0.35">
      <c r="A1485" s="8" t="str">
        <f t="shared" si="747"/>
        <v>Japan</v>
      </c>
      <c r="B1485" s="3" t="str">
        <f t="shared" ref="B1485:B1486" si="764">CHOOSE(2, "1395000000629", "$ APE from pro-rated MDRT agents (100%)")</f>
        <v>$ APE from pro-rated MDRT agents (100%)</v>
      </c>
      <c r="C1485" s="4" t="str">
        <f>CHOOSE(2, "5461730030", "Jun 26")</f>
        <v>Jun 26</v>
      </c>
      <c r="D1485" s="14">
        <v>2684401.2110000001</v>
      </c>
    </row>
    <row r="1486" spans="1:4" x14ac:dyDescent="0.35">
      <c r="A1486" s="8" t="str">
        <f t="shared" si="747"/>
        <v>Japan</v>
      </c>
      <c r="B1486" s="6" t="str">
        <f t="shared" si="764"/>
        <v>$ APE from pro-rated MDRT agents (100%)</v>
      </c>
      <c r="C1486" s="4" t="str">
        <f>CHOOSE(2, "5462030031", "Jul 26")</f>
        <v>Jul 26</v>
      </c>
      <c r="D1486" s="14">
        <v>2036661.45</v>
      </c>
    </row>
    <row r="1487" spans="1:4" x14ac:dyDescent="0.35">
      <c r="A1487" s="8" t="str">
        <f t="shared" si="747"/>
        <v>Japan</v>
      </c>
      <c r="B1487" s="3" t="str">
        <f t="shared" ref="B1487:B1488" si="765">CHOOSE(2, "1395000000628", "$ APE from pro-rated MDRT agents (70-99%)")</f>
        <v>$ APE from pro-rated MDRT agents (70-99%)</v>
      </c>
      <c r="C1487" s="4" t="str">
        <f>CHOOSE(2, "5461730030", "Jun 26")</f>
        <v>Jun 26</v>
      </c>
      <c r="D1487" s="14">
        <v>1029971.893</v>
      </c>
    </row>
    <row r="1488" spans="1:4" x14ac:dyDescent="0.35">
      <c r="A1488" s="8" t="str">
        <f t="shared" si="747"/>
        <v>Japan</v>
      </c>
      <c r="B1488" s="6" t="str">
        <f t="shared" si="765"/>
        <v>$ APE from pro-rated MDRT agents (70-99%)</v>
      </c>
      <c r="C1488" s="4" t="str">
        <f>CHOOSE(2, "5462030031", "Jul 26")</f>
        <v>Jul 26</v>
      </c>
      <c r="D1488" s="14">
        <v>874580.81400000001</v>
      </c>
    </row>
    <row r="1489" spans="1:4" x14ac:dyDescent="0.35">
      <c r="A1489" s="8" t="str">
        <f t="shared" si="747"/>
        <v>Japan</v>
      </c>
      <c r="B1489" s="3" t="str">
        <f t="shared" ref="B1489:B1490" si="766">CHOOSE(2, "1395000000627", "$ APE from pro-rated MDRT agents (50-69%)")</f>
        <v>$ APE from pro-rated MDRT agents (50-69%)</v>
      </c>
      <c r="C1489" s="4" t="str">
        <f>CHOOSE(2, "5461730030", "Jun 26")</f>
        <v>Jun 26</v>
      </c>
      <c r="D1489" s="14">
        <v>1064405.2509999999</v>
      </c>
    </row>
    <row r="1490" spans="1:4" x14ac:dyDescent="0.35">
      <c r="A1490" s="8" t="str">
        <f t="shared" si="747"/>
        <v>Japan</v>
      </c>
      <c r="B1490" s="6" t="str">
        <f t="shared" si="766"/>
        <v>$ APE from pro-rated MDRT agents (50-69%)</v>
      </c>
      <c r="C1490" s="4" t="str">
        <f>CHOOSE(2, "5462030031", "Jul 26")</f>
        <v>Jul 26</v>
      </c>
      <c r="D1490" s="14">
        <v>775305.76500000001</v>
      </c>
    </row>
    <row r="1491" spans="1:4" x14ac:dyDescent="0.35">
      <c r="A1491" s="8" t="str">
        <f t="shared" si="747"/>
        <v>Japan</v>
      </c>
      <c r="B1491" s="3" t="str">
        <f t="shared" ref="B1491:B1492" si="767">CHOOSE(2, "1395000000626", "$ APE from Top-tier agents")</f>
        <v>$ APE from Top-tier agents</v>
      </c>
      <c r="C1491" s="4" t="str">
        <f>CHOOSE(2, "5461730030", "Jun 26")</f>
        <v>Jun 26</v>
      </c>
      <c r="D1491" s="14">
        <v>4778778.3550000004</v>
      </c>
    </row>
    <row r="1492" spans="1:4" x14ac:dyDescent="0.35">
      <c r="A1492" s="8" t="str">
        <f t="shared" si="747"/>
        <v>Japan</v>
      </c>
      <c r="B1492" s="6" t="str">
        <f t="shared" si="767"/>
        <v>$ APE from Top-tier agents</v>
      </c>
      <c r="C1492" s="4" t="str">
        <f>CHOOSE(2, "5462030031", "Jul 26")</f>
        <v>Jul 26</v>
      </c>
      <c r="D1492" s="14">
        <v>3686548.0290000001</v>
      </c>
    </row>
    <row r="1493" spans="1:4" x14ac:dyDescent="0.35">
      <c r="A1493" s="8" t="str">
        <f t="shared" si="747"/>
        <v>Japan</v>
      </c>
      <c r="B1493" s="3" t="str">
        <f t="shared" ref="B1493:B1494" si="768">CHOOSE(2, "1395000000625", "# of MDRT qualifiers - YTD")</f>
        <v># of MDRT qualifiers - YTD</v>
      </c>
      <c r="C1493" s="4" t="str">
        <f>CHOOSE(2, "5461730030", "Jun 26")</f>
        <v>Jun 26</v>
      </c>
      <c r="D1493" s="14">
        <v>27</v>
      </c>
    </row>
    <row r="1494" spans="1:4" x14ac:dyDescent="0.35">
      <c r="A1494" s="8" t="str">
        <f t="shared" si="747"/>
        <v>Japan</v>
      </c>
      <c r="B1494" s="6" t="str">
        <f t="shared" si="768"/>
        <v># of MDRT qualifiers - YTD</v>
      </c>
      <c r="C1494" s="4" t="str">
        <f>CHOOSE(2, "5462030031", "Jul 26")</f>
        <v>Jul 26</v>
      </c>
      <c r="D1494" s="14">
        <v>39</v>
      </c>
    </row>
    <row r="1495" spans="1:4" x14ac:dyDescent="0.35">
      <c r="A1495" s="8" t="str">
        <f t="shared" si="747"/>
        <v>Japan</v>
      </c>
      <c r="B1495" s="3" t="str">
        <f t="shared" ref="B1495:B1496" si="769">CHOOSE(2, "1395000000624", "# of MDRT COT qualifiers - YTD")</f>
        <v># of MDRT COT qualifiers - YTD</v>
      </c>
      <c r="C1495" s="4" t="str">
        <f>CHOOSE(2, "5461730030", "Jun 26")</f>
        <v>Jun 26</v>
      </c>
      <c r="D1495" s="14">
        <v>1</v>
      </c>
    </row>
    <row r="1496" spans="1:4" x14ac:dyDescent="0.35">
      <c r="A1496" s="8" t="str">
        <f t="shared" si="747"/>
        <v>Japan</v>
      </c>
      <c r="B1496" s="6" t="str">
        <f t="shared" si="769"/>
        <v># of MDRT COT qualifiers - YTD</v>
      </c>
      <c r="C1496" s="4" t="str">
        <f>CHOOSE(2, "5462030031", "Jul 26")</f>
        <v>Jul 26</v>
      </c>
      <c r="D1496" s="14">
        <v>1</v>
      </c>
    </row>
    <row r="1497" spans="1:4" x14ac:dyDescent="0.35">
      <c r="A1497" s="8" t="str">
        <f t="shared" si="747"/>
        <v>Japan</v>
      </c>
      <c r="B1497" s="3" t="str">
        <f t="shared" ref="B1497:B1498" si="770">CHOOSE(2, "1395000000623", "# of MDRT TOT qualifiers - YTD")</f>
        <v># of MDRT TOT qualifiers - YTD</v>
      </c>
      <c r="C1497" s="4" t="str">
        <f>CHOOSE(2, "5461730030", "Jun 26")</f>
        <v>Jun 26</v>
      </c>
      <c r="D1497" s="14">
        <v>0</v>
      </c>
    </row>
    <row r="1498" spans="1:4" x14ac:dyDescent="0.35">
      <c r="A1498" s="8" t="str">
        <f t="shared" si="747"/>
        <v>Japan</v>
      </c>
      <c r="B1498" s="6" t="str">
        <f t="shared" si="770"/>
        <v># of MDRT TOT qualifiers - YTD</v>
      </c>
      <c r="C1498" s="4" t="str">
        <f>CHOOSE(2, "5462030031", "Jul 26")</f>
        <v>Jul 26</v>
      </c>
      <c r="D1498" s="14">
        <v>0</v>
      </c>
    </row>
    <row r="1499" spans="1:4" x14ac:dyDescent="0.35">
      <c r="A1499" s="8" t="str">
        <f t="shared" si="747"/>
        <v>Japan</v>
      </c>
      <c r="B1499" s="3" t="str">
        <f t="shared" ref="B1499:B1500" si="771">CHOOSE(2, "1395000000622", "Manulife Pro Qualifiers - Total")</f>
        <v>Manulife Pro Qualifiers - Total</v>
      </c>
      <c r="C1499" s="4" t="str">
        <f>CHOOSE(2, "5461730030", "Jun 26")</f>
        <v>Jun 26</v>
      </c>
      <c r="D1499" s="14">
        <v>127</v>
      </c>
    </row>
    <row r="1500" spans="1:4" x14ac:dyDescent="0.35">
      <c r="A1500" s="8" t="str">
        <f t="shared" si="747"/>
        <v>Japan</v>
      </c>
      <c r="B1500" s="6" t="str">
        <f t="shared" si="771"/>
        <v>Manulife Pro Qualifiers - Total</v>
      </c>
      <c r="C1500" s="4" t="str">
        <f>CHOOSE(2, "5462030031", "Jul 26")</f>
        <v>Jul 26</v>
      </c>
      <c r="D1500" s="14">
        <v>126</v>
      </c>
    </row>
    <row r="1501" spans="1:4" x14ac:dyDescent="0.35">
      <c r="A1501" s="8" t="str">
        <f t="shared" si="747"/>
        <v>Japan</v>
      </c>
      <c r="B1501" s="3" t="str">
        <f t="shared" ref="B1501:B1502" si="772">CHOOSE(2, "1395000000621", "Manulife Pro Qualifiers - Silver")</f>
        <v>Manulife Pro Qualifiers - Silver</v>
      </c>
      <c r="C1501" s="4" t="str">
        <f>CHOOSE(2, "5461730030", "Jun 26")</f>
        <v>Jun 26</v>
      </c>
      <c r="D1501" s="2" t="s">
        <v>5</v>
      </c>
    </row>
    <row r="1502" spans="1:4" x14ac:dyDescent="0.35">
      <c r="A1502" s="8" t="str">
        <f t="shared" si="747"/>
        <v>Japan</v>
      </c>
      <c r="B1502" s="6" t="str">
        <f t="shared" si="772"/>
        <v>Manulife Pro Qualifiers - Silver</v>
      </c>
      <c r="C1502" s="4" t="str">
        <f>CHOOSE(2, "5462030031", "Jul 26")</f>
        <v>Jul 26</v>
      </c>
      <c r="D1502" s="2" t="s">
        <v>5</v>
      </c>
    </row>
    <row r="1503" spans="1:4" x14ac:dyDescent="0.35">
      <c r="A1503" s="8" t="str">
        <f t="shared" si="747"/>
        <v>Japan</v>
      </c>
      <c r="B1503" s="3" t="str">
        <f t="shared" ref="B1503:B1504" si="773">CHOOSE(2, "1395000000620", "Manulife Pro Qualifiers - Gold")</f>
        <v>Manulife Pro Qualifiers - Gold</v>
      </c>
      <c r="C1503" s="4" t="str">
        <f>CHOOSE(2, "5461730030", "Jun 26")</f>
        <v>Jun 26</v>
      </c>
      <c r="D1503" s="2" t="s">
        <v>5</v>
      </c>
    </row>
    <row r="1504" spans="1:4" x14ac:dyDescent="0.35">
      <c r="A1504" s="8" t="str">
        <f t="shared" si="747"/>
        <v>Japan</v>
      </c>
      <c r="B1504" s="6" t="str">
        <f t="shared" si="773"/>
        <v>Manulife Pro Qualifiers - Gold</v>
      </c>
      <c r="C1504" s="4" t="str">
        <f>CHOOSE(2, "5462030031", "Jul 26")</f>
        <v>Jul 26</v>
      </c>
      <c r="D1504" s="2" t="s">
        <v>5</v>
      </c>
    </row>
    <row r="1505" spans="1:4" x14ac:dyDescent="0.35">
      <c r="A1505" s="8" t="str">
        <f t="shared" si="747"/>
        <v>Japan</v>
      </c>
      <c r="B1505" s="3" t="str">
        <f t="shared" ref="B1505:B1506" si="774">CHOOSE(2, "1395000000619", "Manulife Pro Qualifiers  - Platinum")</f>
        <v>Manulife Pro Qualifiers  - Platinum</v>
      </c>
      <c r="C1505" s="4" t="str">
        <f>CHOOSE(2, "5461730030", "Jun 26")</f>
        <v>Jun 26</v>
      </c>
      <c r="D1505" s="2" t="s">
        <v>5</v>
      </c>
    </row>
    <row r="1506" spans="1:4" x14ac:dyDescent="0.35">
      <c r="A1506" s="8" t="str">
        <f t="shared" si="747"/>
        <v>Japan</v>
      </c>
      <c r="B1506" s="6" t="str">
        <f t="shared" si="774"/>
        <v>Manulife Pro Qualifiers  - Platinum</v>
      </c>
      <c r="C1506" s="4" t="str">
        <f>CHOOSE(2, "5462030031", "Jul 26")</f>
        <v>Jul 26</v>
      </c>
      <c r="D1506" s="2" t="s">
        <v>5</v>
      </c>
    </row>
    <row r="1507" spans="1:4" x14ac:dyDescent="0.35">
      <c r="A1507" s="8" t="str">
        <f t="shared" si="747"/>
        <v>Japan</v>
      </c>
      <c r="B1507" s="3" t="str">
        <f t="shared" ref="B1507:B1508" si="775">CHOOSE(2, "1395000000618", "$ APE from Manulife Pro - Total")</f>
        <v>$ APE from Manulife Pro - Total</v>
      </c>
      <c r="C1507" s="4" t="str">
        <f>CHOOSE(2, "5461730030", "Jun 26")</f>
        <v>Jun 26</v>
      </c>
      <c r="D1507" s="2" t="s">
        <v>5</v>
      </c>
    </row>
    <row r="1508" spans="1:4" x14ac:dyDescent="0.35">
      <c r="A1508" s="8" t="str">
        <f t="shared" si="747"/>
        <v>Japan</v>
      </c>
      <c r="B1508" s="6" t="str">
        <f t="shared" si="775"/>
        <v>$ APE from Manulife Pro - Total</v>
      </c>
      <c r="C1508" s="4" t="str">
        <f>CHOOSE(2, "5462030031", "Jul 26")</f>
        <v>Jul 26</v>
      </c>
      <c r="D1508" s="2" t="s">
        <v>5</v>
      </c>
    </row>
    <row r="1509" spans="1:4" x14ac:dyDescent="0.35">
      <c r="A1509" s="8" t="str">
        <f t="shared" si="747"/>
        <v>Japan</v>
      </c>
      <c r="B1509" s="3" t="str">
        <f t="shared" ref="B1509:B1510" si="776">CHOOSE(2, "1395000000617", "$ APE from Manulife Pro - Silver")</f>
        <v>$ APE from Manulife Pro - Silver</v>
      </c>
      <c r="C1509" s="4" t="str">
        <f>CHOOSE(2, "5461730030", "Jun 26")</f>
        <v>Jun 26</v>
      </c>
      <c r="D1509" s="2" t="s">
        <v>5</v>
      </c>
    </row>
    <row r="1510" spans="1:4" x14ac:dyDescent="0.35">
      <c r="A1510" s="8" t="str">
        <f t="shared" si="747"/>
        <v>Japan</v>
      </c>
      <c r="B1510" s="6" t="str">
        <f t="shared" si="776"/>
        <v>$ APE from Manulife Pro - Silver</v>
      </c>
      <c r="C1510" s="4" t="str">
        <f>CHOOSE(2, "5462030031", "Jul 26")</f>
        <v>Jul 26</v>
      </c>
      <c r="D1510" s="2" t="s">
        <v>5</v>
      </c>
    </row>
    <row r="1511" spans="1:4" x14ac:dyDescent="0.35">
      <c r="A1511" s="8" t="str">
        <f t="shared" si="747"/>
        <v>Japan</v>
      </c>
      <c r="B1511" s="3" t="str">
        <f t="shared" ref="B1511:B1512" si="777">CHOOSE(2, "1395000000616", "$ APE from Manulife Pro - Gold")</f>
        <v>$ APE from Manulife Pro - Gold</v>
      </c>
      <c r="C1511" s="4" t="str">
        <f>CHOOSE(2, "5461730030", "Jun 26")</f>
        <v>Jun 26</v>
      </c>
      <c r="D1511" s="2" t="s">
        <v>5</v>
      </c>
    </row>
    <row r="1512" spans="1:4" x14ac:dyDescent="0.35">
      <c r="A1512" s="8" t="str">
        <f t="shared" si="747"/>
        <v>Japan</v>
      </c>
      <c r="B1512" s="6" t="str">
        <f t="shared" si="777"/>
        <v>$ APE from Manulife Pro - Gold</v>
      </c>
      <c r="C1512" s="4" t="str">
        <f>CHOOSE(2, "5462030031", "Jul 26")</f>
        <v>Jul 26</v>
      </c>
      <c r="D1512" s="2" t="s">
        <v>5</v>
      </c>
    </row>
    <row r="1513" spans="1:4" x14ac:dyDescent="0.35">
      <c r="A1513" s="8" t="str">
        <f t="shared" si="747"/>
        <v>Japan</v>
      </c>
      <c r="B1513" s="3" t="str">
        <f t="shared" ref="B1513:B1514" si="778">CHOOSE(2, "1395000000615", "$ APE from Manulife Pro  - Platinum")</f>
        <v>$ APE from Manulife Pro  - Platinum</v>
      </c>
      <c r="C1513" s="4" t="str">
        <f>CHOOSE(2, "5461730030", "Jun 26")</f>
        <v>Jun 26</v>
      </c>
      <c r="D1513" s="2" t="s">
        <v>5</v>
      </c>
    </row>
    <row r="1514" spans="1:4" x14ac:dyDescent="0.35">
      <c r="A1514" s="8" t="str">
        <f t="shared" si="747"/>
        <v>Japan</v>
      </c>
      <c r="B1514" s="6" t="str">
        <f t="shared" si="778"/>
        <v>$ APE from Manulife Pro  - Platinum</v>
      </c>
      <c r="C1514" s="4" t="str">
        <f>CHOOSE(2, "5462030031", "Jul 26")</f>
        <v>Jul 26</v>
      </c>
      <c r="D1514" s="2" t="s">
        <v>5</v>
      </c>
    </row>
    <row r="1515" spans="1:4" x14ac:dyDescent="0.35">
      <c r="A1515" s="8" t="str">
        <f t="shared" si="747"/>
        <v>Japan</v>
      </c>
      <c r="B1515" s="3" t="str">
        <f t="shared" ref="B1515:B1516" si="779">CHOOSE(2, "1395000000614", "Issued APE")</f>
        <v>Issued APE</v>
      </c>
      <c r="C1515" s="4" t="str">
        <f>CHOOSE(2, "5461730030", "Jun 26")</f>
        <v>Jun 26</v>
      </c>
      <c r="D1515" s="14">
        <v>6638433.1958317505</v>
      </c>
    </row>
    <row r="1516" spans="1:4" x14ac:dyDescent="0.35">
      <c r="A1516" s="8" t="str">
        <f t="shared" si="747"/>
        <v>Japan</v>
      </c>
      <c r="B1516" s="6" t="str">
        <f t="shared" si="779"/>
        <v>Issued APE</v>
      </c>
      <c r="C1516" s="4" t="str">
        <f>CHOOSE(2, "5462030031", "Jul 26")</f>
        <v>Jul 26</v>
      </c>
      <c r="D1516" s="14">
        <v>5282967.4022685001</v>
      </c>
    </row>
    <row r="1517" spans="1:4" x14ac:dyDescent="0.35">
      <c r="A1517" s="8" t="str">
        <f t="shared" ref="A1517:A1580" si="780">CHOOSE(2, "204000000002", "Japan")</f>
        <v>Japan</v>
      </c>
      <c r="B1517" s="3" t="str">
        <f t="shared" ref="B1517:B1518" si="781">CHOOSE(2, "1395000000613", "Post-MI APE")</f>
        <v>Post-MI APE</v>
      </c>
      <c r="C1517" s="4" t="str">
        <f>CHOOSE(2, "5461730030", "Jun 26")</f>
        <v>Jun 26</v>
      </c>
      <c r="D1517" s="14">
        <v>6638433.1958317505</v>
      </c>
    </row>
    <row r="1518" spans="1:4" x14ac:dyDescent="0.35">
      <c r="A1518" s="8" t="str">
        <f t="shared" si="780"/>
        <v>Japan</v>
      </c>
      <c r="B1518" s="6" t="str">
        <f t="shared" si="781"/>
        <v>Post-MI APE</v>
      </c>
      <c r="C1518" s="4" t="str">
        <f>CHOOSE(2, "5462030031", "Jul 26")</f>
        <v>Jul 26</v>
      </c>
      <c r="D1518" s="14">
        <v>5282967.4022685001</v>
      </c>
    </row>
    <row r="1519" spans="1:4" x14ac:dyDescent="0.35">
      <c r="A1519" s="8" t="str">
        <f t="shared" si="780"/>
        <v>Japan</v>
      </c>
      <c r="B1519" s="3" t="str">
        <f t="shared" ref="B1519:B1520" si="782">CHOOSE(2, "1395000000610", "Pre-gap NBV")</f>
        <v>Pre-gap NBV</v>
      </c>
      <c r="C1519" s="4" t="str">
        <f>CHOOSE(2, "5461730030", "Jun 26")</f>
        <v>Jun 26</v>
      </c>
      <c r="D1519" s="14">
        <v>2338017.2505129999</v>
      </c>
    </row>
    <row r="1520" spans="1:4" x14ac:dyDescent="0.35">
      <c r="A1520" s="8" t="str">
        <f t="shared" si="780"/>
        <v>Japan</v>
      </c>
      <c r="B1520" s="6" t="str">
        <f t="shared" si="782"/>
        <v>Pre-gap NBV</v>
      </c>
      <c r="C1520" s="4" t="str">
        <f>CHOOSE(2, "5462030031", "Jul 26")</f>
        <v>Jul 26</v>
      </c>
      <c r="D1520" s="14">
        <v>1543647.9834032501</v>
      </c>
    </row>
    <row r="1521" spans="1:4" x14ac:dyDescent="0.35">
      <c r="A1521" s="8" t="str">
        <f t="shared" si="780"/>
        <v>Japan</v>
      </c>
      <c r="B1521" s="3" t="str">
        <f t="shared" ref="B1521:B1522" si="783">CHOOSE(2, "1395000000609", "Pre-gap NBV Margin %")</f>
        <v>Pre-gap NBV Margin %</v>
      </c>
      <c r="C1521" s="4" t="str">
        <f>CHOOSE(2, "5461730030", "Jun 26")</f>
        <v>Jun 26</v>
      </c>
      <c r="D1521" s="14">
        <v>0.35219413701128044</v>
      </c>
    </row>
    <row r="1522" spans="1:4" x14ac:dyDescent="0.35">
      <c r="A1522" s="8" t="str">
        <f t="shared" si="780"/>
        <v>Japan</v>
      </c>
      <c r="B1522" s="6" t="str">
        <f t="shared" si="783"/>
        <v>Pre-gap NBV Margin %</v>
      </c>
      <c r="C1522" s="4" t="str">
        <f>CHOOSE(2, "5462030031", "Jul 26")</f>
        <v>Jul 26</v>
      </c>
      <c r="D1522" s="14">
        <v>0.29219335760815207</v>
      </c>
    </row>
    <row r="1523" spans="1:4" x14ac:dyDescent="0.35">
      <c r="A1523" s="8" t="str">
        <f t="shared" si="780"/>
        <v>Japan</v>
      </c>
      <c r="B1523" s="3" t="str">
        <f t="shared" ref="B1523:B1524" si="784">CHOOSE(2, "1395000000608", "Post-gap NBV")</f>
        <v>Post-gap NBV</v>
      </c>
      <c r="C1523" s="4" t="str">
        <f>CHOOSE(2, "5461730030", "Jun 26")</f>
        <v>Jun 26</v>
      </c>
      <c r="D1523" s="14">
        <v>2338017.2505129999</v>
      </c>
    </row>
    <row r="1524" spans="1:4" x14ac:dyDescent="0.35">
      <c r="A1524" s="8" t="str">
        <f t="shared" si="780"/>
        <v>Japan</v>
      </c>
      <c r="B1524" s="6" t="str">
        <f t="shared" si="784"/>
        <v>Post-gap NBV</v>
      </c>
      <c r="C1524" s="4" t="str">
        <f>CHOOSE(2, "5462030031", "Jul 26")</f>
        <v>Jul 26</v>
      </c>
      <c r="D1524" s="14">
        <v>1543647.9834032501</v>
      </c>
    </row>
    <row r="1525" spans="1:4" x14ac:dyDescent="0.35">
      <c r="A1525" s="8" t="str">
        <f t="shared" si="780"/>
        <v>Japan</v>
      </c>
      <c r="B1525" s="3" t="str">
        <f t="shared" ref="B1525:B1526" si="785">CHOOSE(2, "1395000000607", "Post-gap NBV Margin %")</f>
        <v>Post-gap NBV Margin %</v>
      </c>
      <c r="C1525" s="4" t="str">
        <f>CHOOSE(2, "5461730030", "Jun 26")</f>
        <v>Jun 26</v>
      </c>
      <c r="D1525" s="14">
        <v>0.35219413701128044</v>
      </c>
    </row>
    <row r="1526" spans="1:4" x14ac:dyDescent="0.35">
      <c r="A1526" s="8" t="str">
        <f t="shared" si="780"/>
        <v>Japan</v>
      </c>
      <c r="B1526" s="6" t="str">
        <f t="shared" si="785"/>
        <v>Post-gap NBV Margin %</v>
      </c>
      <c r="C1526" s="4" t="str">
        <f>CHOOSE(2, "5462030031", "Jul 26")</f>
        <v>Jul 26</v>
      </c>
      <c r="D1526" s="14">
        <v>0.29219335760815207</v>
      </c>
    </row>
    <row r="1527" spans="1:4" x14ac:dyDescent="0.35">
      <c r="A1527" s="8" t="str">
        <f t="shared" si="780"/>
        <v>Japan</v>
      </c>
      <c r="B1527" s="3" t="str">
        <f t="shared" ref="B1527:B1528" si="786">CHOOSE(2, "1395000000606", "NB CSM")</f>
        <v>NB CSM</v>
      </c>
      <c r="C1527" s="4" t="str">
        <f>CHOOSE(2, "5461730030", "Jun 26")</f>
        <v>Jun 26</v>
      </c>
      <c r="D1527" s="14">
        <v>4088461.38759975</v>
      </c>
    </row>
    <row r="1528" spans="1:4" x14ac:dyDescent="0.35">
      <c r="A1528" s="8" t="str">
        <f t="shared" si="780"/>
        <v>Japan</v>
      </c>
      <c r="B1528" s="6" t="str">
        <f t="shared" si="786"/>
        <v>NB CSM</v>
      </c>
      <c r="C1528" s="4" t="str">
        <f>CHOOSE(2, "5462030031", "Jul 26")</f>
        <v>Jul 26</v>
      </c>
      <c r="D1528" s="14">
        <v>2833748.1398515003</v>
      </c>
    </row>
    <row r="1529" spans="1:4" x14ac:dyDescent="0.35">
      <c r="A1529" s="8" t="str">
        <f t="shared" si="780"/>
        <v>Japan</v>
      </c>
      <c r="B1529" s="3" t="str">
        <f t="shared" ref="B1529:B1530" si="787">CHOOSE(2, "1395000000605", "NB CSM Margin %")</f>
        <v>NB CSM Margin %</v>
      </c>
      <c r="C1529" s="4" t="str">
        <f>CHOOSE(2, "5461730030", "Jun 26")</f>
        <v>Jun 26</v>
      </c>
      <c r="D1529" s="14">
        <v>0.61587746189370118</v>
      </c>
    </row>
    <row r="1530" spans="1:4" x14ac:dyDescent="0.35">
      <c r="A1530" s="8" t="str">
        <f t="shared" si="780"/>
        <v>Japan</v>
      </c>
      <c r="B1530" s="6" t="str">
        <f t="shared" si="787"/>
        <v>NB CSM Margin %</v>
      </c>
      <c r="C1530" s="4" t="str">
        <f>CHOOSE(2, "5462030031", "Jul 26")</f>
        <v>Jul 26</v>
      </c>
      <c r="D1530" s="14">
        <v>0.53639326614710747</v>
      </c>
    </row>
    <row r="1531" spans="1:4" x14ac:dyDescent="0.35">
      <c r="A1531" s="8" t="str">
        <f t="shared" si="780"/>
        <v>Japan</v>
      </c>
      <c r="B1531" s="3" t="str">
        <f t="shared" ref="B1531:B1532" si="788">CHOOSE(2, "1395000000604", "PRE")</f>
        <v>PRE</v>
      </c>
      <c r="C1531" s="4" t="str">
        <f>CHOOSE(2, "5461730030", "Jun 26")</f>
        <v>Jun 26</v>
      </c>
      <c r="D1531" s="14">
        <v>1485796.4779671922</v>
      </c>
    </row>
    <row r="1532" spans="1:4" x14ac:dyDescent="0.35">
      <c r="A1532" s="8" t="str">
        <f t="shared" si="780"/>
        <v>Japan</v>
      </c>
      <c r="B1532" s="6" t="str">
        <f t="shared" si="788"/>
        <v>PRE</v>
      </c>
      <c r="C1532" s="4" t="str">
        <f>CHOOSE(2, "5462030031", "Jul 26")</f>
        <v>Jul 26</v>
      </c>
      <c r="D1532" s="14">
        <v>1185670.2315857192</v>
      </c>
    </row>
    <row r="1533" spans="1:4" x14ac:dyDescent="0.35">
      <c r="A1533" s="8" t="str">
        <f t="shared" si="780"/>
        <v>Japan</v>
      </c>
      <c r="B1533" s="3" t="str">
        <f t="shared" ref="B1533:B1534" si="789">CHOOSE(2, "1395000000603", "ContEx")</f>
        <v>ContEx</v>
      </c>
      <c r="C1533" s="4" t="str">
        <f>CHOOSE(2, "5461730030", "Jun 26")</f>
        <v>Jun 26</v>
      </c>
      <c r="D1533" s="14">
        <v>0</v>
      </c>
    </row>
    <row r="1534" spans="1:4" x14ac:dyDescent="0.35">
      <c r="A1534" s="8" t="str">
        <f t="shared" si="780"/>
        <v>Japan</v>
      </c>
      <c r="B1534" s="6" t="str">
        <f t="shared" si="789"/>
        <v>ContEx</v>
      </c>
      <c r="C1534" s="4" t="str">
        <f>CHOOSE(2, "5462030031", "Jul 26")</f>
        <v>Jul 26</v>
      </c>
      <c r="D1534" s="14">
        <v>0</v>
      </c>
    </row>
    <row r="1535" spans="1:4" x14ac:dyDescent="0.35">
      <c r="A1535" s="8" t="str">
        <f t="shared" si="780"/>
        <v>Japan</v>
      </c>
      <c r="B1535" s="3" t="str">
        <f t="shared" ref="B1535:B1536" si="790">CHOOSE(2, "1395000000602", "% of 6-90 agents")</f>
        <v>% of 6-90 agents</v>
      </c>
      <c r="C1535" s="4" t="str">
        <f>CHOOSE(2, "5461730030", "Jun 26")</f>
        <v>Jun 26</v>
      </c>
      <c r="D1535" s="14">
        <v>0.14516129032258066</v>
      </c>
    </row>
    <row r="1536" spans="1:4" x14ac:dyDescent="0.35">
      <c r="A1536" s="8" t="str">
        <f t="shared" si="780"/>
        <v>Japan</v>
      </c>
      <c r="B1536" s="6" t="str">
        <f t="shared" si="790"/>
        <v>% of 6-90 agents</v>
      </c>
      <c r="C1536" s="4" t="str">
        <f>CHOOSE(2, "5462030031", "Jul 26")</f>
        <v>Jul 26</v>
      </c>
      <c r="D1536" s="14">
        <v>0.37931034482758619</v>
      </c>
    </row>
    <row r="1537" spans="1:4" x14ac:dyDescent="0.35">
      <c r="A1537" s="8" t="str">
        <f t="shared" si="780"/>
        <v>Japan</v>
      </c>
      <c r="B1537" s="3" t="str">
        <f t="shared" ref="B1537:B1538" si="791">CHOOSE(2, "1395000000601", "New Recruits 3M Activation Rate")</f>
        <v>New Recruits 3M Activation Rate</v>
      </c>
      <c r="C1537" s="4" t="str">
        <f>CHOOSE(2, "5461730030", "Jun 26")</f>
        <v>Jun 26</v>
      </c>
      <c r="D1537" s="14">
        <v>1</v>
      </c>
    </row>
    <row r="1538" spans="1:4" x14ac:dyDescent="0.35">
      <c r="A1538" s="8" t="str">
        <f t="shared" si="780"/>
        <v>Japan</v>
      </c>
      <c r="B1538" s="6" t="str">
        <f t="shared" si="791"/>
        <v>New Recruits 3M Activation Rate</v>
      </c>
      <c r="C1538" s="4" t="str">
        <f>CHOOSE(2, "5462030031", "Jul 26")</f>
        <v>Jul 26</v>
      </c>
      <c r="D1538" s="14">
        <v>0.95833333333333337</v>
      </c>
    </row>
    <row r="1539" spans="1:4" x14ac:dyDescent="0.35">
      <c r="A1539" s="8" t="str">
        <f t="shared" si="780"/>
        <v>Japan</v>
      </c>
      <c r="B1539" s="3" t="str">
        <f t="shared" ref="B1539:B1540" si="792">CHOOSE(2, "1395000000600", "No. of Recruits from leaders")</f>
        <v>No. of Recruits from leaders</v>
      </c>
      <c r="C1539" s="4" t="str">
        <f>CHOOSE(2, "5461730030", "Jun 26")</f>
        <v>Jun 26</v>
      </c>
      <c r="D1539" s="2" t="s">
        <v>5</v>
      </c>
    </row>
    <row r="1540" spans="1:4" x14ac:dyDescent="0.35">
      <c r="A1540" s="8" t="str">
        <f t="shared" si="780"/>
        <v>Japan</v>
      </c>
      <c r="B1540" s="6" t="str">
        <f t="shared" si="792"/>
        <v>No. of Recruits from leaders</v>
      </c>
      <c r="C1540" s="4" t="str">
        <f>CHOOSE(2, "5462030031", "Jul 26")</f>
        <v>Jul 26</v>
      </c>
      <c r="D1540" s="2" t="s">
        <v>5</v>
      </c>
    </row>
    <row r="1541" spans="1:4" x14ac:dyDescent="0.35">
      <c r="A1541" s="8" t="str">
        <f t="shared" si="780"/>
        <v>Japan</v>
      </c>
      <c r="B1541" s="3" t="str">
        <f t="shared" ref="B1541:B1542" si="793">CHOOSE(2, "1395000000599", "No. of Recruits per Active Recruiting Leader per month")</f>
        <v>No. of Recruits per Active Recruiting Leader per month</v>
      </c>
      <c r="C1541" s="4" t="str">
        <f>CHOOSE(2, "5461730030", "Jun 26")</f>
        <v>Jun 26</v>
      </c>
      <c r="D1541" s="14">
        <v>0</v>
      </c>
    </row>
    <row r="1542" spans="1:4" x14ac:dyDescent="0.35">
      <c r="A1542" s="8" t="str">
        <f t="shared" si="780"/>
        <v>Japan</v>
      </c>
      <c r="B1542" s="6" t="str">
        <f t="shared" si="793"/>
        <v>No. of Recruits per Active Recruiting Leader per month</v>
      </c>
      <c r="C1542" s="4" t="str">
        <f>CHOOSE(2, "5462030031", "Jul 26")</f>
        <v>Jul 26</v>
      </c>
      <c r="D1542" s="14">
        <v>0</v>
      </c>
    </row>
    <row r="1543" spans="1:4" x14ac:dyDescent="0.35">
      <c r="A1543" s="8" t="str">
        <f t="shared" si="780"/>
        <v>Japan</v>
      </c>
      <c r="B1543" s="3" t="str">
        <f t="shared" ref="B1543:B1544" si="794">CHOOSE(2, "1395000000598", "PRE as % of APE")</f>
        <v>PRE as % of APE</v>
      </c>
      <c r="C1543" s="4" t="str">
        <f>CHOOSE(2, "5461730030", "Jun 26")</f>
        <v>Jun 26</v>
      </c>
      <c r="D1543" s="14">
        <v>0.22381734275794454</v>
      </c>
    </row>
    <row r="1544" spans="1:4" x14ac:dyDescent="0.35">
      <c r="A1544" s="8" t="str">
        <f t="shared" si="780"/>
        <v>Japan</v>
      </c>
      <c r="B1544" s="6" t="str">
        <f t="shared" si="794"/>
        <v>PRE as % of APE</v>
      </c>
      <c r="C1544" s="4" t="str">
        <f>CHOOSE(2, "5462030031", "Jul 26")</f>
        <v>Jul 26</v>
      </c>
      <c r="D1544" s="14">
        <v>0.22443262305131653</v>
      </c>
    </row>
    <row r="1545" spans="1:4" x14ac:dyDescent="0.35">
      <c r="A1545" s="8" t="str">
        <f t="shared" si="780"/>
        <v>Japan</v>
      </c>
      <c r="B1545" s="3" t="str">
        <f t="shared" ref="B1545:B1546" si="795">CHOOSE(2, "1395000000597", "ContEx as % of APE")</f>
        <v>ContEx as % of APE</v>
      </c>
      <c r="C1545" s="4" t="str">
        <f>CHOOSE(2, "5461730030", "Jun 26")</f>
        <v>Jun 26</v>
      </c>
      <c r="D1545" s="14">
        <v>0</v>
      </c>
    </row>
    <row r="1546" spans="1:4" x14ac:dyDescent="0.35">
      <c r="A1546" s="8" t="str">
        <f t="shared" si="780"/>
        <v>Japan</v>
      </c>
      <c r="B1546" s="6" t="str">
        <f t="shared" si="795"/>
        <v>ContEx as % of APE</v>
      </c>
      <c r="C1546" s="4" t="str">
        <f>CHOOSE(2, "5462030031", "Jul 26")</f>
        <v>Jul 26</v>
      </c>
      <c r="D1546" s="14">
        <v>0</v>
      </c>
    </row>
    <row r="1547" spans="1:4" x14ac:dyDescent="0.35">
      <c r="A1547" s="8" t="str">
        <f t="shared" si="780"/>
        <v>Japan</v>
      </c>
      <c r="B1547" s="3" t="str">
        <f t="shared" ref="B1547:B1548" si="796">CHOOSE(2, "1395000000596", "% of 1-Month Active Agents")</f>
        <v>% of 1-Month Active Agents</v>
      </c>
      <c r="C1547" s="4" t="str">
        <f>CHOOSE(2, "5461730030", "Jun 26")</f>
        <v>Jun 26</v>
      </c>
      <c r="D1547" s="14">
        <v>0.86310679611650487</v>
      </c>
    </row>
    <row r="1548" spans="1:4" x14ac:dyDescent="0.35">
      <c r="A1548" s="8" t="str">
        <f t="shared" si="780"/>
        <v>Japan</v>
      </c>
      <c r="B1548" s="6" t="str">
        <f t="shared" si="796"/>
        <v>% of 1-Month Active Agents</v>
      </c>
      <c r="C1548" s="4" t="str">
        <f>CHOOSE(2, "5462030031", "Jul 26")</f>
        <v>Jul 26</v>
      </c>
      <c r="D1548" s="14">
        <v>0.83815028901734101</v>
      </c>
    </row>
    <row r="1549" spans="1:4" x14ac:dyDescent="0.35">
      <c r="A1549" s="8" t="str">
        <f t="shared" si="780"/>
        <v>Japan</v>
      </c>
      <c r="B1549" s="3" t="str">
        <f t="shared" ref="B1549:B1550" si="797">CHOOSE(2, "1395000000595", "% of 3-Month Active Agents")</f>
        <v>% of 3-Month Active Agents</v>
      </c>
      <c r="C1549" s="4" t="str">
        <f>CHOOSE(2, "5461730030", "Jun 26")</f>
        <v>Jun 26</v>
      </c>
      <c r="D1549" s="14">
        <v>0.31603003591250406</v>
      </c>
    </row>
    <row r="1550" spans="1:4" x14ac:dyDescent="0.35">
      <c r="A1550" s="8" t="str">
        <f t="shared" si="780"/>
        <v>Japan</v>
      </c>
      <c r="B1550" s="6" t="str">
        <f t="shared" si="797"/>
        <v>% of 3-Month Active Agents</v>
      </c>
      <c r="C1550" s="4" t="str">
        <f>CHOOSE(2, "5462030031", "Jul 26")</f>
        <v>Jul 26</v>
      </c>
      <c r="D1550" s="14">
        <v>0.31776913099870296</v>
      </c>
    </row>
    <row r="1551" spans="1:4" x14ac:dyDescent="0.35">
      <c r="A1551" s="8" t="str">
        <f t="shared" si="780"/>
        <v>Japan</v>
      </c>
      <c r="B1551" s="3" t="str">
        <f t="shared" ref="B1551:B1552" si="798">CHOOSE(2, "1395000000594", "Active agents per active leader")</f>
        <v>Active agents per active leader</v>
      </c>
      <c r="C1551" s="4" t="str">
        <f>CHOOSE(2, "5461730030", "Jun 26")</f>
        <v>Jun 26</v>
      </c>
      <c r="D1551" s="14">
        <v>98.777777777777771</v>
      </c>
    </row>
    <row r="1552" spans="1:4" x14ac:dyDescent="0.35">
      <c r="A1552" s="8" t="str">
        <f t="shared" si="780"/>
        <v>Japan</v>
      </c>
      <c r="B1552" s="6" t="str">
        <f t="shared" si="798"/>
        <v>Active agents per active leader</v>
      </c>
      <c r="C1552" s="4" t="str">
        <f>CHOOSE(2, "5462030031", "Jul 26")</f>
        <v>Jul 26</v>
      </c>
      <c r="D1552" s="14">
        <v>124.28571428571429</v>
      </c>
    </row>
    <row r="1553" spans="1:4" x14ac:dyDescent="0.35">
      <c r="A1553" s="8" t="str">
        <f t="shared" si="780"/>
        <v>Japan</v>
      </c>
      <c r="B1553" s="3" t="str">
        <f t="shared" ref="B1553:B1554" si="799">CHOOSE(2, "1395000000593", "Avg. Case count per 1-Month Active Agent")</f>
        <v>Avg. Case count per 1-Month Active Agent</v>
      </c>
      <c r="C1553" s="4" t="str">
        <f>CHOOSE(2, "5461730030", "Jun 26")</f>
        <v>Jun 26</v>
      </c>
      <c r="D1553" s="14">
        <v>3.3683914510686166</v>
      </c>
    </row>
    <row r="1554" spans="1:4" x14ac:dyDescent="0.35">
      <c r="A1554" s="8" t="str">
        <f t="shared" si="780"/>
        <v>Japan</v>
      </c>
      <c r="B1554" s="6" t="str">
        <f t="shared" si="799"/>
        <v>Avg. Case count per 1-Month Active Agent</v>
      </c>
      <c r="C1554" s="4" t="str">
        <f>CHOOSE(2, "5462030031", "Jul 26")</f>
        <v>Jul 26</v>
      </c>
      <c r="D1554" s="14">
        <v>3.1436781609195403</v>
      </c>
    </row>
    <row r="1555" spans="1:4" x14ac:dyDescent="0.35">
      <c r="A1555" s="8" t="str">
        <f t="shared" si="780"/>
        <v>Japan</v>
      </c>
      <c r="B1555" s="3" t="str">
        <f t="shared" ref="B1555:B1556" si="800">CHOOSE(2, "1395000000592", "Avg. Case size")</f>
        <v>Avg. Case size</v>
      </c>
      <c r="C1555" s="4" t="str">
        <f>CHOOSE(2, "5461730030", "Jun 26")</f>
        <v>Jun 26</v>
      </c>
      <c r="D1555" s="14">
        <v>2216.8753367279182</v>
      </c>
    </row>
    <row r="1556" spans="1:4" x14ac:dyDescent="0.35">
      <c r="A1556" s="8" t="str">
        <f t="shared" si="780"/>
        <v>Japan</v>
      </c>
      <c r="B1556" s="6" t="str">
        <f t="shared" si="800"/>
        <v>Avg. Case size</v>
      </c>
      <c r="C1556" s="4" t="str">
        <f>CHOOSE(2, "5462030031", "Jul 26")</f>
        <v>Jul 26</v>
      </c>
      <c r="D1556" s="14">
        <v>1931.6151379409507</v>
      </c>
    </row>
    <row r="1557" spans="1:4" x14ac:dyDescent="0.35">
      <c r="A1557" s="8" t="str">
        <f t="shared" si="780"/>
        <v>Japan</v>
      </c>
      <c r="B1557" s="3" t="str">
        <f t="shared" ref="B1557:B1558" si="801">CHOOSE(2, "1395000000591", "APE per 1-Month Active Agent")</f>
        <v>APE per 1-Month Active Agent</v>
      </c>
      <c r="C1557" s="4" t="str">
        <f>CHOOSE(2, "5461730030", "Jun 26")</f>
        <v>Jun 26</v>
      </c>
      <c r="D1557" s="14">
        <v>7467.3039323191797</v>
      </c>
    </row>
    <row r="1558" spans="1:4" x14ac:dyDescent="0.35">
      <c r="A1558" s="8" t="str">
        <f t="shared" si="780"/>
        <v>Japan</v>
      </c>
      <c r="B1558" s="6" t="str">
        <f t="shared" si="801"/>
        <v>APE per 1-Month Active Agent</v>
      </c>
      <c r="C1558" s="4" t="str">
        <f>CHOOSE(2, "5462030031", "Jul 26")</f>
        <v>Jul 26</v>
      </c>
      <c r="D1558" s="14">
        <v>6072.3763244465517</v>
      </c>
    </row>
    <row r="1559" spans="1:4" x14ac:dyDescent="0.35">
      <c r="A1559" s="8" t="str">
        <f t="shared" si="780"/>
        <v>Japan</v>
      </c>
      <c r="B1559" s="3" t="str">
        <f t="shared" ref="B1559:B1560" si="802">CHOOSE(2, "1395000000590", "% Conversion of Proposals to cases")</f>
        <v>% Conversion of Proposals to cases</v>
      </c>
      <c r="C1559" s="4" t="str">
        <f>CHOOSE(2, "5461730030", "Jun 26")</f>
        <v>Jun 26</v>
      </c>
      <c r="D1559" s="14">
        <v>0</v>
      </c>
    </row>
    <row r="1560" spans="1:4" x14ac:dyDescent="0.35">
      <c r="A1560" s="8" t="str">
        <f t="shared" si="780"/>
        <v>Japan</v>
      </c>
      <c r="B1560" s="6" t="str">
        <f t="shared" si="802"/>
        <v>% Conversion of Proposals to cases</v>
      </c>
      <c r="C1560" s="4" t="str">
        <f>CHOOSE(2, "5462030031", "Jul 26")</f>
        <v>Jul 26</v>
      </c>
      <c r="D1560" s="14">
        <v>0</v>
      </c>
    </row>
    <row r="1561" spans="1:4" x14ac:dyDescent="0.35">
      <c r="A1561" s="8" t="str">
        <f t="shared" si="780"/>
        <v>Japan</v>
      </c>
      <c r="B1561" s="3" t="str">
        <f t="shared" ref="B1561:B1562" si="803">CHOOSE(2, "1395000000588", "% APE from Agents in X tenure")</f>
        <v>% APE from Agents in X tenure</v>
      </c>
      <c r="C1561" s="4" t="str">
        <f>CHOOSE(2, "5461730030", "Jun 26")</f>
        <v>Jun 26</v>
      </c>
      <c r="D1561" s="14">
        <v>1</v>
      </c>
    </row>
    <row r="1562" spans="1:4" x14ac:dyDescent="0.35">
      <c r="A1562" s="8" t="str">
        <f t="shared" si="780"/>
        <v>Japan</v>
      </c>
      <c r="B1562" s="6" t="str">
        <f t="shared" si="803"/>
        <v>% APE from Agents in X tenure</v>
      </c>
      <c r="C1562" s="4" t="str">
        <f>CHOOSE(2, "5462030031", "Jul 26")</f>
        <v>Jul 26</v>
      </c>
      <c r="D1562" s="14">
        <v>1</v>
      </c>
    </row>
    <row r="1563" spans="1:4" x14ac:dyDescent="0.35">
      <c r="A1563" s="8" t="str">
        <f t="shared" si="780"/>
        <v>Japan</v>
      </c>
      <c r="B1563" s="3" t="str">
        <f t="shared" ref="B1563:B1564" si="804">CHOOSE(2, "1395000000587", "% APE from Agents in X tenure in 0-1M")</f>
        <v>% APE from Agents in X tenure in 0-1M</v>
      </c>
      <c r="C1563" s="4" t="str">
        <f>CHOOSE(2, "5461730030", "Jun 26")</f>
        <v>Jun 26</v>
      </c>
      <c r="D1563" s="14">
        <v>0.1</v>
      </c>
    </row>
    <row r="1564" spans="1:4" x14ac:dyDescent="0.35">
      <c r="A1564" s="8" t="str">
        <f t="shared" si="780"/>
        <v>Japan</v>
      </c>
      <c r="B1564" s="6" t="str">
        <f t="shared" si="804"/>
        <v>% APE from Agents in X tenure in 0-1M</v>
      </c>
      <c r="C1564" s="4" t="str">
        <f>CHOOSE(2, "5462030031", "Jul 26")</f>
        <v>Jul 26</v>
      </c>
      <c r="D1564" s="14">
        <v>0.1</v>
      </c>
    </row>
    <row r="1565" spans="1:4" x14ac:dyDescent="0.35">
      <c r="A1565" s="8" t="str">
        <f t="shared" si="780"/>
        <v>Japan</v>
      </c>
      <c r="B1565" s="3" t="str">
        <f t="shared" ref="B1565:B1566" si="805">CHOOSE(2, "1395000000586", "% APE from Agents in X tenure in 2-3M")</f>
        <v>% APE from Agents in X tenure in 2-3M</v>
      </c>
      <c r="C1565" s="4" t="str">
        <f>CHOOSE(2, "5461730030", "Jun 26")</f>
        <v>Jun 26</v>
      </c>
      <c r="D1565" s="14">
        <v>0.2</v>
      </c>
    </row>
    <row r="1566" spans="1:4" x14ac:dyDescent="0.35">
      <c r="A1566" s="8" t="str">
        <f t="shared" si="780"/>
        <v>Japan</v>
      </c>
      <c r="B1566" s="6" t="str">
        <f t="shared" si="805"/>
        <v>% APE from Agents in X tenure in 2-3M</v>
      </c>
      <c r="C1566" s="4" t="str">
        <f>CHOOSE(2, "5462030031", "Jul 26")</f>
        <v>Jul 26</v>
      </c>
      <c r="D1566" s="14">
        <v>0.2</v>
      </c>
    </row>
    <row r="1567" spans="1:4" x14ac:dyDescent="0.35">
      <c r="A1567" s="8" t="str">
        <f t="shared" si="780"/>
        <v>Japan</v>
      </c>
      <c r="B1567" s="3" t="str">
        <f t="shared" ref="B1567:B1568" si="806">CHOOSE(2, "1395000000585", "% APE from Agents in X tenure in 4-12M")</f>
        <v>% APE from Agents in X tenure in 4-12M</v>
      </c>
      <c r="C1567" s="4" t="str">
        <f>CHOOSE(2, "5461730030", "Jun 26")</f>
        <v>Jun 26</v>
      </c>
      <c r="D1567" s="14">
        <v>0.3</v>
      </c>
    </row>
    <row r="1568" spans="1:4" x14ac:dyDescent="0.35">
      <c r="A1568" s="8" t="str">
        <f t="shared" si="780"/>
        <v>Japan</v>
      </c>
      <c r="B1568" s="6" t="str">
        <f t="shared" si="806"/>
        <v>% APE from Agents in X tenure in 4-12M</v>
      </c>
      <c r="C1568" s="4" t="str">
        <f>CHOOSE(2, "5462030031", "Jul 26")</f>
        <v>Jul 26</v>
      </c>
      <c r="D1568" s="14">
        <v>0.3</v>
      </c>
    </row>
    <row r="1569" spans="1:4" x14ac:dyDescent="0.35">
      <c r="A1569" s="8" t="str">
        <f t="shared" si="780"/>
        <v>Japan</v>
      </c>
      <c r="B1569" s="3" t="str">
        <f t="shared" ref="B1569:B1570" si="807">CHOOSE(2, "1395000000584", "% APE from Agents in X tenure 13+M")</f>
        <v>% APE from Agents in X tenure 13+M</v>
      </c>
      <c r="C1569" s="4" t="str">
        <f>CHOOSE(2, "5461730030", "Jun 26")</f>
        <v>Jun 26</v>
      </c>
      <c r="D1569" s="14">
        <v>0.4</v>
      </c>
    </row>
    <row r="1570" spans="1:4" x14ac:dyDescent="0.35">
      <c r="A1570" s="8" t="str">
        <f t="shared" si="780"/>
        <v>Japan</v>
      </c>
      <c r="B1570" s="6" t="str">
        <f t="shared" si="807"/>
        <v>% APE from Agents in X tenure 13+M</v>
      </c>
      <c r="C1570" s="4" t="str">
        <f>CHOOSE(2, "5462030031", "Jul 26")</f>
        <v>Jul 26</v>
      </c>
      <c r="D1570" s="14">
        <v>0.4</v>
      </c>
    </row>
    <row r="1571" spans="1:4" x14ac:dyDescent="0.35">
      <c r="A1571" s="8" t="str">
        <f t="shared" si="780"/>
        <v>Japan</v>
      </c>
      <c r="B1571" s="3" t="str">
        <f t="shared" ref="B1571:B1572" si="808">CHOOSE(2, "1395000000583", "% APE from pro-rated MDRT agents (100%)")</f>
        <v>% APE from pro-rated MDRT agents (100%)</v>
      </c>
      <c r="C1571" s="4" t="str">
        <f>CHOOSE(2, "5461730030", "Jun 26")</f>
        <v>Jun 26</v>
      </c>
      <c r="D1571" s="14">
        <v>0.40437270841040118</v>
      </c>
    </row>
    <row r="1572" spans="1:4" x14ac:dyDescent="0.35">
      <c r="A1572" s="8" t="str">
        <f t="shared" si="780"/>
        <v>Japan</v>
      </c>
      <c r="B1572" s="6" t="str">
        <f t="shared" si="808"/>
        <v>% APE from pro-rated MDRT agents (100%)</v>
      </c>
      <c r="C1572" s="4" t="str">
        <f>CHOOSE(2, "5462030031", "Jul 26")</f>
        <v>Jul 26</v>
      </c>
      <c r="D1572" s="14">
        <v>0.38551467289490748</v>
      </c>
    </row>
    <row r="1573" spans="1:4" x14ac:dyDescent="0.35">
      <c r="A1573" s="8" t="str">
        <f t="shared" si="780"/>
        <v>Japan</v>
      </c>
      <c r="B1573" s="3" t="str">
        <f t="shared" ref="B1573:B1574" si="809">CHOOSE(2, "1395000000582", "% APE from pro-rated MDRT agents (70-99%)")</f>
        <v>% APE from pro-rated MDRT agents (70-99%)</v>
      </c>
      <c r="C1573" s="4" t="str">
        <f>CHOOSE(2, "5461730030", "Jun 26")</f>
        <v>Jun 26</v>
      </c>
      <c r="D1573" s="14">
        <v>0.15515285951008981</v>
      </c>
    </row>
    <row r="1574" spans="1:4" x14ac:dyDescent="0.35">
      <c r="A1574" s="8" t="str">
        <f t="shared" si="780"/>
        <v>Japan</v>
      </c>
      <c r="B1574" s="6" t="str">
        <f t="shared" si="809"/>
        <v>% APE from pro-rated MDRT agents (70-99%)</v>
      </c>
      <c r="C1574" s="4" t="str">
        <f>CHOOSE(2, "5462030031", "Jul 26")</f>
        <v>Jul 26</v>
      </c>
      <c r="D1574" s="14">
        <v>0.16554726679260903</v>
      </c>
    </row>
    <row r="1575" spans="1:4" x14ac:dyDescent="0.35">
      <c r="A1575" s="8" t="str">
        <f t="shared" si="780"/>
        <v>Japan</v>
      </c>
      <c r="B1575" s="3" t="str">
        <f t="shared" ref="B1575:B1576" si="810">CHOOSE(2, "1395000000581", "% APE from pro-rated MDRT agents (50-69%)")</f>
        <v>% APE from pro-rated MDRT agents (50-69%)</v>
      </c>
      <c r="C1575" s="4" t="str">
        <f>CHOOSE(2, "5461730030", "Jun 26")</f>
        <v>Jun 26</v>
      </c>
      <c r="D1575" s="14">
        <v>0.16033983013768013</v>
      </c>
    </row>
    <row r="1576" spans="1:4" x14ac:dyDescent="0.35">
      <c r="A1576" s="8" t="str">
        <f t="shared" si="780"/>
        <v>Japan</v>
      </c>
      <c r="B1576" s="6" t="str">
        <f t="shared" si="810"/>
        <v>% APE from pro-rated MDRT agents (50-69%)</v>
      </c>
      <c r="C1576" s="4" t="str">
        <f>CHOOSE(2, "5462030031", "Jul 26")</f>
        <v>Jul 26</v>
      </c>
      <c r="D1576" s="14">
        <v>0.14675573517017815</v>
      </c>
    </row>
    <row r="1577" spans="1:4" x14ac:dyDescent="0.35">
      <c r="A1577" s="8" t="str">
        <f t="shared" si="780"/>
        <v>Japan</v>
      </c>
      <c r="B1577" s="3" t="str">
        <f t="shared" ref="B1577:B1578" si="811">CHOOSE(2, "1395000000580", "% APE from Top-tier agents")</f>
        <v>% APE from Top-tier agents</v>
      </c>
      <c r="C1577" s="4" t="str">
        <f>CHOOSE(2, "5461730030", "Jun 26")</f>
        <v>Jun 26</v>
      </c>
      <c r="D1577" s="14">
        <v>0.71986539805817118</v>
      </c>
    </row>
    <row r="1578" spans="1:4" x14ac:dyDescent="0.35">
      <c r="A1578" s="8" t="str">
        <f t="shared" si="780"/>
        <v>Japan</v>
      </c>
      <c r="B1578" s="6" t="str">
        <f t="shared" si="811"/>
        <v>% APE from Top-tier agents</v>
      </c>
      <c r="C1578" s="4" t="str">
        <f>CHOOSE(2, "5462030031", "Jul 26")</f>
        <v>Jul 26</v>
      </c>
      <c r="D1578" s="14">
        <v>0.69781767485769464</v>
      </c>
    </row>
    <row r="1579" spans="1:4" x14ac:dyDescent="0.35">
      <c r="A1579" s="8" t="str">
        <f t="shared" si="780"/>
        <v>Japan</v>
      </c>
      <c r="B1579" s="3" t="str">
        <f t="shared" ref="B1579:B1580" si="812">CHOOSE(2, "1395000000579", "% of Active Recruiting Leaders")</f>
        <v>% of Active Recruiting Leaders</v>
      </c>
      <c r="C1579" s="4" t="str">
        <f>CHOOSE(2, "5461730030", "Jun 26")</f>
        <v>Jun 26</v>
      </c>
      <c r="D1579" s="14">
        <v>7.9646017699115043E-2</v>
      </c>
    </row>
    <row r="1580" spans="1:4" x14ac:dyDescent="0.35">
      <c r="A1580" s="8" t="str">
        <f t="shared" si="780"/>
        <v>Japan</v>
      </c>
      <c r="B1580" s="6" t="str">
        <f t="shared" si="812"/>
        <v>% of Active Recruiting Leaders</v>
      </c>
      <c r="C1580" s="4" t="str">
        <f>CHOOSE(2, "5462030031", "Jul 26")</f>
        <v>Jul 26</v>
      </c>
      <c r="D1580" s="14">
        <v>6.0869565217391307E-2</v>
      </c>
    </row>
    <row r="1581" spans="1:4" x14ac:dyDescent="0.35">
      <c r="A1581" s="8" t="str">
        <f t="shared" ref="A1581:A1644" si="813">CHOOSE(2, "204000000002", "Japan")</f>
        <v>Japan</v>
      </c>
      <c r="B1581" s="3" t="str">
        <f t="shared" ref="B1581:B1582" si="814">CHOOSE(2, "1395000000578", "% of leaders with &gt;1 YTD recruit")</f>
        <v>% of leaders with &gt;1 YTD recruit</v>
      </c>
      <c r="C1581" s="4" t="str">
        <f>CHOOSE(2, "5461730030", "Jun 26")</f>
        <v>Jun 26</v>
      </c>
      <c r="D1581" s="14">
        <v>0.26548672566371684</v>
      </c>
    </row>
    <row r="1582" spans="1:4" x14ac:dyDescent="0.35">
      <c r="A1582" s="8" t="str">
        <f t="shared" si="813"/>
        <v>Japan</v>
      </c>
      <c r="B1582" s="6" t="str">
        <f t="shared" si="814"/>
        <v>% of leaders with &gt;1 YTD recruit</v>
      </c>
      <c r="C1582" s="4" t="str">
        <f>CHOOSE(2, "5462030031", "Jul 26")</f>
        <v>Jul 26</v>
      </c>
      <c r="D1582" s="14">
        <v>0.32173913043478258</v>
      </c>
    </row>
    <row r="1583" spans="1:4" x14ac:dyDescent="0.35">
      <c r="A1583" s="8" t="str">
        <f t="shared" si="813"/>
        <v>Japan</v>
      </c>
      <c r="B1583" s="3" t="str">
        <f t="shared" ref="B1583:B1584" si="815">CHOOSE(2, "1395000000577", "% of 1-Month Active Top-tier agents")</f>
        <v>% of 1-Month Active Top-tier agents</v>
      </c>
      <c r="C1583" s="4" t="str">
        <f>CHOOSE(2, "5461730030", "Jun 26")</f>
        <v>Jun 26</v>
      </c>
      <c r="D1583" s="14">
        <v>0.99009900990099009</v>
      </c>
    </row>
    <row r="1584" spans="1:4" x14ac:dyDescent="0.35">
      <c r="A1584" s="8" t="str">
        <f t="shared" si="813"/>
        <v>Japan</v>
      </c>
      <c r="B1584" s="6" t="str">
        <f t="shared" si="815"/>
        <v>% of 1-Month Active Top-tier agents</v>
      </c>
      <c r="C1584" s="4" t="str">
        <f>CHOOSE(2, "5462030031", "Jul 26")</f>
        <v>Jul 26</v>
      </c>
      <c r="D1584" s="14">
        <v>0.96455696202531649</v>
      </c>
    </row>
    <row r="1585" spans="1:4" x14ac:dyDescent="0.35">
      <c r="A1585" s="8" t="str">
        <f t="shared" si="813"/>
        <v>Japan</v>
      </c>
      <c r="B1585" s="3" t="str">
        <f t="shared" ref="B1585:B1586" si="816">CHOOSE(2, "1395000000576", "% APE from Manulife Pro - Total")</f>
        <v>% APE from Manulife Pro - Total</v>
      </c>
      <c r="C1585" s="4" t="str">
        <f>CHOOSE(2, "5461730030", "Jun 26")</f>
        <v>Jun 26</v>
      </c>
      <c r="D1585" s="14">
        <v>0</v>
      </c>
    </row>
    <row r="1586" spans="1:4" x14ac:dyDescent="0.35">
      <c r="A1586" s="8" t="str">
        <f t="shared" si="813"/>
        <v>Japan</v>
      </c>
      <c r="B1586" s="6" t="str">
        <f t="shared" si="816"/>
        <v>% APE from Manulife Pro - Total</v>
      </c>
      <c r="C1586" s="4" t="str">
        <f>CHOOSE(2, "5462030031", "Jul 26")</f>
        <v>Jul 26</v>
      </c>
      <c r="D1586" s="14">
        <v>0</v>
      </c>
    </row>
    <row r="1587" spans="1:4" x14ac:dyDescent="0.35">
      <c r="A1587" s="8" t="str">
        <f t="shared" si="813"/>
        <v>Japan</v>
      </c>
      <c r="B1587" s="3" t="str">
        <f t="shared" ref="B1587:B1588" si="817">CHOOSE(2, "1395000000575", "% of 1-Month Active Agents Manulife Pro Qualifiers - Total")</f>
        <v>% of 1-Month Active Agents Manulife Pro Qualifiers - Total</v>
      </c>
      <c r="C1587" s="4" t="str">
        <f>CHOOSE(2, "5461730030", "Jun 26")</f>
        <v>Jun 26</v>
      </c>
      <c r="D1587" s="14">
        <v>0.98425196850393704</v>
      </c>
    </row>
    <row r="1588" spans="1:4" x14ac:dyDescent="0.35">
      <c r="A1588" s="8" t="str">
        <f t="shared" si="813"/>
        <v>Japan</v>
      </c>
      <c r="B1588" s="6" t="str">
        <f t="shared" si="817"/>
        <v>% of 1-Month Active Agents Manulife Pro Qualifiers - Total</v>
      </c>
      <c r="C1588" s="4" t="str">
        <f>CHOOSE(2, "5462030031", "Jul 26")</f>
        <v>Jul 26</v>
      </c>
      <c r="D1588" s="14">
        <v>0.96825396825396826</v>
      </c>
    </row>
    <row r="1589" spans="1:4" x14ac:dyDescent="0.35">
      <c r="A1589" s="8" t="str">
        <f t="shared" si="813"/>
        <v>Japan</v>
      </c>
      <c r="B1589" s="3" t="str">
        <f t="shared" ref="B1589:B1590" si="818">CHOOSE(2, "1395000000574", "% of Newly Demoted UM")</f>
        <v>% of Newly Demoted UM</v>
      </c>
      <c r="C1589" s="4" t="str">
        <f>CHOOSE(2, "5461730030", "Jun 26")</f>
        <v>Jun 26</v>
      </c>
      <c r="D1589" s="14">
        <v>0</v>
      </c>
    </row>
    <row r="1590" spans="1:4" x14ac:dyDescent="0.35">
      <c r="A1590" s="8" t="str">
        <f t="shared" si="813"/>
        <v>Japan</v>
      </c>
      <c r="B1590" s="6" t="str">
        <f t="shared" si="818"/>
        <v>% of Newly Demoted UM</v>
      </c>
      <c r="C1590" s="4" t="str">
        <f>CHOOSE(2, "5462030031", "Jul 26")</f>
        <v>Jul 26</v>
      </c>
      <c r="D1590" s="14">
        <v>0</v>
      </c>
    </row>
    <row r="1591" spans="1:4" x14ac:dyDescent="0.35">
      <c r="A1591" s="8" t="str">
        <f t="shared" si="813"/>
        <v>Japan</v>
      </c>
      <c r="B1591" s="3" t="str">
        <f t="shared" ref="B1591:B1592" si="819">CHOOSE(2, "1395000000573", "% of Newly Demoted Leaders above UM")</f>
        <v>% of Newly Demoted Leaders above UM</v>
      </c>
      <c r="C1591" s="4" t="str">
        <f>CHOOSE(2, "5461730030", "Jun 26")</f>
        <v>Jun 26</v>
      </c>
      <c r="D1591" s="14">
        <v>0</v>
      </c>
    </row>
    <row r="1592" spans="1:4" x14ac:dyDescent="0.35">
      <c r="A1592" s="8" t="str">
        <f t="shared" si="813"/>
        <v>Japan</v>
      </c>
      <c r="B1592" s="6" t="str">
        <f t="shared" si="819"/>
        <v>% of Newly Demoted Leaders above UM</v>
      </c>
      <c r="C1592" s="4" t="str">
        <f>CHOOSE(2, "5462030031", "Jul 26")</f>
        <v>Jul 26</v>
      </c>
      <c r="D1592" s="14">
        <v>0</v>
      </c>
    </row>
    <row r="1593" spans="1:4" x14ac:dyDescent="0.35">
      <c r="A1593" s="8" t="str">
        <f t="shared" si="813"/>
        <v>Japan</v>
      </c>
      <c r="B1593" s="3" t="str">
        <f t="shared" ref="B1593:B1594" si="820">CHOOSE(2, "1395000000572", "Avg. Earning per agent")</f>
        <v>Avg. Earning per agent</v>
      </c>
      <c r="C1593" s="4" t="str">
        <f>CHOOSE(2, "5461730030", "Jun 26")</f>
        <v>Jun 26</v>
      </c>
      <c r="D1593" s="14">
        <v>0</v>
      </c>
    </row>
    <row r="1594" spans="1:4" x14ac:dyDescent="0.35">
      <c r="A1594" s="8" t="str">
        <f t="shared" si="813"/>
        <v>Japan</v>
      </c>
      <c r="B1594" s="6" t="str">
        <f t="shared" si="820"/>
        <v>Avg. Earning per agent</v>
      </c>
      <c r="C1594" s="4" t="str">
        <f>CHOOSE(2, "5462030031", "Jul 26")</f>
        <v>Jul 26</v>
      </c>
      <c r="D1594" s="14">
        <v>0</v>
      </c>
    </row>
    <row r="1595" spans="1:4" x14ac:dyDescent="0.35">
      <c r="A1595" s="8" t="str">
        <f t="shared" si="813"/>
        <v>Japan</v>
      </c>
      <c r="B1595" s="3" t="str">
        <f t="shared" ref="B1595:B1596" si="821">CHOOSE(2, "1395000000571", "Avg. Earning per agent in FA or equivalent")</f>
        <v>Avg. Earning per agent in FA or equivalent</v>
      </c>
      <c r="C1595" s="4" t="str">
        <f>CHOOSE(2, "5461730030", "Jun 26")</f>
        <v>Jun 26</v>
      </c>
      <c r="D1595" s="14">
        <v>0</v>
      </c>
    </row>
    <row r="1596" spans="1:4" x14ac:dyDescent="0.35">
      <c r="A1596" s="8" t="str">
        <f t="shared" si="813"/>
        <v>Japan</v>
      </c>
      <c r="B1596" s="6" t="str">
        <f t="shared" si="821"/>
        <v>Avg. Earning per agent in FA or equivalent</v>
      </c>
      <c r="C1596" s="4" t="str">
        <f>CHOOSE(2, "5462030031", "Jul 26")</f>
        <v>Jul 26</v>
      </c>
      <c r="D1596" s="14">
        <v>0</v>
      </c>
    </row>
    <row r="1597" spans="1:4" x14ac:dyDescent="0.35">
      <c r="A1597" s="8" t="str">
        <f t="shared" si="813"/>
        <v>Japan</v>
      </c>
      <c r="B1597" s="3" t="str">
        <f t="shared" ref="B1597:B1598" si="822">CHOOSE(2, "1395000000570", "Avg. Earning per agent in UM")</f>
        <v>Avg. Earning per agent in UM</v>
      </c>
      <c r="C1597" s="4" t="str">
        <f>CHOOSE(2, "5461730030", "Jun 26")</f>
        <v>Jun 26</v>
      </c>
      <c r="D1597" s="14">
        <v>0</v>
      </c>
    </row>
    <row r="1598" spans="1:4" x14ac:dyDescent="0.35">
      <c r="A1598" s="8" t="str">
        <f t="shared" si="813"/>
        <v>Japan</v>
      </c>
      <c r="B1598" s="6" t="str">
        <f t="shared" si="822"/>
        <v>Avg. Earning per agent in UM</v>
      </c>
      <c r="C1598" s="4" t="str">
        <f>CHOOSE(2, "5462030031", "Jul 26")</f>
        <v>Jul 26</v>
      </c>
      <c r="D1598" s="14">
        <v>0</v>
      </c>
    </row>
    <row r="1599" spans="1:4" x14ac:dyDescent="0.35">
      <c r="A1599" s="8" t="str">
        <f t="shared" si="813"/>
        <v>Japan</v>
      </c>
      <c r="B1599" s="3" t="str">
        <f t="shared" ref="B1599:B1600" si="823">CHOOSE(2, "1395000000569", "Avg. Earning per agent in Leaders above UM")</f>
        <v>Avg. Earning per agent in Leaders above UM</v>
      </c>
      <c r="C1599" s="4" t="str">
        <f>CHOOSE(2, "5461730030", "Jun 26")</f>
        <v>Jun 26</v>
      </c>
      <c r="D1599" s="14">
        <v>0</v>
      </c>
    </row>
    <row r="1600" spans="1:4" x14ac:dyDescent="0.35">
      <c r="A1600" s="8" t="str">
        <f t="shared" si="813"/>
        <v>Japan</v>
      </c>
      <c r="B1600" s="6" t="str">
        <f t="shared" si="823"/>
        <v>Avg. Earning per agent in Leaders above UM</v>
      </c>
      <c r="C1600" s="4" t="str">
        <f>CHOOSE(2, "5462030031", "Jul 26")</f>
        <v>Jul 26</v>
      </c>
      <c r="D1600" s="14">
        <v>0</v>
      </c>
    </row>
    <row r="1601" spans="1:4" x14ac:dyDescent="0.35">
      <c r="A1601" s="8" t="str">
        <f t="shared" si="813"/>
        <v>Japan</v>
      </c>
      <c r="B1601" s="3" t="str">
        <f t="shared" ref="B1601:B1602" si="824">CHOOSE(2, "1395000000568", "% of 1-Month Active Agents 0-1M")</f>
        <v>% of 1-Month Active Agents 0-1M</v>
      </c>
      <c r="C1601" s="4" t="str">
        <f>CHOOSE(2, "5461730030", "Jun 26")</f>
        <v>Jun 26</v>
      </c>
      <c r="D1601" s="14">
        <v>0.34210526315789475</v>
      </c>
    </row>
    <row r="1602" spans="1:4" x14ac:dyDescent="0.35">
      <c r="A1602" s="8" t="str">
        <f t="shared" si="813"/>
        <v>Japan</v>
      </c>
      <c r="B1602" s="6" t="str">
        <f t="shared" si="824"/>
        <v>% of 1-Month Active Agents 0-1M</v>
      </c>
      <c r="C1602" s="4" t="str">
        <f>CHOOSE(2, "5462030031", "Jul 26")</f>
        <v>Jul 26</v>
      </c>
      <c r="D1602" s="14">
        <v>0.53333333333333333</v>
      </c>
    </row>
    <row r="1603" spans="1:4" x14ac:dyDescent="0.35">
      <c r="A1603" s="8" t="str">
        <f t="shared" si="813"/>
        <v>Japan</v>
      </c>
      <c r="B1603" s="3" t="str">
        <f t="shared" ref="B1603:B1604" si="825">CHOOSE(2, "1395000000567", "% of 1-Month Active Agents in 2-3M")</f>
        <v>% of 1-Month Active Agents in 2-3M</v>
      </c>
      <c r="C1603" s="4" t="str">
        <f>CHOOSE(2, "5461730030", "Jun 26")</f>
        <v>Jun 26</v>
      </c>
      <c r="D1603" s="14">
        <v>0.94285714285714284</v>
      </c>
    </row>
    <row r="1604" spans="1:4" x14ac:dyDescent="0.35">
      <c r="A1604" s="8" t="str">
        <f t="shared" si="813"/>
        <v>Japan</v>
      </c>
      <c r="B1604" s="6" t="str">
        <f t="shared" si="825"/>
        <v>% of 1-Month Active Agents in 2-3M</v>
      </c>
      <c r="C1604" s="4" t="str">
        <f>CHOOSE(2, "5462030031", "Jul 26")</f>
        <v>Jul 26</v>
      </c>
      <c r="D1604" s="14">
        <v>0.91891891891891897</v>
      </c>
    </row>
    <row r="1605" spans="1:4" x14ac:dyDescent="0.35">
      <c r="A1605" s="8" t="str">
        <f t="shared" si="813"/>
        <v>Japan</v>
      </c>
      <c r="B1605" s="3" t="str">
        <f t="shared" ref="B1605:B1606" si="826">CHOOSE(2, "1395000000566", "% of 1-Month Active Agents 4-12M")</f>
        <v>% of 1-Month Active Agents 4-12M</v>
      </c>
      <c r="C1605" s="4" t="str">
        <f>CHOOSE(2, "5461730030", "Jun 26")</f>
        <v>Jun 26</v>
      </c>
      <c r="D1605" s="14">
        <v>0.80851063829787229</v>
      </c>
    </row>
    <row r="1606" spans="1:4" x14ac:dyDescent="0.35">
      <c r="A1606" s="8" t="str">
        <f t="shared" si="813"/>
        <v>Japan</v>
      </c>
      <c r="B1606" s="6" t="str">
        <f t="shared" si="826"/>
        <v>% of 1-Month Active Agents 4-12M</v>
      </c>
      <c r="C1606" s="4" t="str">
        <f>CHOOSE(2, "5462030031", "Jul 26")</f>
        <v>Jul 26</v>
      </c>
      <c r="D1606" s="14">
        <v>0.77536231884057971</v>
      </c>
    </row>
    <row r="1607" spans="1:4" x14ac:dyDescent="0.35">
      <c r="A1607" s="8" t="str">
        <f t="shared" si="813"/>
        <v>Japan</v>
      </c>
      <c r="B1607" s="3" t="str">
        <f t="shared" ref="B1607:B1608" si="827">CHOOSE(2, "1395000000565", "% of 1-Month Active Agents 13+M")</f>
        <v>% of 1-Month Active Agents 13+M</v>
      </c>
      <c r="C1607" s="4" t="str">
        <f>CHOOSE(2, "5461730030", "Jun 26")</f>
        <v>Jun 26</v>
      </c>
      <c r="D1607" s="14">
        <v>0.89338235294117652</v>
      </c>
    </row>
    <row r="1608" spans="1:4" x14ac:dyDescent="0.35">
      <c r="A1608" s="8" t="str">
        <f t="shared" si="813"/>
        <v>Japan</v>
      </c>
      <c r="B1608" s="6" t="str">
        <f t="shared" si="827"/>
        <v>% of 1-Month Active Agents 13+M</v>
      </c>
      <c r="C1608" s="4" t="str">
        <f>CHOOSE(2, "5462030031", "Jul 26")</f>
        <v>Jul 26</v>
      </c>
      <c r="D1608" s="14">
        <v>0.86185819070904646</v>
      </c>
    </row>
    <row r="1609" spans="1:4" x14ac:dyDescent="0.35">
      <c r="A1609" s="8" t="str">
        <f t="shared" si="813"/>
        <v>Japan</v>
      </c>
      <c r="B1609" s="3" t="str">
        <f t="shared" ref="B1609:B1610" si="828">CHOOSE(2, "1395000000564", "% of 3-Month Active Agents 0-1M")</f>
        <v>% of 3-Month Active Agents 0-1M</v>
      </c>
      <c r="C1609" s="4" t="str">
        <f>CHOOSE(2, "5461730030", "Jun 26")</f>
        <v>Jun 26</v>
      </c>
      <c r="D1609" s="14">
        <v>0.34210526315789475</v>
      </c>
    </row>
    <row r="1610" spans="1:4" x14ac:dyDescent="0.35">
      <c r="A1610" s="8" t="str">
        <f t="shared" si="813"/>
        <v>Japan</v>
      </c>
      <c r="B1610" s="6" t="str">
        <f t="shared" si="828"/>
        <v>% of 3-Month Active Agents 0-1M</v>
      </c>
      <c r="C1610" s="4" t="str">
        <f>CHOOSE(2, "5462030031", "Jul 26")</f>
        <v>Jul 26</v>
      </c>
      <c r="D1610" s="14">
        <v>0.53333333333333333</v>
      </c>
    </row>
    <row r="1611" spans="1:4" x14ac:dyDescent="0.35">
      <c r="A1611" s="8" t="str">
        <f t="shared" si="813"/>
        <v>Japan</v>
      </c>
      <c r="B1611" s="3" t="str">
        <f t="shared" ref="B1611:B1612" si="829">CHOOSE(2, "1395000000563", "% of 3-Month Active Agents in 2-3M")</f>
        <v>% of 3-Month Active Agents in 2-3M</v>
      </c>
      <c r="C1611" s="4" t="str">
        <f>CHOOSE(2, "5461730030", "Jun 26")</f>
        <v>Jun 26</v>
      </c>
      <c r="D1611" s="14">
        <v>0.97142857142857142</v>
      </c>
    </row>
    <row r="1612" spans="1:4" x14ac:dyDescent="0.35">
      <c r="A1612" s="8" t="str">
        <f t="shared" si="813"/>
        <v>Japan</v>
      </c>
      <c r="B1612" s="6" t="str">
        <f t="shared" si="829"/>
        <v>% of 3-Month Active Agents in 2-3M</v>
      </c>
      <c r="C1612" s="4" t="str">
        <f>CHOOSE(2, "5462030031", "Jul 26")</f>
        <v>Jul 26</v>
      </c>
      <c r="D1612" s="14">
        <v>0.97297297297297303</v>
      </c>
    </row>
    <row r="1613" spans="1:4" x14ac:dyDescent="0.35">
      <c r="A1613" s="8" t="str">
        <f t="shared" si="813"/>
        <v>Japan</v>
      </c>
      <c r="B1613" s="3" t="str">
        <f t="shared" ref="B1613:B1614" si="830">CHOOSE(2, "1395000000562", "% of 3-Month Active Agents 4-12M")</f>
        <v>% of 3-Month Active Agents 4-12M</v>
      </c>
      <c r="C1613" s="4" t="str">
        <f>CHOOSE(2, "5461730030", "Jun 26")</f>
        <v>Jun 26</v>
      </c>
      <c r="D1613" s="14">
        <v>0.95744680851063835</v>
      </c>
    </row>
    <row r="1614" spans="1:4" x14ac:dyDescent="0.35">
      <c r="A1614" s="8" t="str">
        <f t="shared" si="813"/>
        <v>Japan</v>
      </c>
      <c r="B1614" s="6" t="str">
        <f t="shared" si="830"/>
        <v>% of 3-Month Active Agents 4-12M</v>
      </c>
      <c r="C1614" s="4" t="str">
        <f>CHOOSE(2, "5462030031", "Jul 26")</f>
        <v>Jul 26</v>
      </c>
      <c r="D1614" s="14">
        <v>0.95652173913043481</v>
      </c>
    </row>
    <row r="1615" spans="1:4" x14ac:dyDescent="0.35">
      <c r="A1615" s="8" t="str">
        <f t="shared" si="813"/>
        <v>Japan</v>
      </c>
      <c r="B1615" s="3" t="str">
        <f t="shared" ref="B1615:B1616" si="831">CHOOSE(2, "1395000000561", "% of 3-Month Active Agents 13+M")</f>
        <v>% of 3-Month Active Agents 13+M</v>
      </c>
      <c r="C1615" s="4" t="str">
        <f>CHOOSE(2, "5461730030", "Jun 26")</f>
        <v>Jun 26</v>
      </c>
      <c r="D1615" s="14">
        <v>0.96323529411764708</v>
      </c>
    </row>
    <row r="1616" spans="1:4" x14ac:dyDescent="0.35">
      <c r="A1616" s="8" t="str">
        <f t="shared" si="813"/>
        <v>Japan</v>
      </c>
      <c r="B1616" s="6" t="str">
        <f t="shared" si="831"/>
        <v>% of 3-Month Active Agents 13+M</v>
      </c>
      <c r="C1616" s="4" t="str">
        <f>CHOOSE(2, "5462030031", "Jul 26")</f>
        <v>Jul 26</v>
      </c>
      <c r="D1616" s="14">
        <v>0.96332518337408313</v>
      </c>
    </row>
    <row r="1617" spans="1:4" x14ac:dyDescent="0.35">
      <c r="A1617" s="8" t="str">
        <f t="shared" si="813"/>
        <v>Japan</v>
      </c>
      <c r="B1617" s="3" t="str">
        <f t="shared" ref="B1617:B1618" si="832">CHOOSE(2, "1395000000560", "Avg. Case count per 1-Month Active Agent 0-1M")</f>
        <v>Avg. Case count per 1-Month Active Agent 0-1M</v>
      </c>
      <c r="C1617" s="4" t="str">
        <f>CHOOSE(2, "5461730030", "Jun 26")</f>
        <v>Jun 26</v>
      </c>
      <c r="D1617" s="14">
        <v>2.6923076923076925</v>
      </c>
    </row>
    <row r="1618" spans="1:4" x14ac:dyDescent="0.35">
      <c r="A1618" s="8" t="str">
        <f t="shared" si="813"/>
        <v>Japan</v>
      </c>
      <c r="B1618" s="6" t="str">
        <f t="shared" si="832"/>
        <v>Avg. Case count per 1-Month Active Agent 0-1M</v>
      </c>
      <c r="C1618" s="4" t="str">
        <f>CHOOSE(2, "5462030031", "Jul 26")</f>
        <v>Jul 26</v>
      </c>
      <c r="D1618" s="14">
        <v>2.0416666666666665</v>
      </c>
    </row>
    <row r="1619" spans="1:4" x14ac:dyDescent="0.35">
      <c r="A1619" s="8" t="str">
        <f t="shared" si="813"/>
        <v>Japan</v>
      </c>
      <c r="B1619" s="3" t="str">
        <f t="shared" ref="B1619:B1620" si="833">CHOOSE(2, "1395000000559", "Avg. Case count per 1-Month Active Agent in 2-3M")</f>
        <v>Avg. Case count per 1-Month Active Agent in 2-3M</v>
      </c>
      <c r="C1619" s="4" t="str">
        <f>CHOOSE(2, "5461730030", "Jun 26")</f>
        <v>Jun 26</v>
      </c>
      <c r="D1619" s="14">
        <v>4.1515151515151514</v>
      </c>
    </row>
    <row r="1620" spans="1:4" x14ac:dyDescent="0.35">
      <c r="A1620" s="8" t="str">
        <f t="shared" si="813"/>
        <v>Japan</v>
      </c>
      <c r="B1620" s="6" t="str">
        <f t="shared" si="833"/>
        <v>Avg. Case count per 1-Month Active Agent in 2-3M</v>
      </c>
      <c r="C1620" s="4" t="str">
        <f>CHOOSE(2, "5462030031", "Jul 26")</f>
        <v>Jul 26</v>
      </c>
      <c r="D1620" s="14">
        <v>3.9117647058823528</v>
      </c>
    </row>
    <row r="1621" spans="1:4" x14ac:dyDescent="0.35">
      <c r="A1621" s="8" t="str">
        <f t="shared" si="813"/>
        <v>Japan</v>
      </c>
      <c r="B1621" s="3" t="str">
        <f t="shared" ref="B1621:B1622" si="834">CHOOSE(2, "1395000000558", "Avg. Case count per 1-Month Active Agent 4-12M")</f>
        <v>Avg. Case count per 1-Month Active Agent 4-12M</v>
      </c>
      <c r="C1621" s="4" t="str">
        <f>CHOOSE(2, "5461730030", "Jun 26")</f>
        <v>Jun 26</v>
      </c>
      <c r="D1621" s="14">
        <v>3.4780701754385963</v>
      </c>
    </row>
    <row r="1622" spans="1:4" x14ac:dyDescent="0.35">
      <c r="A1622" s="8" t="str">
        <f t="shared" si="813"/>
        <v>Japan</v>
      </c>
      <c r="B1622" s="6" t="str">
        <f t="shared" si="834"/>
        <v>Avg. Case count per 1-Month Active Agent 4-12M</v>
      </c>
      <c r="C1622" s="4" t="str">
        <f>CHOOSE(2, "5462030031", "Jul 26")</f>
        <v>Jul 26</v>
      </c>
      <c r="D1622" s="14">
        <v>3.4065420560747666</v>
      </c>
    </row>
    <row r="1623" spans="1:4" x14ac:dyDescent="0.35">
      <c r="A1623" s="8" t="str">
        <f t="shared" si="813"/>
        <v>Japan</v>
      </c>
      <c r="B1623" s="3" t="str">
        <f t="shared" ref="B1623:B1624" si="835">CHOOSE(2, "1395000000557", "Avg. Case count per 1-Month Active Agent 13+M")</f>
        <v>Avg. Case count per 1-Month Active Agent 13+M</v>
      </c>
      <c r="C1623" s="4" t="str">
        <f>CHOOSE(2, "5461730030", "Jun 26")</f>
        <v>Jun 26</v>
      </c>
      <c r="D1623" s="14">
        <v>3.3237311385459534</v>
      </c>
    </row>
    <row r="1624" spans="1:4" x14ac:dyDescent="0.35">
      <c r="A1624" s="8" t="str">
        <f t="shared" si="813"/>
        <v>Japan</v>
      </c>
      <c r="B1624" s="6" t="str">
        <f t="shared" si="835"/>
        <v>Avg. Case count per 1-Month Active Agent 13+M</v>
      </c>
      <c r="C1624" s="4" t="str">
        <f>CHOOSE(2, "5462030031", "Jul 26")</f>
        <v>Jul 26</v>
      </c>
      <c r="D1624" s="14">
        <v>3.0957446808510638</v>
      </c>
    </row>
    <row r="1625" spans="1:4" x14ac:dyDescent="0.35">
      <c r="A1625" s="8" t="str">
        <f t="shared" si="813"/>
        <v>Japan</v>
      </c>
      <c r="B1625" s="3" t="str">
        <f t="shared" ref="B1625:B1626" si="836">CHOOSE(2, "1395000000556", "Avg. Case size 0-1M")</f>
        <v>Avg. Case size 0-1M</v>
      </c>
      <c r="C1625" s="4" t="str">
        <f>CHOOSE(2, "5461730030", "Jun 26")</f>
        <v>Jun 26</v>
      </c>
      <c r="D1625" s="14">
        <v>18966.951988090717</v>
      </c>
    </row>
    <row r="1626" spans="1:4" x14ac:dyDescent="0.35">
      <c r="A1626" s="8" t="str">
        <f t="shared" si="813"/>
        <v>Japan</v>
      </c>
      <c r="B1626" s="6" t="str">
        <f t="shared" si="836"/>
        <v>Avg. Case size 0-1M</v>
      </c>
      <c r="C1626" s="4" t="str">
        <f>CHOOSE(2, "5462030031", "Jul 26")</f>
        <v>Jul 26</v>
      </c>
      <c r="D1626" s="14">
        <v>10781.566127078571</v>
      </c>
    </row>
    <row r="1627" spans="1:4" x14ac:dyDescent="0.35">
      <c r="A1627" s="8" t="str">
        <f t="shared" si="813"/>
        <v>Japan</v>
      </c>
      <c r="B1627" s="3" t="str">
        <f t="shared" ref="B1627:B1628" si="837">CHOOSE(2, "1395000000555", "Avg. Case size in 2-3M")</f>
        <v>Avg. Case size in 2-3M</v>
      </c>
      <c r="C1627" s="4" t="str">
        <f>CHOOSE(2, "5461730030", "Jun 26")</f>
        <v>Jun 26</v>
      </c>
      <c r="D1627" s="14">
        <v>9691.1433515791996</v>
      </c>
    </row>
    <row r="1628" spans="1:4" x14ac:dyDescent="0.35">
      <c r="A1628" s="8" t="str">
        <f t="shared" si="813"/>
        <v>Japan</v>
      </c>
      <c r="B1628" s="6" t="str">
        <f t="shared" si="837"/>
        <v>Avg. Case size in 2-3M</v>
      </c>
      <c r="C1628" s="4" t="str">
        <f>CHOOSE(2, "5462030031", "Jul 26")</f>
        <v>Jul 26</v>
      </c>
      <c r="D1628" s="14">
        <v>7944.3118831105267</v>
      </c>
    </row>
    <row r="1629" spans="1:4" x14ac:dyDescent="0.35">
      <c r="A1629" s="8" t="str">
        <f t="shared" si="813"/>
        <v>Japan</v>
      </c>
      <c r="B1629" s="3" t="str">
        <f t="shared" ref="B1629:B1630" si="838">CHOOSE(2, "1395000000554", "Avg. Case size 4-12M")</f>
        <v>Avg. Case size 4-12M</v>
      </c>
      <c r="C1629" s="4" t="str">
        <f>CHOOSE(2, "5461730030", "Jun 26")</f>
        <v>Jun 26</v>
      </c>
      <c r="D1629" s="14">
        <v>5022.7741708689155</v>
      </c>
    </row>
    <row r="1630" spans="1:4" x14ac:dyDescent="0.35">
      <c r="A1630" s="8" t="str">
        <f t="shared" si="813"/>
        <v>Japan</v>
      </c>
      <c r="B1630" s="6" t="str">
        <f t="shared" si="838"/>
        <v>Avg. Case size 4-12M</v>
      </c>
      <c r="C1630" s="4" t="str">
        <f>CHOOSE(2, "5462030031", "Jul 26")</f>
        <v>Jul 26</v>
      </c>
      <c r="D1630" s="14">
        <v>4348.121318739506</v>
      </c>
    </row>
    <row r="1631" spans="1:4" x14ac:dyDescent="0.35">
      <c r="A1631" s="8" t="str">
        <f t="shared" si="813"/>
        <v>Japan</v>
      </c>
      <c r="B1631" s="3" t="str">
        <f t="shared" ref="B1631:B1632" si="839">CHOOSE(2, "1395000000553", "Avg. Case size 13+M")</f>
        <v>Avg. Case size 13+M</v>
      </c>
      <c r="C1631" s="4" t="str">
        <f>CHOOSE(2, "5461730030", "Jun 26")</f>
        <v>Jun 26</v>
      </c>
      <c r="D1631" s="14">
        <v>1095.9031276651674</v>
      </c>
    </row>
    <row r="1632" spans="1:4" x14ac:dyDescent="0.35">
      <c r="A1632" s="8" t="str">
        <f t="shared" si="813"/>
        <v>Japan</v>
      </c>
      <c r="B1632" s="6" t="str">
        <f t="shared" si="839"/>
        <v>Avg. Case size 13+M</v>
      </c>
      <c r="C1632" s="4" t="str">
        <f>CHOOSE(2, "5462030031", "Jul 26")</f>
        <v>Jul 26</v>
      </c>
      <c r="D1632" s="14">
        <v>968.24144829663237</v>
      </c>
    </row>
    <row r="1633" spans="1:4" x14ac:dyDescent="0.35">
      <c r="A1633" s="8" t="str">
        <f t="shared" si="813"/>
        <v>Japan</v>
      </c>
      <c r="B1633" s="3" t="str">
        <f t="shared" ref="B1633:B1634" si="840">CHOOSE(2, "1395000000552", "Avg. Case size UM")</f>
        <v>Avg. Case size UM</v>
      </c>
      <c r="C1633" s="4" t="str">
        <f>CHOOSE(2, "5461730030", "Jun 26")</f>
        <v>Jun 26</v>
      </c>
      <c r="D1633" s="14">
        <v>0</v>
      </c>
    </row>
    <row r="1634" spans="1:4" x14ac:dyDescent="0.35">
      <c r="A1634" s="8" t="str">
        <f t="shared" si="813"/>
        <v>Japan</v>
      </c>
      <c r="B1634" s="6" t="str">
        <f t="shared" si="840"/>
        <v>Avg. Case size UM</v>
      </c>
      <c r="C1634" s="4" t="str">
        <f>CHOOSE(2, "5462030031", "Jul 26")</f>
        <v>Jul 26</v>
      </c>
      <c r="D1634" s="14">
        <v>0</v>
      </c>
    </row>
    <row r="1635" spans="1:4" x14ac:dyDescent="0.35">
      <c r="A1635" s="8" t="str">
        <f t="shared" si="813"/>
        <v>Japan</v>
      </c>
      <c r="B1635" s="3" t="str">
        <f t="shared" ref="B1635:B1636" si="841">CHOOSE(2, "1395000000551", "Avg. Case size Leaders above UM")</f>
        <v>Avg. Case size Leaders above UM</v>
      </c>
      <c r="C1635" s="4" t="str">
        <f>CHOOSE(2, "5461730030", "Jun 26")</f>
        <v>Jun 26</v>
      </c>
      <c r="D1635" s="14">
        <v>0</v>
      </c>
    </row>
    <row r="1636" spans="1:4" x14ac:dyDescent="0.35">
      <c r="A1636" s="8" t="str">
        <f t="shared" si="813"/>
        <v>Japan</v>
      </c>
      <c r="B1636" s="6" t="str">
        <f t="shared" si="841"/>
        <v>Avg. Case size Leaders above UM</v>
      </c>
      <c r="C1636" s="4" t="str">
        <f>CHOOSE(2, "5462030031", "Jul 26")</f>
        <v>Jul 26</v>
      </c>
      <c r="D1636" s="14">
        <v>0</v>
      </c>
    </row>
    <row r="1637" spans="1:4" x14ac:dyDescent="0.35">
      <c r="A1637" s="8" t="str">
        <f t="shared" si="813"/>
        <v>Japan</v>
      </c>
      <c r="B1637" s="3" t="str">
        <f t="shared" ref="B1637:B1638" si="842">CHOOSE(2, "1395000000550", "Avg. Case size Top-tier agents")</f>
        <v>Avg. Case size Top-tier agents</v>
      </c>
      <c r="C1637" s="4" t="str">
        <f>CHOOSE(2, "5461730030", "Jun 26")</f>
        <v>Jun 26</v>
      </c>
      <c r="D1637" s="14">
        <v>2783.2139516598722</v>
      </c>
    </row>
    <row r="1638" spans="1:4" x14ac:dyDescent="0.35">
      <c r="A1638" s="8" t="str">
        <f t="shared" si="813"/>
        <v>Japan</v>
      </c>
      <c r="B1638" s="6" t="str">
        <f t="shared" si="842"/>
        <v>Avg. Case size Top-tier agents</v>
      </c>
      <c r="C1638" s="4" t="str">
        <f>CHOOSE(2, "5462030031", "Jul 26")</f>
        <v>Jul 26</v>
      </c>
      <c r="D1638" s="14">
        <v>2472.5338893360163</v>
      </c>
    </row>
    <row r="1639" spans="1:4" x14ac:dyDescent="0.35">
      <c r="A1639" s="8" t="str">
        <f t="shared" si="813"/>
        <v>Japan</v>
      </c>
      <c r="B1639" s="3" t="str">
        <f t="shared" ref="B1639:B1640" si="843">CHOOSE(2, "1395000000549", "Avg. Case size Manulife Pro Qualifiers - Total")</f>
        <v>Avg. Case size Manulife Pro Qualifiers - Total</v>
      </c>
      <c r="C1639" s="4" t="str">
        <f>CHOOSE(2, "5461730030", "Jun 26")</f>
        <v>Jun 26</v>
      </c>
      <c r="D1639" s="14">
        <v>0</v>
      </c>
    </row>
    <row r="1640" spans="1:4" x14ac:dyDescent="0.35">
      <c r="A1640" s="8" t="str">
        <f t="shared" si="813"/>
        <v>Japan</v>
      </c>
      <c r="B1640" s="6" t="str">
        <f t="shared" si="843"/>
        <v>Avg. Case size Manulife Pro Qualifiers - Total</v>
      </c>
      <c r="C1640" s="4" t="str">
        <f>CHOOSE(2, "5462030031", "Jul 26")</f>
        <v>Jul 26</v>
      </c>
      <c r="D1640" s="14">
        <v>0</v>
      </c>
    </row>
    <row r="1641" spans="1:4" x14ac:dyDescent="0.35">
      <c r="A1641" s="8" t="str">
        <f t="shared" si="813"/>
        <v>Japan</v>
      </c>
      <c r="B1641" s="3" t="str">
        <f t="shared" ref="B1641:B1642" si="844">CHOOSE(2, "1395000000548", "Avg. Case size FA or equivalent")</f>
        <v>Avg. Case size FA or equivalent</v>
      </c>
      <c r="C1641" s="4" t="str">
        <f>CHOOSE(2, "5461730030", "Jun 26")</f>
        <v>Jun 26</v>
      </c>
      <c r="D1641" s="14">
        <v>0</v>
      </c>
    </row>
    <row r="1642" spans="1:4" x14ac:dyDescent="0.35">
      <c r="A1642" s="8" t="str">
        <f t="shared" si="813"/>
        <v>Japan</v>
      </c>
      <c r="B1642" s="6" t="str">
        <f t="shared" si="844"/>
        <v>Avg. Case size FA or equivalent</v>
      </c>
      <c r="C1642" s="4" t="str">
        <f>CHOOSE(2, "5462030031", "Jul 26")</f>
        <v>Jul 26</v>
      </c>
      <c r="D1642" s="14">
        <v>0</v>
      </c>
    </row>
    <row r="1643" spans="1:4" x14ac:dyDescent="0.35">
      <c r="A1643" s="8" t="str">
        <f t="shared" si="813"/>
        <v>Japan</v>
      </c>
      <c r="B1643" s="3" t="str">
        <f t="shared" ref="B1643:B1644" si="845">CHOOSE(2, "1395000000547", "Avg. Case size pro-rated MDRT agents (&gt;100%)")</f>
        <v>Avg. Case size pro-rated MDRT agents (&gt;100%)</v>
      </c>
      <c r="C1643" s="4" t="str">
        <f>CHOOSE(2, "5461730030", "Jun 26")</f>
        <v>Jun 26</v>
      </c>
      <c r="D1643" s="14">
        <v>3470.4605184227539</v>
      </c>
    </row>
    <row r="1644" spans="1:4" x14ac:dyDescent="0.35">
      <c r="A1644" s="8" t="str">
        <f t="shared" si="813"/>
        <v>Japan</v>
      </c>
      <c r="B1644" s="6" t="str">
        <f t="shared" si="845"/>
        <v>Avg. Case size pro-rated MDRT agents (&gt;100%)</v>
      </c>
      <c r="C1644" s="4" t="str">
        <f>CHOOSE(2, "5462030031", "Jul 26")</f>
        <v>Jul 26</v>
      </c>
      <c r="D1644" s="14">
        <v>2941.0273646209384</v>
      </c>
    </row>
    <row r="1645" spans="1:4" x14ac:dyDescent="0.35">
      <c r="A1645" s="8" t="str">
        <f t="shared" ref="A1645:A1678" si="846">CHOOSE(2, "204000000002", "Japan")</f>
        <v>Japan</v>
      </c>
      <c r="B1645" s="3" t="str">
        <f t="shared" ref="B1645:B1646" si="847">CHOOSE(2, "1395000000546", "Avg. Case size pro-rated MDRT agents (70-99%)")</f>
        <v>Avg. Case size pro-rated MDRT agents (70-99%)</v>
      </c>
      <c r="C1645" s="4" t="str">
        <f>CHOOSE(2, "5461730030", "Jun 26")</f>
        <v>Jun 26</v>
      </c>
      <c r="D1645" s="14">
        <v>2296.4813667781495</v>
      </c>
    </row>
    <row r="1646" spans="1:4" x14ac:dyDescent="0.35">
      <c r="A1646" s="8" t="str">
        <f t="shared" si="846"/>
        <v>Japan</v>
      </c>
      <c r="B1646" s="6" t="str">
        <f t="shared" si="847"/>
        <v>Avg. Case size pro-rated MDRT agents (70-99%)</v>
      </c>
      <c r="C1646" s="4" t="str">
        <f>CHOOSE(2, "5462030031", "Jul 26")</f>
        <v>Jul 26</v>
      </c>
      <c r="D1646" s="14">
        <v>2245.39361745828</v>
      </c>
    </row>
    <row r="1647" spans="1:4" x14ac:dyDescent="0.35">
      <c r="A1647" s="8" t="str">
        <f t="shared" si="846"/>
        <v>Japan</v>
      </c>
      <c r="B1647" s="3" t="str">
        <f t="shared" ref="B1647:B1648" si="848">CHOOSE(2, "1395000000545", "Avg. Case size pro-rated MDRT agents (50-69%)")</f>
        <v>Avg. Case size pro-rated MDRT agents (50-69%)</v>
      </c>
      <c r="C1647" s="4" t="str">
        <f>CHOOSE(2, "5461730030", "Jun 26")</f>
        <v>Jun 26</v>
      </c>
      <c r="D1647" s="14">
        <v>2150.3136383838382</v>
      </c>
    </row>
    <row r="1648" spans="1:4" x14ac:dyDescent="0.35">
      <c r="A1648" s="8" t="str">
        <f t="shared" si="846"/>
        <v>Japan</v>
      </c>
      <c r="B1648" s="6" t="str">
        <f t="shared" si="848"/>
        <v>Avg. Case size pro-rated MDRT agents (50-69%)</v>
      </c>
      <c r="C1648" s="4" t="str">
        <f>CHOOSE(2, "5462030031", "Jul 26")</f>
        <v>Jul 26</v>
      </c>
      <c r="D1648" s="14">
        <v>1895.6131173594133</v>
      </c>
    </row>
    <row r="1649" spans="1:4" x14ac:dyDescent="0.35">
      <c r="A1649" s="8" t="str">
        <f t="shared" si="846"/>
        <v>Japan</v>
      </c>
      <c r="B1649" s="3" t="str">
        <f t="shared" ref="B1649:B1650" si="849">CHOOSE(2, "1395000000544", "% of 1-Month Active Agents UM")</f>
        <v>% of 1-Month Active Agents UM</v>
      </c>
      <c r="C1649" s="4" t="str">
        <f>CHOOSE(2, "5461730030", "Jun 26")</f>
        <v>Jun 26</v>
      </c>
      <c r="D1649" s="14">
        <v>0.92783505154639179</v>
      </c>
    </row>
    <row r="1650" spans="1:4" x14ac:dyDescent="0.35">
      <c r="A1650" s="8" t="str">
        <f t="shared" si="846"/>
        <v>Japan</v>
      </c>
      <c r="B1650" s="6" t="str">
        <f t="shared" si="849"/>
        <v>% of 1-Month Active Agents UM</v>
      </c>
      <c r="C1650" s="4" t="str">
        <f>CHOOSE(2, "5462030031", "Jul 26")</f>
        <v>Jul 26</v>
      </c>
      <c r="D1650" s="14">
        <v>0.82828282828282829</v>
      </c>
    </row>
    <row r="1651" spans="1:4" x14ac:dyDescent="0.35">
      <c r="A1651" s="8" t="str">
        <f t="shared" si="846"/>
        <v>Japan</v>
      </c>
      <c r="B1651" s="3" t="str">
        <f t="shared" ref="B1651:B1652" si="850">CHOOSE(2, "1395000000543", "% of 1-Month Active Agents Leaders above UM")</f>
        <v>% of 1-Month Active Agents Leaders above UM</v>
      </c>
      <c r="C1651" s="4" t="str">
        <f>CHOOSE(2, "5461730030", "Jun 26")</f>
        <v>Jun 26</v>
      </c>
      <c r="D1651" s="14">
        <v>0.6875</v>
      </c>
    </row>
    <row r="1652" spans="1:4" x14ac:dyDescent="0.35">
      <c r="A1652" s="8" t="str">
        <f t="shared" si="846"/>
        <v>Japan</v>
      </c>
      <c r="B1652" s="6" t="str">
        <f t="shared" si="850"/>
        <v>% of 1-Month Active Agents Leaders above UM</v>
      </c>
      <c r="C1652" s="4" t="str">
        <f>CHOOSE(2, "5462030031", "Jul 26")</f>
        <v>Jul 26</v>
      </c>
      <c r="D1652" s="14">
        <v>0.6875</v>
      </c>
    </row>
    <row r="1653" spans="1:4" x14ac:dyDescent="0.35">
      <c r="A1653" s="8" t="str">
        <f t="shared" si="846"/>
        <v>Japan</v>
      </c>
      <c r="B1653" s="3" t="str">
        <f t="shared" ref="B1653:B1654" si="851">CHOOSE(2, "1395000000542", "% of 1-Month Active Agents Top-tier agents")</f>
        <v>% of 1-Month Active Agents Top-tier agents</v>
      </c>
      <c r="C1653" s="4" t="str">
        <f>CHOOSE(2, "5461730030", "Jun 26")</f>
        <v>Jun 26</v>
      </c>
      <c r="D1653" s="14">
        <v>0.99009900990099009</v>
      </c>
    </row>
    <row r="1654" spans="1:4" x14ac:dyDescent="0.35">
      <c r="A1654" s="8" t="str">
        <f t="shared" si="846"/>
        <v>Japan</v>
      </c>
      <c r="B1654" s="6" t="str">
        <f t="shared" si="851"/>
        <v>% of 1-Month Active Agents Top-tier agents</v>
      </c>
      <c r="C1654" s="4" t="str">
        <f>CHOOSE(2, "5462030031", "Jul 26")</f>
        <v>Jul 26</v>
      </c>
      <c r="D1654" s="14">
        <v>0.96455696202531649</v>
      </c>
    </row>
    <row r="1655" spans="1:4" x14ac:dyDescent="0.35">
      <c r="A1655" s="8" t="str">
        <f t="shared" si="846"/>
        <v>Japan</v>
      </c>
      <c r="B1655" s="3" t="str">
        <f t="shared" ref="B1655:B1656" si="852">CHOOSE(2, "1395000000541", "% of 1-Month Active Agents FA or equivalent")</f>
        <v>% of 1-Month Active Agents FA or equivalent</v>
      </c>
      <c r="C1655" s="4" t="str">
        <f>CHOOSE(2, "5461730030", "Jun 26")</f>
        <v>Jun 26</v>
      </c>
      <c r="D1655" s="14">
        <v>0.85932388222464562</v>
      </c>
    </row>
    <row r="1656" spans="1:4" x14ac:dyDescent="0.35">
      <c r="A1656" s="8" t="str">
        <f t="shared" si="846"/>
        <v>Japan</v>
      </c>
      <c r="B1656" s="6" t="str">
        <f t="shared" si="852"/>
        <v>% of 1-Month Active Agents FA or equivalent</v>
      </c>
      <c r="C1656" s="4" t="str">
        <f>CHOOSE(2, "5462030031", "Jul 26")</f>
        <v>Jul 26</v>
      </c>
      <c r="D1656" s="14">
        <v>0.84182015167930657</v>
      </c>
    </row>
    <row r="1657" spans="1:4" x14ac:dyDescent="0.35">
      <c r="A1657" s="8" t="str">
        <f t="shared" si="846"/>
        <v>Japan</v>
      </c>
      <c r="B1657" s="3" t="str">
        <f t="shared" ref="B1657:B1658" si="853">CHOOSE(2, "1395000000540", "% of 1-Month Active Agents pro-rated MDRT agents (&gt;100%)")</f>
        <v>% of 1-Month Active Agents pro-rated MDRT agents (&gt;100%)</v>
      </c>
      <c r="C1657" s="4" t="str">
        <f>CHOOSE(2, "5461730030", "Jun 26")</f>
        <v>Jun 26</v>
      </c>
      <c r="D1657" s="14">
        <v>0.98657718120805371</v>
      </c>
    </row>
    <row r="1658" spans="1:4" x14ac:dyDescent="0.35">
      <c r="A1658" s="8" t="str">
        <f t="shared" si="846"/>
        <v>Japan</v>
      </c>
      <c r="B1658" s="6" t="str">
        <f t="shared" si="853"/>
        <v>% of 1-Month Active Agents pro-rated MDRT agents (&gt;100%)</v>
      </c>
      <c r="C1658" s="4" t="str">
        <f>CHOOSE(2, "5462030031", "Jul 26")</f>
        <v>Jul 26</v>
      </c>
      <c r="D1658" s="14">
        <v>0.97887323943661975</v>
      </c>
    </row>
    <row r="1659" spans="1:4" x14ac:dyDescent="0.35">
      <c r="A1659" s="8" t="str">
        <f t="shared" si="846"/>
        <v>Japan</v>
      </c>
      <c r="B1659" s="3" t="str">
        <f t="shared" ref="B1659:B1660" si="854">CHOOSE(2, "1395000000539", "% of 1-Month Active Agents pro-rated MDRT agents (70-99%)")</f>
        <v>% of 1-Month Active Agents pro-rated MDRT agents (70-99%)</v>
      </c>
      <c r="C1659" s="4" t="str">
        <f>CHOOSE(2, "5461730030", "Jun 26")</f>
        <v>Jun 26</v>
      </c>
      <c r="D1659" s="14">
        <v>0.9910714285714286</v>
      </c>
    </row>
    <row r="1660" spans="1:4" x14ac:dyDescent="0.35">
      <c r="A1660" s="8" t="str">
        <f t="shared" si="846"/>
        <v>Japan</v>
      </c>
      <c r="B1660" s="6" t="str">
        <f t="shared" si="854"/>
        <v>% of 1-Month Active Agents pro-rated MDRT agents (70-99%)</v>
      </c>
      <c r="C1660" s="4" t="str">
        <f>CHOOSE(2, "5462030031", "Jul 26")</f>
        <v>Jul 26</v>
      </c>
      <c r="D1660" s="14">
        <v>0.96491228070175439</v>
      </c>
    </row>
    <row r="1661" spans="1:4" x14ac:dyDescent="0.35">
      <c r="A1661" s="8" t="str">
        <f t="shared" si="846"/>
        <v>Japan</v>
      </c>
      <c r="B1661" s="3" t="str">
        <f t="shared" ref="B1661:B1662" si="855">CHOOSE(2, "1395000000538", "% of 1-Month Active Agents pro-rated MDRT agents (50-69%)")</f>
        <v>% of 1-Month Active Agents pro-rated MDRT agents (50-69%)</v>
      </c>
      <c r="C1661" s="4" t="str">
        <f>CHOOSE(2, "5461730030", "Jun 26")</f>
        <v>Jun 26</v>
      </c>
      <c r="D1661" s="14">
        <v>0.99300699300699302</v>
      </c>
    </row>
    <row r="1662" spans="1:4" x14ac:dyDescent="0.35">
      <c r="A1662" s="8" t="str">
        <f t="shared" si="846"/>
        <v>Japan</v>
      </c>
      <c r="B1662" s="6" t="str">
        <f t="shared" si="855"/>
        <v>% of 1-Month Active Agents pro-rated MDRT agents (50-69%)</v>
      </c>
      <c r="C1662" s="4" t="str">
        <f>CHOOSE(2, "5462030031", "Jul 26")</f>
        <v>Jul 26</v>
      </c>
      <c r="D1662" s="14">
        <v>0.94964028776978415</v>
      </c>
    </row>
    <row r="1663" spans="1:4" x14ac:dyDescent="0.35">
      <c r="A1663" s="8" t="str">
        <f t="shared" si="846"/>
        <v>Japan</v>
      </c>
      <c r="B1663" s="3" t="str">
        <f t="shared" ref="B1663:B1664" si="856">CHOOSE(2, "1395000000537", "Avg. Case count per 1-Month Active Agent UM")</f>
        <v>Avg. Case count per 1-Month Active Agent UM</v>
      </c>
      <c r="C1663" s="4" t="str">
        <f>CHOOSE(2, "5461730030", "Jun 26")</f>
        <v>Jun 26</v>
      </c>
      <c r="D1663" s="14">
        <v>3.7555555555555555</v>
      </c>
    </row>
    <row r="1664" spans="1:4" x14ac:dyDescent="0.35">
      <c r="A1664" s="8" t="str">
        <f t="shared" si="846"/>
        <v>Japan</v>
      </c>
      <c r="B1664" s="6" t="str">
        <f t="shared" si="856"/>
        <v>Avg. Case count per 1-Month Active Agent UM</v>
      </c>
      <c r="C1664" s="4" t="str">
        <f>CHOOSE(2, "5462030031", "Jul 26")</f>
        <v>Jul 26</v>
      </c>
      <c r="D1664" s="14">
        <v>3.4939024390243905</v>
      </c>
    </row>
    <row r="1665" spans="1:4" x14ac:dyDescent="0.35">
      <c r="A1665" s="8" t="str">
        <f t="shared" si="846"/>
        <v>Japan</v>
      </c>
      <c r="B1665" s="3" t="str">
        <f t="shared" ref="B1665:B1666" si="857">CHOOSE(2, "1395000000536", "Avg. Case count per 1-Month Active Agent Leaders above UM")</f>
        <v>Avg. Case count per 1-Month Active Agent Leaders above UM</v>
      </c>
      <c r="C1665" s="4" t="str">
        <f>CHOOSE(2, "5461730030", "Jun 26")</f>
        <v>Jun 26</v>
      </c>
      <c r="D1665" s="14">
        <v>4.5</v>
      </c>
    </row>
    <row r="1666" spans="1:4" x14ac:dyDescent="0.35">
      <c r="A1666" s="8" t="str">
        <f t="shared" si="846"/>
        <v>Japan</v>
      </c>
      <c r="B1666" s="6" t="str">
        <f t="shared" si="857"/>
        <v>Avg. Case count per 1-Month Active Agent Leaders above UM</v>
      </c>
      <c r="C1666" s="4" t="str">
        <f>CHOOSE(2, "5462030031", "Jul 26")</f>
        <v>Jul 26</v>
      </c>
      <c r="D1666" s="14">
        <v>3.7272727272727271</v>
      </c>
    </row>
    <row r="1667" spans="1:4" x14ac:dyDescent="0.35">
      <c r="A1667" s="8" t="str">
        <f t="shared" si="846"/>
        <v>Japan</v>
      </c>
      <c r="B1667" s="3" t="str">
        <f t="shared" ref="B1667:B1668" si="858">CHOOSE(2, "1395000000535", "Avg. Case count per 1-Month Active Agent Top-tier agents")</f>
        <v>Avg. Case count per 1-Month Active Agent Top-tier agents</v>
      </c>
      <c r="C1667" s="4" t="str">
        <f>CHOOSE(2, "5461730030", "Jun 26")</f>
        <v>Jun 26</v>
      </c>
      <c r="D1667" s="14">
        <v>4.2925000000000004</v>
      </c>
    </row>
    <row r="1668" spans="1:4" x14ac:dyDescent="0.35">
      <c r="A1668" s="8" t="str">
        <f t="shared" si="846"/>
        <v>Japan</v>
      </c>
      <c r="B1668" s="6" t="str">
        <f t="shared" si="858"/>
        <v>Avg. Case count per 1-Month Active Agent Top-tier agents</v>
      </c>
      <c r="C1668" s="4" t="str">
        <f>CHOOSE(2, "5462030031", "Jul 26")</f>
        <v>Jul 26</v>
      </c>
      <c r="D1668" s="14">
        <v>3.9133858267716537</v>
      </c>
    </row>
    <row r="1669" spans="1:4" x14ac:dyDescent="0.35">
      <c r="A1669" s="8" t="str">
        <f t="shared" si="846"/>
        <v>Japan</v>
      </c>
      <c r="B1669" s="3" t="str">
        <f t="shared" ref="B1669:B1670" si="859">CHOOSE(2, "1395000000534", "Avg. Case count per 1-Month Manulife Pro Qualifiers - Total")</f>
        <v>Avg. Case count per 1-Month Manulife Pro Qualifiers - Total</v>
      </c>
      <c r="C1669" s="4" t="str">
        <f>CHOOSE(2, "5461730030", "Jun 26")</f>
        <v>Jun 26</v>
      </c>
      <c r="D1669" s="14">
        <v>4.5999999999999996</v>
      </c>
    </row>
    <row r="1670" spans="1:4" x14ac:dyDescent="0.35">
      <c r="A1670" s="8" t="str">
        <f t="shared" si="846"/>
        <v>Japan</v>
      </c>
      <c r="B1670" s="6" t="str">
        <f t="shared" si="859"/>
        <v>Avg. Case count per 1-Month Manulife Pro Qualifiers - Total</v>
      </c>
      <c r="C1670" s="4" t="str">
        <f>CHOOSE(2, "5462030031", "Jul 26")</f>
        <v>Jul 26</v>
      </c>
      <c r="D1670" s="14">
        <v>4.6721311475409832</v>
      </c>
    </row>
    <row r="1671" spans="1:4" x14ac:dyDescent="0.35">
      <c r="A1671" s="8" t="str">
        <f t="shared" si="846"/>
        <v>Japan</v>
      </c>
      <c r="B1671" s="3" t="str">
        <f t="shared" ref="B1671:B1672" si="860">CHOOSE(2, "1395000000533", "Avg. Case count per 1-Month Active Agent FA or equivalent")</f>
        <v>Avg. Case count per 1-Month Active Agent FA or equivalent</v>
      </c>
      <c r="C1671" s="4" t="str">
        <f>CHOOSE(2, "5461730030", "Jun 26")</f>
        <v>Jun 26</v>
      </c>
      <c r="D1671" s="14">
        <v>3.3045685279187818</v>
      </c>
    </row>
    <row r="1672" spans="1:4" x14ac:dyDescent="0.35">
      <c r="A1672" s="8" t="str">
        <f t="shared" si="846"/>
        <v>Japan</v>
      </c>
      <c r="B1672" s="6" t="str">
        <f t="shared" si="860"/>
        <v>Avg. Case count per 1-Month Active Agent FA or equivalent</v>
      </c>
      <c r="C1672" s="4" t="str">
        <f>CHOOSE(2, "5462030031", "Jul 26")</f>
        <v>Jul 26</v>
      </c>
      <c r="D1672" s="14">
        <v>3.0907335907335907</v>
      </c>
    </row>
    <row r="1673" spans="1:4" x14ac:dyDescent="0.35">
      <c r="A1673" s="8" t="str">
        <f t="shared" si="846"/>
        <v>Japan</v>
      </c>
      <c r="B1673" s="3" t="str">
        <f t="shared" ref="B1673:B1674" si="861">CHOOSE(2, "1395000000532", "Avg. Case count per 1-Month pro-rated MDRT agents (&gt;100%)")</f>
        <v>Avg. Case count per 1-Month pro-rated MDRT agents (&gt;100%)</v>
      </c>
      <c r="C1673" s="4" t="str">
        <f>CHOOSE(2, "5461730030", "Jun 26")</f>
        <v>Jun 26</v>
      </c>
      <c r="D1673" s="14">
        <v>5.2619047619047619</v>
      </c>
    </row>
    <row r="1674" spans="1:4" x14ac:dyDescent="0.35">
      <c r="A1674" s="8" t="str">
        <f t="shared" si="846"/>
        <v>Japan</v>
      </c>
      <c r="B1674" s="6" t="str">
        <f t="shared" si="861"/>
        <v>Avg. Case count per 1-Month pro-rated MDRT agents (&gt;100%)</v>
      </c>
      <c r="C1674" s="4" t="str">
        <f>CHOOSE(2, "5462030031", "Jul 26")</f>
        <v>Jul 26</v>
      </c>
      <c r="D1674" s="14">
        <v>4.9820143884892083</v>
      </c>
    </row>
    <row r="1675" spans="1:4" x14ac:dyDescent="0.35">
      <c r="A1675" s="8" t="str">
        <f t="shared" si="846"/>
        <v>Japan</v>
      </c>
      <c r="B1675" s="3" t="str">
        <f t="shared" ref="B1675:B1676" si="862">CHOOSE(2, "1395000000531", "Avg. Case count per 1-Month pro-rated MDRT agents (70-99%)")</f>
        <v>Avg. Case count per 1-Month pro-rated MDRT agents (70-99%)</v>
      </c>
      <c r="C1675" s="4" t="str">
        <f>CHOOSE(2, "5461730030", "Jun 26")</f>
        <v>Jun 26</v>
      </c>
      <c r="D1675" s="14">
        <v>4.0405405405405403</v>
      </c>
    </row>
    <row r="1676" spans="1:4" x14ac:dyDescent="0.35">
      <c r="A1676" s="8" t="str">
        <f t="shared" si="846"/>
        <v>Japan</v>
      </c>
      <c r="B1676" s="6" t="str">
        <f t="shared" si="862"/>
        <v>Avg. Case count per 1-Month pro-rated MDRT agents (70-99%)</v>
      </c>
      <c r="C1676" s="4" t="str">
        <f>CHOOSE(2, "5462030031", "Jul 26")</f>
        <v>Jul 26</v>
      </c>
      <c r="D1676" s="14">
        <v>3.540909090909091</v>
      </c>
    </row>
    <row r="1677" spans="1:4" x14ac:dyDescent="0.35">
      <c r="A1677" s="8" t="str">
        <f t="shared" si="846"/>
        <v>Japan</v>
      </c>
      <c r="B1677" s="3" t="str">
        <f t="shared" ref="B1677:B1678" si="863">CHOOSE(2, "1395000000530", "Avg. Case count per 1-Month pro-rated MDRT agents (50-69%)")</f>
        <v>Avg. Case count per 1-Month pro-rated MDRT agents (50-69%)</v>
      </c>
      <c r="C1677" s="4" t="str">
        <f>CHOOSE(2, "5461730030", "Jun 26")</f>
        <v>Jun 26</v>
      </c>
      <c r="D1677" s="14">
        <v>3.4859154929577465</v>
      </c>
    </row>
    <row r="1678" spans="1:4" x14ac:dyDescent="0.35">
      <c r="A1678" s="9" t="str">
        <f t="shared" si="846"/>
        <v>Japan</v>
      </c>
      <c r="B1678" s="6" t="str">
        <f t="shared" si="863"/>
        <v>Avg. Case count per 1-Month pro-rated MDRT agents (50-69%)</v>
      </c>
      <c r="C1678" s="4" t="str">
        <f>CHOOSE(2, "5462030031", "Jul 26")</f>
        <v>Jul 26</v>
      </c>
      <c r="D1678" s="14">
        <v>3.0984848484848486</v>
      </c>
    </row>
    <row r="1679" spans="1:4" x14ac:dyDescent="0.35">
      <c r="A1679" s="3" t="str">
        <f t="shared" ref="A1679:A1742" si="864">CHOOSE(2, "1260000000002", "MAG")</f>
        <v>MAG</v>
      </c>
      <c r="B1679" s="3" t="str">
        <f t="shared" ref="B1679:B1680" si="865">CHOOSE(2, "1395000000741", "Submitted APE")</f>
        <v>Submitted APE</v>
      </c>
      <c r="C1679" s="4" t="str">
        <f>CHOOSE(2, "5461730030", "Jun 26")</f>
        <v>Jun 26</v>
      </c>
      <c r="D1679" s="14">
        <v>11824042.173275098</v>
      </c>
    </row>
    <row r="1680" spans="1:4" x14ac:dyDescent="0.35">
      <c r="A1680" s="5" t="str">
        <f t="shared" si="864"/>
        <v>MAG</v>
      </c>
      <c r="B1680" s="6" t="str">
        <f t="shared" si="865"/>
        <v>Submitted APE</v>
      </c>
      <c r="C1680" s="4" t="str">
        <f>CHOOSE(2, "5462030031", "Jul 26")</f>
        <v>Jul 26</v>
      </c>
      <c r="D1680" s="14">
        <v>7451126.1602145256</v>
      </c>
    </row>
    <row r="1681" spans="1:4" x14ac:dyDescent="0.35">
      <c r="A1681" s="5" t="str">
        <f t="shared" si="864"/>
        <v>MAG</v>
      </c>
      <c r="B1681" s="3" t="str">
        <f t="shared" ref="B1681:B1682" si="866">CHOOSE(2, "1395000000740", "# of 1-Month Active Agents")</f>
        <v># of 1-Month Active Agents</v>
      </c>
      <c r="C1681" s="4" t="str">
        <f>CHOOSE(2, "5461730030", "Jun 26")</f>
        <v>Jun 26</v>
      </c>
      <c r="D1681" s="14">
        <v>338</v>
      </c>
    </row>
    <row r="1682" spans="1:4" x14ac:dyDescent="0.35">
      <c r="A1682" s="5" t="str">
        <f t="shared" si="864"/>
        <v>MAG</v>
      </c>
      <c r="B1682" s="6" t="str">
        <f t="shared" si="866"/>
        <v># of 1-Month Active Agents</v>
      </c>
      <c r="C1682" s="4" t="str">
        <f>CHOOSE(2, "5462030031", "Jul 26")</f>
        <v>Jul 26</v>
      </c>
      <c r="D1682" s="14">
        <v>314</v>
      </c>
    </row>
    <row r="1683" spans="1:4" x14ac:dyDescent="0.35">
      <c r="A1683" s="5" t="str">
        <f t="shared" si="864"/>
        <v>MAG</v>
      </c>
      <c r="B1683" s="3" t="str">
        <f t="shared" ref="B1683:B1684" si="867">CHOOSE(2, "1395000000739", "# of 1-Month Active Agents in 0-1M")</f>
        <v># of 1-Month Active Agents in 0-1M</v>
      </c>
      <c r="C1683" s="4" t="str">
        <f>CHOOSE(2, "5461730030", "Jun 26")</f>
        <v>Jun 26</v>
      </c>
      <c r="D1683" s="14">
        <v>0</v>
      </c>
    </row>
    <row r="1684" spans="1:4" x14ac:dyDescent="0.35">
      <c r="A1684" s="5" t="str">
        <f t="shared" si="864"/>
        <v>MAG</v>
      </c>
      <c r="B1684" s="6" t="str">
        <f t="shared" si="867"/>
        <v># of 1-Month Active Agents in 0-1M</v>
      </c>
      <c r="C1684" s="4" t="str">
        <f>CHOOSE(2, "5462030031", "Jul 26")</f>
        <v>Jul 26</v>
      </c>
      <c r="D1684" s="14">
        <v>2</v>
      </c>
    </row>
    <row r="1685" spans="1:4" x14ac:dyDescent="0.35">
      <c r="A1685" s="5" t="str">
        <f t="shared" si="864"/>
        <v>MAG</v>
      </c>
      <c r="B1685" s="3" t="str">
        <f t="shared" ref="B1685:B1686" si="868">CHOOSE(2, "1395000000738", "# of 1-Month Active Agents in 2-3M")</f>
        <v># of 1-Month Active Agents in 2-3M</v>
      </c>
      <c r="C1685" s="4" t="str">
        <f>CHOOSE(2, "5461730030", "Jun 26")</f>
        <v>Jun 26</v>
      </c>
      <c r="D1685" s="14">
        <v>6</v>
      </c>
    </row>
    <row r="1686" spans="1:4" x14ac:dyDescent="0.35">
      <c r="A1686" s="5" t="str">
        <f t="shared" si="864"/>
        <v>MAG</v>
      </c>
      <c r="B1686" s="6" t="str">
        <f t="shared" si="868"/>
        <v># of 1-Month Active Agents in 2-3M</v>
      </c>
      <c r="C1686" s="4" t="str">
        <f>CHOOSE(2, "5462030031", "Jul 26")</f>
        <v>Jul 26</v>
      </c>
      <c r="D1686" s="14">
        <v>7</v>
      </c>
    </row>
    <row r="1687" spans="1:4" x14ac:dyDescent="0.35">
      <c r="A1687" s="5" t="str">
        <f t="shared" si="864"/>
        <v>MAG</v>
      </c>
      <c r="B1687" s="3" t="str">
        <f t="shared" ref="B1687:B1688" si="869">CHOOSE(2, "1395000000737", "# of 1-Month Active Agents in 4-12M")</f>
        <v># of 1-Month Active Agents in 4-12M</v>
      </c>
      <c r="C1687" s="4" t="str">
        <f>CHOOSE(2, "5461730030", "Jun 26")</f>
        <v>Jun 26</v>
      </c>
      <c r="D1687" s="14">
        <v>36</v>
      </c>
    </row>
    <row r="1688" spans="1:4" x14ac:dyDescent="0.35">
      <c r="A1688" s="5" t="str">
        <f t="shared" si="864"/>
        <v>MAG</v>
      </c>
      <c r="B1688" s="6" t="str">
        <f t="shared" si="869"/>
        <v># of 1-Month Active Agents in 4-12M</v>
      </c>
      <c r="C1688" s="4" t="str">
        <f>CHOOSE(2, "5462030031", "Jul 26")</f>
        <v>Jul 26</v>
      </c>
      <c r="D1688" s="14">
        <v>33</v>
      </c>
    </row>
    <row r="1689" spans="1:4" x14ac:dyDescent="0.35">
      <c r="A1689" s="5" t="str">
        <f t="shared" si="864"/>
        <v>MAG</v>
      </c>
      <c r="B1689" s="3" t="str">
        <f t="shared" ref="B1689:B1690" si="870">CHOOSE(2, "1395000000736", "# of 1-Month Active Agents 13+M")</f>
        <v># of 1-Month Active Agents 13+M</v>
      </c>
      <c r="C1689" s="4" t="str">
        <f>CHOOSE(2, "5461730030", "Jun 26")</f>
        <v>Jun 26</v>
      </c>
      <c r="D1689" s="14">
        <v>296</v>
      </c>
    </row>
    <row r="1690" spans="1:4" x14ac:dyDescent="0.35">
      <c r="A1690" s="5" t="str">
        <f t="shared" si="864"/>
        <v>MAG</v>
      </c>
      <c r="B1690" s="6" t="str">
        <f t="shared" si="870"/>
        <v># of 1-Month Active Agents 13+M</v>
      </c>
      <c r="C1690" s="4" t="str">
        <f>CHOOSE(2, "5462030031", "Jul 26")</f>
        <v>Jul 26</v>
      </c>
      <c r="D1690" s="14">
        <v>272</v>
      </c>
    </row>
    <row r="1691" spans="1:4" x14ac:dyDescent="0.35">
      <c r="A1691" s="5" t="str">
        <f t="shared" si="864"/>
        <v>MAG</v>
      </c>
      <c r="B1691" s="3" t="str">
        <f t="shared" ref="B1691:B1692" si="871">CHOOSE(2, "1395000000735", "# of 1-Month Active Agents in FA or equivalent")</f>
        <v># of 1-Month Active Agents in FA or equivalent</v>
      </c>
      <c r="C1691" s="4" t="str">
        <f>CHOOSE(2, "5461730030", "Jun 26")</f>
        <v>Jun 26</v>
      </c>
      <c r="D1691" s="14">
        <v>285</v>
      </c>
    </row>
    <row r="1692" spans="1:4" x14ac:dyDescent="0.35">
      <c r="A1692" s="5" t="str">
        <f t="shared" si="864"/>
        <v>MAG</v>
      </c>
      <c r="B1692" s="6" t="str">
        <f t="shared" si="871"/>
        <v># of 1-Month Active Agents in FA or equivalent</v>
      </c>
      <c r="C1692" s="4" t="str">
        <f>CHOOSE(2, "5462030031", "Jul 26")</f>
        <v>Jul 26</v>
      </c>
      <c r="D1692" s="14">
        <v>270</v>
      </c>
    </row>
    <row r="1693" spans="1:4" x14ac:dyDescent="0.35">
      <c r="A1693" s="5" t="str">
        <f t="shared" si="864"/>
        <v>MAG</v>
      </c>
      <c r="B1693" s="3" t="str">
        <f t="shared" ref="B1693:B1694" si="872">CHOOSE(2, "1395000000734", "# of 1-Month Active Agents in UM")</f>
        <v># of 1-Month Active Agents in UM</v>
      </c>
      <c r="C1693" s="4" t="str">
        <f>CHOOSE(2, "5461730030", "Jun 26")</f>
        <v>Jun 26</v>
      </c>
      <c r="D1693" s="14">
        <v>45</v>
      </c>
    </row>
    <row r="1694" spans="1:4" x14ac:dyDescent="0.35">
      <c r="A1694" s="5" t="str">
        <f t="shared" si="864"/>
        <v>MAG</v>
      </c>
      <c r="B1694" s="6" t="str">
        <f t="shared" si="872"/>
        <v># of 1-Month Active Agents in UM</v>
      </c>
      <c r="C1694" s="4" t="str">
        <f>CHOOSE(2, "5462030031", "Jul 26")</f>
        <v>Jul 26</v>
      </c>
      <c r="D1694" s="14">
        <v>38</v>
      </c>
    </row>
    <row r="1695" spans="1:4" x14ac:dyDescent="0.35">
      <c r="A1695" s="5" t="str">
        <f t="shared" si="864"/>
        <v>MAG</v>
      </c>
      <c r="B1695" s="3" t="str">
        <f t="shared" ref="B1695:B1696" si="873">CHOOSE(2, "1395000000733", "# of 1-Month Active Agents in Leaders above UM")</f>
        <v># of 1-Month Active Agents in Leaders above UM</v>
      </c>
      <c r="C1695" s="4" t="str">
        <f>CHOOSE(2, "5461730030", "Jun 26")</f>
        <v>Jun 26</v>
      </c>
      <c r="D1695" s="14">
        <v>8</v>
      </c>
    </row>
    <row r="1696" spans="1:4" x14ac:dyDescent="0.35">
      <c r="A1696" s="5" t="str">
        <f t="shared" si="864"/>
        <v>MAG</v>
      </c>
      <c r="B1696" s="6" t="str">
        <f t="shared" si="873"/>
        <v># of 1-Month Active Agents in Leaders above UM</v>
      </c>
      <c r="C1696" s="4" t="str">
        <f>CHOOSE(2, "5462030031", "Jul 26")</f>
        <v>Jul 26</v>
      </c>
      <c r="D1696" s="14">
        <v>6</v>
      </c>
    </row>
    <row r="1697" spans="1:4" x14ac:dyDescent="0.35">
      <c r="A1697" s="5" t="str">
        <f t="shared" si="864"/>
        <v>MAG</v>
      </c>
      <c r="B1697" s="3" t="str">
        <f t="shared" ref="B1697:B1698" si="874">CHOOSE(2, "1395000000732", "# of 1-Month Active Top-tier Agents")</f>
        <v># of 1-Month Active Top-tier Agents</v>
      </c>
      <c r="C1697" s="4" t="str">
        <f>CHOOSE(2, "5461730030", "Jun 26")</f>
        <v>Jun 26</v>
      </c>
      <c r="D1697" s="14">
        <v>224</v>
      </c>
    </row>
    <row r="1698" spans="1:4" x14ac:dyDescent="0.35">
      <c r="A1698" s="5" t="str">
        <f t="shared" si="864"/>
        <v>MAG</v>
      </c>
      <c r="B1698" s="6" t="str">
        <f t="shared" si="874"/>
        <v># of 1-Month Active Top-tier Agents</v>
      </c>
      <c r="C1698" s="4" t="str">
        <f>CHOOSE(2, "5462030031", "Jul 26")</f>
        <v>Jul 26</v>
      </c>
      <c r="D1698" s="14">
        <v>206</v>
      </c>
    </row>
    <row r="1699" spans="1:4" x14ac:dyDescent="0.35">
      <c r="A1699" s="5" t="str">
        <f t="shared" si="864"/>
        <v>MAG</v>
      </c>
      <c r="B1699" s="3" t="str">
        <f t="shared" ref="B1699:B1700" si="875">CHOOSE(2, "1395000000731", "# of 1-Month Active Agents in pro-rated MDRT agents (&gt;100%)")</f>
        <v># of 1-Month Active Agents in pro-rated MDRT agents (&gt;100%)</v>
      </c>
      <c r="C1699" s="4" t="str">
        <f>CHOOSE(2, "5461730030", "Jun 26")</f>
        <v>Jun 26</v>
      </c>
      <c r="D1699" s="14">
        <v>171</v>
      </c>
    </row>
    <row r="1700" spans="1:4" x14ac:dyDescent="0.35">
      <c r="A1700" s="5" t="str">
        <f t="shared" si="864"/>
        <v>MAG</v>
      </c>
      <c r="B1700" s="6" t="str">
        <f t="shared" si="875"/>
        <v># of 1-Month Active Agents in pro-rated MDRT agents (&gt;100%)</v>
      </c>
      <c r="C1700" s="4" t="str">
        <f>CHOOSE(2, "5462030031", "Jul 26")</f>
        <v>Jul 26</v>
      </c>
      <c r="D1700" s="14">
        <v>151</v>
      </c>
    </row>
    <row r="1701" spans="1:4" x14ac:dyDescent="0.35">
      <c r="A1701" s="5" t="str">
        <f t="shared" si="864"/>
        <v>MAG</v>
      </c>
      <c r="B1701" s="3" t="str">
        <f t="shared" ref="B1701:B1702" si="876">CHOOSE(2, "1395000000730", "# of 1-Month Active Agents in pro-rated MDRT agents (70-99%)")</f>
        <v># of 1-Month Active Agents in pro-rated MDRT agents (70-99%)</v>
      </c>
      <c r="C1701" s="4" t="str">
        <f>CHOOSE(2, "5461730030", "Jun 26")</f>
        <v>Jun 26</v>
      </c>
      <c r="D1701" s="14">
        <v>32</v>
      </c>
    </row>
    <row r="1702" spans="1:4" x14ac:dyDescent="0.35">
      <c r="A1702" s="5" t="str">
        <f t="shared" si="864"/>
        <v>MAG</v>
      </c>
      <c r="B1702" s="6" t="str">
        <f t="shared" si="876"/>
        <v># of 1-Month Active Agents in pro-rated MDRT agents (70-99%)</v>
      </c>
      <c r="C1702" s="4" t="str">
        <f>CHOOSE(2, "5462030031", "Jul 26")</f>
        <v>Jul 26</v>
      </c>
      <c r="D1702" s="14">
        <v>32</v>
      </c>
    </row>
    <row r="1703" spans="1:4" x14ac:dyDescent="0.35">
      <c r="A1703" s="5" t="str">
        <f t="shared" si="864"/>
        <v>MAG</v>
      </c>
      <c r="B1703" s="3" t="str">
        <f t="shared" ref="B1703:B1704" si="877">CHOOSE(2, "1395000000729", "# of 1-Month Active Agents in pro-rated MDRT agents (50-69%)")</f>
        <v># of 1-Month Active Agents in pro-rated MDRT agents (50-69%)</v>
      </c>
      <c r="C1703" s="4" t="str">
        <f>CHOOSE(2, "5461730030", "Jun 26")</f>
        <v>Jun 26</v>
      </c>
      <c r="D1703" s="14">
        <v>21</v>
      </c>
    </row>
    <row r="1704" spans="1:4" x14ac:dyDescent="0.35">
      <c r="A1704" s="5" t="str">
        <f t="shared" si="864"/>
        <v>MAG</v>
      </c>
      <c r="B1704" s="6" t="str">
        <f t="shared" si="877"/>
        <v># of 1-Month Active Agents in pro-rated MDRT agents (50-69%)</v>
      </c>
      <c r="C1704" s="4" t="str">
        <f>CHOOSE(2, "5462030031", "Jul 26")</f>
        <v>Jul 26</v>
      </c>
      <c r="D1704" s="14">
        <v>23</v>
      </c>
    </row>
    <row r="1705" spans="1:4" x14ac:dyDescent="0.35">
      <c r="A1705" s="5" t="str">
        <f t="shared" si="864"/>
        <v>MAG</v>
      </c>
      <c r="B1705" s="3" t="str">
        <f t="shared" ref="B1705:B1706" si="878">CHOOSE(2, "1395000000728", "# of 1-Month Active Agents in Manulife Pro Qualifiers -Total")</f>
        <v># of 1-Month Active Agents in Manulife Pro Qualifiers -Total</v>
      </c>
      <c r="C1705" s="4" t="str">
        <f>CHOOSE(2, "5461730030", "Jun 26")</f>
        <v>Jun 26</v>
      </c>
      <c r="D1705" s="14">
        <v>0</v>
      </c>
    </row>
    <row r="1706" spans="1:4" x14ac:dyDescent="0.35">
      <c r="A1706" s="5" t="str">
        <f t="shared" si="864"/>
        <v>MAG</v>
      </c>
      <c r="B1706" s="6" t="str">
        <f t="shared" si="878"/>
        <v># of 1-Month Active Agents in Manulife Pro Qualifiers -Total</v>
      </c>
      <c r="C1706" s="4" t="str">
        <f>CHOOSE(2, "5462030031", "Jul 26")</f>
        <v>Jul 26</v>
      </c>
      <c r="D1706" s="14">
        <v>0</v>
      </c>
    </row>
    <row r="1707" spans="1:4" x14ac:dyDescent="0.35">
      <c r="A1707" s="5" t="str">
        <f t="shared" si="864"/>
        <v>MAG</v>
      </c>
      <c r="B1707" s="3" t="str">
        <f t="shared" ref="B1707:B1708" si="879">CHOOSE(2, "1395000000727", "# of 3-Month Active Agents")</f>
        <v># of 3-Month Active Agents</v>
      </c>
      <c r="C1707" s="4" t="str">
        <f>CHOOSE(2, "5461730030", "Jun 26")</f>
        <v>Jun 26</v>
      </c>
      <c r="D1707" s="14">
        <v>448</v>
      </c>
    </row>
    <row r="1708" spans="1:4" x14ac:dyDescent="0.35">
      <c r="A1708" s="5" t="str">
        <f t="shared" si="864"/>
        <v>MAG</v>
      </c>
      <c r="B1708" s="6" t="str">
        <f t="shared" si="879"/>
        <v># of 3-Month Active Agents</v>
      </c>
      <c r="C1708" s="4" t="str">
        <f>CHOOSE(2, "5462030031", "Jul 26")</f>
        <v>Jul 26</v>
      </c>
      <c r="D1708" s="14">
        <v>454</v>
      </c>
    </row>
    <row r="1709" spans="1:4" x14ac:dyDescent="0.35">
      <c r="A1709" s="5" t="str">
        <f t="shared" si="864"/>
        <v>MAG</v>
      </c>
      <c r="B1709" s="3" t="str">
        <f t="shared" ref="B1709:B1710" si="880">CHOOSE(2, "1395000000726", "# of 3-Month Active Agents in 0-1M")</f>
        <v># of 3-Month Active Agents in 0-1M</v>
      </c>
      <c r="C1709" s="4" t="str">
        <f>CHOOSE(2, "5461730030", "Jun 26")</f>
        <v>Jun 26</v>
      </c>
      <c r="D1709" s="14">
        <v>0</v>
      </c>
    </row>
    <row r="1710" spans="1:4" x14ac:dyDescent="0.35">
      <c r="A1710" s="5" t="str">
        <f t="shared" si="864"/>
        <v>MAG</v>
      </c>
      <c r="B1710" s="6" t="str">
        <f t="shared" si="880"/>
        <v># of 3-Month Active Agents in 0-1M</v>
      </c>
      <c r="C1710" s="4" t="str">
        <f>CHOOSE(2, "5462030031", "Jul 26")</f>
        <v>Jul 26</v>
      </c>
      <c r="D1710" s="14">
        <v>2</v>
      </c>
    </row>
    <row r="1711" spans="1:4" x14ac:dyDescent="0.35">
      <c r="A1711" s="5" t="str">
        <f t="shared" si="864"/>
        <v>MAG</v>
      </c>
      <c r="B1711" s="3" t="str">
        <f t="shared" ref="B1711:B1712" si="881">CHOOSE(2, "1395000000725", "# of 3-Month Active Agents in 2-3M")</f>
        <v># of 3-Month Active Agents in 2-3M</v>
      </c>
      <c r="C1711" s="4" t="str">
        <f>CHOOSE(2, "5461730030", "Jun 26")</f>
        <v>Jun 26</v>
      </c>
      <c r="D1711" s="14">
        <v>7</v>
      </c>
    </row>
    <row r="1712" spans="1:4" x14ac:dyDescent="0.35">
      <c r="A1712" s="5" t="str">
        <f t="shared" si="864"/>
        <v>MAG</v>
      </c>
      <c r="B1712" s="6" t="str">
        <f t="shared" si="881"/>
        <v># of 3-Month Active Agents in 2-3M</v>
      </c>
      <c r="C1712" s="4" t="str">
        <f>CHOOSE(2, "5462030031", "Jul 26")</f>
        <v>Jul 26</v>
      </c>
      <c r="D1712" s="14">
        <v>8</v>
      </c>
    </row>
    <row r="1713" spans="1:4" x14ac:dyDescent="0.35">
      <c r="A1713" s="5" t="str">
        <f t="shared" si="864"/>
        <v>MAG</v>
      </c>
      <c r="B1713" s="3" t="str">
        <f t="shared" ref="B1713:B1714" si="882">CHOOSE(2, "1395000000724", "# of 3-Month Active Agents in 4-12M")</f>
        <v># of 3-Month Active Agents in 4-12M</v>
      </c>
      <c r="C1713" s="4" t="str">
        <f>CHOOSE(2, "5461730030", "Jun 26")</f>
        <v>Jun 26</v>
      </c>
      <c r="D1713" s="14">
        <v>48</v>
      </c>
    </row>
    <row r="1714" spans="1:4" x14ac:dyDescent="0.35">
      <c r="A1714" s="5" t="str">
        <f t="shared" si="864"/>
        <v>MAG</v>
      </c>
      <c r="B1714" s="6" t="str">
        <f t="shared" si="882"/>
        <v># of 3-Month Active Agents in 4-12M</v>
      </c>
      <c r="C1714" s="4" t="str">
        <f>CHOOSE(2, "5462030031", "Jul 26")</f>
        <v>Jul 26</v>
      </c>
      <c r="D1714" s="14">
        <v>48</v>
      </c>
    </row>
    <row r="1715" spans="1:4" x14ac:dyDescent="0.35">
      <c r="A1715" s="5" t="str">
        <f t="shared" si="864"/>
        <v>MAG</v>
      </c>
      <c r="B1715" s="3" t="str">
        <f t="shared" ref="B1715:B1716" si="883">CHOOSE(2, "1395000000723", "# of 3-Month Active Agents 13+M")</f>
        <v># of 3-Month Active Agents 13+M</v>
      </c>
      <c r="C1715" s="4" t="str">
        <f>CHOOSE(2, "5461730030", "Jun 26")</f>
        <v>Jun 26</v>
      </c>
      <c r="D1715" s="14">
        <v>393</v>
      </c>
    </row>
    <row r="1716" spans="1:4" x14ac:dyDescent="0.35">
      <c r="A1716" s="5" t="str">
        <f t="shared" si="864"/>
        <v>MAG</v>
      </c>
      <c r="B1716" s="6" t="str">
        <f t="shared" si="883"/>
        <v># of 3-Month Active Agents 13+M</v>
      </c>
      <c r="C1716" s="4" t="str">
        <f>CHOOSE(2, "5462030031", "Jul 26")</f>
        <v>Jul 26</v>
      </c>
      <c r="D1716" s="14">
        <v>396</v>
      </c>
    </row>
    <row r="1717" spans="1:4" x14ac:dyDescent="0.35">
      <c r="A1717" s="5" t="str">
        <f t="shared" si="864"/>
        <v>MAG</v>
      </c>
      <c r="B1717" s="3" t="str">
        <f t="shared" ref="B1717:B1718" si="884">CHOOSE(2, "1395000000722", "# of 3-Month Active Agents in UM")</f>
        <v># of 3-Month Active Agents in UM</v>
      </c>
      <c r="C1717" s="4" t="str">
        <f>CHOOSE(2, "5461730030", "Jun 26")</f>
        <v>Jun 26</v>
      </c>
      <c r="D1717" s="2" t="s">
        <v>5</v>
      </c>
    </row>
    <row r="1718" spans="1:4" x14ac:dyDescent="0.35">
      <c r="A1718" s="5" t="str">
        <f t="shared" si="864"/>
        <v>MAG</v>
      </c>
      <c r="B1718" s="6" t="str">
        <f t="shared" si="884"/>
        <v># of 3-Month Active Agents in UM</v>
      </c>
      <c r="C1718" s="4" t="str">
        <f>CHOOSE(2, "5462030031", "Jul 26")</f>
        <v>Jul 26</v>
      </c>
      <c r="D1718" s="2" t="s">
        <v>5</v>
      </c>
    </row>
    <row r="1719" spans="1:4" x14ac:dyDescent="0.35">
      <c r="A1719" s="5" t="str">
        <f t="shared" si="864"/>
        <v>MAG</v>
      </c>
      <c r="B1719" s="3" t="str">
        <f t="shared" ref="B1719:B1720" si="885">CHOOSE(2, "1395000000721", "# of 3-Month Active Agents in Leaders above UM")</f>
        <v># of 3-Month Active Agents in Leaders above UM</v>
      </c>
      <c r="C1719" s="4" t="str">
        <f>CHOOSE(2, "5461730030", "Jun 26")</f>
        <v>Jun 26</v>
      </c>
      <c r="D1719" s="2" t="s">
        <v>5</v>
      </c>
    </row>
    <row r="1720" spans="1:4" x14ac:dyDescent="0.35">
      <c r="A1720" s="5" t="str">
        <f t="shared" si="864"/>
        <v>MAG</v>
      </c>
      <c r="B1720" s="6" t="str">
        <f t="shared" si="885"/>
        <v># of 3-Month Active Agents in Leaders above UM</v>
      </c>
      <c r="C1720" s="4" t="str">
        <f>CHOOSE(2, "5462030031", "Jul 26")</f>
        <v>Jul 26</v>
      </c>
      <c r="D1720" s="2" t="s">
        <v>5</v>
      </c>
    </row>
    <row r="1721" spans="1:4" x14ac:dyDescent="0.35">
      <c r="A1721" s="5" t="str">
        <f t="shared" si="864"/>
        <v>MAG</v>
      </c>
      <c r="B1721" s="3" t="str">
        <f t="shared" ref="B1721:B1722" si="886">CHOOSE(2, "1395000000720", "# of 3-Month Active Agents in FA or equivalent")</f>
        <v># of 3-Month Active Agents in FA or equivalent</v>
      </c>
      <c r="C1721" s="4" t="str">
        <f>CHOOSE(2, "5461730030", "Jun 26")</f>
        <v>Jun 26</v>
      </c>
      <c r="D1721" s="2" t="s">
        <v>5</v>
      </c>
    </row>
    <row r="1722" spans="1:4" x14ac:dyDescent="0.35">
      <c r="A1722" s="5" t="str">
        <f t="shared" si="864"/>
        <v>MAG</v>
      </c>
      <c r="B1722" s="6" t="str">
        <f t="shared" si="886"/>
        <v># of 3-Month Active Agents in FA or equivalent</v>
      </c>
      <c r="C1722" s="4" t="str">
        <f>CHOOSE(2, "5462030031", "Jul 26")</f>
        <v>Jul 26</v>
      </c>
      <c r="D1722" s="2" t="s">
        <v>5</v>
      </c>
    </row>
    <row r="1723" spans="1:4" x14ac:dyDescent="0.35">
      <c r="A1723" s="5" t="str">
        <f t="shared" si="864"/>
        <v>MAG</v>
      </c>
      <c r="B1723" s="3" t="str">
        <f t="shared" ref="B1723:B1724" si="887">CHOOSE(2, "1395000000719", "Net Case Count - Agency")</f>
        <v>Net Case Count - Agency</v>
      </c>
      <c r="C1723" s="4" t="str">
        <f>CHOOSE(2, "5461730030", "Jun 26")</f>
        <v>Jun 26</v>
      </c>
      <c r="D1723" s="14">
        <v>1312</v>
      </c>
    </row>
    <row r="1724" spans="1:4" x14ac:dyDescent="0.35">
      <c r="A1724" s="5" t="str">
        <f t="shared" si="864"/>
        <v>MAG</v>
      </c>
      <c r="B1724" s="6" t="str">
        <f t="shared" si="887"/>
        <v>Net Case Count - Agency</v>
      </c>
      <c r="C1724" s="4" t="str">
        <f>CHOOSE(2, "5462030031", "Jul 26")</f>
        <v>Jul 26</v>
      </c>
      <c r="D1724" s="14">
        <v>1119</v>
      </c>
    </row>
    <row r="1725" spans="1:4" x14ac:dyDescent="0.35">
      <c r="A1725" s="5" t="str">
        <f t="shared" si="864"/>
        <v>MAG</v>
      </c>
      <c r="B1725" s="3" t="str">
        <f t="shared" ref="B1725:B1726" si="888">CHOOSE(2, "1395000000718", "Net Case Count - Agency in 0-1M")</f>
        <v>Net Case Count - Agency in 0-1M</v>
      </c>
      <c r="C1725" s="4" t="str">
        <f>CHOOSE(2, "5461730030", "Jun 26")</f>
        <v>Jun 26</v>
      </c>
      <c r="D1725" s="14">
        <v>0</v>
      </c>
    </row>
    <row r="1726" spans="1:4" x14ac:dyDescent="0.35">
      <c r="A1726" s="5" t="str">
        <f t="shared" si="864"/>
        <v>MAG</v>
      </c>
      <c r="B1726" s="6" t="str">
        <f t="shared" si="888"/>
        <v>Net Case Count - Agency in 0-1M</v>
      </c>
      <c r="C1726" s="4" t="str">
        <f>CHOOSE(2, "5462030031", "Jul 26")</f>
        <v>Jul 26</v>
      </c>
      <c r="D1726" s="14">
        <v>6</v>
      </c>
    </row>
    <row r="1727" spans="1:4" x14ac:dyDescent="0.35">
      <c r="A1727" s="5" t="str">
        <f t="shared" si="864"/>
        <v>MAG</v>
      </c>
      <c r="B1727" s="3" t="str">
        <f t="shared" ref="B1727:B1728" si="889">CHOOSE(2, "1395000000717", "Net Case Count - Agency in 2-3M")</f>
        <v>Net Case Count - Agency in 2-3M</v>
      </c>
      <c r="C1727" s="4" t="str">
        <f>CHOOSE(2, "5461730030", "Jun 26")</f>
        <v>Jun 26</v>
      </c>
      <c r="D1727" s="14">
        <v>29</v>
      </c>
    </row>
    <row r="1728" spans="1:4" x14ac:dyDescent="0.35">
      <c r="A1728" s="5" t="str">
        <f t="shared" si="864"/>
        <v>MAG</v>
      </c>
      <c r="B1728" s="6" t="str">
        <f t="shared" si="889"/>
        <v>Net Case Count - Agency in 2-3M</v>
      </c>
      <c r="C1728" s="4" t="str">
        <f>CHOOSE(2, "5462030031", "Jul 26")</f>
        <v>Jul 26</v>
      </c>
      <c r="D1728" s="14">
        <v>43</v>
      </c>
    </row>
    <row r="1729" spans="1:4" x14ac:dyDescent="0.35">
      <c r="A1729" s="5" t="str">
        <f t="shared" si="864"/>
        <v>MAG</v>
      </c>
      <c r="B1729" s="3" t="str">
        <f t="shared" ref="B1729:B1730" si="890">CHOOSE(2, "1395000000716", "Net Case Count - Agency in 4-12M")</f>
        <v>Net Case Count - Agency in 4-12M</v>
      </c>
      <c r="C1729" s="4" t="str">
        <f>CHOOSE(2, "5461730030", "Jun 26")</f>
        <v>Jun 26</v>
      </c>
      <c r="D1729" s="14">
        <v>91</v>
      </c>
    </row>
    <row r="1730" spans="1:4" x14ac:dyDescent="0.35">
      <c r="A1730" s="5" t="str">
        <f t="shared" si="864"/>
        <v>MAG</v>
      </c>
      <c r="B1730" s="6" t="str">
        <f t="shared" si="890"/>
        <v>Net Case Count - Agency in 4-12M</v>
      </c>
      <c r="C1730" s="4" t="str">
        <f>CHOOSE(2, "5462030031", "Jul 26")</f>
        <v>Jul 26</v>
      </c>
      <c r="D1730" s="14">
        <v>87</v>
      </c>
    </row>
    <row r="1731" spans="1:4" x14ac:dyDescent="0.35">
      <c r="A1731" s="5" t="str">
        <f t="shared" si="864"/>
        <v>MAG</v>
      </c>
      <c r="B1731" s="3" t="str">
        <f t="shared" ref="B1731:B1732" si="891">CHOOSE(2, "1395000000715", "Net Case Count - Agency 13+M")</f>
        <v>Net Case Count - Agency 13+M</v>
      </c>
      <c r="C1731" s="4" t="str">
        <f>CHOOSE(2, "5461730030", "Jun 26")</f>
        <v>Jun 26</v>
      </c>
      <c r="D1731" s="14">
        <v>1192</v>
      </c>
    </row>
    <row r="1732" spans="1:4" x14ac:dyDescent="0.35">
      <c r="A1732" s="5" t="str">
        <f t="shared" si="864"/>
        <v>MAG</v>
      </c>
      <c r="B1732" s="6" t="str">
        <f t="shared" si="891"/>
        <v>Net Case Count - Agency 13+M</v>
      </c>
      <c r="C1732" s="4" t="str">
        <f>CHOOSE(2, "5462030031", "Jul 26")</f>
        <v>Jul 26</v>
      </c>
      <c r="D1732" s="14">
        <v>983</v>
      </c>
    </row>
    <row r="1733" spans="1:4" x14ac:dyDescent="0.35">
      <c r="A1733" s="5" t="str">
        <f t="shared" si="864"/>
        <v>MAG</v>
      </c>
      <c r="B1733" s="3" t="str">
        <f t="shared" ref="B1733:B1734" si="892">CHOOSE(2, "1395000000714", "Net Case Count - Agency in FA or equivalent")</f>
        <v>Net Case Count - Agency in FA or equivalent</v>
      </c>
      <c r="C1733" s="4" t="str">
        <f>CHOOSE(2, "5461730030", "Jun 26")</f>
        <v>Jun 26</v>
      </c>
      <c r="D1733" s="14">
        <v>1103</v>
      </c>
    </row>
    <row r="1734" spans="1:4" x14ac:dyDescent="0.35">
      <c r="A1734" s="5" t="str">
        <f t="shared" si="864"/>
        <v>MAG</v>
      </c>
      <c r="B1734" s="6" t="str">
        <f t="shared" si="892"/>
        <v>Net Case Count - Agency in FA or equivalent</v>
      </c>
      <c r="C1734" s="4" t="str">
        <f>CHOOSE(2, "5462030031", "Jul 26")</f>
        <v>Jul 26</v>
      </c>
      <c r="D1734" s="14">
        <v>934</v>
      </c>
    </row>
    <row r="1735" spans="1:4" x14ac:dyDescent="0.35">
      <c r="A1735" s="5" t="str">
        <f t="shared" si="864"/>
        <v>MAG</v>
      </c>
      <c r="B1735" s="3" t="str">
        <f t="shared" ref="B1735:B1736" si="893">CHOOSE(2, "1395000000713", "Net Case Count - Agency in UM")</f>
        <v>Net Case Count - Agency in UM</v>
      </c>
      <c r="C1735" s="4" t="str">
        <f>CHOOSE(2, "5461730030", "Jun 26")</f>
        <v>Jun 26</v>
      </c>
      <c r="D1735" s="14">
        <v>174</v>
      </c>
    </row>
    <row r="1736" spans="1:4" x14ac:dyDescent="0.35">
      <c r="A1736" s="5" t="str">
        <f t="shared" si="864"/>
        <v>MAG</v>
      </c>
      <c r="B1736" s="6" t="str">
        <f t="shared" si="893"/>
        <v>Net Case Count - Agency in UM</v>
      </c>
      <c r="C1736" s="4" t="str">
        <f>CHOOSE(2, "5462030031", "Jul 26")</f>
        <v>Jul 26</v>
      </c>
      <c r="D1736" s="14">
        <v>164</v>
      </c>
    </row>
    <row r="1737" spans="1:4" x14ac:dyDescent="0.35">
      <c r="A1737" s="5" t="str">
        <f t="shared" si="864"/>
        <v>MAG</v>
      </c>
      <c r="B1737" s="3" t="str">
        <f t="shared" ref="B1737:B1738" si="894">CHOOSE(2, "1395000000712", "Net Case Count - Agency in Leaders above UM")</f>
        <v>Net Case Count - Agency in Leaders above UM</v>
      </c>
      <c r="C1737" s="4" t="str">
        <f>CHOOSE(2, "5461730030", "Jun 26")</f>
        <v>Jun 26</v>
      </c>
      <c r="D1737" s="14">
        <v>35</v>
      </c>
    </row>
    <row r="1738" spans="1:4" x14ac:dyDescent="0.35">
      <c r="A1738" s="5" t="str">
        <f t="shared" si="864"/>
        <v>MAG</v>
      </c>
      <c r="B1738" s="6" t="str">
        <f t="shared" si="894"/>
        <v>Net Case Count - Agency in Leaders above UM</v>
      </c>
      <c r="C1738" s="4" t="str">
        <f>CHOOSE(2, "5462030031", "Jul 26")</f>
        <v>Jul 26</v>
      </c>
      <c r="D1738" s="14">
        <v>21</v>
      </c>
    </row>
    <row r="1739" spans="1:4" x14ac:dyDescent="0.35">
      <c r="A1739" s="5" t="str">
        <f t="shared" si="864"/>
        <v>MAG</v>
      </c>
      <c r="B1739" s="3" t="str">
        <f t="shared" ref="B1739:B1740" si="895">CHOOSE(2, "1395000000711", "Net Case Count - Agency in Top-tier Agents")</f>
        <v>Net Case Count - Agency in Top-tier Agents</v>
      </c>
      <c r="C1739" s="4" t="str">
        <f>CHOOSE(2, "5461730030", "Jun 26")</f>
        <v>Jun 26</v>
      </c>
      <c r="D1739" s="14">
        <v>1074</v>
      </c>
    </row>
    <row r="1740" spans="1:4" x14ac:dyDescent="0.35">
      <c r="A1740" s="5" t="str">
        <f t="shared" si="864"/>
        <v>MAG</v>
      </c>
      <c r="B1740" s="6" t="str">
        <f t="shared" si="895"/>
        <v>Net Case Count - Agency in Top-tier Agents</v>
      </c>
      <c r="C1740" s="4" t="str">
        <f>CHOOSE(2, "5462030031", "Jul 26")</f>
        <v>Jul 26</v>
      </c>
      <c r="D1740" s="14">
        <v>847</v>
      </c>
    </row>
    <row r="1741" spans="1:4" x14ac:dyDescent="0.35">
      <c r="A1741" s="5" t="str">
        <f t="shared" si="864"/>
        <v>MAG</v>
      </c>
      <c r="B1741" s="3" t="str">
        <f t="shared" ref="B1741:B1742" si="896">CHOOSE(2, "1395000000710", "Net Case Count - Agency in pro-rated MDRT agents (&gt;100%)")</f>
        <v>Net Case Count - Agency in pro-rated MDRT agents (&gt;100%)</v>
      </c>
      <c r="C1741" s="4" t="str">
        <f>CHOOSE(2, "5461730030", "Jun 26")</f>
        <v>Jun 26</v>
      </c>
      <c r="D1741" s="14">
        <v>894</v>
      </c>
    </row>
    <row r="1742" spans="1:4" x14ac:dyDescent="0.35">
      <c r="A1742" s="5" t="str">
        <f t="shared" si="864"/>
        <v>MAG</v>
      </c>
      <c r="B1742" s="6" t="str">
        <f t="shared" si="896"/>
        <v>Net Case Count - Agency in pro-rated MDRT agents (&gt;100%)</v>
      </c>
      <c r="C1742" s="4" t="str">
        <f>CHOOSE(2, "5462030031", "Jul 26")</f>
        <v>Jul 26</v>
      </c>
      <c r="D1742" s="14">
        <v>678</v>
      </c>
    </row>
    <row r="1743" spans="1:4" x14ac:dyDescent="0.35">
      <c r="A1743" s="5" t="str">
        <f t="shared" ref="A1743:A1806" si="897">CHOOSE(2, "1260000000002", "MAG")</f>
        <v>MAG</v>
      </c>
      <c r="B1743" s="3" t="str">
        <f t="shared" ref="B1743:B1744" si="898">CHOOSE(2, "1395000000709", "Net Case Count - Agency in pro-rated MDRT agents (70-99%)")</f>
        <v>Net Case Count - Agency in pro-rated MDRT agents (70-99%)</v>
      </c>
      <c r="C1743" s="4" t="str">
        <f>CHOOSE(2, "5461730030", "Jun 26")</f>
        <v>Jun 26</v>
      </c>
      <c r="D1743" s="14">
        <v>94</v>
      </c>
    </row>
    <row r="1744" spans="1:4" x14ac:dyDescent="0.35">
      <c r="A1744" s="5" t="str">
        <f t="shared" si="897"/>
        <v>MAG</v>
      </c>
      <c r="B1744" s="6" t="str">
        <f t="shared" si="898"/>
        <v>Net Case Count - Agency in pro-rated MDRT agents (70-99%)</v>
      </c>
      <c r="C1744" s="4" t="str">
        <f>CHOOSE(2, "5462030031", "Jul 26")</f>
        <v>Jul 26</v>
      </c>
      <c r="D1744" s="14">
        <v>87</v>
      </c>
    </row>
    <row r="1745" spans="1:4" x14ac:dyDescent="0.35">
      <c r="A1745" s="5" t="str">
        <f t="shared" si="897"/>
        <v>MAG</v>
      </c>
      <c r="B1745" s="3" t="str">
        <f t="shared" ref="B1745:B1746" si="899">CHOOSE(2, "1395000000708", "Net Case Count - Agency in pro-rated MDRT agents (50-69%)")</f>
        <v>Net Case Count - Agency in pro-rated MDRT agents (50-69%)</v>
      </c>
      <c r="C1745" s="4" t="str">
        <f>CHOOSE(2, "5461730030", "Jun 26")</f>
        <v>Jun 26</v>
      </c>
      <c r="D1745" s="14">
        <v>86</v>
      </c>
    </row>
    <row r="1746" spans="1:4" x14ac:dyDescent="0.35">
      <c r="A1746" s="5" t="str">
        <f t="shared" si="897"/>
        <v>MAG</v>
      </c>
      <c r="B1746" s="6" t="str">
        <f t="shared" si="899"/>
        <v>Net Case Count - Agency in pro-rated MDRT agents (50-69%)</v>
      </c>
      <c r="C1746" s="4" t="str">
        <f>CHOOSE(2, "5462030031", "Jul 26")</f>
        <v>Jul 26</v>
      </c>
      <c r="D1746" s="14">
        <v>82</v>
      </c>
    </row>
    <row r="1747" spans="1:4" x14ac:dyDescent="0.35">
      <c r="A1747" s="5" t="str">
        <f t="shared" si="897"/>
        <v>MAG</v>
      </c>
      <c r="B1747" s="3" t="str">
        <f t="shared" ref="B1747:B1748" si="900">CHOOSE(2, "1395000000707", "Net Case Count - Agency in Manulife Pro Qualifiers - Total")</f>
        <v>Net Case Count - Agency in Manulife Pro Qualifiers - Total</v>
      </c>
      <c r="C1747" s="4" t="str">
        <f>CHOOSE(2, "5461730030", "Jun 26")</f>
        <v>Jun 26</v>
      </c>
      <c r="D1747" s="14">
        <v>0</v>
      </c>
    </row>
    <row r="1748" spans="1:4" x14ac:dyDescent="0.35">
      <c r="A1748" s="5" t="str">
        <f t="shared" si="897"/>
        <v>MAG</v>
      </c>
      <c r="B1748" s="6" t="str">
        <f t="shared" si="900"/>
        <v>Net Case Count - Agency in Manulife Pro Qualifiers - Total</v>
      </c>
      <c r="C1748" s="4" t="str">
        <f>CHOOSE(2, "5462030031", "Jul 26")</f>
        <v>Jul 26</v>
      </c>
      <c r="D1748" s="14">
        <v>0</v>
      </c>
    </row>
    <row r="1749" spans="1:4" x14ac:dyDescent="0.35">
      <c r="A1749" s="5" t="str">
        <f t="shared" si="897"/>
        <v>MAG</v>
      </c>
      <c r="B1749" s="3" t="str">
        <f t="shared" ref="B1749:B1750" si="901">CHOOSE(2, "1395000000706", "No. of Sales Proposal Generated")</f>
        <v>No. of Sales Proposal Generated</v>
      </c>
      <c r="C1749" s="4" t="str">
        <f>CHOOSE(2, "5461730030", "Jun 26")</f>
        <v>Jun 26</v>
      </c>
      <c r="D1749" s="14">
        <v>3225</v>
      </c>
    </row>
    <row r="1750" spans="1:4" x14ac:dyDescent="0.35">
      <c r="A1750" s="5" t="str">
        <f t="shared" si="897"/>
        <v>MAG</v>
      </c>
      <c r="B1750" s="6" t="str">
        <f t="shared" si="901"/>
        <v>No. of Sales Proposal Generated</v>
      </c>
      <c r="C1750" s="4" t="str">
        <f>CHOOSE(2, "5462030031", "Jul 26")</f>
        <v>Jul 26</v>
      </c>
      <c r="D1750" s="14">
        <v>2789</v>
      </c>
    </row>
    <row r="1751" spans="1:4" x14ac:dyDescent="0.35">
      <c r="A1751" s="5" t="str">
        <f t="shared" si="897"/>
        <v>MAG</v>
      </c>
      <c r="B1751" s="3" t="str">
        <f t="shared" ref="B1751:B1752" si="902">CHOOSE(2, "1395000000705", "$ APE from Agents in X tenure")</f>
        <v>$ APE from Agents in X tenure</v>
      </c>
      <c r="C1751" s="4" t="str">
        <f>CHOOSE(2, "5461730030", "Jun 26")</f>
        <v>Jun 26</v>
      </c>
      <c r="D1751" s="14">
        <v>14047715.636923119</v>
      </c>
    </row>
    <row r="1752" spans="1:4" x14ac:dyDescent="0.35">
      <c r="A1752" s="5" t="str">
        <f t="shared" si="897"/>
        <v>MAG</v>
      </c>
      <c r="B1752" s="6" t="str">
        <f t="shared" si="902"/>
        <v>$ APE from Agents in X tenure</v>
      </c>
      <c r="C1752" s="4" t="str">
        <f>CHOOSE(2, "5462030031", "Jul 26")</f>
        <v>Jul 26</v>
      </c>
      <c r="D1752" s="14">
        <v>8811161.4921845589</v>
      </c>
    </row>
    <row r="1753" spans="1:4" x14ac:dyDescent="0.35">
      <c r="A1753" s="5" t="str">
        <f t="shared" si="897"/>
        <v>MAG</v>
      </c>
      <c r="B1753" s="3" t="str">
        <f t="shared" ref="B1753:B1754" si="903">CHOOSE(2, "1395000000704", "$ APE from Agents in X tenure in 0-1M")</f>
        <v>$ APE from Agents in X tenure in 0-1M</v>
      </c>
      <c r="C1753" s="4" t="str">
        <f>CHOOSE(2, "5461730030", "Jun 26")</f>
        <v>Jun 26</v>
      </c>
      <c r="D1753" s="14">
        <v>1404771.563692312</v>
      </c>
    </row>
    <row r="1754" spans="1:4" x14ac:dyDescent="0.35">
      <c r="A1754" s="5" t="str">
        <f t="shared" si="897"/>
        <v>MAG</v>
      </c>
      <c r="B1754" s="6" t="str">
        <f t="shared" si="903"/>
        <v>$ APE from Agents in X tenure in 0-1M</v>
      </c>
      <c r="C1754" s="4" t="str">
        <f>CHOOSE(2, "5462030031", "Jul 26")</f>
        <v>Jul 26</v>
      </c>
      <c r="D1754" s="14">
        <v>881116.14921845589</v>
      </c>
    </row>
    <row r="1755" spans="1:4" x14ac:dyDescent="0.35">
      <c r="A1755" s="5" t="str">
        <f t="shared" si="897"/>
        <v>MAG</v>
      </c>
      <c r="B1755" s="3" t="str">
        <f t="shared" ref="B1755:B1756" si="904">CHOOSE(2, "1395000000703", "$ APE from Agents in X tenure in 2-3M")</f>
        <v>$ APE from Agents in X tenure in 2-3M</v>
      </c>
      <c r="C1755" s="4" t="str">
        <f>CHOOSE(2, "5461730030", "Jun 26")</f>
        <v>Jun 26</v>
      </c>
      <c r="D1755" s="14">
        <v>2809543.127384624</v>
      </c>
    </row>
    <row r="1756" spans="1:4" x14ac:dyDescent="0.35">
      <c r="A1756" s="5" t="str">
        <f t="shared" si="897"/>
        <v>MAG</v>
      </c>
      <c r="B1756" s="6" t="str">
        <f t="shared" si="904"/>
        <v>$ APE from Agents in X tenure in 2-3M</v>
      </c>
      <c r="C1756" s="4" t="str">
        <f>CHOOSE(2, "5462030031", "Jul 26")</f>
        <v>Jul 26</v>
      </c>
      <c r="D1756" s="14">
        <v>1762232.2984369118</v>
      </c>
    </row>
    <row r="1757" spans="1:4" x14ac:dyDescent="0.35">
      <c r="A1757" s="5" t="str">
        <f t="shared" si="897"/>
        <v>MAG</v>
      </c>
      <c r="B1757" s="3" t="str">
        <f t="shared" ref="B1757:B1758" si="905">CHOOSE(2, "1395000000702", "$ APE from Agents in X tenure in 4-12M")</f>
        <v>$ APE from Agents in X tenure in 4-12M</v>
      </c>
      <c r="C1757" s="4" t="str">
        <f>CHOOSE(2, "5461730030", "Jun 26")</f>
        <v>Jun 26</v>
      </c>
      <c r="D1757" s="14">
        <v>4214314.6910769353</v>
      </c>
    </row>
    <row r="1758" spans="1:4" x14ac:dyDescent="0.35">
      <c r="A1758" s="5" t="str">
        <f t="shared" si="897"/>
        <v>MAG</v>
      </c>
      <c r="B1758" s="6" t="str">
        <f t="shared" si="905"/>
        <v>$ APE from Agents in X tenure in 4-12M</v>
      </c>
      <c r="C1758" s="4" t="str">
        <f>CHOOSE(2, "5462030031", "Jul 26")</f>
        <v>Jul 26</v>
      </c>
      <c r="D1758" s="14">
        <v>2643348.4476553677</v>
      </c>
    </row>
    <row r="1759" spans="1:4" x14ac:dyDescent="0.35">
      <c r="A1759" s="5" t="str">
        <f t="shared" si="897"/>
        <v>MAG</v>
      </c>
      <c r="B1759" s="3" t="str">
        <f t="shared" ref="B1759:B1760" si="906">CHOOSE(2, "1395000000701", "$ APE from Agents in X tenure 13+M")</f>
        <v>$ APE from Agents in X tenure 13+M</v>
      </c>
      <c r="C1759" s="4" t="str">
        <f>CHOOSE(2, "5461730030", "Jun 26")</f>
        <v>Jun 26</v>
      </c>
      <c r="D1759" s="14">
        <v>5619086.254769248</v>
      </c>
    </row>
    <row r="1760" spans="1:4" x14ac:dyDescent="0.35">
      <c r="A1760" s="5" t="str">
        <f t="shared" si="897"/>
        <v>MAG</v>
      </c>
      <c r="B1760" s="6" t="str">
        <f t="shared" si="906"/>
        <v>$ APE from Agents in X tenure 13+M</v>
      </c>
      <c r="C1760" s="4" t="str">
        <f>CHOOSE(2, "5462030031", "Jul 26")</f>
        <v>Jul 26</v>
      </c>
      <c r="D1760" s="14">
        <v>3524464.5968738236</v>
      </c>
    </row>
    <row r="1761" spans="1:4" x14ac:dyDescent="0.35">
      <c r="A1761" s="5" t="str">
        <f t="shared" si="897"/>
        <v>MAG</v>
      </c>
      <c r="B1761" s="3" t="str">
        <f t="shared" ref="B1761:B1762" si="907">CHOOSE(2, "1395000000700", "Total agent headcount (end of period)")</f>
        <v>Total agent headcount (end of period)</v>
      </c>
      <c r="C1761" s="4" t="str">
        <f>CHOOSE(2, "5461730030", "Jun 26")</f>
        <v>Jun 26</v>
      </c>
      <c r="D1761" s="14">
        <v>588</v>
      </c>
    </row>
    <row r="1762" spans="1:4" x14ac:dyDescent="0.35">
      <c r="A1762" s="5" t="str">
        <f t="shared" si="897"/>
        <v>MAG</v>
      </c>
      <c r="B1762" s="6" t="str">
        <f t="shared" si="907"/>
        <v>Total agent headcount (end of period)</v>
      </c>
      <c r="C1762" s="4" t="str">
        <f>CHOOSE(2, "5462030031", "Jul 26")</f>
        <v>Jul 26</v>
      </c>
      <c r="D1762" s="14">
        <v>599</v>
      </c>
    </row>
    <row r="1763" spans="1:4" x14ac:dyDescent="0.35">
      <c r="A1763" s="5" t="str">
        <f t="shared" si="897"/>
        <v>MAG</v>
      </c>
      <c r="B1763" s="3" t="str">
        <f t="shared" ref="B1763:B1764" si="908">CHOOSE(2, "1395000000699", "Total agent headcount (end of period) in 0-1M")</f>
        <v>Total agent headcount (end of period) in 0-1M</v>
      </c>
      <c r="C1763" s="4" t="str">
        <f>CHOOSE(2, "5461730030", "Jun 26")</f>
        <v>Jun 26</v>
      </c>
      <c r="D1763" s="14">
        <v>11</v>
      </c>
    </row>
    <row r="1764" spans="1:4" x14ac:dyDescent="0.35">
      <c r="A1764" s="5" t="str">
        <f t="shared" si="897"/>
        <v>MAG</v>
      </c>
      <c r="B1764" s="6" t="str">
        <f t="shared" si="908"/>
        <v>Total agent headcount (end of period) in 0-1M</v>
      </c>
      <c r="C1764" s="4" t="str">
        <f>CHOOSE(2, "5462030031", "Jul 26")</f>
        <v>Jul 26</v>
      </c>
      <c r="D1764" s="14">
        <v>15</v>
      </c>
    </row>
    <row r="1765" spans="1:4" x14ac:dyDescent="0.35">
      <c r="A1765" s="5" t="str">
        <f t="shared" si="897"/>
        <v>MAG</v>
      </c>
      <c r="B1765" s="3" t="str">
        <f t="shared" ref="B1765:B1766" si="909">CHOOSE(2, "1395000000698", "Total agent headcount (end of period) in 2-3M")</f>
        <v>Total agent headcount (end of period) in 2-3M</v>
      </c>
      <c r="C1765" s="4" t="str">
        <f>CHOOSE(2, "5461730030", "Jun 26")</f>
        <v>Jun 26</v>
      </c>
      <c r="D1765" s="14">
        <v>18</v>
      </c>
    </row>
    <row r="1766" spans="1:4" x14ac:dyDescent="0.35">
      <c r="A1766" s="5" t="str">
        <f t="shared" si="897"/>
        <v>MAG</v>
      </c>
      <c r="B1766" s="6" t="str">
        <f t="shared" si="909"/>
        <v>Total agent headcount (end of period) in 2-3M</v>
      </c>
      <c r="C1766" s="4" t="str">
        <f>CHOOSE(2, "5462030031", "Jul 26")</f>
        <v>Jul 26</v>
      </c>
      <c r="D1766" s="14">
        <v>18</v>
      </c>
    </row>
    <row r="1767" spans="1:4" x14ac:dyDescent="0.35">
      <c r="A1767" s="5" t="str">
        <f t="shared" si="897"/>
        <v>MAG</v>
      </c>
      <c r="B1767" s="3" t="str">
        <f t="shared" ref="B1767:B1768" si="910">CHOOSE(2, "1395000000697", "Total agent headcount (end of period) in 4-12M")</f>
        <v>Total agent headcount (end of period) in 4-12M</v>
      </c>
      <c r="C1767" s="4" t="str">
        <f>CHOOSE(2, "5461730030", "Jun 26")</f>
        <v>Jun 26</v>
      </c>
      <c r="D1767" s="14">
        <v>59</v>
      </c>
    </row>
    <row r="1768" spans="1:4" x14ac:dyDescent="0.35">
      <c r="A1768" s="5" t="str">
        <f t="shared" si="897"/>
        <v>MAG</v>
      </c>
      <c r="B1768" s="6" t="str">
        <f t="shared" si="910"/>
        <v>Total agent headcount (end of period) in 4-12M</v>
      </c>
      <c r="C1768" s="4" t="str">
        <f>CHOOSE(2, "5462030031", "Jul 26")</f>
        <v>Jul 26</v>
      </c>
      <c r="D1768" s="14">
        <v>60</v>
      </c>
    </row>
    <row r="1769" spans="1:4" x14ac:dyDescent="0.35">
      <c r="A1769" s="5" t="str">
        <f t="shared" si="897"/>
        <v>MAG</v>
      </c>
      <c r="B1769" s="3" t="str">
        <f t="shared" ref="B1769:B1770" si="911">CHOOSE(2, "1395000000696", "Total agent headcount (end of period) 13+M")</f>
        <v>Total agent headcount (end of period) 13+M</v>
      </c>
      <c r="C1769" s="4" t="str">
        <f>CHOOSE(2, "5461730030", "Jun 26")</f>
        <v>Jun 26</v>
      </c>
      <c r="D1769" s="14">
        <v>500</v>
      </c>
    </row>
    <row r="1770" spans="1:4" x14ac:dyDescent="0.35">
      <c r="A1770" s="5" t="str">
        <f t="shared" si="897"/>
        <v>MAG</v>
      </c>
      <c r="B1770" s="6" t="str">
        <f t="shared" si="911"/>
        <v>Total agent headcount (end of period) 13+M</v>
      </c>
      <c r="C1770" s="4" t="str">
        <f>CHOOSE(2, "5462030031", "Jul 26")</f>
        <v>Jul 26</v>
      </c>
      <c r="D1770" s="14">
        <v>506</v>
      </c>
    </row>
    <row r="1771" spans="1:4" x14ac:dyDescent="0.35">
      <c r="A1771" s="5" t="str">
        <f t="shared" si="897"/>
        <v>MAG</v>
      </c>
      <c r="B1771" s="3" t="str">
        <f t="shared" ref="B1771:B1772" si="912">CHOOSE(2, "1395000000695", "Total agent headcount (end of period) in FA or equivalent")</f>
        <v>Total agent headcount (end of period) in FA or equivalent</v>
      </c>
      <c r="C1771" s="4" t="str">
        <f>CHOOSE(2, "5461730030", "Jun 26")</f>
        <v>Jun 26</v>
      </c>
      <c r="D1771" s="14">
        <v>483</v>
      </c>
    </row>
    <row r="1772" spans="1:4" x14ac:dyDescent="0.35">
      <c r="A1772" s="5" t="str">
        <f t="shared" si="897"/>
        <v>MAG</v>
      </c>
      <c r="B1772" s="6" t="str">
        <f t="shared" si="912"/>
        <v>Total agent headcount (end of period) in FA or equivalent</v>
      </c>
      <c r="C1772" s="4" t="str">
        <f>CHOOSE(2, "5462030031", "Jul 26")</f>
        <v>Jul 26</v>
      </c>
      <c r="D1772" s="14">
        <v>492</v>
      </c>
    </row>
    <row r="1773" spans="1:4" x14ac:dyDescent="0.35">
      <c r="A1773" s="5" t="str">
        <f t="shared" si="897"/>
        <v>MAG</v>
      </c>
      <c r="B1773" s="3" t="str">
        <f t="shared" ref="B1773:B1774" si="913">CHOOSE(2, "1395000000694", "Total agent headcount (end of period) in UM")</f>
        <v>Total agent headcount (end of period) in UM</v>
      </c>
      <c r="C1773" s="4" t="str">
        <f>CHOOSE(2, "5461730030", "Jun 26")</f>
        <v>Jun 26</v>
      </c>
      <c r="D1773" s="14">
        <v>83</v>
      </c>
    </row>
    <row r="1774" spans="1:4" x14ac:dyDescent="0.35">
      <c r="A1774" s="5" t="str">
        <f t="shared" si="897"/>
        <v>MAG</v>
      </c>
      <c r="B1774" s="6" t="str">
        <f t="shared" si="913"/>
        <v>Total agent headcount (end of period) in UM</v>
      </c>
      <c r="C1774" s="4" t="str">
        <f>CHOOSE(2, "5462030031", "Jul 26")</f>
        <v>Jul 26</v>
      </c>
      <c r="D1774" s="14">
        <v>84</v>
      </c>
    </row>
    <row r="1775" spans="1:4" x14ac:dyDescent="0.35">
      <c r="A1775" s="5" t="str">
        <f t="shared" si="897"/>
        <v>MAG</v>
      </c>
      <c r="B1775" s="3" t="str">
        <f t="shared" ref="B1775:B1776" si="914">CHOOSE(2, "1395000000693", "Total agent headcount (end of period) in Leaders above UM")</f>
        <v>Total agent headcount (end of period) in Leaders above UM</v>
      </c>
      <c r="C1775" s="4" t="str">
        <f>CHOOSE(2, "5461730030", "Jun 26")</f>
        <v>Jun 26</v>
      </c>
      <c r="D1775" s="14">
        <v>22</v>
      </c>
    </row>
    <row r="1776" spans="1:4" x14ac:dyDescent="0.35">
      <c r="A1776" s="5" t="str">
        <f t="shared" si="897"/>
        <v>MAG</v>
      </c>
      <c r="B1776" s="6" t="str">
        <f t="shared" si="914"/>
        <v>Total agent headcount (end of period) in Leaders above UM</v>
      </c>
      <c r="C1776" s="4" t="str">
        <f>CHOOSE(2, "5462030031", "Jul 26")</f>
        <v>Jul 26</v>
      </c>
      <c r="D1776" s="14">
        <v>23</v>
      </c>
    </row>
    <row r="1777" spans="1:4" x14ac:dyDescent="0.35">
      <c r="A1777" s="5" t="str">
        <f t="shared" si="897"/>
        <v>MAG</v>
      </c>
      <c r="B1777" s="3" t="str">
        <f t="shared" ref="B1777:B1778" si="915">CHOOSE(2, "1395000000692", "Total agent headcount (end of period) in Top-tier agents")</f>
        <v>Total agent headcount (end of period) in Top-tier agents</v>
      </c>
      <c r="C1777" s="4" t="str">
        <f>CHOOSE(2, "5461730030", "Jun 26")</f>
        <v>Jun 26</v>
      </c>
      <c r="D1777" s="14">
        <v>268</v>
      </c>
    </row>
    <row r="1778" spans="1:4" x14ac:dyDescent="0.35">
      <c r="A1778" s="5" t="str">
        <f t="shared" si="897"/>
        <v>MAG</v>
      </c>
      <c r="B1778" s="6" t="str">
        <f t="shared" si="915"/>
        <v>Total agent headcount (end of period) in Top-tier agents</v>
      </c>
      <c r="C1778" s="4" t="str">
        <f>CHOOSE(2, "5462030031", "Jul 26")</f>
        <v>Jul 26</v>
      </c>
      <c r="D1778" s="14">
        <v>274</v>
      </c>
    </row>
    <row r="1779" spans="1:4" x14ac:dyDescent="0.35">
      <c r="A1779" s="5" t="str">
        <f t="shared" si="897"/>
        <v>MAG</v>
      </c>
      <c r="B1779" s="3" t="str">
        <f t="shared" ref="B1779:B1780" si="916">CHOOSE(2, "1395000000691", "Total agent headcount  in pro-rated MDRT agents (&gt;100%)")</f>
        <v>Total agent headcount  in pro-rated MDRT agents (&gt;100%)</v>
      </c>
      <c r="C1779" s="4" t="str">
        <f>CHOOSE(2, "5461730030", "Jun 26")</f>
        <v>Jun 26</v>
      </c>
      <c r="D1779" s="14">
        <v>197</v>
      </c>
    </row>
    <row r="1780" spans="1:4" x14ac:dyDescent="0.35">
      <c r="A1780" s="5" t="str">
        <f t="shared" si="897"/>
        <v>MAG</v>
      </c>
      <c r="B1780" s="6" t="str">
        <f t="shared" si="916"/>
        <v>Total agent headcount  in pro-rated MDRT agents (&gt;100%)</v>
      </c>
      <c r="C1780" s="4" t="str">
        <f>CHOOSE(2, "5462030031", "Jul 26")</f>
        <v>Jul 26</v>
      </c>
      <c r="D1780" s="14">
        <v>194</v>
      </c>
    </row>
    <row r="1781" spans="1:4" x14ac:dyDescent="0.35">
      <c r="A1781" s="5" t="str">
        <f t="shared" si="897"/>
        <v>MAG</v>
      </c>
      <c r="B1781" s="3" t="str">
        <f t="shared" ref="B1781:B1782" si="917">CHOOSE(2, "1395000000690", "Total agent headcount  in pro-rated MDRT agents (70-99%)")</f>
        <v>Total agent headcount  in pro-rated MDRT agents (70-99%)</v>
      </c>
      <c r="C1781" s="4" t="str">
        <f>CHOOSE(2, "5461730030", "Jun 26")</f>
        <v>Jun 26</v>
      </c>
      <c r="D1781" s="14">
        <v>43</v>
      </c>
    </row>
    <row r="1782" spans="1:4" x14ac:dyDescent="0.35">
      <c r="A1782" s="5" t="str">
        <f t="shared" si="897"/>
        <v>MAG</v>
      </c>
      <c r="B1782" s="6" t="str">
        <f t="shared" si="917"/>
        <v>Total agent headcount  in pro-rated MDRT agents (70-99%)</v>
      </c>
      <c r="C1782" s="4" t="str">
        <f>CHOOSE(2, "5462030031", "Jul 26")</f>
        <v>Jul 26</v>
      </c>
      <c r="D1782" s="14">
        <v>44</v>
      </c>
    </row>
    <row r="1783" spans="1:4" x14ac:dyDescent="0.35">
      <c r="A1783" s="5" t="str">
        <f t="shared" si="897"/>
        <v>MAG</v>
      </c>
      <c r="B1783" s="3" t="str">
        <f t="shared" ref="B1783:B1784" si="918">CHOOSE(2, "1395000000689", "Total agent headcount  in pro-rated MDRT agents (50-69%)")</f>
        <v>Total agent headcount  in pro-rated MDRT agents (50-69%)</v>
      </c>
      <c r="C1783" s="4" t="str">
        <f>CHOOSE(2, "5461730030", "Jun 26")</f>
        <v>Jun 26</v>
      </c>
      <c r="D1783" s="14">
        <v>28</v>
      </c>
    </row>
    <row r="1784" spans="1:4" x14ac:dyDescent="0.35">
      <c r="A1784" s="5" t="str">
        <f t="shared" si="897"/>
        <v>MAG</v>
      </c>
      <c r="B1784" s="6" t="str">
        <f t="shared" si="918"/>
        <v>Total agent headcount  in pro-rated MDRT agents (50-69%)</v>
      </c>
      <c r="C1784" s="4" t="str">
        <f>CHOOSE(2, "5462030031", "Jul 26")</f>
        <v>Jul 26</v>
      </c>
      <c r="D1784" s="14">
        <v>36</v>
      </c>
    </row>
    <row r="1785" spans="1:4" x14ac:dyDescent="0.35">
      <c r="A1785" s="5" t="str">
        <f t="shared" si="897"/>
        <v>MAG</v>
      </c>
      <c r="B1785" s="3" t="str">
        <f t="shared" ref="B1785:B1786" si="919">CHOOSE(2, "1395000000688", "Total agent headcount  in Manulife Pro Qualifiers - Total")</f>
        <v>Total agent headcount  in Manulife Pro Qualifiers - Total</v>
      </c>
      <c r="C1785" s="4" t="str">
        <f>CHOOSE(2, "5461730030", "Jun 26")</f>
        <v>Jun 26</v>
      </c>
      <c r="D1785" s="14">
        <v>0</v>
      </c>
    </row>
    <row r="1786" spans="1:4" x14ac:dyDescent="0.35">
      <c r="A1786" s="5" t="str">
        <f t="shared" si="897"/>
        <v>MAG</v>
      </c>
      <c r="B1786" s="6" t="str">
        <f t="shared" si="919"/>
        <v>Total agent headcount  in Manulife Pro Qualifiers - Total</v>
      </c>
      <c r="C1786" s="4" t="str">
        <f>CHOOSE(2, "5462030031", "Jul 26")</f>
        <v>Jul 26</v>
      </c>
      <c r="D1786" s="14">
        <v>0</v>
      </c>
    </row>
    <row r="1787" spans="1:4" x14ac:dyDescent="0.35">
      <c r="A1787" s="5" t="str">
        <f t="shared" si="897"/>
        <v>MAG</v>
      </c>
      <c r="B1787" s="3" t="str">
        <f t="shared" ref="B1787:B1788" si="920">CHOOSE(2, "1395000000687", "New recruits")</f>
        <v>New recruits</v>
      </c>
      <c r="C1787" s="4" t="str">
        <f>CHOOSE(2, "5461730030", "Jun 26")</f>
        <v>Jun 26</v>
      </c>
      <c r="D1787" s="14">
        <v>11</v>
      </c>
    </row>
    <row r="1788" spans="1:4" x14ac:dyDescent="0.35">
      <c r="A1788" s="5" t="str">
        <f t="shared" si="897"/>
        <v>MAG</v>
      </c>
      <c r="B1788" s="6" t="str">
        <f t="shared" si="920"/>
        <v>New recruits</v>
      </c>
      <c r="C1788" s="4" t="str">
        <f>CHOOSE(2, "5462030031", "Jul 26")</f>
        <v>Jul 26</v>
      </c>
      <c r="D1788" s="14">
        <v>15</v>
      </c>
    </row>
    <row r="1789" spans="1:4" x14ac:dyDescent="0.35">
      <c r="A1789" s="5" t="str">
        <f t="shared" si="897"/>
        <v>MAG</v>
      </c>
      <c r="B1789" s="3" t="str">
        <f t="shared" ref="B1789:B1790" si="921">CHOOSE(2, "1395000000686", "New recruits - Leader level")</f>
        <v>New recruits - Leader level</v>
      </c>
      <c r="C1789" s="4" t="str">
        <f>CHOOSE(2, "5461730030", "Jun 26")</f>
        <v>Jun 26</v>
      </c>
      <c r="D1789" s="2" t="s">
        <v>5</v>
      </c>
    </row>
    <row r="1790" spans="1:4" x14ac:dyDescent="0.35">
      <c r="A1790" s="5" t="str">
        <f t="shared" si="897"/>
        <v>MAG</v>
      </c>
      <c r="B1790" s="6" t="str">
        <f t="shared" si="921"/>
        <v>New recruits - Leader level</v>
      </c>
      <c r="C1790" s="4" t="str">
        <f>CHOOSE(2, "5462030031", "Jul 26")</f>
        <v>Jul 26</v>
      </c>
      <c r="D1790" s="2" t="s">
        <v>5</v>
      </c>
    </row>
    <row r="1791" spans="1:4" x14ac:dyDescent="0.35">
      <c r="A1791" s="5" t="str">
        <f t="shared" si="897"/>
        <v>MAG</v>
      </c>
      <c r="B1791" s="3" t="str">
        <f t="shared" ref="B1791:B1792" si="922">CHOOSE(2, "1395000000685", "New recruits - FA or equivalent")</f>
        <v>New recruits - FA or equivalent</v>
      </c>
      <c r="C1791" s="4" t="str">
        <f>CHOOSE(2, "5461730030", "Jun 26")</f>
        <v>Jun 26</v>
      </c>
      <c r="D1791" s="14">
        <v>9</v>
      </c>
    </row>
    <row r="1792" spans="1:4" x14ac:dyDescent="0.35">
      <c r="A1792" s="5" t="str">
        <f t="shared" si="897"/>
        <v>MAG</v>
      </c>
      <c r="B1792" s="6" t="str">
        <f t="shared" si="922"/>
        <v>New recruits - FA or equivalent</v>
      </c>
      <c r="C1792" s="4" t="str">
        <f>CHOOSE(2, "5462030031", "Jul 26")</f>
        <v>Jul 26</v>
      </c>
      <c r="D1792" s="14">
        <v>13</v>
      </c>
    </row>
    <row r="1793" spans="1:4" x14ac:dyDescent="0.35">
      <c r="A1793" s="5" t="str">
        <f t="shared" si="897"/>
        <v>MAG</v>
      </c>
      <c r="B1793" s="3" t="str">
        <f t="shared" ref="B1793:B1794" si="923">CHOOSE(2, "1395000000684", "New recruits in UM")</f>
        <v>New recruits in UM</v>
      </c>
      <c r="C1793" s="4" t="str">
        <f>CHOOSE(2, "5461730030", "Jun 26")</f>
        <v>Jun 26</v>
      </c>
      <c r="D1793" s="14">
        <v>0</v>
      </c>
    </row>
    <row r="1794" spans="1:4" x14ac:dyDescent="0.35">
      <c r="A1794" s="5" t="str">
        <f t="shared" si="897"/>
        <v>MAG</v>
      </c>
      <c r="B1794" s="6" t="str">
        <f t="shared" si="923"/>
        <v>New recruits in UM</v>
      </c>
      <c r="C1794" s="4" t="str">
        <f>CHOOSE(2, "5462030031", "Jul 26")</f>
        <v>Jul 26</v>
      </c>
      <c r="D1794" s="14">
        <v>1</v>
      </c>
    </row>
    <row r="1795" spans="1:4" x14ac:dyDescent="0.35">
      <c r="A1795" s="5" t="str">
        <f t="shared" si="897"/>
        <v>MAG</v>
      </c>
      <c r="B1795" s="3" t="str">
        <f t="shared" ref="B1795:B1796" si="924">CHOOSE(2, "1395000000683", "New recruits in Leaders above UM")</f>
        <v>New recruits in Leaders above UM</v>
      </c>
      <c r="C1795" s="4" t="str">
        <f>CHOOSE(2, "5461730030", "Jun 26")</f>
        <v>Jun 26</v>
      </c>
      <c r="D1795" s="14">
        <v>2</v>
      </c>
    </row>
    <row r="1796" spans="1:4" x14ac:dyDescent="0.35">
      <c r="A1796" s="5" t="str">
        <f t="shared" si="897"/>
        <v>MAG</v>
      </c>
      <c r="B1796" s="6" t="str">
        <f t="shared" si="924"/>
        <v>New recruits in Leaders above UM</v>
      </c>
      <c r="C1796" s="4" t="str">
        <f>CHOOSE(2, "5462030031", "Jul 26")</f>
        <v>Jul 26</v>
      </c>
      <c r="D1796" s="14">
        <v>1</v>
      </c>
    </row>
    <row r="1797" spans="1:4" x14ac:dyDescent="0.35">
      <c r="A1797" s="5" t="str">
        <f t="shared" si="897"/>
        <v>MAG</v>
      </c>
      <c r="B1797" s="3" t="str">
        <f t="shared" ref="B1797:B1798" si="925">CHOOSE(2, "1395000000682", "# of 6-90 agents")</f>
        <v># of 6-90 agents</v>
      </c>
      <c r="C1797" s="4" t="str">
        <f>CHOOSE(2, "5461730030", "Jun 26")</f>
        <v>Jun 26</v>
      </c>
      <c r="D1797" s="14">
        <v>5</v>
      </c>
    </row>
    <row r="1798" spans="1:4" x14ac:dyDescent="0.35">
      <c r="A1798" s="5" t="str">
        <f t="shared" si="897"/>
        <v>MAG</v>
      </c>
      <c r="B1798" s="6" t="str">
        <f t="shared" si="925"/>
        <v># of 6-90 agents</v>
      </c>
      <c r="C1798" s="4" t="str">
        <f>CHOOSE(2, "5462030031", "Jul 26")</f>
        <v>Jul 26</v>
      </c>
      <c r="D1798" s="14">
        <v>6</v>
      </c>
    </row>
    <row r="1799" spans="1:4" x14ac:dyDescent="0.35">
      <c r="A1799" s="5" t="str">
        <f t="shared" si="897"/>
        <v>MAG</v>
      </c>
      <c r="B1799" s="3" t="str">
        <f t="shared" ref="B1799:B1800" si="926">CHOOSE(2, "1395000000681", "New Recruits 3M Activation #")</f>
        <v>New Recruits 3M Activation #</v>
      </c>
      <c r="C1799" s="4" t="str">
        <f>CHOOSE(2, "5461730030", "Jun 26")</f>
        <v>Jun 26</v>
      </c>
      <c r="D1799" s="14">
        <v>6</v>
      </c>
    </row>
    <row r="1800" spans="1:4" x14ac:dyDescent="0.35">
      <c r="A1800" s="5" t="str">
        <f t="shared" si="897"/>
        <v>MAG</v>
      </c>
      <c r="B1800" s="6" t="str">
        <f t="shared" si="926"/>
        <v>New Recruits 3M Activation #</v>
      </c>
      <c r="C1800" s="4" t="str">
        <f>CHOOSE(2, "5462030031", "Jul 26")</f>
        <v>Jul 26</v>
      </c>
      <c r="D1800" s="14">
        <v>5</v>
      </c>
    </row>
    <row r="1801" spans="1:4" x14ac:dyDescent="0.35">
      <c r="A1801" s="5" t="str">
        <f t="shared" si="897"/>
        <v>MAG</v>
      </c>
      <c r="B1801" s="3" t="str">
        <f t="shared" ref="B1801:B1802" si="927">CHOOSE(2, "1395000000680", "No of Terminations")</f>
        <v>No of Terminations</v>
      </c>
      <c r="C1801" s="4" t="str">
        <f>CHOOSE(2, "5461730030", "Jun 26")</f>
        <v>Jun 26</v>
      </c>
      <c r="D1801" s="14">
        <v>7</v>
      </c>
    </row>
    <row r="1802" spans="1:4" x14ac:dyDescent="0.35">
      <c r="A1802" s="5" t="str">
        <f t="shared" si="897"/>
        <v>MAG</v>
      </c>
      <c r="B1802" s="6" t="str">
        <f t="shared" si="927"/>
        <v>No of Terminations</v>
      </c>
      <c r="C1802" s="4" t="str">
        <f>CHOOSE(2, "5462030031", "Jul 26")</f>
        <v>Jul 26</v>
      </c>
      <c r="D1802" s="14">
        <v>4</v>
      </c>
    </row>
    <row r="1803" spans="1:4" x14ac:dyDescent="0.35">
      <c r="A1803" s="5" t="str">
        <f t="shared" si="897"/>
        <v>MAG</v>
      </c>
      <c r="B1803" s="3" t="str">
        <f t="shared" ref="B1803:B1804" si="928">CHOOSE(2, "1395000000679", "No of Terminations in FA or equivalent")</f>
        <v>No of Terminations in FA or equivalent</v>
      </c>
      <c r="C1803" s="4" t="str">
        <f>CHOOSE(2, "5461730030", "Jun 26")</f>
        <v>Jun 26</v>
      </c>
      <c r="D1803" s="14">
        <v>6</v>
      </c>
    </row>
    <row r="1804" spans="1:4" x14ac:dyDescent="0.35">
      <c r="A1804" s="5" t="str">
        <f t="shared" si="897"/>
        <v>MAG</v>
      </c>
      <c r="B1804" s="6" t="str">
        <f t="shared" si="928"/>
        <v>No of Terminations in FA or equivalent</v>
      </c>
      <c r="C1804" s="4" t="str">
        <f>CHOOSE(2, "5462030031", "Jul 26")</f>
        <v>Jul 26</v>
      </c>
      <c r="D1804" s="14">
        <v>4</v>
      </c>
    </row>
    <row r="1805" spans="1:4" x14ac:dyDescent="0.35">
      <c r="A1805" s="5" t="str">
        <f t="shared" si="897"/>
        <v>MAG</v>
      </c>
      <c r="B1805" s="3" t="str">
        <f t="shared" ref="B1805:B1806" si="929">CHOOSE(2, "1395000000678", "No of Terminations in UM")</f>
        <v>No of Terminations in UM</v>
      </c>
      <c r="C1805" s="4" t="str">
        <f>CHOOSE(2, "5461730030", "Jun 26")</f>
        <v>Jun 26</v>
      </c>
      <c r="D1805" s="14">
        <v>1</v>
      </c>
    </row>
    <row r="1806" spans="1:4" x14ac:dyDescent="0.35">
      <c r="A1806" s="5" t="str">
        <f t="shared" si="897"/>
        <v>MAG</v>
      </c>
      <c r="B1806" s="6" t="str">
        <f t="shared" si="929"/>
        <v>No of Terminations in UM</v>
      </c>
      <c r="C1806" s="4" t="str">
        <f>CHOOSE(2, "5462030031", "Jul 26")</f>
        <v>Jul 26</v>
      </c>
      <c r="D1806" s="14">
        <v>0</v>
      </c>
    </row>
    <row r="1807" spans="1:4" x14ac:dyDescent="0.35">
      <c r="A1807" s="5" t="str">
        <f t="shared" ref="A1807:A1870" si="930">CHOOSE(2, "1260000000002", "MAG")</f>
        <v>MAG</v>
      </c>
      <c r="B1807" s="3" t="str">
        <f t="shared" ref="B1807:B1808" si="931">CHOOSE(2, "1395000000677", "No of Terminations in Leaders above UM")</f>
        <v>No of Terminations in Leaders above UM</v>
      </c>
      <c r="C1807" s="4" t="str">
        <f>CHOOSE(2, "5461730030", "Jun 26")</f>
        <v>Jun 26</v>
      </c>
      <c r="D1807" s="14">
        <v>0</v>
      </c>
    </row>
    <row r="1808" spans="1:4" x14ac:dyDescent="0.35">
      <c r="A1808" s="5" t="str">
        <f t="shared" si="930"/>
        <v>MAG</v>
      </c>
      <c r="B1808" s="6" t="str">
        <f t="shared" si="931"/>
        <v>No of Terminations in Leaders above UM</v>
      </c>
      <c r="C1808" s="4" t="str">
        <f>CHOOSE(2, "5462030031", "Jul 26")</f>
        <v>Jul 26</v>
      </c>
      <c r="D1808" s="14">
        <v>0</v>
      </c>
    </row>
    <row r="1809" spans="1:4" x14ac:dyDescent="0.35">
      <c r="A1809" s="5" t="str">
        <f t="shared" si="930"/>
        <v>MAG</v>
      </c>
      <c r="B1809" s="3" t="str">
        <f t="shared" ref="B1809:B1810" si="932">CHOOSE(2, "1395000000676", "No of Terminations in Top-tier Agents")</f>
        <v>No of Terminations in Top-tier Agents</v>
      </c>
      <c r="C1809" s="4" t="str">
        <f>CHOOSE(2, "5461730030", "Jun 26")</f>
        <v>Jun 26</v>
      </c>
      <c r="D1809" s="14">
        <v>1</v>
      </c>
    </row>
    <row r="1810" spans="1:4" x14ac:dyDescent="0.35">
      <c r="A1810" s="5" t="str">
        <f t="shared" si="930"/>
        <v>MAG</v>
      </c>
      <c r="B1810" s="6" t="str">
        <f t="shared" si="932"/>
        <v>No of Terminations in Top-tier Agents</v>
      </c>
      <c r="C1810" s="4" t="str">
        <f>CHOOSE(2, "5462030031", "Jul 26")</f>
        <v>Jul 26</v>
      </c>
      <c r="D1810" s="14">
        <v>0</v>
      </c>
    </row>
    <row r="1811" spans="1:4" x14ac:dyDescent="0.35">
      <c r="A1811" s="5" t="str">
        <f t="shared" si="930"/>
        <v>MAG</v>
      </c>
      <c r="B1811" s="3" t="str">
        <f t="shared" ref="B1811:B1812" si="933">CHOOSE(2, "1395000000675", "No of Terminations in pro-rated MDRT agents (&gt;100%)")</f>
        <v>No of Terminations in pro-rated MDRT agents (&gt;100%)</v>
      </c>
      <c r="C1811" s="4" t="str">
        <f>CHOOSE(2, "5461730030", "Jun 26")</f>
        <v>Jun 26</v>
      </c>
      <c r="D1811" s="14">
        <v>0</v>
      </c>
    </row>
    <row r="1812" spans="1:4" x14ac:dyDescent="0.35">
      <c r="A1812" s="5" t="str">
        <f t="shared" si="930"/>
        <v>MAG</v>
      </c>
      <c r="B1812" s="6" t="str">
        <f t="shared" si="933"/>
        <v>No of Terminations in pro-rated MDRT agents (&gt;100%)</v>
      </c>
      <c r="C1812" s="4" t="str">
        <f>CHOOSE(2, "5462030031", "Jul 26")</f>
        <v>Jul 26</v>
      </c>
      <c r="D1812" s="14">
        <v>0</v>
      </c>
    </row>
    <row r="1813" spans="1:4" x14ac:dyDescent="0.35">
      <c r="A1813" s="5" t="str">
        <f t="shared" si="930"/>
        <v>MAG</v>
      </c>
      <c r="B1813" s="3" t="str">
        <f t="shared" ref="B1813:B1814" si="934">CHOOSE(2, "1395000000674", "No of Terminations in pro-rated MDRT agents (70-99%)")</f>
        <v>No of Terminations in pro-rated MDRT agents (70-99%)</v>
      </c>
      <c r="C1813" s="4" t="str">
        <f>CHOOSE(2, "5461730030", "Jun 26")</f>
        <v>Jun 26</v>
      </c>
      <c r="D1813" s="14">
        <v>0</v>
      </c>
    </row>
    <row r="1814" spans="1:4" x14ac:dyDescent="0.35">
      <c r="A1814" s="5" t="str">
        <f t="shared" si="930"/>
        <v>MAG</v>
      </c>
      <c r="B1814" s="6" t="str">
        <f t="shared" si="934"/>
        <v>No of Terminations in pro-rated MDRT agents (70-99%)</v>
      </c>
      <c r="C1814" s="4" t="str">
        <f>CHOOSE(2, "5462030031", "Jul 26")</f>
        <v>Jul 26</v>
      </c>
      <c r="D1814" s="14">
        <v>0</v>
      </c>
    </row>
    <row r="1815" spans="1:4" x14ac:dyDescent="0.35">
      <c r="A1815" s="5" t="str">
        <f t="shared" si="930"/>
        <v>MAG</v>
      </c>
      <c r="B1815" s="3" t="str">
        <f t="shared" ref="B1815:B1816" si="935">CHOOSE(2, "1395000000673", "No of Terminations in pro-rated MDRT agents (50-69%)")</f>
        <v>No of Terminations in pro-rated MDRT agents (50-69%)</v>
      </c>
      <c r="C1815" s="4" t="str">
        <f>CHOOSE(2, "5461730030", "Jun 26")</f>
        <v>Jun 26</v>
      </c>
      <c r="D1815" s="14">
        <v>1</v>
      </c>
    </row>
    <row r="1816" spans="1:4" x14ac:dyDescent="0.35">
      <c r="A1816" s="5" t="str">
        <f t="shared" si="930"/>
        <v>MAG</v>
      </c>
      <c r="B1816" s="6" t="str">
        <f t="shared" si="935"/>
        <v>No of Terminations in pro-rated MDRT agents (50-69%)</v>
      </c>
      <c r="C1816" s="4" t="str">
        <f>CHOOSE(2, "5462030031", "Jul 26")</f>
        <v>Jul 26</v>
      </c>
      <c r="D1816" s="14">
        <v>0</v>
      </c>
    </row>
    <row r="1817" spans="1:4" x14ac:dyDescent="0.35">
      <c r="A1817" s="5" t="str">
        <f t="shared" si="930"/>
        <v>MAG</v>
      </c>
      <c r="B1817" s="3" t="str">
        <f t="shared" ref="B1817:B1818" si="936">CHOOSE(2, "1395000000672", "No of Terminations in Manulife Pro Qualifiers - Total")</f>
        <v>No of Terminations in Manulife Pro Qualifiers - Total</v>
      </c>
      <c r="C1817" s="4" t="str">
        <f>CHOOSE(2, "5461730030", "Jun 26")</f>
        <v>Jun 26</v>
      </c>
      <c r="D1817" s="14">
        <v>0</v>
      </c>
    </row>
    <row r="1818" spans="1:4" x14ac:dyDescent="0.35">
      <c r="A1818" s="5" t="str">
        <f t="shared" si="930"/>
        <v>MAG</v>
      </c>
      <c r="B1818" s="6" t="str">
        <f t="shared" si="936"/>
        <v>No of Terminations in Manulife Pro Qualifiers - Total</v>
      </c>
      <c r="C1818" s="4" t="str">
        <f>CHOOSE(2, "5462030031", "Jul 26")</f>
        <v>Jul 26</v>
      </c>
      <c r="D1818" s="14">
        <v>0</v>
      </c>
    </row>
    <row r="1819" spans="1:4" x14ac:dyDescent="0.35">
      <c r="A1819" s="5" t="str">
        <f t="shared" si="930"/>
        <v>MAG</v>
      </c>
      <c r="B1819" s="3" t="str">
        <f t="shared" ref="B1819:B1820" si="937">CHOOSE(2, "1395000000671", "First Year Agents Terminated without Sales")</f>
        <v>First Year Agents Terminated without Sales</v>
      </c>
      <c r="C1819" s="4" t="str">
        <f>CHOOSE(2, "5461730030", "Jun 26")</f>
        <v>Jun 26</v>
      </c>
      <c r="D1819" s="14">
        <v>3</v>
      </c>
    </row>
    <row r="1820" spans="1:4" x14ac:dyDescent="0.35">
      <c r="A1820" s="5" t="str">
        <f t="shared" si="930"/>
        <v>MAG</v>
      </c>
      <c r="B1820" s="6" t="str">
        <f t="shared" si="937"/>
        <v>First Year Agents Terminated without Sales</v>
      </c>
      <c r="C1820" s="4" t="str">
        <f>CHOOSE(2, "5462030031", "Jul 26")</f>
        <v>Jul 26</v>
      </c>
      <c r="D1820" s="14">
        <v>1</v>
      </c>
    </row>
    <row r="1821" spans="1:4" x14ac:dyDescent="0.35">
      <c r="A1821" s="5" t="str">
        <f t="shared" si="930"/>
        <v>MAG</v>
      </c>
      <c r="B1821" s="3" t="str">
        <f t="shared" ref="B1821:B1822" si="938">CHOOSE(2, "1395000000670", "6mth Agency Retention Ratio")</f>
        <v>6mth Agency Retention Ratio</v>
      </c>
      <c r="C1821" s="4" t="str">
        <f>CHOOSE(2, "5461730030", "Jun 26")</f>
        <v>Jun 26</v>
      </c>
      <c r="D1821" s="14">
        <v>0.92105300000000001</v>
      </c>
    </row>
    <row r="1822" spans="1:4" x14ac:dyDescent="0.35">
      <c r="A1822" s="5" t="str">
        <f t="shared" si="930"/>
        <v>MAG</v>
      </c>
      <c r="B1822" s="6" t="str">
        <f t="shared" si="938"/>
        <v>6mth Agency Retention Ratio</v>
      </c>
      <c r="C1822" s="4" t="str">
        <f>CHOOSE(2, "5462030031", "Jul 26")</f>
        <v>Jul 26</v>
      </c>
      <c r="D1822" s="14">
        <v>0.92381000000000002</v>
      </c>
    </row>
    <row r="1823" spans="1:4" x14ac:dyDescent="0.35">
      <c r="A1823" s="5" t="str">
        <f t="shared" si="930"/>
        <v>MAG</v>
      </c>
      <c r="B1823" s="3" t="str">
        <f t="shared" ref="B1823:B1824" si="939">CHOOSE(2, "1395000000669", "12mth Agency Retention Ratio")</f>
        <v>12mth Agency Retention Ratio</v>
      </c>
      <c r="C1823" s="4" t="str">
        <f>CHOOSE(2, "5461730030", "Jun 26")</f>
        <v>Jun 26</v>
      </c>
      <c r="D1823" s="14">
        <v>0.85840700000000003</v>
      </c>
    </row>
    <row r="1824" spans="1:4" x14ac:dyDescent="0.35">
      <c r="A1824" s="5" t="str">
        <f t="shared" si="930"/>
        <v>MAG</v>
      </c>
      <c r="B1824" s="6" t="str">
        <f t="shared" si="939"/>
        <v>12mth Agency Retention Ratio</v>
      </c>
      <c r="C1824" s="4" t="str">
        <f>CHOOSE(2, "5462030031", "Jul 26")</f>
        <v>Jul 26</v>
      </c>
      <c r="D1824" s="14">
        <v>0.85714299999999999</v>
      </c>
    </row>
    <row r="1825" spans="1:4" x14ac:dyDescent="0.35">
      <c r="A1825" s="5" t="str">
        <f t="shared" si="930"/>
        <v>MAG</v>
      </c>
      <c r="B1825" s="3" t="str">
        <f t="shared" ref="B1825:B1826" si="940">CHOOSE(2, "1395000000668", "24mth Agency Retention Ratio")</f>
        <v>24mth Agency Retention Ratio</v>
      </c>
      <c r="C1825" s="4" t="str">
        <f>CHOOSE(2, "5461730030", "Jun 26")</f>
        <v>Jun 26</v>
      </c>
      <c r="D1825" s="14">
        <v>0.71568600000000004</v>
      </c>
    </row>
    <row r="1826" spans="1:4" x14ac:dyDescent="0.35">
      <c r="A1826" s="5" t="str">
        <f t="shared" si="930"/>
        <v>MAG</v>
      </c>
      <c r="B1826" s="6" t="str">
        <f t="shared" si="940"/>
        <v>24mth Agency Retention Ratio</v>
      </c>
      <c r="C1826" s="4" t="str">
        <f>CHOOSE(2, "5462030031", "Jul 26")</f>
        <v>Jul 26</v>
      </c>
      <c r="D1826" s="14">
        <v>0.69158900000000001</v>
      </c>
    </row>
    <row r="1827" spans="1:4" x14ac:dyDescent="0.35">
      <c r="A1827" s="5" t="str">
        <f t="shared" si="930"/>
        <v>MAG</v>
      </c>
      <c r="B1827" s="3" t="str">
        <f t="shared" ref="B1827:B1828" si="941">CHOOSE(2, "1395000000667", "Total # of Leaders (end of period)")</f>
        <v>Total # of Leaders (end of period)</v>
      </c>
      <c r="C1827" s="4" t="str">
        <f>CHOOSE(2, "5461730030", "Jun 26")</f>
        <v>Jun 26</v>
      </c>
      <c r="D1827" s="14">
        <v>105</v>
      </c>
    </row>
    <row r="1828" spans="1:4" x14ac:dyDescent="0.35">
      <c r="A1828" s="5" t="str">
        <f t="shared" si="930"/>
        <v>MAG</v>
      </c>
      <c r="B1828" s="6" t="str">
        <f t="shared" si="941"/>
        <v>Total # of Leaders (end of period)</v>
      </c>
      <c r="C1828" s="4" t="str">
        <f>CHOOSE(2, "5462030031", "Jul 26")</f>
        <v>Jul 26</v>
      </c>
      <c r="D1828" s="14">
        <v>107</v>
      </c>
    </row>
    <row r="1829" spans="1:4" x14ac:dyDescent="0.35">
      <c r="A1829" s="5" t="str">
        <f t="shared" si="930"/>
        <v>MAG</v>
      </c>
      <c r="B1829" s="3" t="str">
        <f t="shared" ref="B1829:B1830" si="942">CHOOSE(2, "1395000000666", "Total # of Unit Managers")</f>
        <v>Total # of Unit Managers</v>
      </c>
      <c r="C1829" s="4" t="str">
        <f>CHOOSE(2, "5461730030", "Jun 26")</f>
        <v>Jun 26</v>
      </c>
      <c r="D1829" s="14">
        <v>83</v>
      </c>
    </row>
    <row r="1830" spans="1:4" x14ac:dyDescent="0.35">
      <c r="A1830" s="5" t="str">
        <f t="shared" si="930"/>
        <v>MAG</v>
      </c>
      <c r="B1830" s="6" t="str">
        <f t="shared" si="942"/>
        <v>Total # of Unit Managers</v>
      </c>
      <c r="C1830" s="4" t="str">
        <f>CHOOSE(2, "5462030031", "Jul 26")</f>
        <v>Jul 26</v>
      </c>
      <c r="D1830" s="14">
        <v>84</v>
      </c>
    </row>
    <row r="1831" spans="1:4" x14ac:dyDescent="0.35">
      <c r="A1831" s="5" t="str">
        <f t="shared" si="930"/>
        <v>MAG</v>
      </c>
      <c r="B1831" s="3" t="str">
        <f t="shared" ref="B1831:B1832" si="943">CHOOSE(2, "1395000000665", "Total # of Leaders above Unit Manager level")</f>
        <v>Total # of Leaders above Unit Manager level</v>
      </c>
      <c r="C1831" s="4" t="str">
        <f>CHOOSE(2, "5461730030", "Jun 26")</f>
        <v>Jun 26</v>
      </c>
      <c r="D1831" s="14">
        <v>22</v>
      </c>
    </row>
    <row r="1832" spans="1:4" x14ac:dyDescent="0.35">
      <c r="A1832" s="5" t="str">
        <f t="shared" si="930"/>
        <v>MAG</v>
      </c>
      <c r="B1832" s="6" t="str">
        <f t="shared" si="943"/>
        <v>Total # of Leaders above Unit Manager level</v>
      </c>
      <c r="C1832" s="4" t="str">
        <f>CHOOSE(2, "5462030031", "Jul 26")</f>
        <v>Jul 26</v>
      </c>
      <c r="D1832" s="14">
        <v>23</v>
      </c>
    </row>
    <row r="1833" spans="1:4" x14ac:dyDescent="0.35">
      <c r="A1833" s="5" t="str">
        <f t="shared" si="930"/>
        <v>MAG</v>
      </c>
      <c r="B1833" s="3" t="str">
        <f t="shared" ref="B1833:B1834" si="944">CHOOSE(2, "1395000000664", "Total # of Agents below Unit Manager level (end of period)")</f>
        <v>Total # of Agents below Unit Manager level (end of period)</v>
      </c>
      <c r="C1833" s="4" t="str">
        <f>CHOOSE(2, "5461730030", "Jun 26")</f>
        <v>Jun 26</v>
      </c>
      <c r="D1833" s="2" t="s">
        <v>5</v>
      </c>
    </row>
    <row r="1834" spans="1:4" x14ac:dyDescent="0.35">
      <c r="A1834" s="5" t="str">
        <f t="shared" si="930"/>
        <v>MAG</v>
      </c>
      <c r="B1834" s="6" t="str">
        <f t="shared" si="944"/>
        <v>Total # of Agents below Unit Manager level (end of period)</v>
      </c>
      <c r="C1834" s="4" t="str">
        <f>CHOOSE(2, "5462030031", "Jul 26")</f>
        <v>Jul 26</v>
      </c>
      <c r="D1834" s="2" t="s">
        <v>5</v>
      </c>
    </row>
    <row r="1835" spans="1:4" x14ac:dyDescent="0.35">
      <c r="A1835" s="5" t="str">
        <f t="shared" si="930"/>
        <v>MAG</v>
      </c>
      <c r="B1835" s="3" t="str">
        <f t="shared" ref="B1835:B1836" si="945">CHOOSE(2, "1395000000663", "# of Active Recruiting Leaders")</f>
        <v># of Active Recruiting Leaders</v>
      </c>
      <c r="C1835" s="4" t="str">
        <f>CHOOSE(2, "5461730030", "Jun 26")</f>
        <v>Jun 26</v>
      </c>
      <c r="D1835" s="14">
        <v>8</v>
      </c>
    </row>
    <row r="1836" spans="1:4" x14ac:dyDescent="0.35">
      <c r="A1836" s="5" t="str">
        <f t="shared" si="930"/>
        <v>MAG</v>
      </c>
      <c r="B1836" s="6" t="str">
        <f t="shared" si="945"/>
        <v># of Active Recruiting Leaders</v>
      </c>
      <c r="C1836" s="4" t="str">
        <f>CHOOSE(2, "5462030031", "Jul 26")</f>
        <v>Jul 26</v>
      </c>
      <c r="D1836" s="14">
        <v>9</v>
      </c>
    </row>
    <row r="1837" spans="1:4" x14ac:dyDescent="0.35">
      <c r="A1837" s="5" t="str">
        <f t="shared" si="930"/>
        <v>MAG</v>
      </c>
      <c r="B1837" s="3" t="str">
        <f t="shared" ref="B1837:B1838" si="946">CHOOSE(2, "1395000000662", "# of leaders with &gt;1 YTD recruit")</f>
        <v># of leaders with &gt;1 YTD recruit</v>
      </c>
      <c r="C1837" s="4" t="str">
        <f>CHOOSE(2, "5461730030", "Jun 26")</f>
        <v>Jun 26</v>
      </c>
      <c r="D1837" s="14">
        <v>24</v>
      </c>
    </row>
    <row r="1838" spans="1:4" x14ac:dyDescent="0.35">
      <c r="A1838" s="5" t="str">
        <f t="shared" si="930"/>
        <v>MAG</v>
      </c>
      <c r="B1838" s="6" t="str">
        <f t="shared" si="946"/>
        <v># of leaders with &gt;1 YTD recruit</v>
      </c>
      <c r="C1838" s="4" t="str">
        <f>CHOOSE(2, "5462030031", "Jul 26")</f>
        <v>Jul 26</v>
      </c>
      <c r="D1838" s="14">
        <v>30</v>
      </c>
    </row>
    <row r="1839" spans="1:4" x14ac:dyDescent="0.35">
      <c r="A1839" s="5" t="str">
        <f t="shared" si="930"/>
        <v>MAG</v>
      </c>
      <c r="B1839" s="3" t="str">
        <f t="shared" ref="B1839:B1840" si="947">CHOOSE(2, "1395000000661", "Income ratio from personal sales (UM)")</f>
        <v>Income ratio from personal sales (UM)</v>
      </c>
      <c r="C1839" s="4" t="str">
        <f>CHOOSE(2, "5461730030", "Jun 26")</f>
        <v>Jun 26</v>
      </c>
      <c r="D1839" s="14">
        <v>0.27297381489611694</v>
      </c>
    </row>
    <row r="1840" spans="1:4" x14ac:dyDescent="0.35">
      <c r="A1840" s="5" t="str">
        <f t="shared" si="930"/>
        <v>MAG</v>
      </c>
      <c r="B1840" s="6" t="str">
        <f t="shared" si="947"/>
        <v>Income ratio from personal sales (UM)</v>
      </c>
      <c r="C1840" s="4" t="str">
        <f>CHOOSE(2, "5462030031", "Jul 26")</f>
        <v>Jul 26</v>
      </c>
      <c r="D1840" s="14">
        <v>0.50059045549269843</v>
      </c>
    </row>
    <row r="1841" spans="1:4" x14ac:dyDescent="0.35">
      <c r="A1841" s="5" t="str">
        <f t="shared" si="930"/>
        <v>MAG</v>
      </c>
      <c r="B1841" s="3" t="str">
        <f t="shared" ref="B1841:B1842" si="948">CHOOSE(2, "1395000000660", "Income ratio from personal sales (UM) (numerator)")</f>
        <v>Income ratio from personal sales (UM) (numerator)</v>
      </c>
      <c r="C1841" s="4" t="str">
        <f>CHOOSE(2, "5461730030", "Jun 26")</f>
        <v>Jun 26</v>
      </c>
      <c r="D1841" s="14">
        <v>777236.24963700003</v>
      </c>
    </row>
    <row r="1842" spans="1:4" x14ac:dyDescent="0.35">
      <c r="A1842" s="5" t="str">
        <f t="shared" si="930"/>
        <v>MAG</v>
      </c>
      <c r="B1842" s="6" t="str">
        <f t="shared" si="948"/>
        <v>Income ratio from personal sales (UM) (numerator)</v>
      </c>
      <c r="C1842" s="4" t="str">
        <f>CHOOSE(2, "5462030031", "Jul 26")</f>
        <v>Jul 26</v>
      </c>
      <c r="D1842" s="14">
        <v>440497.71132200002</v>
      </c>
    </row>
    <row r="1843" spans="1:4" x14ac:dyDescent="0.35">
      <c r="A1843" s="5" t="str">
        <f t="shared" si="930"/>
        <v>MAG</v>
      </c>
      <c r="B1843" s="3" t="str">
        <f t="shared" ref="B1843:B1844" si="949">CHOOSE(2, "1395000000659", "Income ratio from personal sales (UM) (denominator)")</f>
        <v>Income ratio from personal sales (UM) (denominator)</v>
      </c>
      <c r="C1843" s="4" t="str">
        <f>CHOOSE(2, "5461730030", "Jun 26")</f>
        <v>Jun 26</v>
      </c>
      <c r="D1843" s="14">
        <v>2847292.3307050001</v>
      </c>
    </row>
    <row r="1844" spans="1:4" x14ac:dyDescent="0.35">
      <c r="A1844" s="5" t="str">
        <f t="shared" si="930"/>
        <v>MAG</v>
      </c>
      <c r="B1844" s="6" t="str">
        <f t="shared" si="949"/>
        <v>Income ratio from personal sales (UM) (denominator)</v>
      </c>
      <c r="C1844" s="4" t="str">
        <f>CHOOSE(2, "5462030031", "Jul 26")</f>
        <v>Jul 26</v>
      </c>
      <c r="D1844" s="14">
        <v>879956.27261500002</v>
      </c>
    </row>
    <row r="1845" spans="1:4" x14ac:dyDescent="0.35">
      <c r="A1845" s="5" t="str">
        <f t="shared" si="930"/>
        <v>MAG</v>
      </c>
      <c r="B1845" s="3" t="str">
        <f t="shared" ref="B1845:B1846" si="950">CHOOSE(2, "1395000000658", "Income ratio from personal sales (Leader above UM)")</f>
        <v>Income ratio from personal sales (Leader above UM)</v>
      </c>
      <c r="C1845" s="4" t="str">
        <f>CHOOSE(2, "5461730030", "Jun 26")</f>
        <v>Jun 26</v>
      </c>
      <c r="D1845" s="14">
        <v>0.22950187462659999</v>
      </c>
    </row>
    <row r="1846" spans="1:4" x14ac:dyDescent="0.35">
      <c r="A1846" s="5" t="str">
        <f t="shared" si="930"/>
        <v>MAG</v>
      </c>
      <c r="B1846" s="6" t="str">
        <f t="shared" si="950"/>
        <v>Income ratio from personal sales (Leader above UM)</v>
      </c>
      <c r="C1846" s="4" t="str">
        <f>CHOOSE(2, "5462030031", "Jul 26")</f>
        <v>Jul 26</v>
      </c>
      <c r="D1846" s="14">
        <v>0.23477847250797723</v>
      </c>
    </row>
    <row r="1847" spans="1:4" x14ac:dyDescent="0.35">
      <c r="A1847" s="5" t="str">
        <f t="shared" si="930"/>
        <v>MAG</v>
      </c>
      <c r="B1847" s="3" t="str">
        <f t="shared" ref="B1847:B1848" si="951">CHOOSE(2, "1395000000657", "Income ratio from personal sales (Leader above UM) (num)")</f>
        <v>Income ratio from personal sales (Leader above UM) (num)</v>
      </c>
      <c r="C1847" s="4" t="str">
        <f>CHOOSE(2, "5461730030", "Jun 26")</f>
        <v>Jun 26</v>
      </c>
      <c r="D1847" s="14">
        <v>201166.89666599999</v>
      </c>
    </row>
    <row r="1848" spans="1:4" x14ac:dyDescent="0.35">
      <c r="A1848" s="5" t="str">
        <f t="shared" si="930"/>
        <v>MAG</v>
      </c>
      <c r="B1848" s="6" t="str">
        <f t="shared" si="951"/>
        <v>Income ratio from personal sales (Leader above UM) (num)</v>
      </c>
      <c r="C1848" s="4" t="str">
        <f>CHOOSE(2, "5462030031", "Jul 26")</f>
        <v>Jul 26</v>
      </c>
      <c r="D1848" s="14">
        <v>157713.664414</v>
      </c>
    </row>
    <row r="1849" spans="1:4" x14ac:dyDescent="0.35">
      <c r="A1849" s="5" t="str">
        <f t="shared" si="930"/>
        <v>MAG</v>
      </c>
      <c r="B1849" s="3" t="str">
        <f t="shared" ref="B1849:B1850" si="952">CHOOSE(2, "1395000000656", "Income ratio from personal sales (Leader above UM) (den)")</f>
        <v>Income ratio from personal sales (Leader above UM) (den)</v>
      </c>
      <c r="C1849" s="4" t="str">
        <f>CHOOSE(2, "5461730030", "Jun 26")</f>
        <v>Jun 26</v>
      </c>
      <c r="D1849" s="14">
        <v>876537.05222800002</v>
      </c>
    </row>
    <row r="1850" spans="1:4" x14ac:dyDescent="0.35">
      <c r="A1850" s="5" t="str">
        <f t="shared" si="930"/>
        <v>MAG</v>
      </c>
      <c r="B1850" s="6" t="str">
        <f t="shared" si="952"/>
        <v>Income ratio from personal sales (Leader above UM) (den)</v>
      </c>
      <c r="C1850" s="4" t="str">
        <f>CHOOSE(2, "5462030031", "Jul 26")</f>
        <v>Jul 26</v>
      </c>
      <c r="D1850" s="14">
        <v>671755.21984300006</v>
      </c>
    </row>
    <row r="1851" spans="1:4" x14ac:dyDescent="0.35">
      <c r="A1851" s="5" t="str">
        <f t="shared" si="930"/>
        <v>MAG</v>
      </c>
      <c r="B1851" s="3" t="str">
        <f t="shared" ref="B1851:B1852" si="953">CHOOSE(2, "1395000000655", "Total agent earnings")</f>
        <v>Total agent earnings</v>
      </c>
      <c r="C1851" s="4" t="str">
        <f>CHOOSE(2, "5461730030", "Jun 26")</f>
        <v>Jun 26</v>
      </c>
      <c r="D1851" s="14">
        <v>6969067.0191513756</v>
      </c>
    </row>
    <row r="1852" spans="1:4" x14ac:dyDescent="0.35">
      <c r="A1852" s="5" t="str">
        <f t="shared" si="930"/>
        <v>MAG</v>
      </c>
      <c r="B1852" s="6" t="str">
        <f t="shared" si="953"/>
        <v>Total agent earnings</v>
      </c>
      <c r="C1852" s="4" t="str">
        <f>CHOOSE(2, "5462030031", "Jul 26")</f>
        <v>Jul 26</v>
      </c>
      <c r="D1852" s="14">
        <v>3308215.0247048596</v>
      </c>
    </row>
    <row r="1853" spans="1:4" x14ac:dyDescent="0.35">
      <c r="A1853" s="5" t="str">
        <f t="shared" si="930"/>
        <v>MAG</v>
      </c>
      <c r="B1853" s="3" t="str">
        <f t="shared" ref="B1853:B1854" si="954">CHOOSE(2, "1395000000654", "Total agent earnings in FA or equivalent")</f>
        <v>Total agent earnings in FA or equivalent</v>
      </c>
      <c r="C1853" s="4" t="str">
        <f>CHOOSE(2, "5461730030", "Jun 26")</f>
        <v>Jun 26</v>
      </c>
      <c r="D1853" s="14">
        <v>4059326.3205984384</v>
      </c>
    </row>
    <row r="1854" spans="1:4" x14ac:dyDescent="0.35">
      <c r="A1854" s="5" t="str">
        <f t="shared" si="930"/>
        <v>MAG</v>
      </c>
      <c r="B1854" s="6" t="str">
        <f t="shared" si="954"/>
        <v>Total agent earnings in FA or equivalent</v>
      </c>
      <c r="C1854" s="4" t="str">
        <f>CHOOSE(2, "5462030031", "Jul 26")</f>
        <v>Jul 26</v>
      </c>
      <c r="D1854" s="14">
        <v>2095732.4918820576</v>
      </c>
    </row>
    <row r="1855" spans="1:4" x14ac:dyDescent="0.35">
      <c r="A1855" s="5" t="str">
        <f t="shared" si="930"/>
        <v>MAG</v>
      </c>
      <c r="B1855" s="3" t="str">
        <f t="shared" ref="B1855:B1856" si="955">CHOOSE(2, "1395000000653", "Total agent earnings in UM")</f>
        <v>Total agent earnings in UM</v>
      </c>
      <c r="C1855" s="4" t="str">
        <f>CHOOSE(2, "5461730030", "Jun 26")</f>
        <v>Jun 26</v>
      </c>
      <c r="D1855" s="14">
        <v>2224828.6705355956</v>
      </c>
    </row>
    <row r="1856" spans="1:4" x14ac:dyDescent="0.35">
      <c r="A1856" s="5" t="str">
        <f t="shared" si="930"/>
        <v>MAG</v>
      </c>
      <c r="B1856" s="6" t="str">
        <f t="shared" si="955"/>
        <v>Total agent earnings in UM</v>
      </c>
      <c r="C1856" s="4" t="str">
        <f>CHOOSE(2, "5462030031", "Jul 26")</f>
        <v>Jul 26</v>
      </c>
      <c r="D1856" s="14">
        <v>687583.75212099915</v>
      </c>
    </row>
    <row r="1857" spans="1:4" x14ac:dyDescent="0.35">
      <c r="A1857" s="5" t="str">
        <f t="shared" si="930"/>
        <v>MAG</v>
      </c>
      <c r="B1857" s="3" t="str">
        <f t="shared" ref="B1857:B1858" si="956">CHOOSE(2, "1395000000652", "Total agent earnings in Leaders above UM")</f>
        <v>Total agent earnings in Leaders above UM</v>
      </c>
      <c r="C1857" s="4" t="str">
        <f>CHOOSE(2, "5461730030", "Jun 26")</f>
        <v>Jun 26</v>
      </c>
      <c r="D1857" s="14">
        <v>684912.02801812359</v>
      </c>
    </row>
    <row r="1858" spans="1:4" x14ac:dyDescent="0.35">
      <c r="A1858" s="5" t="str">
        <f t="shared" si="930"/>
        <v>MAG</v>
      </c>
      <c r="B1858" s="6" t="str">
        <f t="shared" si="956"/>
        <v>Total agent earnings in Leaders above UM</v>
      </c>
      <c r="C1858" s="4" t="str">
        <f>CHOOSE(2, "5462030031", "Jul 26")</f>
        <v>Jul 26</v>
      </c>
      <c r="D1858" s="14">
        <v>524898.78070180269</v>
      </c>
    </row>
    <row r="1859" spans="1:4" x14ac:dyDescent="0.35">
      <c r="A1859" s="5" t="str">
        <f t="shared" si="930"/>
        <v>MAG</v>
      </c>
      <c r="B1859" s="3" t="str">
        <f t="shared" ref="B1859:B1860" si="957">CHOOSE(2, "1395000000651", "# of Newly Promoted UM")</f>
        <v># of Newly Promoted UM</v>
      </c>
      <c r="C1859" s="4" t="str">
        <f>CHOOSE(2, "5461730030", "Jun 26")</f>
        <v>Jun 26</v>
      </c>
      <c r="D1859" s="14">
        <v>2</v>
      </c>
    </row>
    <row r="1860" spans="1:4" x14ac:dyDescent="0.35">
      <c r="A1860" s="5" t="str">
        <f t="shared" si="930"/>
        <v>MAG</v>
      </c>
      <c r="B1860" s="6" t="str">
        <f t="shared" si="957"/>
        <v># of Newly Promoted UM</v>
      </c>
      <c r="C1860" s="4" t="str">
        <f>CHOOSE(2, "5462030031", "Jul 26")</f>
        <v>Jul 26</v>
      </c>
      <c r="D1860" s="14">
        <v>0</v>
      </c>
    </row>
    <row r="1861" spans="1:4" x14ac:dyDescent="0.35">
      <c r="A1861" s="5" t="str">
        <f t="shared" si="930"/>
        <v>MAG</v>
      </c>
      <c r="B1861" s="3" t="str">
        <f t="shared" ref="B1861:B1862" si="958">CHOOSE(2, "1395000000650", "# of Newly Promoted Leaders above UM")</f>
        <v># of Newly Promoted Leaders above UM</v>
      </c>
      <c r="C1861" s="4" t="str">
        <f>CHOOSE(2, "5461730030", "Jun 26")</f>
        <v>Jun 26</v>
      </c>
      <c r="D1861" s="14">
        <v>0</v>
      </c>
    </row>
    <row r="1862" spans="1:4" x14ac:dyDescent="0.35">
      <c r="A1862" s="5" t="str">
        <f t="shared" si="930"/>
        <v>MAG</v>
      </c>
      <c r="B1862" s="6" t="str">
        <f t="shared" si="958"/>
        <v># of Newly Promoted Leaders above UM</v>
      </c>
      <c r="C1862" s="4" t="str">
        <f>CHOOSE(2, "5462030031", "Jul 26")</f>
        <v>Jul 26</v>
      </c>
      <c r="D1862" s="14">
        <v>0</v>
      </c>
    </row>
    <row r="1863" spans="1:4" x14ac:dyDescent="0.35">
      <c r="A1863" s="5" t="str">
        <f t="shared" si="930"/>
        <v>MAG</v>
      </c>
      <c r="B1863" s="3" t="str">
        <f t="shared" ref="B1863:B1864" si="959">CHOOSE(2, "1395000000649", "# of Total Leader Promotions")</f>
        <v># of Total Leader Promotions</v>
      </c>
      <c r="C1863" s="4" t="str">
        <f>CHOOSE(2, "5461730030", "Jun 26")</f>
        <v>Jun 26</v>
      </c>
      <c r="D1863" s="14">
        <v>2</v>
      </c>
    </row>
    <row r="1864" spans="1:4" x14ac:dyDescent="0.35">
      <c r="A1864" s="5" t="str">
        <f t="shared" si="930"/>
        <v>MAG</v>
      </c>
      <c r="B1864" s="6" t="str">
        <f t="shared" si="959"/>
        <v># of Total Leader Promotions</v>
      </c>
      <c r="C1864" s="4" t="str">
        <f>CHOOSE(2, "5462030031", "Jul 26")</f>
        <v>Jul 26</v>
      </c>
      <c r="D1864" s="14">
        <v>0</v>
      </c>
    </row>
    <row r="1865" spans="1:4" x14ac:dyDescent="0.35">
      <c r="A1865" s="5" t="str">
        <f t="shared" si="930"/>
        <v>MAG</v>
      </c>
      <c r="B1865" s="3" t="str">
        <f t="shared" ref="B1865:B1866" si="960">CHOOSE(2, "1395000000648", "# of Newly Demoted UM")</f>
        <v># of Newly Demoted UM</v>
      </c>
      <c r="C1865" s="4" t="str">
        <f>CHOOSE(2, "5461730030", "Jun 26")</f>
        <v>Jun 26</v>
      </c>
      <c r="D1865" s="14">
        <v>0</v>
      </c>
    </row>
    <row r="1866" spans="1:4" x14ac:dyDescent="0.35">
      <c r="A1866" s="5" t="str">
        <f t="shared" si="930"/>
        <v>MAG</v>
      </c>
      <c r="B1866" s="6" t="str">
        <f t="shared" si="960"/>
        <v># of Newly Demoted UM</v>
      </c>
      <c r="C1866" s="4" t="str">
        <f>CHOOSE(2, "5462030031", "Jul 26")</f>
        <v>Jul 26</v>
      </c>
      <c r="D1866" s="14">
        <v>0</v>
      </c>
    </row>
    <row r="1867" spans="1:4" x14ac:dyDescent="0.35">
      <c r="A1867" s="5" t="str">
        <f t="shared" si="930"/>
        <v>MAG</v>
      </c>
      <c r="B1867" s="3" t="str">
        <f t="shared" ref="B1867:B1868" si="961">CHOOSE(2, "1395000000647", "# of Newly Demoted Leaders above UM")</f>
        <v># of Newly Demoted Leaders above UM</v>
      </c>
      <c r="C1867" s="4" t="str">
        <f>CHOOSE(2, "5461730030", "Jun 26")</f>
        <v>Jun 26</v>
      </c>
      <c r="D1867" s="14">
        <v>0</v>
      </c>
    </row>
    <row r="1868" spans="1:4" x14ac:dyDescent="0.35">
      <c r="A1868" s="5" t="str">
        <f t="shared" si="930"/>
        <v>MAG</v>
      </c>
      <c r="B1868" s="6" t="str">
        <f t="shared" si="961"/>
        <v># of Newly Demoted Leaders above UM</v>
      </c>
      <c r="C1868" s="4" t="str">
        <f>CHOOSE(2, "5462030031", "Jul 26")</f>
        <v>Jul 26</v>
      </c>
      <c r="D1868" s="14">
        <v>0</v>
      </c>
    </row>
    <row r="1869" spans="1:4" x14ac:dyDescent="0.35">
      <c r="A1869" s="5" t="str">
        <f t="shared" si="930"/>
        <v>MAG</v>
      </c>
      <c r="B1869" s="3" t="str">
        <f t="shared" ref="B1869:B1870" si="962">CHOOSE(2, "1395000000646", "# of Total Leader Demotions")</f>
        <v># of Total Leader Demotions</v>
      </c>
      <c r="C1869" s="4" t="str">
        <f>CHOOSE(2, "5461730030", "Jun 26")</f>
        <v>Jun 26</v>
      </c>
      <c r="D1869" s="14">
        <v>0</v>
      </c>
    </row>
    <row r="1870" spans="1:4" x14ac:dyDescent="0.35">
      <c r="A1870" s="5" t="str">
        <f t="shared" si="930"/>
        <v>MAG</v>
      </c>
      <c r="B1870" s="6" t="str">
        <f t="shared" si="962"/>
        <v># of Total Leader Demotions</v>
      </c>
      <c r="C1870" s="4" t="str">
        <f>CHOOSE(2, "5462030031", "Jul 26")</f>
        <v>Jul 26</v>
      </c>
      <c r="D1870" s="14">
        <v>0</v>
      </c>
    </row>
    <row r="1871" spans="1:4" x14ac:dyDescent="0.35">
      <c r="A1871" s="5" t="str">
        <f t="shared" ref="A1871:A1934" si="963">CHOOSE(2, "1260000000002", "MAG")</f>
        <v>MAG</v>
      </c>
      <c r="B1871" s="3" t="str">
        <f t="shared" ref="B1871:B1872" si="964">CHOOSE(2, "1395000000645", "# of agents meeting MOC")</f>
        <v># of agents meeting MOC</v>
      </c>
      <c r="C1871" s="4" t="str">
        <f>CHOOSE(2, "5461730030", "Jun 26")</f>
        <v>Jun 26</v>
      </c>
      <c r="D1871" s="14">
        <v>575</v>
      </c>
    </row>
    <row r="1872" spans="1:4" x14ac:dyDescent="0.35">
      <c r="A1872" s="5" t="str">
        <f t="shared" si="963"/>
        <v>MAG</v>
      </c>
      <c r="B1872" s="6" t="str">
        <f t="shared" si="964"/>
        <v># of agents meeting MOC</v>
      </c>
      <c r="C1872" s="4" t="str">
        <f>CHOOSE(2, "5462030031", "Jul 26")</f>
        <v>Jul 26</v>
      </c>
      <c r="D1872" s="14">
        <v>584</v>
      </c>
    </row>
    <row r="1873" spans="1:4" x14ac:dyDescent="0.35">
      <c r="A1873" s="5" t="str">
        <f t="shared" si="963"/>
        <v>MAG</v>
      </c>
      <c r="B1873" s="3" t="str">
        <f t="shared" ref="B1873:B1874" si="965">CHOOSE(2, "1395000000644", "# of agents meeting MOC in FA or equivalent")</f>
        <v># of agents meeting MOC in FA or equivalent</v>
      </c>
      <c r="C1873" s="4" t="str">
        <f>CHOOSE(2, "5461730030", "Jun 26")</f>
        <v>Jun 26</v>
      </c>
      <c r="D1873" s="14">
        <v>474</v>
      </c>
    </row>
    <row r="1874" spans="1:4" x14ac:dyDescent="0.35">
      <c r="A1874" s="5" t="str">
        <f t="shared" si="963"/>
        <v>MAG</v>
      </c>
      <c r="B1874" s="6" t="str">
        <f t="shared" si="965"/>
        <v># of agents meeting MOC in FA or equivalent</v>
      </c>
      <c r="C1874" s="4" t="str">
        <f>CHOOSE(2, "5462030031", "Jul 26")</f>
        <v>Jul 26</v>
      </c>
      <c r="D1874" s="14">
        <v>479</v>
      </c>
    </row>
    <row r="1875" spans="1:4" x14ac:dyDescent="0.35">
      <c r="A1875" s="5" t="str">
        <f t="shared" si="963"/>
        <v>MAG</v>
      </c>
      <c r="B1875" s="3" t="str">
        <f t="shared" ref="B1875:B1876" si="966">CHOOSE(2, "1395000000643", "# of agents meeting MOC in UM")</f>
        <v># of agents meeting MOC in UM</v>
      </c>
      <c r="C1875" s="4" t="str">
        <f>CHOOSE(2, "5461730030", "Jun 26")</f>
        <v>Jun 26</v>
      </c>
      <c r="D1875" s="14">
        <v>81</v>
      </c>
    </row>
    <row r="1876" spans="1:4" x14ac:dyDescent="0.35">
      <c r="A1876" s="5" t="str">
        <f t="shared" si="963"/>
        <v>MAG</v>
      </c>
      <c r="B1876" s="6" t="str">
        <f t="shared" si="966"/>
        <v># of agents meeting MOC in UM</v>
      </c>
      <c r="C1876" s="4" t="str">
        <f>CHOOSE(2, "5462030031", "Jul 26")</f>
        <v>Jul 26</v>
      </c>
      <c r="D1876" s="14">
        <v>83</v>
      </c>
    </row>
    <row r="1877" spans="1:4" x14ac:dyDescent="0.35">
      <c r="A1877" s="5" t="str">
        <f t="shared" si="963"/>
        <v>MAG</v>
      </c>
      <c r="B1877" s="3" t="str">
        <f t="shared" ref="B1877:B1878" si="967">CHOOSE(2, "1395000000642", "# of agents meeting MOC in Leaders above UM")</f>
        <v># of agents meeting MOC in Leaders above UM</v>
      </c>
      <c r="C1877" s="4" t="str">
        <f>CHOOSE(2, "5461730030", "Jun 26")</f>
        <v>Jun 26</v>
      </c>
      <c r="D1877" s="14">
        <v>20</v>
      </c>
    </row>
    <row r="1878" spans="1:4" x14ac:dyDescent="0.35">
      <c r="A1878" s="5" t="str">
        <f t="shared" si="963"/>
        <v>MAG</v>
      </c>
      <c r="B1878" s="6" t="str">
        <f t="shared" si="967"/>
        <v># of agents meeting MOC in Leaders above UM</v>
      </c>
      <c r="C1878" s="4" t="str">
        <f>CHOOSE(2, "5462030031", "Jul 26")</f>
        <v>Jul 26</v>
      </c>
      <c r="D1878" s="14">
        <v>22</v>
      </c>
    </row>
    <row r="1879" spans="1:4" x14ac:dyDescent="0.35">
      <c r="A1879" s="5" t="str">
        <f t="shared" si="963"/>
        <v>MAG</v>
      </c>
      <c r="B1879" s="3" t="str">
        <f t="shared" ref="B1879:B1880" si="968">CHOOSE(2, "1395000000641", "New Leaders 3M Activation Rate (by cohort)")</f>
        <v>New Leaders 3M Activation Rate (by cohort)</v>
      </c>
      <c r="C1879" s="4" t="str">
        <f>CHOOSE(2, "5461730030", "Jun 26")</f>
        <v>Jun 26</v>
      </c>
      <c r="D1879" s="14">
        <v>0</v>
      </c>
    </row>
    <row r="1880" spans="1:4" x14ac:dyDescent="0.35">
      <c r="A1880" s="5" t="str">
        <f t="shared" si="963"/>
        <v>MAG</v>
      </c>
      <c r="B1880" s="6" t="str">
        <f t="shared" si="968"/>
        <v>New Leaders 3M Activation Rate (by cohort)</v>
      </c>
      <c r="C1880" s="4" t="str">
        <f>CHOOSE(2, "5462030031", "Jul 26")</f>
        <v>Jul 26</v>
      </c>
      <c r="D1880" s="14">
        <v>0</v>
      </c>
    </row>
    <row r="1881" spans="1:4" x14ac:dyDescent="0.35">
      <c r="A1881" s="5" t="str">
        <f t="shared" si="963"/>
        <v>MAG</v>
      </c>
      <c r="B1881" s="3" t="str">
        <f t="shared" ref="B1881:B1882" si="969">CHOOSE(2, "1395000000640", "New Leaders 3M Activation Rate (by cohort) (numerator)")</f>
        <v>New Leaders 3M Activation Rate (by cohort) (numerator)</v>
      </c>
      <c r="C1881" s="4" t="str">
        <f>CHOOSE(2, "5461730030", "Jun 26")</f>
        <v>Jun 26</v>
      </c>
      <c r="D1881" s="14">
        <v>0</v>
      </c>
    </row>
    <row r="1882" spans="1:4" x14ac:dyDescent="0.35">
      <c r="A1882" s="5" t="str">
        <f t="shared" si="963"/>
        <v>MAG</v>
      </c>
      <c r="B1882" s="6" t="str">
        <f t="shared" si="969"/>
        <v>New Leaders 3M Activation Rate (by cohort) (numerator)</v>
      </c>
      <c r="C1882" s="4" t="str">
        <f>CHOOSE(2, "5462030031", "Jul 26")</f>
        <v>Jul 26</v>
      </c>
      <c r="D1882" s="14">
        <v>0</v>
      </c>
    </row>
    <row r="1883" spans="1:4" x14ac:dyDescent="0.35">
      <c r="A1883" s="5" t="str">
        <f t="shared" si="963"/>
        <v>MAG</v>
      </c>
      <c r="B1883" s="3" t="str">
        <f t="shared" ref="B1883:B1884" si="970">CHOOSE(2, "1395000000639", "New Leaders 3M Activation Rate (by cohort) (denominator)")</f>
        <v>New Leaders 3M Activation Rate (by cohort) (denominator)</v>
      </c>
      <c r="C1883" s="4" t="str">
        <f>CHOOSE(2, "5461730030", "Jun 26")</f>
        <v>Jun 26</v>
      </c>
      <c r="D1883" s="14">
        <v>1</v>
      </c>
    </row>
    <row r="1884" spans="1:4" x14ac:dyDescent="0.35">
      <c r="A1884" s="5" t="str">
        <f t="shared" si="963"/>
        <v>MAG</v>
      </c>
      <c r="B1884" s="6" t="str">
        <f t="shared" si="970"/>
        <v>New Leaders 3M Activation Rate (by cohort) (denominator)</v>
      </c>
      <c r="C1884" s="4" t="str">
        <f>CHOOSE(2, "5462030031", "Jul 26")</f>
        <v>Jul 26</v>
      </c>
      <c r="D1884" s="14">
        <v>0</v>
      </c>
    </row>
    <row r="1885" spans="1:4" x14ac:dyDescent="0.35">
      <c r="A1885" s="5" t="str">
        <f t="shared" si="963"/>
        <v>MAG</v>
      </c>
      <c r="B1885" s="3" t="str">
        <f t="shared" ref="B1885:B1886" si="971">CHOOSE(2, "1395000000638", "# of pro-rated MDRT agents (100%)")</f>
        <v># of pro-rated MDRT agents (100%)</v>
      </c>
      <c r="C1885" s="4" t="str">
        <f>CHOOSE(2, "5461730030", "Jun 26")</f>
        <v>Jun 26</v>
      </c>
      <c r="D1885" s="14">
        <v>197</v>
      </c>
    </row>
    <row r="1886" spans="1:4" x14ac:dyDescent="0.35">
      <c r="A1886" s="5" t="str">
        <f t="shared" si="963"/>
        <v>MAG</v>
      </c>
      <c r="B1886" s="6" t="str">
        <f t="shared" si="971"/>
        <v># of pro-rated MDRT agents (100%)</v>
      </c>
      <c r="C1886" s="4" t="str">
        <f>CHOOSE(2, "5462030031", "Jul 26")</f>
        <v>Jul 26</v>
      </c>
      <c r="D1886" s="14">
        <v>194</v>
      </c>
    </row>
    <row r="1887" spans="1:4" x14ac:dyDescent="0.35">
      <c r="A1887" s="5" t="str">
        <f t="shared" si="963"/>
        <v>MAG</v>
      </c>
      <c r="B1887" s="3" t="str">
        <f t="shared" ref="B1887:B1888" si="972">CHOOSE(2, "1395000000637", "# of pro-rated MDRT agents (90%-99%)")</f>
        <v># of pro-rated MDRT agents (90%-99%)</v>
      </c>
      <c r="C1887" s="4" t="str">
        <f>CHOOSE(2, "5461730030", "Jun 26")</f>
        <v>Jun 26</v>
      </c>
      <c r="D1887" s="2" t="s">
        <v>5</v>
      </c>
    </row>
    <row r="1888" spans="1:4" x14ac:dyDescent="0.35">
      <c r="A1888" s="5" t="str">
        <f t="shared" si="963"/>
        <v>MAG</v>
      </c>
      <c r="B1888" s="6" t="str">
        <f t="shared" si="972"/>
        <v># of pro-rated MDRT agents (90%-99%)</v>
      </c>
      <c r="C1888" s="4" t="str">
        <f>CHOOSE(2, "5462030031", "Jul 26")</f>
        <v>Jul 26</v>
      </c>
      <c r="D1888" s="2" t="s">
        <v>5</v>
      </c>
    </row>
    <row r="1889" spans="1:4" x14ac:dyDescent="0.35">
      <c r="A1889" s="5" t="str">
        <f t="shared" si="963"/>
        <v>MAG</v>
      </c>
      <c r="B1889" s="3" t="str">
        <f t="shared" ref="B1889:B1890" si="973">CHOOSE(2, "1395000000636", "# of pro-rated MDRT agents (70%-90%)")</f>
        <v># of pro-rated MDRT agents (70%-90%)</v>
      </c>
      <c r="C1889" s="4" t="str">
        <f>CHOOSE(2, "5461730030", "Jun 26")</f>
        <v>Jun 26</v>
      </c>
      <c r="D1889" s="2" t="s">
        <v>5</v>
      </c>
    </row>
    <row r="1890" spans="1:4" x14ac:dyDescent="0.35">
      <c r="A1890" s="5" t="str">
        <f t="shared" si="963"/>
        <v>MAG</v>
      </c>
      <c r="B1890" s="6" t="str">
        <f t="shared" si="973"/>
        <v># of pro-rated MDRT agents (70%-90%)</v>
      </c>
      <c r="C1890" s="4" t="str">
        <f>CHOOSE(2, "5462030031", "Jul 26")</f>
        <v>Jul 26</v>
      </c>
      <c r="D1890" s="2" t="s">
        <v>5</v>
      </c>
    </row>
    <row r="1891" spans="1:4" x14ac:dyDescent="0.35">
      <c r="A1891" s="5" t="str">
        <f t="shared" si="963"/>
        <v>MAG</v>
      </c>
      <c r="B1891" s="3" t="str">
        <f t="shared" ref="B1891:B1892" si="974">CHOOSE(2, "1395000000635", "# of pro-rated MDRT agents (&lt;70%)")</f>
        <v># of pro-rated MDRT agents (&lt;70%)</v>
      </c>
      <c r="C1891" s="4" t="str">
        <f>CHOOSE(2, "5461730030", "Jun 26")</f>
        <v>Jun 26</v>
      </c>
      <c r="D1891" s="2" t="s">
        <v>5</v>
      </c>
    </row>
    <row r="1892" spans="1:4" x14ac:dyDescent="0.35">
      <c r="A1892" s="5" t="str">
        <f t="shared" si="963"/>
        <v>MAG</v>
      </c>
      <c r="B1892" s="6" t="str">
        <f t="shared" si="974"/>
        <v># of pro-rated MDRT agents (&lt;70%)</v>
      </c>
      <c r="C1892" s="4" t="str">
        <f>CHOOSE(2, "5462030031", "Jul 26")</f>
        <v>Jul 26</v>
      </c>
      <c r="D1892" s="2" t="s">
        <v>5</v>
      </c>
    </row>
    <row r="1893" spans="1:4" x14ac:dyDescent="0.35">
      <c r="A1893" s="5" t="str">
        <f t="shared" si="963"/>
        <v>MAG</v>
      </c>
      <c r="B1893" s="3" t="str">
        <f t="shared" ref="B1893:B1894" si="975">CHOOSE(2, "1395000000634", "# of pro-rated MDRT agents (50%-70%)")</f>
        <v># of pro-rated MDRT agents (50%-70%)</v>
      </c>
      <c r="C1893" s="4" t="str">
        <f>CHOOSE(2, "5461730030", "Jun 26")</f>
        <v>Jun 26</v>
      </c>
      <c r="D1893" s="2" t="s">
        <v>5</v>
      </c>
    </row>
    <row r="1894" spans="1:4" x14ac:dyDescent="0.35">
      <c r="A1894" s="5" t="str">
        <f t="shared" si="963"/>
        <v>MAG</v>
      </c>
      <c r="B1894" s="6" t="str">
        <f t="shared" si="975"/>
        <v># of pro-rated MDRT agents (50%-70%)</v>
      </c>
      <c r="C1894" s="4" t="str">
        <f>CHOOSE(2, "5462030031", "Jul 26")</f>
        <v>Jul 26</v>
      </c>
      <c r="D1894" s="2" t="s">
        <v>5</v>
      </c>
    </row>
    <row r="1895" spans="1:4" x14ac:dyDescent="0.35">
      <c r="A1895" s="5" t="str">
        <f t="shared" si="963"/>
        <v>MAG</v>
      </c>
      <c r="B1895" s="3" t="str">
        <f t="shared" ref="B1895:B1896" si="976">CHOOSE(2, "1395000000633", "# of pro-rated MDRT agents (&lt;50%)")</f>
        <v># of pro-rated MDRT agents (&lt;50%)</v>
      </c>
      <c r="C1895" s="4" t="str">
        <f>CHOOSE(2, "5461730030", "Jun 26")</f>
        <v>Jun 26</v>
      </c>
      <c r="D1895" s="2" t="s">
        <v>5</v>
      </c>
    </row>
    <row r="1896" spans="1:4" x14ac:dyDescent="0.35">
      <c r="A1896" s="5" t="str">
        <f t="shared" si="963"/>
        <v>MAG</v>
      </c>
      <c r="B1896" s="6" t="str">
        <f t="shared" si="976"/>
        <v># of pro-rated MDRT agents (&lt;50%)</v>
      </c>
      <c r="C1896" s="4" t="str">
        <f>CHOOSE(2, "5462030031", "Jul 26")</f>
        <v>Jul 26</v>
      </c>
      <c r="D1896" s="2" t="s">
        <v>5</v>
      </c>
    </row>
    <row r="1897" spans="1:4" x14ac:dyDescent="0.35">
      <c r="A1897" s="5" t="str">
        <f t="shared" si="963"/>
        <v>MAG</v>
      </c>
      <c r="B1897" s="3" t="str">
        <f t="shared" ref="B1897:B1898" si="977">CHOOSE(2, "1395000000632", "# of pro-rated MDRT agents (70-99%)")</f>
        <v># of pro-rated MDRT agents (70-99%)</v>
      </c>
      <c r="C1897" s="4" t="str">
        <f>CHOOSE(2, "5461730030", "Jun 26")</f>
        <v>Jun 26</v>
      </c>
      <c r="D1897" s="14">
        <v>43</v>
      </c>
    </row>
    <row r="1898" spans="1:4" x14ac:dyDescent="0.35">
      <c r="A1898" s="5" t="str">
        <f t="shared" si="963"/>
        <v>MAG</v>
      </c>
      <c r="B1898" s="6" t="str">
        <f t="shared" si="977"/>
        <v># of pro-rated MDRT agents (70-99%)</v>
      </c>
      <c r="C1898" s="4" t="str">
        <f>CHOOSE(2, "5462030031", "Jul 26")</f>
        <v>Jul 26</v>
      </c>
      <c r="D1898" s="14">
        <v>44</v>
      </c>
    </row>
    <row r="1899" spans="1:4" x14ac:dyDescent="0.35">
      <c r="A1899" s="5" t="str">
        <f t="shared" si="963"/>
        <v>MAG</v>
      </c>
      <c r="B1899" s="3" t="str">
        <f t="shared" ref="B1899:B1900" si="978">CHOOSE(2, "1395000000631", "# of pro-rated MDRT agents (50-69%)")</f>
        <v># of pro-rated MDRT agents (50-69%)</v>
      </c>
      <c r="C1899" s="4" t="str">
        <f>CHOOSE(2, "5461730030", "Jun 26")</f>
        <v>Jun 26</v>
      </c>
      <c r="D1899" s="14">
        <v>28</v>
      </c>
    </row>
    <row r="1900" spans="1:4" x14ac:dyDescent="0.35">
      <c r="A1900" s="5" t="str">
        <f t="shared" si="963"/>
        <v>MAG</v>
      </c>
      <c r="B1900" s="6" t="str">
        <f t="shared" si="978"/>
        <v># of pro-rated MDRT agents (50-69%)</v>
      </c>
      <c r="C1900" s="4" t="str">
        <f>CHOOSE(2, "5462030031", "Jul 26")</f>
        <v>Jul 26</v>
      </c>
      <c r="D1900" s="14">
        <v>36</v>
      </c>
    </row>
    <row r="1901" spans="1:4" x14ac:dyDescent="0.35">
      <c r="A1901" s="5" t="str">
        <f t="shared" si="963"/>
        <v>MAG</v>
      </c>
      <c r="B1901" s="3" t="str">
        <f t="shared" ref="B1901:B1902" si="979">CHOOSE(2, "1395000000630", "# of Top-tier agents")</f>
        <v># of Top-tier agents</v>
      </c>
      <c r="C1901" s="4" t="str">
        <f>CHOOSE(2, "5461730030", "Jun 26")</f>
        <v>Jun 26</v>
      </c>
      <c r="D1901" s="14">
        <v>268</v>
      </c>
    </row>
    <row r="1902" spans="1:4" x14ac:dyDescent="0.35">
      <c r="A1902" s="5" t="str">
        <f t="shared" si="963"/>
        <v>MAG</v>
      </c>
      <c r="B1902" s="6" t="str">
        <f t="shared" si="979"/>
        <v># of Top-tier agents</v>
      </c>
      <c r="C1902" s="4" t="str">
        <f>CHOOSE(2, "5462030031", "Jul 26")</f>
        <v>Jul 26</v>
      </c>
      <c r="D1902" s="14">
        <v>274</v>
      </c>
    </row>
    <row r="1903" spans="1:4" x14ac:dyDescent="0.35">
      <c r="A1903" s="5" t="str">
        <f t="shared" si="963"/>
        <v>MAG</v>
      </c>
      <c r="B1903" s="3" t="str">
        <f t="shared" ref="B1903:B1904" si="980">CHOOSE(2, "1395000000629", "$ APE from pro-rated MDRT agents (100%)")</f>
        <v>$ APE from pro-rated MDRT agents (100%)</v>
      </c>
      <c r="C1903" s="4" t="str">
        <f>CHOOSE(2, "5461730030", "Jun 26")</f>
        <v>Jun 26</v>
      </c>
      <c r="D1903" s="14">
        <v>12708772.59231</v>
      </c>
    </row>
    <row r="1904" spans="1:4" x14ac:dyDescent="0.35">
      <c r="A1904" s="5" t="str">
        <f t="shared" si="963"/>
        <v>MAG</v>
      </c>
      <c r="B1904" s="6" t="str">
        <f t="shared" si="980"/>
        <v>$ APE from pro-rated MDRT agents (100%)</v>
      </c>
      <c r="C1904" s="4" t="str">
        <f>CHOOSE(2, "5462030031", "Jul 26")</f>
        <v>Jul 26</v>
      </c>
      <c r="D1904" s="14">
        <v>7148663.2018299997</v>
      </c>
    </row>
    <row r="1905" spans="1:4" x14ac:dyDescent="0.35">
      <c r="A1905" s="5" t="str">
        <f t="shared" si="963"/>
        <v>MAG</v>
      </c>
      <c r="B1905" s="3" t="str">
        <f t="shared" ref="B1905:B1906" si="981">CHOOSE(2, "1395000000628", "$ APE from pro-rated MDRT agents (70-99%)")</f>
        <v>$ APE from pro-rated MDRT agents (70-99%)</v>
      </c>
      <c r="C1905" s="4" t="str">
        <f>CHOOSE(2, "5461730030", "Jun 26")</f>
        <v>Jun 26</v>
      </c>
      <c r="D1905" s="14">
        <v>456885.511658</v>
      </c>
    </row>
    <row r="1906" spans="1:4" x14ac:dyDescent="0.35">
      <c r="A1906" s="5" t="str">
        <f t="shared" si="963"/>
        <v>MAG</v>
      </c>
      <c r="B1906" s="6" t="str">
        <f t="shared" si="981"/>
        <v>$ APE from pro-rated MDRT agents (70-99%)</v>
      </c>
      <c r="C1906" s="4" t="str">
        <f>CHOOSE(2, "5462030031", "Jul 26")</f>
        <v>Jul 26</v>
      </c>
      <c r="D1906" s="14">
        <v>602314.55023599998</v>
      </c>
    </row>
    <row r="1907" spans="1:4" x14ac:dyDescent="0.35">
      <c r="A1907" s="5" t="str">
        <f t="shared" si="963"/>
        <v>MAG</v>
      </c>
      <c r="B1907" s="3" t="str">
        <f t="shared" ref="B1907:B1908" si="982">CHOOSE(2, "1395000000627", "$ APE from pro-rated MDRT agents (50-69%)")</f>
        <v>$ APE from pro-rated MDRT agents (50-69%)</v>
      </c>
      <c r="C1907" s="4" t="str">
        <f>CHOOSE(2, "5461730030", "Jun 26")</f>
        <v>Jun 26</v>
      </c>
      <c r="D1907" s="14">
        <v>363205.18470699998</v>
      </c>
    </row>
    <row r="1908" spans="1:4" x14ac:dyDescent="0.35">
      <c r="A1908" s="5" t="str">
        <f t="shared" si="963"/>
        <v>MAG</v>
      </c>
      <c r="B1908" s="6" t="str">
        <f t="shared" si="982"/>
        <v>$ APE from pro-rated MDRT agents (50-69%)</v>
      </c>
      <c r="C1908" s="4" t="str">
        <f>CHOOSE(2, "5462030031", "Jul 26")</f>
        <v>Jul 26</v>
      </c>
      <c r="D1908" s="14">
        <v>263433.05549599999</v>
      </c>
    </row>
    <row r="1909" spans="1:4" x14ac:dyDescent="0.35">
      <c r="A1909" s="5" t="str">
        <f t="shared" si="963"/>
        <v>MAG</v>
      </c>
      <c r="B1909" s="3" t="str">
        <f t="shared" ref="B1909:B1910" si="983">CHOOSE(2, "1395000000626", "$ APE from Top-tier agents")</f>
        <v>$ APE from Top-tier agents</v>
      </c>
      <c r="C1909" s="4" t="str">
        <f>CHOOSE(2, "5461730030", "Jun 26")</f>
        <v>Jun 26</v>
      </c>
      <c r="D1909" s="14">
        <v>13528863.288675999</v>
      </c>
    </row>
    <row r="1910" spans="1:4" x14ac:dyDescent="0.35">
      <c r="A1910" s="5" t="str">
        <f t="shared" si="963"/>
        <v>MAG</v>
      </c>
      <c r="B1910" s="6" t="str">
        <f t="shared" si="983"/>
        <v>$ APE from Top-tier agents</v>
      </c>
      <c r="C1910" s="4" t="str">
        <f>CHOOSE(2, "5462030031", "Jul 26")</f>
        <v>Jul 26</v>
      </c>
      <c r="D1910" s="14">
        <v>8014410.8075630004</v>
      </c>
    </row>
    <row r="1911" spans="1:4" x14ac:dyDescent="0.35">
      <c r="A1911" s="5" t="str">
        <f t="shared" si="963"/>
        <v>MAG</v>
      </c>
      <c r="B1911" s="3" t="str">
        <f t="shared" ref="B1911:B1912" si="984">CHOOSE(2, "1395000000625", "# of MDRT qualifiers - YTD")</f>
        <v># of MDRT qualifiers - YTD</v>
      </c>
      <c r="C1911" s="4" t="str">
        <f>CHOOSE(2, "5461730030", "Jun 26")</f>
        <v>Jun 26</v>
      </c>
      <c r="D1911" s="14">
        <v>118</v>
      </c>
    </row>
    <row r="1912" spans="1:4" x14ac:dyDescent="0.35">
      <c r="A1912" s="5" t="str">
        <f t="shared" si="963"/>
        <v>MAG</v>
      </c>
      <c r="B1912" s="6" t="str">
        <f t="shared" si="984"/>
        <v># of MDRT qualifiers - YTD</v>
      </c>
      <c r="C1912" s="4" t="str">
        <f>CHOOSE(2, "5462030031", "Jul 26")</f>
        <v>Jul 26</v>
      </c>
      <c r="D1912" s="14">
        <v>130</v>
      </c>
    </row>
    <row r="1913" spans="1:4" x14ac:dyDescent="0.35">
      <c r="A1913" s="5" t="str">
        <f t="shared" si="963"/>
        <v>MAG</v>
      </c>
      <c r="B1913" s="3" t="str">
        <f t="shared" ref="B1913:B1914" si="985">CHOOSE(2, "1395000000624", "# of MDRT COT qualifiers - YTD")</f>
        <v># of MDRT COT qualifiers - YTD</v>
      </c>
      <c r="C1913" s="4" t="str">
        <f>CHOOSE(2, "5461730030", "Jun 26")</f>
        <v>Jun 26</v>
      </c>
      <c r="D1913" s="14">
        <v>18</v>
      </c>
    </row>
    <row r="1914" spans="1:4" x14ac:dyDescent="0.35">
      <c r="A1914" s="5" t="str">
        <f t="shared" si="963"/>
        <v>MAG</v>
      </c>
      <c r="B1914" s="6" t="str">
        <f t="shared" si="985"/>
        <v># of MDRT COT qualifiers - YTD</v>
      </c>
      <c r="C1914" s="4" t="str">
        <f>CHOOSE(2, "5462030031", "Jul 26")</f>
        <v>Jul 26</v>
      </c>
      <c r="D1914" s="14">
        <v>25</v>
      </c>
    </row>
    <row r="1915" spans="1:4" x14ac:dyDescent="0.35">
      <c r="A1915" s="5" t="str">
        <f t="shared" si="963"/>
        <v>MAG</v>
      </c>
      <c r="B1915" s="3" t="str">
        <f t="shared" ref="B1915:B1916" si="986">CHOOSE(2, "1395000000623", "# of MDRT TOT qualifiers - YTD")</f>
        <v># of MDRT TOT qualifiers - YTD</v>
      </c>
      <c r="C1915" s="4" t="str">
        <f>CHOOSE(2, "5461730030", "Jun 26")</f>
        <v>Jun 26</v>
      </c>
      <c r="D1915" s="14">
        <v>8</v>
      </c>
    </row>
    <row r="1916" spans="1:4" x14ac:dyDescent="0.35">
      <c r="A1916" s="5" t="str">
        <f t="shared" si="963"/>
        <v>MAG</v>
      </c>
      <c r="B1916" s="6" t="str">
        <f t="shared" si="986"/>
        <v># of MDRT TOT qualifiers - YTD</v>
      </c>
      <c r="C1916" s="4" t="str">
        <f>CHOOSE(2, "5462030031", "Jul 26")</f>
        <v>Jul 26</v>
      </c>
      <c r="D1916" s="14">
        <v>8</v>
      </c>
    </row>
    <row r="1917" spans="1:4" x14ac:dyDescent="0.35">
      <c r="A1917" s="5" t="str">
        <f t="shared" si="963"/>
        <v>MAG</v>
      </c>
      <c r="B1917" s="3" t="str">
        <f t="shared" ref="B1917:B1918" si="987">CHOOSE(2, "1395000000622", "Manulife Pro Qualifiers - Total")</f>
        <v>Manulife Pro Qualifiers - Total</v>
      </c>
      <c r="C1917" s="4" t="str">
        <f>CHOOSE(2, "5461730030", "Jun 26")</f>
        <v>Jun 26</v>
      </c>
      <c r="D1917" s="14">
        <v>31</v>
      </c>
    </row>
    <row r="1918" spans="1:4" x14ac:dyDescent="0.35">
      <c r="A1918" s="5" t="str">
        <f t="shared" si="963"/>
        <v>MAG</v>
      </c>
      <c r="B1918" s="6" t="str">
        <f t="shared" si="987"/>
        <v>Manulife Pro Qualifiers - Total</v>
      </c>
      <c r="C1918" s="4" t="str">
        <f>CHOOSE(2, "5462030031", "Jul 26")</f>
        <v>Jul 26</v>
      </c>
      <c r="D1918" s="14">
        <v>31</v>
      </c>
    </row>
    <row r="1919" spans="1:4" x14ac:dyDescent="0.35">
      <c r="A1919" s="5" t="str">
        <f t="shared" si="963"/>
        <v>MAG</v>
      </c>
      <c r="B1919" s="3" t="str">
        <f t="shared" ref="B1919:B1920" si="988">CHOOSE(2, "1395000000621", "Manulife Pro Qualifiers - Silver")</f>
        <v>Manulife Pro Qualifiers - Silver</v>
      </c>
      <c r="C1919" s="4" t="str">
        <f>CHOOSE(2, "5461730030", "Jun 26")</f>
        <v>Jun 26</v>
      </c>
      <c r="D1919" s="2" t="s">
        <v>5</v>
      </c>
    </row>
    <row r="1920" spans="1:4" x14ac:dyDescent="0.35">
      <c r="A1920" s="5" t="str">
        <f t="shared" si="963"/>
        <v>MAG</v>
      </c>
      <c r="B1920" s="6" t="str">
        <f t="shared" si="988"/>
        <v>Manulife Pro Qualifiers - Silver</v>
      </c>
      <c r="C1920" s="4" t="str">
        <f>CHOOSE(2, "5462030031", "Jul 26")</f>
        <v>Jul 26</v>
      </c>
      <c r="D1920" s="2" t="s">
        <v>5</v>
      </c>
    </row>
    <row r="1921" spans="1:4" x14ac:dyDescent="0.35">
      <c r="A1921" s="5" t="str">
        <f t="shared" si="963"/>
        <v>MAG</v>
      </c>
      <c r="B1921" s="3" t="str">
        <f t="shared" ref="B1921:B1922" si="989">CHOOSE(2, "1395000000620", "Manulife Pro Qualifiers - Gold")</f>
        <v>Manulife Pro Qualifiers - Gold</v>
      </c>
      <c r="C1921" s="4" t="str">
        <f>CHOOSE(2, "5461730030", "Jun 26")</f>
        <v>Jun 26</v>
      </c>
      <c r="D1921" s="2" t="s">
        <v>5</v>
      </c>
    </row>
    <row r="1922" spans="1:4" x14ac:dyDescent="0.35">
      <c r="A1922" s="5" t="str">
        <f t="shared" si="963"/>
        <v>MAG</v>
      </c>
      <c r="B1922" s="6" t="str">
        <f t="shared" si="989"/>
        <v>Manulife Pro Qualifiers - Gold</v>
      </c>
      <c r="C1922" s="4" t="str">
        <f>CHOOSE(2, "5462030031", "Jul 26")</f>
        <v>Jul 26</v>
      </c>
      <c r="D1922" s="2" t="s">
        <v>5</v>
      </c>
    </row>
    <row r="1923" spans="1:4" x14ac:dyDescent="0.35">
      <c r="A1923" s="5" t="str">
        <f t="shared" si="963"/>
        <v>MAG</v>
      </c>
      <c r="B1923" s="3" t="str">
        <f t="shared" ref="B1923:B1924" si="990">CHOOSE(2, "1395000000619", "Manulife Pro Qualifiers  - Platinum")</f>
        <v>Manulife Pro Qualifiers  - Platinum</v>
      </c>
      <c r="C1923" s="4" t="str">
        <f>CHOOSE(2, "5461730030", "Jun 26")</f>
        <v>Jun 26</v>
      </c>
      <c r="D1923" s="2" t="s">
        <v>5</v>
      </c>
    </row>
    <row r="1924" spans="1:4" x14ac:dyDescent="0.35">
      <c r="A1924" s="5" t="str">
        <f t="shared" si="963"/>
        <v>MAG</v>
      </c>
      <c r="B1924" s="6" t="str">
        <f t="shared" si="990"/>
        <v>Manulife Pro Qualifiers  - Platinum</v>
      </c>
      <c r="C1924" s="4" t="str">
        <f>CHOOSE(2, "5462030031", "Jul 26")</f>
        <v>Jul 26</v>
      </c>
      <c r="D1924" s="2" t="s">
        <v>5</v>
      </c>
    </row>
    <row r="1925" spans="1:4" x14ac:dyDescent="0.35">
      <c r="A1925" s="5" t="str">
        <f t="shared" si="963"/>
        <v>MAG</v>
      </c>
      <c r="B1925" s="3" t="str">
        <f t="shared" ref="B1925:B1926" si="991">CHOOSE(2, "1395000000618", "$ APE from Manulife Pro - Total")</f>
        <v>$ APE from Manulife Pro - Total</v>
      </c>
      <c r="C1925" s="4" t="str">
        <f>CHOOSE(2, "5461730030", "Jun 26")</f>
        <v>Jun 26</v>
      </c>
      <c r="D1925" s="14">
        <v>0</v>
      </c>
    </row>
    <row r="1926" spans="1:4" x14ac:dyDescent="0.35">
      <c r="A1926" s="5" t="str">
        <f t="shared" si="963"/>
        <v>MAG</v>
      </c>
      <c r="B1926" s="6" t="str">
        <f t="shared" si="991"/>
        <v>$ APE from Manulife Pro - Total</v>
      </c>
      <c r="C1926" s="4" t="str">
        <f>CHOOSE(2, "5462030031", "Jul 26")</f>
        <v>Jul 26</v>
      </c>
      <c r="D1926" s="14">
        <v>0</v>
      </c>
    </row>
    <row r="1927" spans="1:4" x14ac:dyDescent="0.35">
      <c r="A1927" s="5" t="str">
        <f t="shared" si="963"/>
        <v>MAG</v>
      </c>
      <c r="B1927" s="3" t="str">
        <f t="shared" ref="B1927:B1928" si="992">CHOOSE(2, "1395000000617", "$ APE from Manulife Pro - Silver")</f>
        <v>$ APE from Manulife Pro - Silver</v>
      </c>
      <c r="C1927" s="4" t="str">
        <f>CHOOSE(2, "5461730030", "Jun 26")</f>
        <v>Jun 26</v>
      </c>
      <c r="D1927" s="2" t="s">
        <v>5</v>
      </c>
    </row>
    <row r="1928" spans="1:4" x14ac:dyDescent="0.35">
      <c r="A1928" s="5" t="str">
        <f t="shared" si="963"/>
        <v>MAG</v>
      </c>
      <c r="B1928" s="6" t="str">
        <f t="shared" si="992"/>
        <v>$ APE from Manulife Pro - Silver</v>
      </c>
      <c r="C1928" s="4" t="str">
        <f>CHOOSE(2, "5462030031", "Jul 26")</f>
        <v>Jul 26</v>
      </c>
      <c r="D1928" s="2" t="s">
        <v>5</v>
      </c>
    </row>
    <row r="1929" spans="1:4" x14ac:dyDescent="0.35">
      <c r="A1929" s="5" t="str">
        <f t="shared" si="963"/>
        <v>MAG</v>
      </c>
      <c r="B1929" s="3" t="str">
        <f t="shared" ref="B1929:B1930" si="993">CHOOSE(2, "1395000000616", "$ APE from Manulife Pro - Gold")</f>
        <v>$ APE from Manulife Pro - Gold</v>
      </c>
      <c r="C1929" s="4" t="str">
        <f>CHOOSE(2, "5461730030", "Jun 26")</f>
        <v>Jun 26</v>
      </c>
      <c r="D1929" s="2" t="s">
        <v>5</v>
      </c>
    </row>
    <row r="1930" spans="1:4" x14ac:dyDescent="0.35">
      <c r="A1930" s="5" t="str">
        <f t="shared" si="963"/>
        <v>MAG</v>
      </c>
      <c r="B1930" s="6" t="str">
        <f t="shared" si="993"/>
        <v>$ APE from Manulife Pro - Gold</v>
      </c>
      <c r="C1930" s="4" t="str">
        <f>CHOOSE(2, "5462030031", "Jul 26")</f>
        <v>Jul 26</v>
      </c>
      <c r="D1930" s="2" t="s">
        <v>5</v>
      </c>
    </row>
    <row r="1931" spans="1:4" x14ac:dyDescent="0.35">
      <c r="A1931" s="5" t="str">
        <f t="shared" si="963"/>
        <v>MAG</v>
      </c>
      <c r="B1931" s="3" t="str">
        <f t="shared" ref="B1931:B1932" si="994">CHOOSE(2, "1395000000615", "$ APE from Manulife Pro  - Platinum")</f>
        <v>$ APE from Manulife Pro  - Platinum</v>
      </c>
      <c r="C1931" s="4" t="str">
        <f>CHOOSE(2, "5461730030", "Jun 26")</f>
        <v>Jun 26</v>
      </c>
      <c r="D1931" s="2" t="s">
        <v>5</v>
      </c>
    </row>
    <row r="1932" spans="1:4" x14ac:dyDescent="0.35">
      <c r="A1932" s="5" t="str">
        <f t="shared" si="963"/>
        <v>MAG</v>
      </c>
      <c r="B1932" s="6" t="str">
        <f t="shared" si="994"/>
        <v>$ APE from Manulife Pro  - Platinum</v>
      </c>
      <c r="C1932" s="4" t="str">
        <f>CHOOSE(2, "5462030031", "Jul 26")</f>
        <v>Jul 26</v>
      </c>
      <c r="D1932" s="2" t="s">
        <v>5</v>
      </c>
    </row>
    <row r="1933" spans="1:4" x14ac:dyDescent="0.35">
      <c r="A1933" s="5" t="str">
        <f t="shared" si="963"/>
        <v>MAG</v>
      </c>
      <c r="B1933" s="3" t="str">
        <f t="shared" ref="B1933:B1934" si="995">CHOOSE(2, "1395000000614", "Issued APE")</f>
        <v>Issued APE</v>
      </c>
      <c r="C1933" s="4" t="str">
        <f>CHOOSE(2, "5461730030", "Jun 26")</f>
        <v>Jun 26</v>
      </c>
      <c r="D1933" s="14">
        <v>14047715.636923119</v>
      </c>
    </row>
    <row r="1934" spans="1:4" x14ac:dyDescent="0.35">
      <c r="A1934" s="5" t="str">
        <f t="shared" si="963"/>
        <v>MAG</v>
      </c>
      <c r="B1934" s="6" t="str">
        <f t="shared" si="995"/>
        <v>Issued APE</v>
      </c>
      <c r="C1934" s="4" t="str">
        <f>CHOOSE(2, "5462030031", "Jul 26")</f>
        <v>Jul 26</v>
      </c>
      <c r="D1934" s="14">
        <v>8811161.4921845589</v>
      </c>
    </row>
    <row r="1935" spans="1:4" x14ac:dyDescent="0.35">
      <c r="A1935" s="5" t="str">
        <f t="shared" ref="A1935:A1998" si="996">CHOOSE(2, "1260000000002", "MAG")</f>
        <v>MAG</v>
      </c>
      <c r="B1935" s="3" t="str">
        <f t="shared" ref="B1935:B1936" si="997">CHOOSE(2, "1395000000613", "Post-MI APE")</f>
        <v>Post-MI APE</v>
      </c>
      <c r="C1935" s="4" t="str">
        <f>CHOOSE(2, "5461730030", "Jun 26")</f>
        <v>Jun 26</v>
      </c>
      <c r="D1935" s="14">
        <v>14047715.636923119</v>
      </c>
    </row>
    <row r="1936" spans="1:4" x14ac:dyDescent="0.35">
      <c r="A1936" s="5" t="str">
        <f t="shared" si="996"/>
        <v>MAG</v>
      </c>
      <c r="B1936" s="6" t="str">
        <f t="shared" si="997"/>
        <v>Post-MI APE</v>
      </c>
      <c r="C1936" s="4" t="str">
        <f>CHOOSE(2, "5462030031", "Jul 26")</f>
        <v>Jul 26</v>
      </c>
      <c r="D1936" s="14">
        <v>8811161.4921845589</v>
      </c>
    </row>
    <row r="1937" spans="1:4" x14ac:dyDescent="0.35">
      <c r="A1937" s="5" t="str">
        <f t="shared" si="996"/>
        <v>MAG</v>
      </c>
      <c r="B1937" s="3" t="str">
        <f t="shared" ref="B1937:B1938" si="998">CHOOSE(2, "1395000000610", "Pre-gap NBV")</f>
        <v>Pre-gap NBV</v>
      </c>
      <c r="C1937" s="4" t="str">
        <f>CHOOSE(2, "5461730030", "Jun 26")</f>
        <v>Jun 26</v>
      </c>
      <c r="D1937" s="14">
        <v>3349804.5302541601</v>
      </c>
    </row>
    <row r="1938" spans="1:4" x14ac:dyDescent="0.35">
      <c r="A1938" s="5" t="str">
        <f t="shared" si="996"/>
        <v>MAG</v>
      </c>
      <c r="B1938" s="6" t="str">
        <f t="shared" si="998"/>
        <v>Pre-gap NBV</v>
      </c>
      <c r="C1938" s="4" t="str">
        <f>CHOOSE(2, "5462030031", "Jul 26")</f>
        <v>Jul 26</v>
      </c>
      <c r="D1938" s="14">
        <v>1915761.4256744001</v>
      </c>
    </row>
    <row r="1939" spans="1:4" x14ac:dyDescent="0.35">
      <c r="A1939" s="5" t="str">
        <f t="shared" si="996"/>
        <v>MAG</v>
      </c>
      <c r="B1939" s="3" t="str">
        <f t="shared" ref="B1939:B1940" si="999">CHOOSE(2, "1395000000609", "Pre-gap NBV Margin %")</f>
        <v>Pre-gap NBV Margin %</v>
      </c>
      <c r="C1939" s="4" t="str">
        <f>CHOOSE(2, "5461730030", "Jun 26")</f>
        <v>Jun 26</v>
      </c>
      <c r="D1939" s="14">
        <v>0.238459021867549</v>
      </c>
    </row>
    <row r="1940" spans="1:4" x14ac:dyDescent="0.35">
      <c r="A1940" s="5" t="str">
        <f t="shared" si="996"/>
        <v>MAG</v>
      </c>
      <c r="B1940" s="6" t="str">
        <f t="shared" si="999"/>
        <v>Pre-gap NBV Margin %</v>
      </c>
      <c r="C1940" s="4" t="str">
        <f>CHOOSE(2, "5462030031", "Jul 26")</f>
        <v>Jul 26</v>
      </c>
      <c r="D1940" s="14">
        <v>0.21742439148047255</v>
      </c>
    </row>
    <row r="1941" spans="1:4" x14ac:dyDescent="0.35">
      <c r="A1941" s="5" t="str">
        <f t="shared" si="996"/>
        <v>MAG</v>
      </c>
      <c r="B1941" s="3" t="str">
        <f t="shared" ref="B1941:B1942" si="1000">CHOOSE(2, "1395000000608", "Post-gap NBV")</f>
        <v>Post-gap NBV</v>
      </c>
      <c r="C1941" s="4" t="str">
        <f>CHOOSE(2, "5461730030", "Jun 26")</f>
        <v>Jun 26</v>
      </c>
      <c r="D1941" s="14">
        <v>3349804.5302541601</v>
      </c>
    </row>
    <row r="1942" spans="1:4" x14ac:dyDescent="0.35">
      <c r="A1942" s="5" t="str">
        <f t="shared" si="996"/>
        <v>MAG</v>
      </c>
      <c r="B1942" s="6" t="str">
        <f t="shared" si="1000"/>
        <v>Post-gap NBV</v>
      </c>
      <c r="C1942" s="4" t="str">
        <f>CHOOSE(2, "5462030031", "Jul 26")</f>
        <v>Jul 26</v>
      </c>
      <c r="D1942" s="14">
        <v>1915761.4256744001</v>
      </c>
    </row>
    <row r="1943" spans="1:4" x14ac:dyDescent="0.35">
      <c r="A1943" s="5" t="str">
        <f t="shared" si="996"/>
        <v>MAG</v>
      </c>
      <c r="B1943" s="3" t="str">
        <f t="shared" ref="B1943:B1944" si="1001">CHOOSE(2, "1395000000607", "Post-gap NBV Margin %")</f>
        <v>Post-gap NBV Margin %</v>
      </c>
      <c r="C1943" s="4" t="str">
        <f>CHOOSE(2, "5461730030", "Jun 26")</f>
        <v>Jun 26</v>
      </c>
      <c r="D1943" s="14">
        <v>0.238459021867549</v>
      </c>
    </row>
    <row r="1944" spans="1:4" x14ac:dyDescent="0.35">
      <c r="A1944" s="5" t="str">
        <f t="shared" si="996"/>
        <v>MAG</v>
      </c>
      <c r="B1944" s="6" t="str">
        <f t="shared" si="1001"/>
        <v>Post-gap NBV Margin %</v>
      </c>
      <c r="C1944" s="4" t="str">
        <f>CHOOSE(2, "5462030031", "Jul 26")</f>
        <v>Jul 26</v>
      </c>
      <c r="D1944" s="14">
        <v>0.21742439148047255</v>
      </c>
    </row>
    <row r="1945" spans="1:4" x14ac:dyDescent="0.35">
      <c r="A1945" s="5" t="str">
        <f t="shared" si="996"/>
        <v>MAG</v>
      </c>
      <c r="B1945" s="3" t="str">
        <f t="shared" ref="B1945:B1946" si="1002">CHOOSE(2, "1395000000606", "NB CSM")</f>
        <v>NB CSM</v>
      </c>
      <c r="C1945" s="4" t="str">
        <f>CHOOSE(2, "5461730030", "Jun 26")</f>
        <v>Jun 26</v>
      </c>
      <c r="D1945" s="14">
        <v>3695024.3415768803</v>
      </c>
    </row>
    <row r="1946" spans="1:4" x14ac:dyDescent="0.35">
      <c r="A1946" s="5" t="str">
        <f t="shared" si="996"/>
        <v>MAG</v>
      </c>
      <c r="B1946" s="6" t="str">
        <f t="shared" si="1002"/>
        <v>NB CSM</v>
      </c>
      <c r="C1946" s="4" t="str">
        <f>CHOOSE(2, "5462030031", "Jul 26")</f>
        <v>Jul 26</v>
      </c>
      <c r="D1946" s="14">
        <v>2190102.7226241599</v>
      </c>
    </row>
    <row r="1947" spans="1:4" x14ac:dyDescent="0.35">
      <c r="A1947" s="5" t="str">
        <f t="shared" si="996"/>
        <v>MAG</v>
      </c>
      <c r="B1947" s="3" t="str">
        <f t="shared" ref="B1947:B1948" si="1003">CHOOSE(2, "1395000000605", "NB CSM Margin %")</f>
        <v>NB CSM Margin %</v>
      </c>
      <c r="C1947" s="4" t="str">
        <f>CHOOSE(2, "5461730030", "Jun 26")</f>
        <v>Jun 26</v>
      </c>
      <c r="D1947" s="14">
        <v>0.26303382251451979</v>
      </c>
    </row>
    <row r="1948" spans="1:4" x14ac:dyDescent="0.35">
      <c r="A1948" s="5" t="str">
        <f t="shared" si="996"/>
        <v>MAG</v>
      </c>
      <c r="B1948" s="6" t="str">
        <f t="shared" si="1003"/>
        <v>NB CSM Margin %</v>
      </c>
      <c r="C1948" s="4" t="str">
        <f>CHOOSE(2, "5462030031", "Jul 26")</f>
        <v>Jul 26</v>
      </c>
      <c r="D1948" s="14">
        <v>0.24856004790818625</v>
      </c>
    </row>
    <row r="1949" spans="1:4" x14ac:dyDescent="0.35">
      <c r="A1949" s="5" t="str">
        <f t="shared" si="996"/>
        <v>MAG</v>
      </c>
      <c r="B1949" s="3" t="str">
        <f t="shared" ref="B1949:B1950" si="1004">CHOOSE(2, "1395000000604", "PRE")</f>
        <v>PRE</v>
      </c>
      <c r="C1949" s="4" t="str">
        <f>CHOOSE(2, "5461730030", "Jun 26")</f>
        <v>Jun 26</v>
      </c>
      <c r="D1949" s="14">
        <v>2826949.7450106153</v>
      </c>
    </row>
    <row r="1950" spans="1:4" x14ac:dyDescent="0.35">
      <c r="A1950" s="5" t="str">
        <f t="shared" si="996"/>
        <v>MAG</v>
      </c>
      <c r="B1950" s="6" t="str">
        <f t="shared" si="1004"/>
        <v>PRE</v>
      </c>
      <c r="C1950" s="4" t="str">
        <f>CHOOSE(2, "5462030031", "Jul 26")</f>
        <v>Jul 26</v>
      </c>
      <c r="D1950" s="14">
        <v>2837010.0643878765</v>
      </c>
    </row>
    <row r="1951" spans="1:4" x14ac:dyDescent="0.35">
      <c r="A1951" s="5" t="str">
        <f t="shared" si="996"/>
        <v>MAG</v>
      </c>
      <c r="B1951" s="3" t="str">
        <f t="shared" ref="B1951:B1952" si="1005">CHOOSE(2, "1395000000603", "ContEx")</f>
        <v>ContEx</v>
      </c>
      <c r="C1951" s="4" t="str">
        <f>CHOOSE(2, "5461730030", "Jun 26")</f>
        <v>Jun 26</v>
      </c>
      <c r="D1951" s="14">
        <v>0</v>
      </c>
    </row>
    <row r="1952" spans="1:4" x14ac:dyDescent="0.35">
      <c r="A1952" s="5" t="str">
        <f t="shared" si="996"/>
        <v>MAG</v>
      </c>
      <c r="B1952" s="6" t="str">
        <f t="shared" si="1005"/>
        <v>ContEx</v>
      </c>
      <c r="C1952" s="4" t="str">
        <f>CHOOSE(2, "5462030031", "Jul 26")</f>
        <v>Jul 26</v>
      </c>
      <c r="D1952" s="14">
        <v>0</v>
      </c>
    </row>
    <row r="1953" spans="1:4" x14ac:dyDescent="0.35">
      <c r="A1953" s="5" t="str">
        <f t="shared" si="996"/>
        <v>MAG</v>
      </c>
      <c r="B1953" s="3" t="str">
        <f t="shared" ref="B1953:B1954" si="1006">CHOOSE(2, "1395000000602", "% of 6-90 agents")</f>
        <v>% of 6-90 agents</v>
      </c>
      <c r="C1953" s="4" t="str">
        <f>CHOOSE(2, "5461730030", "Jun 26")</f>
        <v>Jun 26</v>
      </c>
      <c r="D1953" s="14">
        <v>0.16666666666666666</v>
      </c>
    </row>
    <row r="1954" spans="1:4" x14ac:dyDescent="0.35">
      <c r="A1954" s="5" t="str">
        <f t="shared" si="996"/>
        <v>MAG</v>
      </c>
      <c r="B1954" s="6" t="str">
        <f t="shared" si="1006"/>
        <v>% of 6-90 agents</v>
      </c>
      <c r="C1954" s="4" t="str">
        <f>CHOOSE(2, "5462030031", "Jul 26")</f>
        <v>Jul 26</v>
      </c>
      <c r="D1954" s="14">
        <v>0.18181818181818182</v>
      </c>
    </row>
    <row r="1955" spans="1:4" x14ac:dyDescent="0.35">
      <c r="A1955" s="5" t="str">
        <f t="shared" si="996"/>
        <v>MAG</v>
      </c>
      <c r="B1955" s="3" t="str">
        <f t="shared" ref="B1955:B1956" si="1007">CHOOSE(2, "1395000000601", "New Recruits 3M Activation Rate")</f>
        <v>New Recruits 3M Activation Rate</v>
      </c>
      <c r="C1955" s="4" t="str">
        <f>CHOOSE(2, "5461730030", "Jun 26")</f>
        <v>Jun 26</v>
      </c>
      <c r="D1955" s="14">
        <v>0.8571428571428571</v>
      </c>
    </row>
    <row r="1956" spans="1:4" x14ac:dyDescent="0.35">
      <c r="A1956" s="5" t="str">
        <f t="shared" si="996"/>
        <v>MAG</v>
      </c>
      <c r="B1956" s="6" t="str">
        <f t="shared" si="1007"/>
        <v>New Recruits 3M Activation Rate</v>
      </c>
      <c r="C1956" s="4" t="str">
        <f>CHOOSE(2, "5462030031", "Jul 26")</f>
        <v>Jul 26</v>
      </c>
      <c r="D1956" s="14">
        <v>0.41666666666666669</v>
      </c>
    </row>
    <row r="1957" spans="1:4" x14ac:dyDescent="0.35">
      <c r="A1957" s="5" t="str">
        <f t="shared" si="996"/>
        <v>MAG</v>
      </c>
      <c r="B1957" s="3" t="str">
        <f t="shared" ref="B1957:B1958" si="1008">CHOOSE(2, "1395000000600", "No. of Recruits from leaders")</f>
        <v>No. of Recruits from leaders</v>
      </c>
      <c r="C1957" s="4" t="str">
        <f>CHOOSE(2, "5461730030", "Jun 26")</f>
        <v>Jun 26</v>
      </c>
      <c r="D1957" s="2" t="s">
        <v>5</v>
      </c>
    </row>
    <row r="1958" spans="1:4" x14ac:dyDescent="0.35">
      <c r="A1958" s="5" t="str">
        <f t="shared" si="996"/>
        <v>MAG</v>
      </c>
      <c r="B1958" s="6" t="str">
        <f t="shared" si="1008"/>
        <v>No. of Recruits from leaders</v>
      </c>
      <c r="C1958" s="4" t="str">
        <f>CHOOSE(2, "5462030031", "Jul 26")</f>
        <v>Jul 26</v>
      </c>
      <c r="D1958" s="2" t="s">
        <v>5</v>
      </c>
    </row>
    <row r="1959" spans="1:4" x14ac:dyDescent="0.35">
      <c r="A1959" s="5" t="str">
        <f t="shared" si="996"/>
        <v>MAG</v>
      </c>
      <c r="B1959" s="3" t="str">
        <f t="shared" ref="B1959:B1960" si="1009">CHOOSE(2, "1395000000599", "No. of Recruits per Active Recruiting Leader per month")</f>
        <v>No. of Recruits per Active Recruiting Leader per month</v>
      </c>
      <c r="C1959" s="4" t="str">
        <f>CHOOSE(2, "5461730030", "Jun 26")</f>
        <v>Jun 26</v>
      </c>
      <c r="D1959" s="14">
        <v>0</v>
      </c>
    </row>
    <row r="1960" spans="1:4" x14ac:dyDescent="0.35">
      <c r="A1960" s="5" t="str">
        <f t="shared" si="996"/>
        <v>MAG</v>
      </c>
      <c r="B1960" s="6" t="str">
        <f t="shared" si="1009"/>
        <v>No. of Recruits per Active Recruiting Leader per month</v>
      </c>
      <c r="C1960" s="4" t="str">
        <f>CHOOSE(2, "5462030031", "Jul 26")</f>
        <v>Jul 26</v>
      </c>
      <c r="D1960" s="14">
        <v>0</v>
      </c>
    </row>
    <row r="1961" spans="1:4" x14ac:dyDescent="0.35">
      <c r="A1961" s="5" t="str">
        <f t="shared" si="996"/>
        <v>MAG</v>
      </c>
      <c r="B1961" s="3" t="str">
        <f t="shared" ref="B1961:B1962" si="1010">CHOOSE(2, "1395000000598", "PRE as % of APE")</f>
        <v>PRE as % of APE</v>
      </c>
      <c r="C1961" s="4" t="str">
        <f>CHOOSE(2, "5461730030", "Jun 26")</f>
        <v>Jun 26</v>
      </c>
      <c r="D1961" s="14">
        <v>0.20123910663312686</v>
      </c>
    </row>
    <row r="1962" spans="1:4" x14ac:dyDescent="0.35">
      <c r="A1962" s="5" t="str">
        <f t="shared" si="996"/>
        <v>MAG</v>
      </c>
      <c r="B1962" s="6" t="str">
        <f t="shared" si="1010"/>
        <v>PRE as % of APE</v>
      </c>
      <c r="C1962" s="4" t="str">
        <f>CHOOSE(2, "5462030031", "Jul 26")</f>
        <v>Jul 26</v>
      </c>
      <c r="D1962" s="14">
        <v>0.32197912464824135</v>
      </c>
    </row>
    <row r="1963" spans="1:4" x14ac:dyDescent="0.35">
      <c r="A1963" s="5" t="str">
        <f t="shared" si="996"/>
        <v>MAG</v>
      </c>
      <c r="B1963" s="3" t="str">
        <f t="shared" ref="B1963:B1964" si="1011">CHOOSE(2, "1395000000597", "ContEx as % of APE")</f>
        <v>ContEx as % of APE</v>
      </c>
      <c r="C1963" s="4" t="str">
        <f>CHOOSE(2, "5461730030", "Jun 26")</f>
        <v>Jun 26</v>
      </c>
      <c r="D1963" s="14">
        <v>0</v>
      </c>
    </row>
    <row r="1964" spans="1:4" x14ac:dyDescent="0.35">
      <c r="A1964" s="5" t="str">
        <f t="shared" si="996"/>
        <v>MAG</v>
      </c>
      <c r="B1964" s="6" t="str">
        <f t="shared" si="1011"/>
        <v>ContEx as % of APE</v>
      </c>
      <c r="C1964" s="4" t="str">
        <f>CHOOSE(2, "5462030031", "Jul 26")</f>
        <v>Jul 26</v>
      </c>
      <c r="D1964" s="14">
        <v>0</v>
      </c>
    </row>
    <row r="1965" spans="1:4" x14ac:dyDescent="0.35">
      <c r="A1965" s="5" t="str">
        <f t="shared" si="996"/>
        <v>MAG</v>
      </c>
      <c r="B1965" s="3" t="str">
        <f t="shared" ref="B1965:B1966" si="1012">CHOOSE(2, "1395000000596", "% of 1-Month Active Agents")</f>
        <v>% of 1-Month Active Agents</v>
      </c>
      <c r="C1965" s="4" t="str">
        <f>CHOOSE(2, "5461730030", "Jun 26")</f>
        <v>Jun 26</v>
      </c>
      <c r="D1965" s="14">
        <v>0.57482993197278909</v>
      </c>
    </row>
    <row r="1966" spans="1:4" x14ac:dyDescent="0.35">
      <c r="A1966" s="5" t="str">
        <f t="shared" si="996"/>
        <v>MAG</v>
      </c>
      <c r="B1966" s="6" t="str">
        <f t="shared" si="1012"/>
        <v>% of 1-Month Active Agents</v>
      </c>
      <c r="C1966" s="4" t="str">
        <f>CHOOSE(2, "5462030031", "Jul 26")</f>
        <v>Jul 26</v>
      </c>
      <c r="D1966" s="14">
        <v>0.52420701168614359</v>
      </c>
    </row>
    <row r="1967" spans="1:4" x14ac:dyDescent="0.35">
      <c r="A1967" s="5" t="str">
        <f t="shared" si="996"/>
        <v>MAG</v>
      </c>
      <c r="B1967" s="3" t="str">
        <f t="shared" ref="B1967:B1968" si="1013">CHOOSE(2, "1395000000595", "% of 3-Month Active Agents")</f>
        <v>% of 3-Month Active Agents</v>
      </c>
      <c r="C1967" s="4" t="str">
        <f>CHOOSE(2, "5461730030", "Jun 26")</f>
        <v>Jun 26</v>
      </c>
      <c r="D1967" s="14">
        <v>0.2549800796812749</v>
      </c>
    </row>
    <row r="1968" spans="1:4" x14ac:dyDescent="0.35">
      <c r="A1968" s="5" t="str">
        <f t="shared" si="996"/>
        <v>MAG</v>
      </c>
      <c r="B1968" s="6" t="str">
        <f t="shared" si="1013"/>
        <v>% of 3-Month Active Agents</v>
      </c>
      <c r="C1968" s="4" t="str">
        <f>CHOOSE(2, "5462030031", "Jul 26")</f>
        <v>Jul 26</v>
      </c>
      <c r="D1968" s="14">
        <v>0.25635234330886503</v>
      </c>
    </row>
    <row r="1969" spans="1:4" x14ac:dyDescent="0.35">
      <c r="A1969" s="5" t="str">
        <f t="shared" si="996"/>
        <v>MAG</v>
      </c>
      <c r="B1969" s="3" t="str">
        <f t="shared" ref="B1969:B1970" si="1014">CHOOSE(2, "1395000000594", "Active agents per active leader")</f>
        <v>Active agents per active leader</v>
      </c>
      <c r="C1969" s="4" t="str">
        <f>CHOOSE(2, "5461730030", "Jun 26")</f>
        <v>Jun 26</v>
      </c>
      <c r="D1969" s="14">
        <v>42.25</v>
      </c>
    </row>
    <row r="1970" spans="1:4" x14ac:dyDescent="0.35">
      <c r="A1970" s="5" t="str">
        <f t="shared" si="996"/>
        <v>MAG</v>
      </c>
      <c r="B1970" s="6" t="str">
        <f t="shared" si="1014"/>
        <v>Active agents per active leader</v>
      </c>
      <c r="C1970" s="4" t="str">
        <f>CHOOSE(2, "5462030031", "Jul 26")</f>
        <v>Jul 26</v>
      </c>
      <c r="D1970" s="14">
        <v>34.888888888888886</v>
      </c>
    </row>
    <row r="1971" spans="1:4" x14ac:dyDescent="0.35">
      <c r="A1971" s="5" t="str">
        <f t="shared" si="996"/>
        <v>MAG</v>
      </c>
      <c r="B1971" s="3" t="str">
        <f t="shared" ref="B1971:B1972" si="1015">CHOOSE(2, "1395000000593", "Avg. Case count per 1-Month Active Agent")</f>
        <v>Avg. Case count per 1-Month Active Agent</v>
      </c>
      <c r="C1971" s="4" t="str">
        <f>CHOOSE(2, "5461730030", "Jun 26")</f>
        <v>Jun 26</v>
      </c>
      <c r="D1971" s="14">
        <v>3.8816568047337277</v>
      </c>
    </row>
    <row r="1972" spans="1:4" x14ac:dyDescent="0.35">
      <c r="A1972" s="5" t="str">
        <f t="shared" si="996"/>
        <v>MAG</v>
      </c>
      <c r="B1972" s="6" t="str">
        <f t="shared" si="1015"/>
        <v>Avg. Case count per 1-Month Active Agent</v>
      </c>
      <c r="C1972" s="4" t="str">
        <f>CHOOSE(2, "5462030031", "Jul 26")</f>
        <v>Jul 26</v>
      </c>
      <c r="D1972" s="14">
        <v>3.5636942675159236</v>
      </c>
    </row>
    <row r="1973" spans="1:4" x14ac:dyDescent="0.35">
      <c r="A1973" s="5" t="str">
        <f t="shared" si="996"/>
        <v>MAG</v>
      </c>
      <c r="B1973" s="3" t="str">
        <f t="shared" ref="B1973:B1974" si="1016">CHOOSE(2, "1395000000592", "Avg. Case size")</f>
        <v>Avg. Case size</v>
      </c>
      <c r="C1973" s="4" t="str">
        <f>CHOOSE(2, "5461730030", "Jun 26")</f>
        <v>Jun 26</v>
      </c>
      <c r="D1973" s="14">
        <v>10707.100333020669</v>
      </c>
    </row>
    <row r="1974" spans="1:4" x14ac:dyDescent="0.35">
      <c r="A1974" s="5" t="str">
        <f t="shared" si="996"/>
        <v>MAG</v>
      </c>
      <c r="B1974" s="6" t="str">
        <f t="shared" si="1016"/>
        <v>Avg. Case size</v>
      </c>
      <c r="C1974" s="4" t="str">
        <f>CHOOSE(2, "5462030031", "Jul 26")</f>
        <v>Jul 26</v>
      </c>
      <c r="D1974" s="14">
        <v>7874.1389563758348</v>
      </c>
    </row>
    <row r="1975" spans="1:4" x14ac:dyDescent="0.35">
      <c r="A1975" s="5" t="str">
        <f t="shared" si="996"/>
        <v>MAG</v>
      </c>
      <c r="B1975" s="3" t="str">
        <f t="shared" ref="B1975:B1976" si="1017">CHOOSE(2, "1395000000591", "APE per 1-Month Active Agent")</f>
        <v>APE per 1-Month Active Agent</v>
      </c>
      <c r="C1975" s="4" t="str">
        <f>CHOOSE(2, "5461730030", "Jun 26")</f>
        <v>Jun 26</v>
      </c>
      <c r="D1975" s="14">
        <v>41561.288866636445</v>
      </c>
    </row>
    <row r="1976" spans="1:4" x14ac:dyDescent="0.35">
      <c r="A1976" s="5" t="str">
        <f t="shared" si="996"/>
        <v>MAG</v>
      </c>
      <c r="B1976" s="6" t="str">
        <f t="shared" si="1017"/>
        <v>APE per 1-Month Active Agent</v>
      </c>
      <c r="C1976" s="4" t="str">
        <f>CHOOSE(2, "5462030031", "Jul 26")</f>
        <v>Jul 26</v>
      </c>
      <c r="D1976" s="14">
        <v>28061.02386046038</v>
      </c>
    </row>
    <row r="1977" spans="1:4" x14ac:dyDescent="0.35">
      <c r="A1977" s="5" t="str">
        <f t="shared" si="996"/>
        <v>MAG</v>
      </c>
      <c r="B1977" s="3" t="str">
        <f t="shared" ref="B1977:B1978" si="1018">CHOOSE(2, "1395000000590", "% Conversion of Proposals to cases")</f>
        <v>% Conversion of Proposals to cases</v>
      </c>
      <c r="C1977" s="4" t="str">
        <f>CHOOSE(2, "5461730030", "Jun 26")</f>
        <v>Jun 26</v>
      </c>
      <c r="D1977" s="14">
        <v>0.40682170542635659</v>
      </c>
    </row>
    <row r="1978" spans="1:4" x14ac:dyDescent="0.35">
      <c r="A1978" s="5" t="str">
        <f t="shared" si="996"/>
        <v>MAG</v>
      </c>
      <c r="B1978" s="6" t="str">
        <f t="shared" si="1018"/>
        <v>% Conversion of Proposals to cases</v>
      </c>
      <c r="C1978" s="4" t="str">
        <f>CHOOSE(2, "5462030031", "Jul 26")</f>
        <v>Jul 26</v>
      </c>
      <c r="D1978" s="14">
        <v>0.40121907493725351</v>
      </c>
    </row>
    <row r="1979" spans="1:4" x14ac:dyDescent="0.35">
      <c r="A1979" s="5" t="str">
        <f t="shared" si="996"/>
        <v>MAG</v>
      </c>
      <c r="B1979" s="3" t="str">
        <f t="shared" ref="B1979:B1980" si="1019">CHOOSE(2, "1395000000588", "% APE from Agents in X tenure")</f>
        <v>% APE from Agents in X tenure</v>
      </c>
      <c r="C1979" s="4" t="str">
        <f>CHOOSE(2, "5461730030", "Jun 26")</f>
        <v>Jun 26</v>
      </c>
      <c r="D1979" s="14">
        <v>1</v>
      </c>
    </row>
    <row r="1980" spans="1:4" x14ac:dyDescent="0.35">
      <c r="A1980" s="5" t="str">
        <f t="shared" si="996"/>
        <v>MAG</v>
      </c>
      <c r="B1980" s="6" t="str">
        <f t="shared" si="1019"/>
        <v>% APE from Agents in X tenure</v>
      </c>
      <c r="C1980" s="4" t="str">
        <f>CHOOSE(2, "5462030031", "Jul 26")</f>
        <v>Jul 26</v>
      </c>
      <c r="D1980" s="14">
        <v>1</v>
      </c>
    </row>
    <row r="1981" spans="1:4" x14ac:dyDescent="0.35">
      <c r="A1981" s="5" t="str">
        <f t="shared" si="996"/>
        <v>MAG</v>
      </c>
      <c r="B1981" s="3" t="str">
        <f t="shared" ref="B1981:B1982" si="1020">CHOOSE(2, "1395000000587", "% APE from Agents in X tenure in 0-1M")</f>
        <v>% APE from Agents in X tenure in 0-1M</v>
      </c>
      <c r="C1981" s="4" t="str">
        <f>CHOOSE(2, "5461730030", "Jun 26")</f>
        <v>Jun 26</v>
      </c>
      <c r="D1981" s="14">
        <v>0.1</v>
      </c>
    </row>
    <row r="1982" spans="1:4" x14ac:dyDescent="0.35">
      <c r="A1982" s="5" t="str">
        <f t="shared" si="996"/>
        <v>MAG</v>
      </c>
      <c r="B1982" s="6" t="str">
        <f t="shared" si="1020"/>
        <v>% APE from Agents in X tenure in 0-1M</v>
      </c>
      <c r="C1982" s="4" t="str">
        <f>CHOOSE(2, "5462030031", "Jul 26")</f>
        <v>Jul 26</v>
      </c>
      <c r="D1982" s="14">
        <v>0.1</v>
      </c>
    </row>
    <row r="1983" spans="1:4" x14ac:dyDescent="0.35">
      <c r="A1983" s="5" t="str">
        <f t="shared" si="996"/>
        <v>MAG</v>
      </c>
      <c r="B1983" s="3" t="str">
        <f t="shared" ref="B1983:B1984" si="1021">CHOOSE(2, "1395000000586", "% APE from Agents in X tenure in 2-3M")</f>
        <v>% APE from Agents in X tenure in 2-3M</v>
      </c>
      <c r="C1983" s="4" t="str">
        <f>CHOOSE(2, "5461730030", "Jun 26")</f>
        <v>Jun 26</v>
      </c>
      <c r="D1983" s="14">
        <v>0.2</v>
      </c>
    </row>
    <row r="1984" spans="1:4" x14ac:dyDescent="0.35">
      <c r="A1984" s="5" t="str">
        <f t="shared" si="996"/>
        <v>MAG</v>
      </c>
      <c r="B1984" s="6" t="str">
        <f t="shared" si="1021"/>
        <v>% APE from Agents in X tenure in 2-3M</v>
      </c>
      <c r="C1984" s="4" t="str">
        <f>CHOOSE(2, "5462030031", "Jul 26")</f>
        <v>Jul 26</v>
      </c>
      <c r="D1984" s="14">
        <v>0.2</v>
      </c>
    </row>
    <row r="1985" spans="1:4" x14ac:dyDescent="0.35">
      <c r="A1985" s="5" t="str">
        <f t="shared" si="996"/>
        <v>MAG</v>
      </c>
      <c r="B1985" s="3" t="str">
        <f t="shared" ref="B1985:B1986" si="1022">CHOOSE(2, "1395000000585", "% APE from Agents in X tenure in 4-12M")</f>
        <v>% APE from Agents in X tenure in 4-12M</v>
      </c>
      <c r="C1985" s="4" t="str">
        <f>CHOOSE(2, "5461730030", "Jun 26")</f>
        <v>Jun 26</v>
      </c>
      <c r="D1985" s="14">
        <v>0.29999999999999993</v>
      </c>
    </row>
    <row r="1986" spans="1:4" x14ac:dyDescent="0.35">
      <c r="A1986" s="5" t="str">
        <f t="shared" si="996"/>
        <v>MAG</v>
      </c>
      <c r="B1986" s="6" t="str">
        <f t="shared" si="1022"/>
        <v>% APE from Agents in X tenure in 4-12M</v>
      </c>
      <c r="C1986" s="4" t="str">
        <f>CHOOSE(2, "5462030031", "Jul 26")</f>
        <v>Jul 26</v>
      </c>
      <c r="D1986" s="14">
        <v>0.3</v>
      </c>
    </row>
    <row r="1987" spans="1:4" x14ac:dyDescent="0.35">
      <c r="A1987" s="5" t="str">
        <f t="shared" si="996"/>
        <v>MAG</v>
      </c>
      <c r="B1987" s="3" t="str">
        <f t="shared" ref="B1987:B1988" si="1023">CHOOSE(2, "1395000000584", "% APE from Agents in X tenure 13+M")</f>
        <v>% APE from Agents in X tenure 13+M</v>
      </c>
      <c r="C1987" s="4" t="str">
        <f>CHOOSE(2, "5461730030", "Jun 26")</f>
        <v>Jun 26</v>
      </c>
      <c r="D1987" s="14">
        <v>0.4</v>
      </c>
    </row>
    <row r="1988" spans="1:4" x14ac:dyDescent="0.35">
      <c r="A1988" s="5" t="str">
        <f t="shared" si="996"/>
        <v>MAG</v>
      </c>
      <c r="B1988" s="6" t="str">
        <f t="shared" si="1023"/>
        <v>% APE from Agents in X tenure 13+M</v>
      </c>
      <c r="C1988" s="4" t="str">
        <f>CHOOSE(2, "5462030031", "Jul 26")</f>
        <v>Jul 26</v>
      </c>
      <c r="D1988" s="14">
        <v>0.4</v>
      </c>
    </row>
    <row r="1989" spans="1:4" x14ac:dyDescent="0.35">
      <c r="A1989" s="5" t="str">
        <f t="shared" si="996"/>
        <v>MAG</v>
      </c>
      <c r="B1989" s="3" t="str">
        <f t="shared" ref="B1989:B1990" si="1024">CHOOSE(2, "1395000000583", "% APE from pro-rated MDRT agents (100%)")</f>
        <v>% APE from pro-rated MDRT agents (100%)</v>
      </c>
      <c r="C1989" s="4" t="str">
        <f>CHOOSE(2, "5461730030", "Jun 26")</f>
        <v>Jun 26</v>
      </c>
      <c r="D1989" s="14">
        <v>0.90468606574766997</v>
      </c>
    </row>
    <row r="1990" spans="1:4" x14ac:dyDescent="0.35">
      <c r="A1990" s="5" t="str">
        <f t="shared" si="996"/>
        <v>MAG</v>
      </c>
      <c r="B1990" s="6" t="str">
        <f t="shared" si="1024"/>
        <v>% APE from pro-rated MDRT agents (100%)</v>
      </c>
      <c r="C1990" s="4" t="str">
        <f>CHOOSE(2, "5462030031", "Jul 26")</f>
        <v>Jul 26</v>
      </c>
      <c r="D1990" s="14">
        <v>0.81131905347221434</v>
      </c>
    </row>
    <row r="1991" spans="1:4" x14ac:dyDescent="0.35">
      <c r="A1991" s="5" t="str">
        <f t="shared" si="996"/>
        <v>MAG</v>
      </c>
      <c r="B1991" s="3" t="str">
        <f t="shared" ref="B1991:B1992" si="1025">CHOOSE(2, "1395000000582", "% APE from pro-rated MDRT agents (70-99%)")</f>
        <v>% APE from pro-rated MDRT agents (70-99%)</v>
      </c>
      <c r="C1991" s="4" t="str">
        <f>CHOOSE(2, "5461730030", "Jun 26")</f>
        <v>Jun 26</v>
      </c>
      <c r="D1991" s="14">
        <v>3.2523829743329853E-2</v>
      </c>
    </row>
    <row r="1992" spans="1:4" x14ac:dyDescent="0.35">
      <c r="A1992" s="5" t="str">
        <f t="shared" si="996"/>
        <v>MAG</v>
      </c>
      <c r="B1992" s="6" t="str">
        <f t="shared" si="1025"/>
        <v>% APE from pro-rated MDRT agents (70-99%)</v>
      </c>
      <c r="C1992" s="4" t="str">
        <f>CHOOSE(2, "5462030031", "Jul 26")</f>
        <v>Jul 26</v>
      </c>
      <c r="D1992" s="14">
        <v>6.8358133121297224E-2</v>
      </c>
    </row>
    <row r="1993" spans="1:4" x14ac:dyDescent="0.35">
      <c r="A1993" s="5" t="str">
        <f t="shared" si="996"/>
        <v>MAG</v>
      </c>
      <c r="B1993" s="3" t="str">
        <f t="shared" ref="B1993:B1994" si="1026">CHOOSE(2, "1395000000581", "% APE from pro-rated MDRT agents (50-69%)")</f>
        <v>% APE from pro-rated MDRT agents (50-69%)</v>
      </c>
      <c r="C1993" s="4" t="str">
        <f>CHOOSE(2, "5461730030", "Jun 26")</f>
        <v>Jun 26</v>
      </c>
      <c r="D1993" s="14">
        <v>2.5855106559272086E-2</v>
      </c>
    </row>
    <row r="1994" spans="1:4" x14ac:dyDescent="0.35">
      <c r="A1994" s="5" t="str">
        <f t="shared" si="996"/>
        <v>MAG</v>
      </c>
      <c r="B1994" s="6" t="str">
        <f t="shared" si="1026"/>
        <v>% APE from pro-rated MDRT agents (50-69%)</v>
      </c>
      <c r="C1994" s="4" t="str">
        <f>CHOOSE(2, "5462030031", "Jul 26")</f>
        <v>Jul 26</v>
      </c>
      <c r="D1994" s="14">
        <v>2.9897653757641751E-2</v>
      </c>
    </row>
    <row r="1995" spans="1:4" x14ac:dyDescent="0.35">
      <c r="A1995" s="5" t="str">
        <f t="shared" si="996"/>
        <v>MAG</v>
      </c>
      <c r="B1995" s="3" t="str">
        <f t="shared" ref="B1995:B1996" si="1027">CHOOSE(2, "1395000000580", "% APE from Top-tier agents")</f>
        <v>% APE from Top-tier agents</v>
      </c>
      <c r="C1995" s="4" t="str">
        <f>CHOOSE(2, "5461730030", "Jun 26")</f>
        <v>Jun 26</v>
      </c>
      <c r="D1995" s="14">
        <v>0.96306500205034296</v>
      </c>
    </row>
    <row r="1996" spans="1:4" x14ac:dyDescent="0.35">
      <c r="A1996" s="5" t="str">
        <f t="shared" si="996"/>
        <v>MAG</v>
      </c>
      <c r="B1996" s="6" t="str">
        <f t="shared" si="1027"/>
        <v>% APE from Top-tier agents</v>
      </c>
      <c r="C1996" s="4" t="str">
        <f>CHOOSE(2, "5462030031", "Jul 26")</f>
        <v>Jul 26</v>
      </c>
      <c r="D1996" s="14">
        <v>0.9095748403512669</v>
      </c>
    </row>
    <row r="1997" spans="1:4" x14ac:dyDescent="0.35">
      <c r="A1997" s="5" t="str">
        <f t="shared" si="996"/>
        <v>MAG</v>
      </c>
      <c r="B1997" s="3" t="str">
        <f t="shared" ref="B1997:B1998" si="1028">CHOOSE(2, "1395000000579", "% of Active Recruiting Leaders")</f>
        <v>% of Active Recruiting Leaders</v>
      </c>
      <c r="C1997" s="4" t="str">
        <f>CHOOSE(2, "5461730030", "Jun 26")</f>
        <v>Jun 26</v>
      </c>
      <c r="D1997" s="14">
        <v>7.6190476190476197E-2</v>
      </c>
    </row>
    <row r="1998" spans="1:4" x14ac:dyDescent="0.35">
      <c r="A1998" s="5" t="str">
        <f t="shared" si="996"/>
        <v>MAG</v>
      </c>
      <c r="B1998" s="6" t="str">
        <f t="shared" si="1028"/>
        <v>% of Active Recruiting Leaders</v>
      </c>
      <c r="C1998" s="4" t="str">
        <f>CHOOSE(2, "5462030031", "Jul 26")</f>
        <v>Jul 26</v>
      </c>
      <c r="D1998" s="14">
        <v>8.4112149532710276E-2</v>
      </c>
    </row>
    <row r="1999" spans="1:4" x14ac:dyDescent="0.35">
      <c r="A1999" s="5" t="str">
        <f t="shared" ref="A1999:A2062" si="1029">CHOOSE(2, "1260000000002", "MAG")</f>
        <v>MAG</v>
      </c>
      <c r="B1999" s="3" t="str">
        <f t="shared" ref="B1999:B2000" si="1030">CHOOSE(2, "1395000000578", "% of leaders with &gt;1 YTD recruit")</f>
        <v>% of leaders with &gt;1 YTD recruit</v>
      </c>
      <c r="C1999" s="4" t="str">
        <f>CHOOSE(2, "5461730030", "Jun 26")</f>
        <v>Jun 26</v>
      </c>
      <c r="D1999" s="14">
        <v>0.22857142857142856</v>
      </c>
    </row>
    <row r="2000" spans="1:4" x14ac:dyDescent="0.35">
      <c r="A2000" s="5" t="str">
        <f t="shared" si="1029"/>
        <v>MAG</v>
      </c>
      <c r="B2000" s="6" t="str">
        <f t="shared" si="1030"/>
        <v>% of leaders with &gt;1 YTD recruit</v>
      </c>
      <c r="C2000" s="4" t="str">
        <f>CHOOSE(2, "5462030031", "Jul 26")</f>
        <v>Jul 26</v>
      </c>
      <c r="D2000" s="14">
        <v>0.28037383177570091</v>
      </c>
    </row>
    <row r="2001" spans="1:4" x14ac:dyDescent="0.35">
      <c r="A2001" s="5" t="str">
        <f t="shared" si="1029"/>
        <v>MAG</v>
      </c>
      <c r="B2001" s="3" t="str">
        <f t="shared" ref="B2001:B2002" si="1031">CHOOSE(2, "1395000000577", "% of 1-Month Active Top-tier agents")</f>
        <v>% of 1-Month Active Top-tier agents</v>
      </c>
      <c r="C2001" s="4" t="str">
        <f>CHOOSE(2, "5461730030", "Jun 26")</f>
        <v>Jun 26</v>
      </c>
      <c r="D2001" s="14">
        <v>0.83582089552238803</v>
      </c>
    </row>
    <row r="2002" spans="1:4" x14ac:dyDescent="0.35">
      <c r="A2002" s="5" t="str">
        <f t="shared" si="1029"/>
        <v>MAG</v>
      </c>
      <c r="B2002" s="6" t="str">
        <f t="shared" si="1031"/>
        <v>% of 1-Month Active Top-tier agents</v>
      </c>
      <c r="C2002" s="4" t="str">
        <f>CHOOSE(2, "5462030031", "Jul 26")</f>
        <v>Jul 26</v>
      </c>
      <c r="D2002" s="14">
        <v>0.75182481751824815</v>
      </c>
    </row>
    <row r="2003" spans="1:4" x14ac:dyDescent="0.35">
      <c r="A2003" s="5" t="str">
        <f t="shared" si="1029"/>
        <v>MAG</v>
      </c>
      <c r="B2003" s="3" t="str">
        <f t="shared" ref="B2003:B2004" si="1032">CHOOSE(2, "1395000000576", "% APE from Manulife Pro - Total")</f>
        <v>% APE from Manulife Pro - Total</v>
      </c>
      <c r="C2003" s="4" t="str">
        <f>CHOOSE(2, "5461730030", "Jun 26")</f>
        <v>Jun 26</v>
      </c>
      <c r="D2003" s="14">
        <v>0</v>
      </c>
    </row>
    <row r="2004" spans="1:4" x14ac:dyDescent="0.35">
      <c r="A2004" s="5" t="str">
        <f t="shared" si="1029"/>
        <v>MAG</v>
      </c>
      <c r="B2004" s="6" t="str">
        <f t="shared" si="1032"/>
        <v>% APE from Manulife Pro - Total</v>
      </c>
      <c r="C2004" s="4" t="str">
        <f>CHOOSE(2, "5462030031", "Jul 26")</f>
        <v>Jul 26</v>
      </c>
      <c r="D2004" s="14">
        <v>0</v>
      </c>
    </row>
    <row r="2005" spans="1:4" x14ac:dyDescent="0.35">
      <c r="A2005" s="5" t="str">
        <f t="shared" si="1029"/>
        <v>MAG</v>
      </c>
      <c r="B2005" s="3" t="str">
        <f t="shared" ref="B2005:B2006" si="1033">CHOOSE(2, "1395000000575", "% of 1-Month Active Agents Manulife Pro Qualifiers - Total")</f>
        <v>% of 1-Month Active Agents Manulife Pro Qualifiers - Total</v>
      </c>
      <c r="C2005" s="4" t="str">
        <f>CHOOSE(2, "5461730030", "Jun 26")</f>
        <v>Jun 26</v>
      </c>
      <c r="D2005" s="14">
        <v>0</v>
      </c>
    </row>
    <row r="2006" spans="1:4" x14ac:dyDescent="0.35">
      <c r="A2006" s="5" t="str">
        <f t="shared" si="1029"/>
        <v>MAG</v>
      </c>
      <c r="B2006" s="6" t="str">
        <f t="shared" si="1033"/>
        <v>% of 1-Month Active Agents Manulife Pro Qualifiers - Total</v>
      </c>
      <c r="C2006" s="4" t="str">
        <f>CHOOSE(2, "5462030031", "Jul 26")</f>
        <v>Jul 26</v>
      </c>
      <c r="D2006" s="14">
        <v>0</v>
      </c>
    </row>
    <row r="2007" spans="1:4" x14ac:dyDescent="0.35">
      <c r="A2007" s="5" t="str">
        <f t="shared" si="1029"/>
        <v>MAG</v>
      </c>
      <c r="B2007" s="3" t="str">
        <f t="shared" ref="B2007:B2008" si="1034">CHOOSE(2, "1395000000574", "% of Newly Demoted UM")</f>
        <v>% of Newly Demoted UM</v>
      </c>
      <c r="C2007" s="4" t="str">
        <f>CHOOSE(2, "5461730030", "Jun 26")</f>
        <v>Jun 26</v>
      </c>
      <c r="D2007" s="14">
        <v>0</v>
      </c>
    </row>
    <row r="2008" spans="1:4" x14ac:dyDescent="0.35">
      <c r="A2008" s="5" t="str">
        <f t="shared" si="1029"/>
        <v>MAG</v>
      </c>
      <c r="B2008" s="6" t="str">
        <f t="shared" si="1034"/>
        <v>% of Newly Demoted UM</v>
      </c>
      <c r="C2008" s="4" t="str">
        <f>CHOOSE(2, "5462030031", "Jul 26")</f>
        <v>Jul 26</v>
      </c>
      <c r="D2008" s="14">
        <v>0</v>
      </c>
    </row>
    <row r="2009" spans="1:4" x14ac:dyDescent="0.35">
      <c r="A2009" s="5" t="str">
        <f t="shared" si="1029"/>
        <v>MAG</v>
      </c>
      <c r="B2009" s="3" t="str">
        <f t="shared" ref="B2009:B2010" si="1035">CHOOSE(2, "1395000000573", "% of Newly Demoted Leaders above UM")</f>
        <v>% of Newly Demoted Leaders above UM</v>
      </c>
      <c r="C2009" s="4" t="str">
        <f>CHOOSE(2, "5461730030", "Jun 26")</f>
        <v>Jun 26</v>
      </c>
      <c r="D2009" s="14">
        <v>0</v>
      </c>
    </row>
    <row r="2010" spans="1:4" x14ac:dyDescent="0.35">
      <c r="A2010" s="5" t="str">
        <f t="shared" si="1029"/>
        <v>MAG</v>
      </c>
      <c r="B2010" s="6" t="str">
        <f t="shared" si="1035"/>
        <v>% of Newly Demoted Leaders above UM</v>
      </c>
      <c r="C2010" s="4" t="str">
        <f>CHOOSE(2, "5462030031", "Jul 26")</f>
        <v>Jul 26</v>
      </c>
      <c r="D2010" s="14">
        <v>0</v>
      </c>
    </row>
    <row r="2011" spans="1:4" x14ac:dyDescent="0.35">
      <c r="A2011" s="5" t="str">
        <f t="shared" si="1029"/>
        <v>MAG</v>
      </c>
      <c r="B2011" s="3" t="str">
        <f t="shared" ref="B2011:B2012" si="1036">CHOOSE(2, "1395000000572", "Avg. Earning per agent")</f>
        <v>Avg. Earning per agent</v>
      </c>
      <c r="C2011" s="4" t="str">
        <f>CHOOSE(2, "5461730030", "Jun 26")</f>
        <v>Jun 26</v>
      </c>
      <c r="D2011" s="14">
        <v>11852.154794475129</v>
      </c>
    </row>
    <row r="2012" spans="1:4" x14ac:dyDescent="0.35">
      <c r="A2012" s="5" t="str">
        <f t="shared" si="1029"/>
        <v>MAG</v>
      </c>
      <c r="B2012" s="6" t="str">
        <f t="shared" si="1036"/>
        <v>Avg. Earning per agent</v>
      </c>
      <c r="C2012" s="4" t="str">
        <f>CHOOSE(2, "5462030031", "Jul 26")</f>
        <v>Jul 26</v>
      </c>
      <c r="D2012" s="14">
        <v>5522.8965354004331</v>
      </c>
    </row>
    <row r="2013" spans="1:4" x14ac:dyDescent="0.35">
      <c r="A2013" s="5" t="str">
        <f t="shared" si="1029"/>
        <v>MAG</v>
      </c>
      <c r="B2013" s="3" t="str">
        <f t="shared" ref="B2013:B2014" si="1037">CHOOSE(2, "1395000000571", "Avg. Earning per agent in FA or equivalent")</f>
        <v>Avg. Earning per agent in FA or equivalent</v>
      </c>
      <c r="C2013" s="4" t="str">
        <f>CHOOSE(2, "5461730030", "Jun 26")</f>
        <v>Jun 26</v>
      </c>
      <c r="D2013" s="14">
        <v>8404.4023200795818</v>
      </c>
    </row>
    <row r="2014" spans="1:4" x14ac:dyDescent="0.35">
      <c r="A2014" s="5" t="str">
        <f t="shared" si="1029"/>
        <v>MAG</v>
      </c>
      <c r="B2014" s="6" t="str">
        <f t="shared" si="1037"/>
        <v>Avg. Earning per agent in FA or equivalent</v>
      </c>
      <c r="C2014" s="4" t="str">
        <f>CHOOSE(2, "5462030031", "Jul 26")</f>
        <v>Jul 26</v>
      </c>
      <c r="D2014" s="14">
        <v>4259.6188859391414</v>
      </c>
    </row>
    <row r="2015" spans="1:4" x14ac:dyDescent="0.35">
      <c r="A2015" s="5" t="str">
        <f t="shared" si="1029"/>
        <v>MAG</v>
      </c>
      <c r="B2015" s="3" t="str">
        <f t="shared" ref="B2015:B2016" si="1038">CHOOSE(2, "1395000000570", "Avg. Earning per agent in UM")</f>
        <v>Avg. Earning per agent in UM</v>
      </c>
      <c r="C2015" s="4" t="str">
        <f>CHOOSE(2, "5461730030", "Jun 26")</f>
        <v>Jun 26</v>
      </c>
      <c r="D2015" s="14">
        <v>26805.164705248138</v>
      </c>
    </row>
    <row r="2016" spans="1:4" x14ac:dyDescent="0.35">
      <c r="A2016" s="5" t="str">
        <f t="shared" si="1029"/>
        <v>MAG</v>
      </c>
      <c r="B2016" s="6" t="str">
        <f t="shared" si="1038"/>
        <v>Avg. Earning per agent in UM</v>
      </c>
      <c r="C2016" s="4" t="str">
        <f>CHOOSE(2, "5462030031", "Jul 26")</f>
        <v>Jul 26</v>
      </c>
      <c r="D2016" s="14">
        <v>8185.5208585833234</v>
      </c>
    </row>
    <row r="2017" spans="1:4" x14ac:dyDescent="0.35">
      <c r="A2017" s="5" t="str">
        <f t="shared" si="1029"/>
        <v>MAG</v>
      </c>
      <c r="B2017" s="3" t="str">
        <f t="shared" ref="B2017:B2018" si="1039">CHOOSE(2, "1395000000569", "Avg. Earning per agent in Leaders above UM")</f>
        <v>Avg. Earning per agent in Leaders above UM</v>
      </c>
      <c r="C2017" s="4" t="str">
        <f>CHOOSE(2, "5461730030", "Jun 26")</f>
        <v>Jun 26</v>
      </c>
      <c r="D2017" s="14">
        <v>31132.364909914708</v>
      </c>
    </row>
    <row r="2018" spans="1:4" x14ac:dyDescent="0.35">
      <c r="A2018" s="5" t="str">
        <f t="shared" si="1029"/>
        <v>MAG</v>
      </c>
      <c r="B2018" s="6" t="str">
        <f t="shared" si="1039"/>
        <v>Avg. Earning per agent in Leaders above UM</v>
      </c>
      <c r="C2018" s="4" t="str">
        <f>CHOOSE(2, "5462030031", "Jul 26")</f>
        <v>Jul 26</v>
      </c>
      <c r="D2018" s="14">
        <v>22821.686117469682</v>
      </c>
    </row>
    <row r="2019" spans="1:4" x14ac:dyDescent="0.35">
      <c r="A2019" s="5" t="str">
        <f t="shared" si="1029"/>
        <v>MAG</v>
      </c>
      <c r="B2019" s="3" t="str">
        <f t="shared" ref="B2019:B2020" si="1040">CHOOSE(2, "1395000000568", "% of 1-Month Active Agents 0-1M")</f>
        <v>% of 1-Month Active Agents 0-1M</v>
      </c>
      <c r="C2019" s="4" t="str">
        <f>CHOOSE(2, "5461730030", "Jun 26")</f>
        <v>Jun 26</v>
      </c>
      <c r="D2019" s="14">
        <v>0</v>
      </c>
    </row>
    <row r="2020" spans="1:4" x14ac:dyDescent="0.35">
      <c r="A2020" s="5" t="str">
        <f t="shared" si="1029"/>
        <v>MAG</v>
      </c>
      <c r="B2020" s="6" t="str">
        <f t="shared" si="1040"/>
        <v>% of 1-Month Active Agents 0-1M</v>
      </c>
      <c r="C2020" s="4" t="str">
        <f>CHOOSE(2, "5462030031", "Jul 26")</f>
        <v>Jul 26</v>
      </c>
      <c r="D2020" s="14">
        <v>0.13333333333333333</v>
      </c>
    </row>
    <row r="2021" spans="1:4" x14ac:dyDescent="0.35">
      <c r="A2021" s="5" t="str">
        <f t="shared" si="1029"/>
        <v>MAG</v>
      </c>
      <c r="B2021" s="3" t="str">
        <f t="shared" ref="B2021:B2022" si="1041">CHOOSE(2, "1395000000567", "% of 1-Month Active Agents in 2-3M")</f>
        <v>% of 1-Month Active Agents in 2-3M</v>
      </c>
      <c r="C2021" s="4" t="str">
        <f>CHOOSE(2, "5461730030", "Jun 26")</f>
        <v>Jun 26</v>
      </c>
      <c r="D2021" s="14">
        <v>0.33333333333333331</v>
      </c>
    </row>
    <row r="2022" spans="1:4" x14ac:dyDescent="0.35">
      <c r="A2022" s="5" t="str">
        <f t="shared" si="1029"/>
        <v>MAG</v>
      </c>
      <c r="B2022" s="6" t="str">
        <f t="shared" si="1041"/>
        <v>% of 1-Month Active Agents in 2-3M</v>
      </c>
      <c r="C2022" s="4" t="str">
        <f>CHOOSE(2, "5462030031", "Jul 26")</f>
        <v>Jul 26</v>
      </c>
      <c r="D2022" s="14">
        <v>0.3888888888888889</v>
      </c>
    </row>
    <row r="2023" spans="1:4" x14ac:dyDescent="0.35">
      <c r="A2023" s="5" t="str">
        <f t="shared" si="1029"/>
        <v>MAG</v>
      </c>
      <c r="B2023" s="3" t="str">
        <f t="shared" ref="B2023:B2024" si="1042">CHOOSE(2, "1395000000566", "% of 1-Month Active Agents 4-12M")</f>
        <v>% of 1-Month Active Agents 4-12M</v>
      </c>
      <c r="C2023" s="4" t="str">
        <f>CHOOSE(2, "5461730030", "Jun 26")</f>
        <v>Jun 26</v>
      </c>
      <c r="D2023" s="14">
        <v>0.61016949152542377</v>
      </c>
    </row>
    <row r="2024" spans="1:4" x14ac:dyDescent="0.35">
      <c r="A2024" s="5" t="str">
        <f t="shared" si="1029"/>
        <v>MAG</v>
      </c>
      <c r="B2024" s="6" t="str">
        <f t="shared" si="1042"/>
        <v>% of 1-Month Active Agents 4-12M</v>
      </c>
      <c r="C2024" s="4" t="str">
        <f>CHOOSE(2, "5462030031", "Jul 26")</f>
        <v>Jul 26</v>
      </c>
      <c r="D2024" s="14">
        <v>0.55000000000000004</v>
      </c>
    </row>
    <row r="2025" spans="1:4" x14ac:dyDescent="0.35">
      <c r="A2025" s="5" t="str">
        <f t="shared" si="1029"/>
        <v>MAG</v>
      </c>
      <c r="B2025" s="3" t="str">
        <f t="shared" ref="B2025:B2026" si="1043">CHOOSE(2, "1395000000565", "% of 1-Month Active Agents 13+M")</f>
        <v>% of 1-Month Active Agents 13+M</v>
      </c>
      <c r="C2025" s="4" t="str">
        <f>CHOOSE(2, "5461730030", "Jun 26")</f>
        <v>Jun 26</v>
      </c>
      <c r="D2025" s="14">
        <v>0.59199999999999997</v>
      </c>
    </row>
    <row r="2026" spans="1:4" x14ac:dyDescent="0.35">
      <c r="A2026" s="5" t="str">
        <f t="shared" si="1029"/>
        <v>MAG</v>
      </c>
      <c r="B2026" s="6" t="str">
        <f t="shared" si="1043"/>
        <v>% of 1-Month Active Agents 13+M</v>
      </c>
      <c r="C2026" s="4" t="str">
        <f>CHOOSE(2, "5462030031", "Jul 26")</f>
        <v>Jul 26</v>
      </c>
      <c r="D2026" s="14">
        <v>0.53754940711462451</v>
      </c>
    </row>
    <row r="2027" spans="1:4" x14ac:dyDescent="0.35">
      <c r="A2027" s="5" t="str">
        <f t="shared" si="1029"/>
        <v>MAG</v>
      </c>
      <c r="B2027" s="3" t="str">
        <f t="shared" ref="B2027:B2028" si="1044">CHOOSE(2, "1395000000564", "% of 3-Month Active Agents 0-1M")</f>
        <v>% of 3-Month Active Agents 0-1M</v>
      </c>
      <c r="C2027" s="4" t="str">
        <f>CHOOSE(2, "5461730030", "Jun 26")</f>
        <v>Jun 26</v>
      </c>
      <c r="D2027" s="14">
        <v>0</v>
      </c>
    </row>
    <row r="2028" spans="1:4" x14ac:dyDescent="0.35">
      <c r="A2028" s="5" t="str">
        <f t="shared" si="1029"/>
        <v>MAG</v>
      </c>
      <c r="B2028" s="6" t="str">
        <f t="shared" si="1044"/>
        <v>% of 3-Month Active Agents 0-1M</v>
      </c>
      <c r="C2028" s="4" t="str">
        <f>CHOOSE(2, "5462030031", "Jul 26")</f>
        <v>Jul 26</v>
      </c>
      <c r="D2028" s="14">
        <v>0.13333333333333333</v>
      </c>
    </row>
    <row r="2029" spans="1:4" x14ac:dyDescent="0.35">
      <c r="A2029" s="5" t="str">
        <f t="shared" si="1029"/>
        <v>MAG</v>
      </c>
      <c r="B2029" s="3" t="str">
        <f t="shared" ref="B2029:B2030" si="1045">CHOOSE(2, "1395000000563", "% of 3-Month Active Agents in 2-3M")</f>
        <v>% of 3-Month Active Agents in 2-3M</v>
      </c>
      <c r="C2029" s="4" t="str">
        <f>CHOOSE(2, "5461730030", "Jun 26")</f>
        <v>Jun 26</v>
      </c>
      <c r="D2029" s="14">
        <v>0.3888888888888889</v>
      </c>
    </row>
    <row r="2030" spans="1:4" x14ac:dyDescent="0.35">
      <c r="A2030" s="5" t="str">
        <f t="shared" si="1029"/>
        <v>MAG</v>
      </c>
      <c r="B2030" s="6" t="str">
        <f t="shared" si="1045"/>
        <v>% of 3-Month Active Agents in 2-3M</v>
      </c>
      <c r="C2030" s="4" t="str">
        <f>CHOOSE(2, "5462030031", "Jul 26")</f>
        <v>Jul 26</v>
      </c>
      <c r="D2030" s="14">
        <v>0.44444444444444442</v>
      </c>
    </row>
    <row r="2031" spans="1:4" x14ac:dyDescent="0.35">
      <c r="A2031" s="5" t="str">
        <f t="shared" si="1029"/>
        <v>MAG</v>
      </c>
      <c r="B2031" s="3" t="str">
        <f t="shared" ref="B2031:B2032" si="1046">CHOOSE(2, "1395000000562", "% of 3-Month Active Agents 4-12M")</f>
        <v>% of 3-Month Active Agents 4-12M</v>
      </c>
      <c r="C2031" s="4" t="str">
        <f>CHOOSE(2, "5461730030", "Jun 26")</f>
        <v>Jun 26</v>
      </c>
      <c r="D2031" s="14">
        <v>0.81355932203389836</v>
      </c>
    </row>
    <row r="2032" spans="1:4" x14ac:dyDescent="0.35">
      <c r="A2032" s="5" t="str">
        <f t="shared" si="1029"/>
        <v>MAG</v>
      </c>
      <c r="B2032" s="6" t="str">
        <f t="shared" si="1046"/>
        <v>% of 3-Month Active Agents 4-12M</v>
      </c>
      <c r="C2032" s="4" t="str">
        <f>CHOOSE(2, "5462030031", "Jul 26")</f>
        <v>Jul 26</v>
      </c>
      <c r="D2032" s="14">
        <v>0.8</v>
      </c>
    </row>
    <row r="2033" spans="1:4" x14ac:dyDescent="0.35">
      <c r="A2033" s="5" t="str">
        <f t="shared" si="1029"/>
        <v>MAG</v>
      </c>
      <c r="B2033" s="3" t="str">
        <f t="shared" ref="B2033:B2034" si="1047">CHOOSE(2, "1395000000561", "% of 3-Month Active Agents 13+M")</f>
        <v>% of 3-Month Active Agents 13+M</v>
      </c>
      <c r="C2033" s="4" t="str">
        <f>CHOOSE(2, "5461730030", "Jun 26")</f>
        <v>Jun 26</v>
      </c>
      <c r="D2033" s="14">
        <v>0.78600000000000003</v>
      </c>
    </row>
    <row r="2034" spans="1:4" x14ac:dyDescent="0.35">
      <c r="A2034" s="5" t="str">
        <f t="shared" si="1029"/>
        <v>MAG</v>
      </c>
      <c r="B2034" s="6" t="str">
        <f t="shared" si="1047"/>
        <v>% of 3-Month Active Agents 13+M</v>
      </c>
      <c r="C2034" s="4" t="str">
        <f>CHOOSE(2, "5462030031", "Jul 26")</f>
        <v>Jul 26</v>
      </c>
      <c r="D2034" s="14">
        <v>0.78260869565217395</v>
      </c>
    </row>
    <row r="2035" spans="1:4" x14ac:dyDescent="0.35">
      <c r="A2035" s="5" t="str">
        <f t="shared" si="1029"/>
        <v>MAG</v>
      </c>
      <c r="B2035" s="3" t="str">
        <f t="shared" ref="B2035:B2036" si="1048">CHOOSE(2, "1395000000560", "Avg. Case count per 1-Month Active Agent 0-1M")</f>
        <v>Avg. Case count per 1-Month Active Agent 0-1M</v>
      </c>
      <c r="C2035" s="4" t="str">
        <f>CHOOSE(2, "5461730030", "Jun 26")</f>
        <v>Jun 26</v>
      </c>
      <c r="D2035" s="14">
        <v>0</v>
      </c>
    </row>
    <row r="2036" spans="1:4" x14ac:dyDescent="0.35">
      <c r="A2036" s="5" t="str">
        <f t="shared" si="1029"/>
        <v>MAG</v>
      </c>
      <c r="B2036" s="6" t="str">
        <f t="shared" si="1048"/>
        <v>Avg. Case count per 1-Month Active Agent 0-1M</v>
      </c>
      <c r="C2036" s="4" t="str">
        <f>CHOOSE(2, "5462030031", "Jul 26")</f>
        <v>Jul 26</v>
      </c>
      <c r="D2036" s="14">
        <v>3</v>
      </c>
    </row>
    <row r="2037" spans="1:4" x14ac:dyDescent="0.35">
      <c r="A2037" s="5" t="str">
        <f t="shared" si="1029"/>
        <v>MAG</v>
      </c>
      <c r="B2037" s="3" t="str">
        <f t="shared" ref="B2037:B2038" si="1049">CHOOSE(2, "1395000000559", "Avg. Case count per 1-Month Active Agent in 2-3M")</f>
        <v>Avg. Case count per 1-Month Active Agent in 2-3M</v>
      </c>
      <c r="C2037" s="4" t="str">
        <f>CHOOSE(2, "5461730030", "Jun 26")</f>
        <v>Jun 26</v>
      </c>
      <c r="D2037" s="14">
        <v>4.833333333333333</v>
      </c>
    </row>
    <row r="2038" spans="1:4" x14ac:dyDescent="0.35">
      <c r="A2038" s="5" t="str">
        <f t="shared" si="1029"/>
        <v>MAG</v>
      </c>
      <c r="B2038" s="6" t="str">
        <f t="shared" si="1049"/>
        <v>Avg. Case count per 1-Month Active Agent in 2-3M</v>
      </c>
      <c r="C2038" s="4" t="str">
        <f>CHOOSE(2, "5462030031", "Jul 26")</f>
        <v>Jul 26</v>
      </c>
      <c r="D2038" s="14">
        <v>6.1428571428571432</v>
      </c>
    </row>
    <row r="2039" spans="1:4" x14ac:dyDescent="0.35">
      <c r="A2039" s="5" t="str">
        <f t="shared" si="1029"/>
        <v>MAG</v>
      </c>
      <c r="B2039" s="3" t="str">
        <f t="shared" ref="B2039:B2040" si="1050">CHOOSE(2, "1395000000558", "Avg. Case count per 1-Month Active Agent 4-12M")</f>
        <v>Avg. Case count per 1-Month Active Agent 4-12M</v>
      </c>
      <c r="C2039" s="4" t="str">
        <f>CHOOSE(2, "5461730030", "Jun 26")</f>
        <v>Jun 26</v>
      </c>
      <c r="D2039" s="14">
        <v>2.5277777777777777</v>
      </c>
    </row>
    <row r="2040" spans="1:4" x14ac:dyDescent="0.35">
      <c r="A2040" s="5" t="str">
        <f t="shared" si="1029"/>
        <v>MAG</v>
      </c>
      <c r="B2040" s="6" t="str">
        <f t="shared" si="1050"/>
        <v>Avg. Case count per 1-Month Active Agent 4-12M</v>
      </c>
      <c r="C2040" s="4" t="str">
        <f>CHOOSE(2, "5462030031", "Jul 26")</f>
        <v>Jul 26</v>
      </c>
      <c r="D2040" s="14">
        <v>2.6363636363636362</v>
      </c>
    </row>
    <row r="2041" spans="1:4" x14ac:dyDescent="0.35">
      <c r="A2041" s="5" t="str">
        <f t="shared" si="1029"/>
        <v>MAG</v>
      </c>
      <c r="B2041" s="3" t="str">
        <f t="shared" ref="B2041:B2042" si="1051">CHOOSE(2, "1395000000557", "Avg. Case count per 1-Month Active Agent 13+M")</f>
        <v>Avg. Case count per 1-Month Active Agent 13+M</v>
      </c>
      <c r="C2041" s="4" t="str">
        <f>CHOOSE(2, "5461730030", "Jun 26")</f>
        <v>Jun 26</v>
      </c>
      <c r="D2041" s="14">
        <v>4.0270270270270272</v>
      </c>
    </row>
    <row r="2042" spans="1:4" x14ac:dyDescent="0.35">
      <c r="A2042" s="5" t="str">
        <f t="shared" si="1029"/>
        <v>MAG</v>
      </c>
      <c r="B2042" s="6" t="str">
        <f t="shared" si="1051"/>
        <v>Avg. Case count per 1-Month Active Agent 13+M</v>
      </c>
      <c r="C2042" s="4" t="str">
        <f>CHOOSE(2, "5462030031", "Jul 26")</f>
        <v>Jul 26</v>
      </c>
      <c r="D2042" s="14">
        <v>3.6139705882352939</v>
      </c>
    </row>
    <row r="2043" spans="1:4" x14ac:dyDescent="0.35">
      <c r="A2043" s="5" t="str">
        <f t="shared" si="1029"/>
        <v>MAG</v>
      </c>
      <c r="B2043" s="3" t="str">
        <f t="shared" ref="B2043:B2044" si="1052">CHOOSE(2, "1395000000556", "Avg. Case size 0-1M")</f>
        <v>Avg. Case size 0-1M</v>
      </c>
      <c r="C2043" s="4" t="str">
        <f>CHOOSE(2, "5461730030", "Jun 26")</f>
        <v>Jun 26</v>
      </c>
      <c r="D2043" s="14">
        <v>0</v>
      </c>
    </row>
    <row r="2044" spans="1:4" x14ac:dyDescent="0.35">
      <c r="A2044" s="5" t="str">
        <f t="shared" si="1029"/>
        <v>MAG</v>
      </c>
      <c r="B2044" s="6" t="str">
        <f t="shared" si="1052"/>
        <v>Avg. Case size 0-1M</v>
      </c>
      <c r="C2044" s="4" t="str">
        <f>CHOOSE(2, "5462030031", "Jul 26")</f>
        <v>Jul 26</v>
      </c>
      <c r="D2044" s="14">
        <v>146852.69153640931</v>
      </c>
    </row>
    <row r="2045" spans="1:4" x14ac:dyDescent="0.35">
      <c r="A2045" s="5" t="str">
        <f t="shared" si="1029"/>
        <v>MAG</v>
      </c>
      <c r="B2045" s="3" t="str">
        <f t="shared" ref="B2045:B2046" si="1053">CHOOSE(2, "1395000000555", "Avg. Case size in 2-3M")</f>
        <v>Avg. Case size in 2-3M</v>
      </c>
      <c r="C2045" s="4" t="str">
        <f>CHOOSE(2, "5461730030", "Jun 26")</f>
        <v>Jun 26</v>
      </c>
      <c r="D2045" s="14">
        <v>96880.797496021522</v>
      </c>
    </row>
    <row r="2046" spans="1:4" x14ac:dyDescent="0.35">
      <c r="A2046" s="5" t="str">
        <f t="shared" si="1029"/>
        <v>MAG</v>
      </c>
      <c r="B2046" s="6" t="str">
        <f t="shared" si="1053"/>
        <v>Avg. Case size in 2-3M</v>
      </c>
      <c r="C2046" s="4" t="str">
        <f>CHOOSE(2, "5462030031", "Jul 26")</f>
        <v>Jul 26</v>
      </c>
      <c r="D2046" s="14">
        <v>40982.146475277019</v>
      </c>
    </row>
    <row r="2047" spans="1:4" x14ac:dyDescent="0.35">
      <c r="A2047" s="5" t="str">
        <f t="shared" si="1029"/>
        <v>MAG</v>
      </c>
      <c r="B2047" s="3" t="str">
        <f t="shared" ref="B2047:B2048" si="1054">CHOOSE(2, "1395000000554", "Avg. Case size 4-12M")</f>
        <v>Avg. Case size 4-12M</v>
      </c>
      <c r="C2047" s="4" t="str">
        <f>CHOOSE(2, "5461730030", "Jun 26")</f>
        <v>Jun 26</v>
      </c>
      <c r="D2047" s="14">
        <v>46311.150451394897</v>
      </c>
    </row>
    <row r="2048" spans="1:4" x14ac:dyDescent="0.35">
      <c r="A2048" s="5" t="str">
        <f t="shared" si="1029"/>
        <v>MAG</v>
      </c>
      <c r="B2048" s="6" t="str">
        <f t="shared" si="1054"/>
        <v>Avg. Case size 4-12M</v>
      </c>
      <c r="C2048" s="4" t="str">
        <f>CHOOSE(2, "5462030031", "Jul 26")</f>
        <v>Jul 26</v>
      </c>
      <c r="D2048" s="14">
        <v>30383.315490291581</v>
      </c>
    </row>
    <row r="2049" spans="1:4" x14ac:dyDescent="0.35">
      <c r="A2049" s="5" t="str">
        <f t="shared" si="1029"/>
        <v>MAG</v>
      </c>
      <c r="B2049" s="3" t="str">
        <f t="shared" ref="B2049:B2050" si="1055">CHOOSE(2, "1395000000553", "Avg. Case size 13+M")</f>
        <v>Avg. Case size 13+M</v>
      </c>
      <c r="C2049" s="4" t="str">
        <f>CHOOSE(2, "5461730030", "Jun 26")</f>
        <v>Jun 26</v>
      </c>
      <c r="D2049" s="14">
        <v>4713.9985358802414</v>
      </c>
    </row>
    <row r="2050" spans="1:4" x14ac:dyDescent="0.35">
      <c r="A2050" s="5" t="str">
        <f t="shared" si="1029"/>
        <v>MAG</v>
      </c>
      <c r="B2050" s="6" t="str">
        <f t="shared" si="1055"/>
        <v>Avg. Case size 13+M</v>
      </c>
      <c r="C2050" s="4" t="str">
        <f>CHOOSE(2, "5462030031", "Jul 26")</f>
        <v>Jul 26</v>
      </c>
      <c r="D2050" s="14">
        <v>3585.4166804413262</v>
      </c>
    </row>
    <row r="2051" spans="1:4" x14ac:dyDescent="0.35">
      <c r="A2051" s="5" t="str">
        <f t="shared" si="1029"/>
        <v>MAG</v>
      </c>
      <c r="B2051" s="3" t="str">
        <f t="shared" ref="B2051:B2052" si="1056">CHOOSE(2, "1395000000552", "Avg. Case size UM")</f>
        <v>Avg. Case size UM</v>
      </c>
      <c r="C2051" s="4" t="str">
        <f>CHOOSE(2, "5461730030", "Jun 26")</f>
        <v>Jun 26</v>
      </c>
      <c r="D2051" s="14">
        <v>0</v>
      </c>
    </row>
    <row r="2052" spans="1:4" x14ac:dyDescent="0.35">
      <c r="A2052" s="5" t="str">
        <f t="shared" si="1029"/>
        <v>MAG</v>
      </c>
      <c r="B2052" s="6" t="str">
        <f t="shared" si="1056"/>
        <v>Avg. Case size UM</v>
      </c>
      <c r="C2052" s="4" t="str">
        <f>CHOOSE(2, "5462030031", "Jul 26")</f>
        <v>Jul 26</v>
      </c>
      <c r="D2052" s="14">
        <v>0</v>
      </c>
    </row>
    <row r="2053" spans="1:4" x14ac:dyDescent="0.35">
      <c r="A2053" s="5" t="str">
        <f t="shared" si="1029"/>
        <v>MAG</v>
      </c>
      <c r="B2053" s="3" t="str">
        <f t="shared" ref="B2053:B2054" si="1057">CHOOSE(2, "1395000000551", "Avg. Case size Leaders above UM")</f>
        <v>Avg. Case size Leaders above UM</v>
      </c>
      <c r="C2053" s="4" t="str">
        <f>CHOOSE(2, "5461730030", "Jun 26")</f>
        <v>Jun 26</v>
      </c>
      <c r="D2053" s="14">
        <v>0</v>
      </c>
    </row>
    <row r="2054" spans="1:4" x14ac:dyDescent="0.35">
      <c r="A2054" s="5" t="str">
        <f t="shared" si="1029"/>
        <v>MAG</v>
      </c>
      <c r="B2054" s="6" t="str">
        <f t="shared" si="1057"/>
        <v>Avg. Case size Leaders above UM</v>
      </c>
      <c r="C2054" s="4" t="str">
        <f>CHOOSE(2, "5462030031", "Jul 26")</f>
        <v>Jul 26</v>
      </c>
      <c r="D2054" s="14">
        <v>0</v>
      </c>
    </row>
    <row r="2055" spans="1:4" x14ac:dyDescent="0.35">
      <c r="A2055" s="5" t="str">
        <f t="shared" si="1029"/>
        <v>MAG</v>
      </c>
      <c r="B2055" s="3" t="str">
        <f t="shared" ref="B2055:B2056" si="1058">CHOOSE(2, "1395000000550", "Avg. Case size Top-tier agents")</f>
        <v>Avg. Case size Top-tier agents</v>
      </c>
      <c r="C2055" s="4" t="str">
        <f>CHOOSE(2, "5461730030", "Jun 26")</f>
        <v>Jun 26</v>
      </c>
      <c r="D2055" s="14">
        <v>12596.706972696462</v>
      </c>
    </row>
    <row r="2056" spans="1:4" x14ac:dyDescent="0.35">
      <c r="A2056" s="5" t="str">
        <f t="shared" si="1029"/>
        <v>MAG</v>
      </c>
      <c r="B2056" s="6" t="str">
        <f t="shared" si="1058"/>
        <v>Avg. Case size Top-tier agents</v>
      </c>
      <c r="C2056" s="4" t="str">
        <f>CHOOSE(2, "5462030031", "Jul 26")</f>
        <v>Jul 26</v>
      </c>
      <c r="D2056" s="14">
        <v>9462.1142946434484</v>
      </c>
    </row>
    <row r="2057" spans="1:4" x14ac:dyDescent="0.35">
      <c r="A2057" s="5" t="str">
        <f t="shared" si="1029"/>
        <v>MAG</v>
      </c>
      <c r="B2057" s="3" t="str">
        <f t="shared" ref="B2057:B2058" si="1059">CHOOSE(2, "1395000000549", "Avg. Case size Manulife Pro Qualifiers - Total")</f>
        <v>Avg. Case size Manulife Pro Qualifiers - Total</v>
      </c>
      <c r="C2057" s="4" t="str">
        <f>CHOOSE(2, "5461730030", "Jun 26")</f>
        <v>Jun 26</v>
      </c>
      <c r="D2057" s="14">
        <v>0</v>
      </c>
    </row>
    <row r="2058" spans="1:4" x14ac:dyDescent="0.35">
      <c r="A2058" s="5" t="str">
        <f t="shared" si="1029"/>
        <v>MAG</v>
      </c>
      <c r="B2058" s="6" t="str">
        <f t="shared" si="1059"/>
        <v>Avg. Case size Manulife Pro Qualifiers - Total</v>
      </c>
      <c r="C2058" s="4" t="str">
        <f>CHOOSE(2, "5462030031", "Jul 26")</f>
        <v>Jul 26</v>
      </c>
      <c r="D2058" s="14">
        <v>0</v>
      </c>
    </row>
    <row r="2059" spans="1:4" x14ac:dyDescent="0.35">
      <c r="A2059" s="5" t="str">
        <f t="shared" si="1029"/>
        <v>MAG</v>
      </c>
      <c r="B2059" s="3" t="str">
        <f t="shared" ref="B2059:B2060" si="1060">CHOOSE(2, "1395000000548", "Avg. Case size FA or equivalent")</f>
        <v>Avg. Case size FA or equivalent</v>
      </c>
      <c r="C2059" s="4" t="str">
        <f>CHOOSE(2, "5461730030", "Jun 26")</f>
        <v>Jun 26</v>
      </c>
      <c r="D2059" s="14">
        <v>0</v>
      </c>
    </row>
    <row r="2060" spans="1:4" x14ac:dyDescent="0.35">
      <c r="A2060" s="5" t="str">
        <f t="shared" si="1029"/>
        <v>MAG</v>
      </c>
      <c r="B2060" s="6" t="str">
        <f t="shared" si="1060"/>
        <v>Avg. Case size FA or equivalent</v>
      </c>
      <c r="C2060" s="4" t="str">
        <f>CHOOSE(2, "5462030031", "Jul 26")</f>
        <v>Jul 26</v>
      </c>
      <c r="D2060" s="14">
        <v>0</v>
      </c>
    </row>
    <row r="2061" spans="1:4" x14ac:dyDescent="0.35">
      <c r="A2061" s="5" t="str">
        <f t="shared" si="1029"/>
        <v>MAG</v>
      </c>
      <c r="B2061" s="3" t="str">
        <f t="shared" ref="B2061:B2062" si="1061">CHOOSE(2, "1395000000547", "Avg. Case size pro-rated MDRT agents (&gt;100%)")</f>
        <v>Avg. Case size pro-rated MDRT agents (&gt;100%)</v>
      </c>
      <c r="C2061" s="4" t="str">
        <f>CHOOSE(2, "5461730030", "Jun 26")</f>
        <v>Jun 26</v>
      </c>
      <c r="D2061" s="14">
        <v>14215.629297885906</v>
      </c>
    </row>
    <row r="2062" spans="1:4" x14ac:dyDescent="0.35">
      <c r="A2062" s="5" t="str">
        <f t="shared" si="1029"/>
        <v>MAG</v>
      </c>
      <c r="B2062" s="6" t="str">
        <f t="shared" si="1061"/>
        <v>Avg. Case size pro-rated MDRT agents (&gt;100%)</v>
      </c>
      <c r="C2062" s="4" t="str">
        <f>CHOOSE(2, "5462030031", "Jul 26")</f>
        <v>Jul 26</v>
      </c>
      <c r="D2062" s="14">
        <v>10543.751035147492</v>
      </c>
    </row>
    <row r="2063" spans="1:4" x14ac:dyDescent="0.35">
      <c r="A2063" s="5" t="str">
        <f t="shared" ref="A2063:A2096" si="1062">CHOOSE(2, "1260000000002", "MAG")</f>
        <v>MAG</v>
      </c>
      <c r="B2063" s="3" t="str">
        <f t="shared" ref="B2063:B2064" si="1063">CHOOSE(2, "1395000000546", "Avg. Case size pro-rated MDRT agents (70-99%)")</f>
        <v>Avg. Case size pro-rated MDRT agents (70-99%)</v>
      </c>
      <c r="C2063" s="4" t="str">
        <f>CHOOSE(2, "5461730030", "Jun 26")</f>
        <v>Jun 26</v>
      </c>
      <c r="D2063" s="14">
        <v>4860.484166574468</v>
      </c>
    </row>
    <row r="2064" spans="1:4" x14ac:dyDescent="0.35">
      <c r="A2064" s="5" t="str">
        <f t="shared" si="1062"/>
        <v>MAG</v>
      </c>
      <c r="B2064" s="6" t="str">
        <f t="shared" si="1063"/>
        <v>Avg. Case size pro-rated MDRT agents (70-99%)</v>
      </c>
      <c r="C2064" s="4" t="str">
        <f>CHOOSE(2, "5462030031", "Jul 26")</f>
        <v>Jul 26</v>
      </c>
      <c r="D2064" s="14">
        <v>6923.1557498390803</v>
      </c>
    </row>
    <row r="2065" spans="1:4" x14ac:dyDescent="0.35">
      <c r="A2065" s="5" t="str">
        <f t="shared" si="1062"/>
        <v>MAG</v>
      </c>
      <c r="B2065" s="3" t="str">
        <f t="shared" ref="B2065:B2066" si="1064">CHOOSE(2, "1395000000545", "Avg. Case size pro-rated MDRT agents (50-69%)")</f>
        <v>Avg. Case size pro-rated MDRT agents (50-69%)</v>
      </c>
      <c r="C2065" s="4" t="str">
        <f>CHOOSE(2, "5461730030", "Jun 26")</f>
        <v>Jun 26</v>
      </c>
      <c r="D2065" s="14">
        <v>4223.316101244186</v>
      </c>
    </row>
    <row r="2066" spans="1:4" x14ac:dyDescent="0.35">
      <c r="A2066" s="5" t="str">
        <f t="shared" si="1062"/>
        <v>MAG</v>
      </c>
      <c r="B2066" s="6" t="str">
        <f t="shared" si="1064"/>
        <v>Avg. Case size pro-rated MDRT agents (50-69%)</v>
      </c>
      <c r="C2066" s="4" t="str">
        <f>CHOOSE(2, "5462030031", "Jul 26")</f>
        <v>Jul 26</v>
      </c>
      <c r="D2066" s="14">
        <v>3212.5982377560972</v>
      </c>
    </row>
    <row r="2067" spans="1:4" x14ac:dyDescent="0.35">
      <c r="A2067" s="5" t="str">
        <f t="shared" si="1062"/>
        <v>MAG</v>
      </c>
      <c r="B2067" s="3" t="str">
        <f t="shared" ref="B2067:B2068" si="1065">CHOOSE(2, "1395000000544", "% of 1-Month Active Agents UM")</f>
        <v>% of 1-Month Active Agents UM</v>
      </c>
      <c r="C2067" s="4" t="str">
        <f>CHOOSE(2, "5461730030", "Jun 26")</f>
        <v>Jun 26</v>
      </c>
      <c r="D2067" s="14">
        <v>0.54216867469879515</v>
      </c>
    </row>
    <row r="2068" spans="1:4" x14ac:dyDescent="0.35">
      <c r="A2068" s="5" t="str">
        <f t="shared" si="1062"/>
        <v>MAG</v>
      </c>
      <c r="B2068" s="6" t="str">
        <f t="shared" si="1065"/>
        <v>% of 1-Month Active Agents UM</v>
      </c>
      <c r="C2068" s="4" t="str">
        <f>CHOOSE(2, "5462030031", "Jul 26")</f>
        <v>Jul 26</v>
      </c>
      <c r="D2068" s="14">
        <v>0.45238095238095238</v>
      </c>
    </row>
    <row r="2069" spans="1:4" x14ac:dyDescent="0.35">
      <c r="A2069" s="5" t="str">
        <f t="shared" si="1062"/>
        <v>MAG</v>
      </c>
      <c r="B2069" s="3" t="str">
        <f t="shared" ref="B2069:B2070" si="1066">CHOOSE(2, "1395000000543", "% of 1-Month Active Agents Leaders above UM")</f>
        <v>% of 1-Month Active Agents Leaders above UM</v>
      </c>
      <c r="C2069" s="4" t="str">
        <f>CHOOSE(2, "5461730030", "Jun 26")</f>
        <v>Jun 26</v>
      </c>
      <c r="D2069" s="14">
        <v>0.36363636363636365</v>
      </c>
    </row>
    <row r="2070" spans="1:4" x14ac:dyDescent="0.35">
      <c r="A2070" s="5" t="str">
        <f t="shared" si="1062"/>
        <v>MAG</v>
      </c>
      <c r="B2070" s="6" t="str">
        <f t="shared" si="1066"/>
        <v>% of 1-Month Active Agents Leaders above UM</v>
      </c>
      <c r="C2070" s="4" t="str">
        <f>CHOOSE(2, "5462030031", "Jul 26")</f>
        <v>Jul 26</v>
      </c>
      <c r="D2070" s="14">
        <v>0.2608695652173913</v>
      </c>
    </row>
    <row r="2071" spans="1:4" x14ac:dyDescent="0.35">
      <c r="A2071" s="5" t="str">
        <f t="shared" si="1062"/>
        <v>MAG</v>
      </c>
      <c r="B2071" s="3" t="str">
        <f t="shared" ref="B2071:B2072" si="1067">CHOOSE(2, "1395000000542", "% of 1-Month Active Agents Top-tier agents")</f>
        <v>% of 1-Month Active Agents Top-tier agents</v>
      </c>
      <c r="C2071" s="4" t="str">
        <f>CHOOSE(2, "5461730030", "Jun 26")</f>
        <v>Jun 26</v>
      </c>
      <c r="D2071" s="14">
        <v>0.83582089552238803</v>
      </c>
    </row>
    <row r="2072" spans="1:4" x14ac:dyDescent="0.35">
      <c r="A2072" s="5" t="str">
        <f t="shared" si="1062"/>
        <v>MAG</v>
      </c>
      <c r="B2072" s="6" t="str">
        <f t="shared" si="1067"/>
        <v>% of 1-Month Active Agents Top-tier agents</v>
      </c>
      <c r="C2072" s="4" t="str">
        <f>CHOOSE(2, "5462030031", "Jul 26")</f>
        <v>Jul 26</v>
      </c>
      <c r="D2072" s="14">
        <v>0.75182481751824815</v>
      </c>
    </row>
    <row r="2073" spans="1:4" x14ac:dyDescent="0.35">
      <c r="A2073" s="5" t="str">
        <f t="shared" si="1062"/>
        <v>MAG</v>
      </c>
      <c r="B2073" s="3" t="str">
        <f t="shared" ref="B2073:B2074" si="1068">CHOOSE(2, "1395000000541", "% of 1-Month Active Agents FA or equivalent")</f>
        <v>% of 1-Month Active Agents FA or equivalent</v>
      </c>
      <c r="C2073" s="4" t="str">
        <f>CHOOSE(2, "5461730030", "Jun 26")</f>
        <v>Jun 26</v>
      </c>
      <c r="D2073" s="14">
        <v>0.59006211180124224</v>
      </c>
    </row>
    <row r="2074" spans="1:4" x14ac:dyDescent="0.35">
      <c r="A2074" s="5" t="str">
        <f t="shared" si="1062"/>
        <v>MAG</v>
      </c>
      <c r="B2074" s="6" t="str">
        <f t="shared" si="1068"/>
        <v>% of 1-Month Active Agents FA or equivalent</v>
      </c>
      <c r="C2074" s="4" t="str">
        <f>CHOOSE(2, "5462030031", "Jul 26")</f>
        <v>Jul 26</v>
      </c>
      <c r="D2074" s="14">
        <v>0.54878048780487809</v>
      </c>
    </row>
    <row r="2075" spans="1:4" x14ac:dyDescent="0.35">
      <c r="A2075" s="5" t="str">
        <f t="shared" si="1062"/>
        <v>MAG</v>
      </c>
      <c r="B2075" s="3" t="str">
        <f t="shared" ref="B2075:B2076" si="1069">CHOOSE(2, "1395000000540", "% of 1-Month Active Agents pro-rated MDRT agents (&gt;100%)")</f>
        <v>% of 1-Month Active Agents pro-rated MDRT agents (&gt;100%)</v>
      </c>
      <c r="C2075" s="4" t="str">
        <f>CHOOSE(2, "5461730030", "Jun 26")</f>
        <v>Jun 26</v>
      </c>
      <c r="D2075" s="14">
        <v>0.86802030456852797</v>
      </c>
    </row>
    <row r="2076" spans="1:4" x14ac:dyDescent="0.35">
      <c r="A2076" s="5" t="str">
        <f t="shared" si="1062"/>
        <v>MAG</v>
      </c>
      <c r="B2076" s="6" t="str">
        <f t="shared" si="1069"/>
        <v>% of 1-Month Active Agents pro-rated MDRT agents (&gt;100%)</v>
      </c>
      <c r="C2076" s="4" t="str">
        <f>CHOOSE(2, "5462030031", "Jul 26")</f>
        <v>Jul 26</v>
      </c>
      <c r="D2076" s="14">
        <v>0.77835051546391754</v>
      </c>
    </row>
    <row r="2077" spans="1:4" x14ac:dyDescent="0.35">
      <c r="A2077" s="5" t="str">
        <f t="shared" si="1062"/>
        <v>MAG</v>
      </c>
      <c r="B2077" s="3" t="str">
        <f t="shared" ref="B2077:B2078" si="1070">CHOOSE(2, "1395000000539", "% of 1-Month Active Agents pro-rated MDRT agents (70-99%)")</f>
        <v>% of 1-Month Active Agents pro-rated MDRT agents (70-99%)</v>
      </c>
      <c r="C2077" s="4" t="str">
        <f>CHOOSE(2, "5461730030", "Jun 26")</f>
        <v>Jun 26</v>
      </c>
      <c r="D2077" s="14">
        <v>0.7441860465116279</v>
      </c>
    </row>
    <row r="2078" spans="1:4" x14ac:dyDescent="0.35">
      <c r="A2078" s="5" t="str">
        <f t="shared" si="1062"/>
        <v>MAG</v>
      </c>
      <c r="B2078" s="6" t="str">
        <f t="shared" si="1070"/>
        <v>% of 1-Month Active Agents pro-rated MDRT agents (70-99%)</v>
      </c>
      <c r="C2078" s="4" t="str">
        <f>CHOOSE(2, "5462030031", "Jul 26")</f>
        <v>Jul 26</v>
      </c>
      <c r="D2078" s="14">
        <v>0.72727272727272729</v>
      </c>
    </row>
    <row r="2079" spans="1:4" x14ac:dyDescent="0.35">
      <c r="A2079" s="5" t="str">
        <f t="shared" si="1062"/>
        <v>MAG</v>
      </c>
      <c r="B2079" s="3" t="str">
        <f t="shared" ref="B2079:B2080" si="1071">CHOOSE(2, "1395000000538", "% of 1-Month Active Agents pro-rated MDRT agents (50-69%)")</f>
        <v>% of 1-Month Active Agents pro-rated MDRT agents (50-69%)</v>
      </c>
      <c r="C2079" s="4" t="str">
        <f>CHOOSE(2, "5461730030", "Jun 26")</f>
        <v>Jun 26</v>
      </c>
      <c r="D2079" s="14">
        <v>0.75</v>
      </c>
    </row>
    <row r="2080" spans="1:4" x14ac:dyDescent="0.35">
      <c r="A2080" s="5" t="str">
        <f t="shared" si="1062"/>
        <v>MAG</v>
      </c>
      <c r="B2080" s="6" t="str">
        <f t="shared" si="1071"/>
        <v>% of 1-Month Active Agents pro-rated MDRT agents (50-69%)</v>
      </c>
      <c r="C2080" s="4" t="str">
        <f>CHOOSE(2, "5462030031", "Jul 26")</f>
        <v>Jul 26</v>
      </c>
      <c r="D2080" s="14">
        <v>0.63888888888888884</v>
      </c>
    </row>
    <row r="2081" spans="1:4" x14ac:dyDescent="0.35">
      <c r="A2081" s="5" t="str">
        <f t="shared" si="1062"/>
        <v>MAG</v>
      </c>
      <c r="B2081" s="3" t="str">
        <f t="shared" ref="B2081:B2082" si="1072">CHOOSE(2, "1395000000537", "Avg. Case count per 1-Month Active Agent UM")</f>
        <v>Avg. Case count per 1-Month Active Agent UM</v>
      </c>
      <c r="C2081" s="4" t="str">
        <f>CHOOSE(2, "5461730030", "Jun 26")</f>
        <v>Jun 26</v>
      </c>
      <c r="D2081" s="14">
        <v>3.8666666666666667</v>
      </c>
    </row>
    <row r="2082" spans="1:4" x14ac:dyDescent="0.35">
      <c r="A2082" s="5" t="str">
        <f t="shared" si="1062"/>
        <v>MAG</v>
      </c>
      <c r="B2082" s="6" t="str">
        <f t="shared" si="1072"/>
        <v>Avg. Case count per 1-Month Active Agent UM</v>
      </c>
      <c r="C2082" s="4" t="str">
        <f>CHOOSE(2, "5462030031", "Jul 26")</f>
        <v>Jul 26</v>
      </c>
      <c r="D2082" s="14">
        <v>4.3157894736842106</v>
      </c>
    </row>
    <row r="2083" spans="1:4" x14ac:dyDescent="0.35">
      <c r="A2083" s="5" t="str">
        <f t="shared" si="1062"/>
        <v>MAG</v>
      </c>
      <c r="B2083" s="3" t="str">
        <f t="shared" ref="B2083:B2084" si="1073">CHOOSE(2, "1395000000536", "Avg. Case count per 1-Month Active Agent Leaders above UM")</f>
        <v>Avg. Case count per 1-Month Active Agent Leaders above UM</v>
      </c>
      <c r="C2083" s="4" t="str">
        <f>CHOOSE(2, "5461730030", "Jun 26")</f>
        <v>Jun 26</v>
      </c>
      <c r="D2083" s="14">
        <v>4.375</v>
      </c>
    </row>
    <row r="2084" spans="1:4" x14ac:dyDescent="0.35">
      <c r="A2084" s="5" t="str">
        <f t="shared" si="1062"/>
        <v>MAG</v>
      </c>
      <c r="B2084" s="6" t="str">
        <f t="shared" si="1073"/>
        <v>Avg. Case count per 1-Month Active Agent Leaders above UM</v>
      </c>
      <c r="C2084" s="4" t="str">
        <f>CHOOSE(2, "5462030031", "Jul 26")</f>
        <v>Jul 26</v>
      </c>
      <c r="D2084" s="14">
        <v>3.5</v>
      </c>
    </row>
    <row r="2085" spans="1:4" x14ac:dyDescent="0.35">
      <c r="A2085" s="5" t="str">
        <f t="shared" si="1062"/>
        <v>MAG</v>
      </c>
      <c r="B2085" s="3" t="str">
        <f t="shared" ref="B2085:B2086" si="1074">CHOOSE(2, "1395000000535", "Avg. Case count per 1-Month Active Agent Top-tier agents")</f>
        <v>Avg. Case count per 1-Month Active Agent Top-tier agents</v>
      </c>
      <c r="C2085" s="4" t="str">
        <f>CHOOSE(2, "5461730030", "Jun 26")</f>
        <v>Jun 26</v>
      </c>
      <c r="D2085" s="14">
        <v>4.7946428571428568</v>
      </c>
    </row>
    <row r="2086" spans="1:4" x14ac:dyDescent="0.35">
      <c r="A2086" s="5" t="str">
        <f t="shared" si="1062"/>
        <v>MAG</v>
      </c>
      <c r="B2086" s="6" t="str">
        <f t="shared" si="1074"/>
        <v>Avg. Case count per 1-Month Active Agent Top-tier agents</v>
      </c>
      <c r="C2086" s="4" t="str">
        <f>CHOOSE(2, "5462030031", "Jul 26")</f>
        <v>Jul 26</v>
      </c>
      <c r="D2086" s="14">
        <v>4.1116504854368934</v>
      </c>
    </row>
    <row r="2087" spans="1:4" x14ac:dyDescent="0.35">
      <c r="A2087" s="5" t="str">
        <f t="shared" si="1062"/>
        <v>MAG</v>
      </c>
      <c r="B2087" s="3" t="str">
        <f t="shared" ref="B2087:B2088" si="1075">CHOOSE(2, "1395000000534", "Avg. Case count per 1-Month Manulife Pro Qualifiers - Total")</f>
        <v>Avg. Case count per 1-Month Manulife Pro Qualifiers - Total</v>
      </c>
      <c r="C2087" s="4" t="str">
        <f>CHOOSE(2, "5461730030", "Jun 26")</f>
        <v>Jun 26</v>
      </c>
      <c r="D2087" s="14">
        <v>0</v>
      </c>
    </row>
    <row r="2088" spans="1:4" x14ac:dyDescent="0.35">
      <c r="A2088" s="5" t="str">
        <f t="shared" si="1062"/>
        <v>MAG</v>
      </c>
      <c r="B2088" s="6" t="str">
        <f t="shared" si="1075"/>
        <v>Avg. Case count per 1-Month Manulife Pro Qualifiers - Total</v>
      </c>
      <c r="C2088" s="4" t="str">
        <f>CHOOSE(2, "5462030031", "Jul 26")</f>
        <v>Jul 26</v>
      </c>
      <c r="D2088" s="14">
        <v>0</v>
      </c>
    </row>
    <row r="2089" spans="1:4" x14ac:dyDescent="0.35">
      <c r="A2089" s="5" t="str">
        <f t="shared" si="1062"/>
        <v>MAG</v>
      </c>
      <c r="B2089" s="3" t="str">
        <f t="shared" ref="B2089:B2090" si="1076">CHOOSE(2, "1395000000533", "Avg. Case count per 1-Month Active Agent FA or equivalent")</f>
        <v>Avg. Case count per 1-Month Active Agent FA or equivalent</v>
      </c>
      <c r="C2089" s="4" t="str">
        <f>CHOOSE(2, "5461730030", "Jun 26")</f>
        <v>Jun 26</v>
      </c>
      <c r="D2089" s="14">
        <v>3.8701754385964913</v>
      </c>
    </row>
    <row r="2090" spans="1:4" x14ac:dyDescent="0.35">
      <c r="A2090" s="5" t="str">
        <f t="shared" si="1062"/>
        <v>MAG</v>
      </c>
      <c r="B2090" s="6" t="str">
        <f t="shared" si="1076"/>
        <v>Avg. Case count per 1-Month Active Agent FA or equivalent</v>
      </c>
      <c r="C2090" s="4" t="str">
        <f>CHOOSE(2, "5462030031", "Jul 26")</f>
        <v>Jul 26</v>
      </c>
      <c r="D2090" s="14">
        <v>3.4592592592592593</v>
      </c>
    </row>
    <row r="2091" spans="1:4" x14ac:dyDescent="0.35">
      <c r="A2091" s="5" t="str">
        <f t="shared" si="1062"/>
        <v>MAG</v>
      </c>
      <c r="B2091" s="3" t="str">
        <f t="shared" ref="B2091:B2092" si="1077">CHOOSE(2, "1395000000532", "Avg. Case count per 1-Month pro-rated MDRT agents (&gt;100%)")</f>
        <v>Avg. Case count per 1-Month pro-rated MDRT agents (&gt;100%)</v>
      </c>
      <c r="C2091" s="4" t="str">
        <f>CHOOSE(2, "5461730030", "Jun 26")</f>
        <v>Jun 26</v>
      </c>
      <c r="D2091" s="14">
        <v>5.2280701754385968</v>
      </c>
    </row>
    <row r="2092" spans="1:4" x14ac:dyDescent="0.35">
      <c r="A2092" s="5" t="str">
        <f t="shared" si="1062"/>
        <v>MAG</v>
      </c>
      <c r="B2092" s="6" t="str">
        <f t="shared" si="1077"/>
        <v>Avg. Case count per 1-Month pro-rated MDRT agents (&gt;100%)</v>
      </c>
      <c r="C2092" s="4" t="str">
        <f>CHOOSE(2, "5462030031", "Jul 26")</f>
        <v>Jul 26</v>
      </c>
      <c r="D2092" s="14">
        <v>4.4900662251655632</v>
      </c>
    </row>
    <row r="2093" spans="1:4" x14ac:dyDescent="0.35">
      <c r="A2093" s="5" t="str">
        <f t="shared" si="1062"/>
        <v>MAG</v>
      </c>
      <c r="B2093" s="3" t="str">
        <f t="shared" ref="B2093:B2094" si="1078">CHOOSE(2, "1395000000531", "Avg. Case count per 1-Month pro-rated MDRT agents (70-99%)")</f>
        <v>Avg. Case count per 1-Month pro-rated MDRT agents (70-99%)</v>
      </c>
      <c r="C2093" s="4" t="str">
        <f>CHOOSE(2, "5461730030", "Jun 26")</f>
        <v>Jun 26</v>
      </c>
      <c r="D2093" s="14">
        <v>2.9375</v>
      </c>
    </row>
    <row r="2094" spans="1:4" x14ac:dyDescent="0.35">
      <c r="A2094" s="5" t="str">
        <f t="shared" si="1062"/>
        <v>MAG</v>
      </c>
      <c r="B2094" s="6" t="str">
        <f t="shared" si="1078"/>
        <v>Avg. Case count per 1-Month pro-rated MDRT agents (70-99%)</v>
      </c>
      <c r="C2094" s="4" t="str">
        <f>CHOOSE(2, "5462030031", "Jul 26")</f>
        <v>Jul 26</v>
      </c>
      <c r="D2094" s="14">
        <v>2.71875</v>
      </c>
    </row>
    <row r="2095" spans="1:4" x14ac:dyDescent="0.35">
      <c r="A2095" s="5" t="str">
        <f t="shared" si="1062"/>
        <v>MAG</v>
      </c>
      <c r="B2095" s="3" t="str">
        <f t="shared" ref="B2095:B2096" si="1079">CHOOSE(2, "1395000000530", "Avg. Case count per 1-Month pro-rated MDRT agents (50-69%)")</f>
        <v>Avg. Case count per 1-Month pro-rated MDRT agents (50-69%)</v>
      </c>
      <c r="C2095" s="4" t="str">
        <f>CHOOSE(2, "5461730030", "Jun 26")</f>
        <v>Jun 26</v>
      </c>
      <c r="D2095" s="14">
        <v>4.0952380952380949</v>
      </c>
    </row>
    <row r="2096" spans="1:4" x14ac:dyDescent="0.35">
      <c r="A2096" s="6" t="str">
        <f t="shared" si="1062"/>
        <v>MAG</v>
      </c>
      <c r="B2096" s="6" t="str">
        <f t="shared" si="1079"/>
        <v>Avg. Case count per 1-Month pro-rated MDRT agents (50-69%)</v>
      </c>
      <c r="C2096" s="4" t="str">
        <f>CHOOSE(2, "5462030031", "Jul 26")</f>
        <v>Jul 26</v>
      </c>
      <c r="D2096" s="14">
        <v>3.5652173913043477</v>
      </c>
    </row>
    <row r="2097" spans="1:4" x14ac:dyDescent="0.35">
      <c r="A2097" s="3" t="str">
        <f t="shared" ref="A2097:A2160" si="1080">CHOOSE(2, "1260000000003", "MFA")</f>
        <v>MFA</v>
      </c>
      <c r="B2097" s="3" t="str">
        <f t="shared" ref="B2097:B2098" si="1081">CHOOSE(2, "1395000000741", "Submitted APE")</f>
        <v>Submitted APE</v>
      </c>
      <c r="C2097" s="4" t="str">
        <f>CHOOSE(2, "5461730030", "Jun 26")</f>
        <v>Jun 26</v>
      </c>
      <c r="D2097" s="14">
        <v>33706384.395393297</v>
      </c>
    </row>
    <row r="2098" spans="1:4" x14ac:dyDescent="0.35">
      <c r="A2098" s="5" t="str">
        <f t="shared" si="1080"/>
        <v>MFA</v>
      </c>
      <c r="B2098" s="6" t="str">
        <f t="shared" si="1081"/>
        <v>Submitted APE</v>
      </c>
      <c r="C2098" s="4" t="str">
        <f>CHOOSE(2, "5462030031", "Jul 26")</f>
        <v>Jul 26</v>
      </c>
      <c r="D2098" s="14">
        <v>22347524.049696598</v>
      </c>
    </row>
    <row r="2099" spans="1:4" x14ac:dyDescent="0.35">
      <c r="A2099" s="5" t="str">
        <f t="shared" si="1080"/>
        <v>MFA</v>
      </c>
      <c r="B2099" s="3" t="str">
        <f t="shared" ref="B2099:B2100" si="1082">CHOOSE(2, "1395000000740", "# of 1-Month Active Agents")</f>
        <v># of 1-Month Active Agents</v>
      </c>
      <c r="C2099" s="4" t="str">
        <f>CHOOSE(2, "5461730030", "Jun 26")</f>
        <v>Jun 26</v>
      </c>
      <c r="D2099" s="14">
        <v>722</v>
      </c>
    </row>
    <row r="2100" spans="1:4" x14ac:dyDescent="0.35">
      <c r="A2100" s="5" t="str">
        <f t="shared" si="1080"/>
        <v>MFA</v>
      </c>
      <c r="B2100" s="6" t="str">
        <f t="shared" si="1082"/>
        <v># of 1-Month Active Agents</v>
      </c>
      <c r="C2100" s="4" t="str">
        <f>CHOOSE(2, "5462030031", "Jul 26")</f>
        <v>Jul 26</v>
      </c>
      <c r="D2100" s="14">
        <v>690</v>
      </c>
    </row>
    <row r="2101" spans="1:4" x14ac:dyDescent="0.35">
      <c r="A2101" s="5" t="str">
        <f t="shared" si="1080"/>
        <v>MFA</v>
      </c>
      <c r="B2101" s="3" t="str">
        <f t="shared" ref="B2101:B2102" si="1083">CHOOSE(2, "1395000000739", "# of 1-Month Active Agents in 0-1M")</f>
        <v># of 1-Month Active Agents in 0-1M</v>
      </c>
      <c r="C2101" s="4" t="str">
        <f>CHOOSE(2, "5461730030", "Jun 26")</f>
        <v>Jun 26</v>
      </c>
      <c r="D2101" s="14">
        <v>2</v>
      </c>
    </row>
    <row r="2102" spans="1:4" x14ac:dyDescent="0.35">
      <c r="A2102" s="5" t="str">
        <f t="shared" si="1080"/>
        <v>MFA</v>
      </c>
      <c r="B2102" s="6" t="str">
        <f t="shared" si="1083"/>
        <v># of 1-Month Active Agents in 0-1M</v>
      </c>
      <c r="C2102" s="4" t="str">
        <f>CHOOSE(2, "5462030031", "Jul 26")</f>
        <v>Jul 26</v>
      </c>
      <c r="D2102" s="14">
        <v>1</v>
      </c>
    </row>
    <row r="2103" spans="1:4" x14ac:dyDescent="0.35">
      <c r="A2103" s="5" t="str">
        <f t="shared" si="1080"/>
        <v>MFA</v>
      </c>
      <c r="B2103" s="3" t="str">
        <f t="shared" ref="B2103:B2104" si="1084">CHOOSE(2, "1395000000738", "# of 1-Month Active Agents in 2-3M")</f>
        <v># of 1-Month Active Agents in 2-3M</v>
      </c>
      <c r="C2103" s="4" t="str">
        <f>CHOOSE(2, "5461730030", "Jun 26")</f>
        <v>Jun 26</v>
      </c>
      <c r="D2103" s="14">
        <v>31</v>
      </c>
    </row>
    <row r="2104" spans="1:4" x14ac:dyDescent="0.35">
      <c r="A2104" s="5" t="str">
        <f t="shared" si="1080"/>
        <v>MFA</v>
      </c>
      <c r="B2104" s="6" t="str">
        <f t="shared" si="1084"/>
        <v># of 1-Month Active Agents in 2-3M</v>
      </c>
      <c r="C2104" s="4" t="str">
        <f>CHOOSE(2, "5462030031", "Jul 26")</f>
        <v>Jul 26</v>
      </c>
      <c r="D2104" s="14">
        <v>32</v>
      </c>
    </row>
    <row r="2105" spans="1:4" x14ac:dyDescent="0.35">
      <c r="A2105" s="5" t="str">
        <f t="shared" si="1080"/>
        <v>MFA</v>
      </c>
      <c r="B2105" s="3" t="str">
        <f t="shared" ref="B2105:B2106" si="1085">CHOOSE(2, "1395000000737", "# of 1-Month Active Agents in 4-12M")</f>
        <v># of 1-Month Active Agents in 4-12M</v>
      </c>
      <c r="C2105" s="4" t="str">
        <f>CHOOSE(2, "5461730030", "Jun 26")</f>
        <v>Jun 26</v>
      </c>
      <c r="D2105" s="14">
        <v>95</v>
      </c>
    </row>
    <row r="2106" spans="1:4" x14ac:dyDescent="0.35">
      <c r="A2106" s="5" t="str">
        <f t="shared" si="1080"/>
        <v>MFA</v>
      </c>
      <c r="B2106" s="6" t="str">
        <f t="shared" si="1085"/>
        <v># of 1-Month Active Agents in 4-12M</v>
      </c>
      <c r="C2106" s="4" t="str">
        <f>CHOOSE(2, "5462030031", "Jul 26")</f>
        <v>Jul 26</v>
      </c>
      <c r="D2106" s="14">
        <v>79</v>
      </c>
    </row>
    <row r="2107" spans="1:4" x14ac:dyDescent="0.35">
      <c r="A2107" s="5" t="str">
        <f t="shared" si="1080"/>
        <v>MFA</v>
      </c>
      <c r="B2107" s="3" t="str">
        <f t="shared" ref="B2107:B2108" si="1086">CHOOSE(2, "1395000000736", "# of 1-Month Active Agents 13+M")</f>
        <v># of 1-Month Active Agents 13+M</v>
      </c>
      <c r="C2107" s="4" t="str">
        <f>CHOOSE(2, "5461730030", "Jun 26")</f>
        <v>Jun 26</v>
      </c>
      <c r="D2107" s="14">
        <v>594</v>
      </c>
    </row>
    <row r="2108" spans="1:4" x14ac:dyDescent="0.35">
      <c r="A2108" s="5" t="str">
        <f t="shared" si="1080"/>
        <v>MFA</v>
      </c>
      <c r="B2108" s="6" t="str">
        <f t="shared" si="1086"/>
        <v># of 1-Month Active Agents 13+M</v>
      </c>
      <c r="C2108" s="4" t="str">
        <f>CHOOSE(2, "5462030031", "Jul 26")</f>
        <v>Jul 26</v>
      </c>
      <c r="D2108" s="14">
        <v>578</v>
      </c>
    </row>
    <row r="2109" spans="1:4" x14ac:dyDescent="0.35">
      <c r="A2109" s="5" t="str">
        <f t="shared" si="1080"/>
        <v>MFA</v>
      </c>
      <c r="B2109" s="3" t="str">
        <f t="shared" ref="B2109:B2110" si="1087">CHOOSE(2, "1395000000735", "# of 1-Month Active Agents in FA or equivalent")</f>
        <v># of 1-Month Active Agents in FA or equivalent</v>
      </c>
      <c r="C2109" s="4" t="str">
        <f>CHOOSE(2, "5461730030", "Jun 26")</f>
        <v>Jun 26</v>
      </c>
      <c r="D2109" s="14">
        <v>639</v>
      </c>
    </row>
    <row r="2110" spans="1:4" x14ac:dyDescent="0.35">
      <c r="A2110" s="5" t="str">
        <f t="shared" si="1080"/>
        <v>MFA</v>
      </c>
      <c r="B2110" s="6" t="str">
        <f t="shared" si="1087"/>
        <v># of 1-Month Active Agents in FA or equivalent</v>
      </c>
      <c r="C2110" s="4" t="str">
        <f>CHOOSE(2, "5462030031", "Jul 26")</f>
        <v>Jul 26</v>
      </c>
      <c r="D2110" s="14">
        <v>611</v>
      </c>
    </row>
    <row r="2111" spans="1:4" x14ac:dyDescent="0.35">
      <c r="A2111" s="5" t="str">
        <f t="shared" si="1080"/>
        <v>MFA</v>
      </c>
      <c r="B2111" s="3" t="str">
        <f t="shared" ref="B2111:B2112" si="1088">CHOOSE(2, "1395000000734", "# of 1-Month Active Agents in UM")</f>
        <v># of 1-Month Active Agents in UM</v>
      </c>
      <c r="C2111" s="4" t="str">
        <f>CHOOSE(2, "5461730030", "Jun 26")</f>
        <v>Jun 26</v>
      </c>
      <c r="D2111" s="14">
        <v>76</v>
      </c>
    </row>
    <row r="2112" spans="1:4" x14ac:dyDescent="0.35">
      <c r="A2112" s="5" t="str">
        <f t="shared" si="1080"/>
        <v>MFA</v>
      </c>
      <c r="B2112" s="6" t="str">
        <f t="shared" si="1088"/>
        <v># of 1-Month Active Agents in UM</v>
      </c>
      <c r="C2112" s="4" t="str">
        <f>CHOOSE(2, "5462030031", "Jul 26")</f>
        <v>Jul 26</v>
      </c>
      <c r="D2112" s="14">
        <v>73</v>
      </c>
    </row>
    <row r="2113" spans="1:4" x14ac:dyDescent="0.35">
      <c r="A2113" s="5" t="str">
        <f t="shared" si="1080"/>
        <v>MFA</v>
      </c>
      <c r="B2113" s="3" t="str">
        <f t="shared" ref="B2113:B2114" si="1089">CHOOSE(2, "1395000000733", "# of 1-Month Active Agents in Leaders above UM")</f>
        <v># of 1-Month Active Agents in Leaders above UM</v>
      </c>
      <c r="C2113" s="4" t="str">
        <f>CHOOSE(2, "5461730030", "Jun 26")</f>
        <v>Jun 26</v>
      </c>
      <c r="D2113" s="14">
        <v>7</v>
      </c>
    </row>
    <row r="2114" spans="1:4" x14ac:dyDescent="0.35">
      <c r="A2114" s="5" t="str">
        <f t="shared" si="1080"/>
        <v>MFA</v>
      </c>
      <c r="B2114" s="6" t="str">
        <f t="shared" si="1089"/>
        <v># of 1-Month Active Agents in Leaders above UM</v>
      </c>
      <c r="C2114" s="4" t="str">
        <f>CHOOSE(2, "5462030031", "Jul 26")</f>
        <v>Jul 26</v>
      </c>
      <c r="D2114" s="14">
        <v>6</v>
      </c>
    </row>
    <row r="2115" spans="1:4" x14ac:dyDescent="0.35">
      <c r="A2115" s="5" t="str">
        <f t="shared" si="1080"/>
        <v>MFA</v>
      </c>
      <c r="B2115" s="3" t="str">
        <f t="shared" ref="B2115:B2116" si="1090">CHOOSE(2, "1395000000732", "# of 1-Month Active Top-tier Agents")</f>
        <v># of 1-Month Active Top-tier Agents</v>
      </c>
      <c r="C2115" s="4" t="str">
        <f>CHOOSE(2, "5461730030", "Jun 26")</f>
        <v>Jun 26</v>
      </c>
      <c r="D2115" s="14">
        <v>548</v>
      </c>
    </row>
    <row r="2116" spans="1:4" x14ac:dyDescent="0.35">
      <c r="A2116" s="5" t="str">
        <f t="shared" si="1080"/>
        <v>MFA</v>
      </c>
      <c r="B2116" s="6" t="str">
        <f t="shared" si="1090"/>
        <v># of 1-Month Active Top-tier Agents</v>
      </c>
      <c r="C2116" s="4" t="str">
        <f>CHOOSE(2, "5462030031", "Jul 26")</f>
        <v>Jul 26</v>
      </c>
      <c r="D2116" s="14">
        <v>521</v>
      </c>
    </row>
    <row r="2117" spans="1:4" x14ac:dyDescent="0.35">
      <c r="A2117" s="5" t="str">
        <f t="shared" si="1080"/>
        <v>MFA</v>
      </c>
      <c r="B2117" s="3" t="str">
        <f t="shared" ref="B2117:B2118" si="1091">CHOOSE(2, "1395000000731", "# of 1-Month Active Agents in pro-rated MDRT agents (&gt;100%)")</f>
        <v># of 1-Month Active Agents in pro-rated MDRT agents (&gt;100%)</v>
      </c>
      <c r="C2117" s="4" t="str">
        <f>CHOOSE(2, "5461730030", "Jun 26")</f>
        <v>Jun 26</v>
      </c>
      <c r="D2117" s="14">
        <v>420</v>
      </c>
    </row>
    <row r="2118" spans="1:4" x14ac:dyDescent="0.35">
      <c r="A2118" s="5" t="str">
        <f t="shared" si="1080"/>
        <v>MFA</v>
      </c>
      <c r="B2118" s="6" t="str">
        <f t="shared" si="1091"/>
        <v># of 1-Month Active Agents in pro-rated MDRT agents (&gt;100%)</v>
      </c>
      <c r="C2118" s="4" t="str">
        <f>CHOOSE(2, "5462030031", "Jul 26")</f>
        <v>Jul 26</v>
      </c>
      <c r="D2118" s="14">
        <v>408</v>
      </c>
    </row>
    <row r="2119" spans="1:4" x14ac:dyDescent="0.35">
      <c r="A2119" s="5" t="str">
        <f t="shared" si="1080"/>
        <v>MFA</v>
      </c>
      <c r="B2119" s="3" t="str">
        <f t="shared" ref="B2119:B2120" si="1092">CHOOSE(2, "1395000000730", "# of 1-Month Active Agents in pro-rated MDRT agents (70-99%)")</f>
        <v># of 1-Month Active Agents in pro-rated MDRT agents (70-99%)</v>
      </c>
      <c r="C2119" s="4" t="str">
        <f>CHOOSE(2, "5461730030", "Jun 26")</f>
        <v>Jun 26</v>
      </c>
      <c r="D2119" s="14">
        <v>68</v>
      </c>
    </row>
    <row r="2120" spans="1:4" x14ac:dyDescent="0.35">
      <c r="A2120" s="5" t="str">
        <f t="shared" si="1080"/>
        <v>MFA</v>
      </c>
      <c r="B2120" s="6" t="str">
        <f t="shared" si="1092"/>
        <v># of 1-Month Active Agents in pro-rated MDRT agents (70-99%)</v>
      </c>
      <c r="C2120" s="4" t="str">
        <f>CHOOSE(2, "5462030031", "Jul 26")</f>
        <v>Jul 26</v>
      </c>
      <c r="D2120" s="14">
        <v>61</v>
      </c>
    </row>
    <row r="2121" spans="1:4" x14ac:dyDescent="0.35">
      <c r="A2121" s="5" t="str">
        <f t="shared" si="1080"/>
        <v>MFA</v>
      </c>
      <c r="B2121" s="3" t="str">
        <f t="shared" ref="B2121:B2122" si="1093">CHOOSE(2, "1395000000729", "# of 1-Month Active Agents in pro-rated MDRT agents (50-69%)")</f>
        <v># of 1-Month Active Agents in pro-rated MDRT agents (50-69%)</v>
      </c>
      <c r="C2121" s="4" t="str">
        <f>CHOOSE(2, "5461730030", "Jun 26")</f>
        <v>Jun 26</v>
      </c>
      <c r="D2121" s="14">
        <v>60</v>
      </c>
    </row>
    <row r="2122" spans="1:4" x14ac:dyDescent="0.35">
      <c r="A2122" s="5" t="str">
        <f t="shared" si="1080"/>
        <v>MFA</v>
      </c>
      <c r="B2122" s="6" t="str">
        <f t="shared" si="1093"/>
        <v># of 1-Month Active Agents in pro-rated MDRT agents (50-69%)</v>
      </c>
      <c r="C2122" s="4" t="str">
        <f>CHOOSE(2, "5462030031", "Jul 26")</f>
        <v>Jul 26</v>
      </c>
      <c r="D2122" s="14">
        <v>52</v>
      </c>
    </row>
    <row r="2123" spans="1:4" x14ac:dyDescent="0.35">
      <c r="A2123" s="5" t="str">
        <f t="shared" si="1080"/>
        <v>MFA</v>
      </c>
      <c r="B2123" s="3" t="str">
        <f t="shared" ref="B2123:B2124" si="1094">CHOOSE(2, "1395000000728", "# of 1-Month Active Agents in Manulife Pro Qualifiers -Total")</f>
        <v># of 1-Month Active Agents in Manulife Pro Qualifiers -Total</v>
      </c>
      <c r="C2123" s="4" t="str">
        <f>CHOOSE(2, "5461730030", "Jun 26")</f>
        <v>Jun 26</v>
      </c>
      <c r="D2123" s="14">
        <v>0</v>
      </c>
    </row>
    <row r="2124" spans="1:4" x14ac:dyDescent="0.35">
      <c r="A2124" s="5" t="str">
        <f t="shared" si="1080"/>
        <v>MFA</v>
      </c>
      <c r="B2124" s="6" t="str">
        <f t="shared" si="1094"/>
        <v># of 1-Month Active Agents in Manulife Pro Qualifiers -Total</v>
      </c>
      <c r="C2124" s="4" t="str">
        <f>CHOOSE(2, "5462030031", "Jul 26")</f>
        <v>Jul 26</v>
      </c>
      <c r="D2124" s="14">
        <v>0</v>
      </c>
    </row>
    <row r="2125" spans="1:4" x14ac:dyDescent="0.35">
      <c r="A2125" s="5" t="str">
        <f t="shared" si="1080"/>
        <v>MFA</v>
      </c>
      <c r="B2125" s="3" t="str">
        <f t="shared" ref="B2125:B2126" si="1095">CHOOSE(2, "1395000000727", "# of 3-Month Active Agents")</f>
        <v># of 3-Month Active Agents</v>
      </c>
      <c r="C2125" s="4" t="str">
        <f>CHOOSE(2, "5461730030", "Jun 26")</f>
        <v>Jun 26</v>
      </c>
      <c r="D2125" s="14">
        <v>976</v>
      </c>
    </row>
    <row r="2126" spans="1:4" x14ac:dyDescent="0.35">
      <c r="A2126" s="5" t="str">
        <f t="shared" si="1080"/>
        <v>MFA</v>
      </c>
      <c r="B2126" s="6" t="str">
        <f t="shared" si="1095"/>
        <v># of 3-Month Active Agents</v>
      </c>
      <c r="C2126" s="4" t="str">
        <f>CHOOSE(2, "5462030031", "Jul 26")</f>
        <v>Jul 26</v>
      </c>
      <c r="D2126" s="14">
        <v>999</v>
      </c>
    </row>
    <row r="2127" spans="1:4" x14ac:dyDescent="0.35">
      <c r="A2127" s="5" t="str">
        <f t="shared" si="1080"/>
        <v>MFA</v>
      </c>
      <c r="B2127" s="3" t="str">
        <f t="shared" ref="B2127:B2128" si="1096">CHOOSE(2, "1395000000726", "# of 3-Month Active Agents in 0-1M")</f>
        <v># of 3-Month Active Agents in 0-1M</v>
      </c>
      <c r="C2127" s="4" t="str">
        <f>CHOOSE(2, "5461730030", "Jun 26")</f>
        <v>Jun 26</v>
      </c>
      <c r="D2127" s="14">
        <v>2</v>
      </c>
    </row>
    <row r="2128" spans="1:4" x14ac:dyDescent="0.35">
      <c r="A2128" s="5" t="str">
        <f t="shared" si="1080"/>
        <v>MFA</v>
      </c>
      <c r="B2128" s="6" t="str">
        <f t="shared" si="1096"/>
        <v># of 3-Month Active Agents in 0-1M</v>
      </c>
      <c r="C2128" s="4" t="str">
        <f>CHOOSE(2, "5462030031", "Jul 26")</f>
        <v>Jul 26</v>
      </c>
      <c r="D2128" s="14">
        <v>1</v>
      </c>
    </row>
    <row r="2129" spans="1:4" x14ac:dyDescent="0.35">
      <c r="A2129" s="5" t="str">
        <f t="shared" si="1080"/>
        <v>MFA</v>
      </c>
      <c r="B2129" s="3" t="str">
        <f t="shared" ref="B2129:B2130" si="1097">CHOOSE(2, "1395000000725", "# of 3-Month Active Agents in 2-3M")</f>
        <v># of 3-Month Active Agents in 2-3M</v>
      </c>
      <c r="C2129" s="4" t="str">
        <f>CHOOSE(2, "5461730030", "Jun 26")</f>
        <v>Jun 26</v>
      </c>
      <c r="D2129" s="14">
        <v>34</v>
      </c>
    </row>
    <row r="2130" spans="1:4" x14ac:dyDescent="0.35">
      <c r="A2130" s="5" t="str">
        <f t="shared" si="1080"/>
        <v>MFA</v>
      </c>
      <c r="B2130" s="6" t="str">
        <f t="shared" si="1097"/>
        <v># of 3-Month Active Agents in 2-3M</v>
      </c>
      <c r="C2130" s="4" t="str">
        <f>CHOOSE(2, "5462030031", "Jul 26")</f>
        <v>Jul 26</v>
      </c>
      <c r="D2130" s="14">
        <v>37</v>
      </c>
    </row>
    <row r="2131" spans="1:4" x14ac:dyDescent="0.35">
      <c r="A2131" s="5" t="str">
        <f t="shared" si="1080"/>
        <v>MFA</v>
      </c>
      <c r="B2131" s="3" t="str">
        <f t="shared" ref="B2131:B2132" si="1098">CHOOSE(2, "1395000000724", "# of 3-Month Active Agents in 4-12M")</f>
        <v># of 3-Month Active Agents in 4-12M</v>
      </c>
      <c r="C2131" s="4" t="str">
        <f>CHOOSE(2, "5461730030", "Jun 26")</f>
        <v>Jun 26</v>
      </c>
      <c r="D2131" s="14">
        <v>146</v>
      </c>
    </row>
    <row r="2132" spans="1:4" x14ac:dyDescent="0.35">
      <c r="A2132" s="5" t="str">
        <f t="shared" si="1080"/>
        <v>MFA</v>
      </c>
      <c r="B2132" s="6" t="str">
        <f t="shared" si="1098"/>
        <v># of 3-Month Active Agents in 4-12M</v>
      </c>
      <c r="C2132" s="4" t="str">
        <f>CHOOSE(2, "5462030031", "Jul 26")</f>
        <v>Jul 26</v>
      </c>
      <c r="D2132" s="14">
        <v>145</v>
      </c>
    </row>
    <row r="2133" spans="1:4" x14ac:dyDescent="0.35">
      <c r="A2133" s="5" t="str">
        <f t="shared" si="1080"/>
        <v>MFA</v>
      </c>
      <c r="B2133" s="3" t="str">
        <f t="shared" ref="B2133:B2134" si="1099">CHOOSE(2, "1395000000723", "# of 3-Month Active Agents 13+M")</f>
        <v># of 3-Month Active Agents 13+M</v>
      </c>
      <c r="C2133" s="4" t="str">
        <f>CHOOSE(2, "5461730030", "Jun 26")</f>
        <v>Jun 26</v>
      </c>
      <c r="D2133" s="14">
        <v>794</v>
      </c>
    </row>
    <row r="2134" spans="1:4" x14ac:dyDescent="0.35">
      <c r="A2134" s="5" t="str">
        <f t="shared" si="1080"/>
        <v>MFA</v>
      </c>
      <c r="B2134" s="6" t="str">
        <f t="shared" si="1099"/>
        <v># of 3-Month Active Agents 13+M</v>
      </c>
      <c r="C2134" s="4" t="str">
        <f>CHOOSE(2, "5462030031", "Jul 26")</f>
        <v>Jul 26</v>
      </c>
      <c r="D2134" s="14">
        <v>816</v>
      </c>
    </row>
    <row r="2135" spans="1:4" x14ac:dyDescent="0.35">
      <c r="A2135" s="5" t="str">
        <f t="shared" si="1080"/>
        <v>MFA</v>
      </c>
      <c r="B2135" s="3" t="str">
        <f t="shared" ref="B2135:B2136" si="1100">CHOOSE(2, "1395000000722", "# of 3-Month Active Agents in UM")</f>
        <v># of 3-Month Active Agents in UM</v>
      </c>
      <c r="C2135" s="4" t="str">
        <f>CHOOSE(2, "5461730030", "Jun 26")</f>
        <v>Jun 26</v>
      </c>
      <c r="D2135" s="2" t="s">
        <v>5</v>
      </c>
    </row>
    <row r="2136" spans="1:4" x14ac:dyDescent="0.35">
      <c r="A2136" s="5" t="str">
        <f t="shared" si="1080"/>
        <v>MFA</v>
      </c>
      <c r="B2136" s="6" t="str">
        <f t="shared" si="1100"/>
        <v># of 3-Month Active Agents in UM</v>
      </c>
      <c r="C2136" s="4" t="str">
        <f>CHOOSE(2, "5462030031", "Jul 26")</f>
        <v>Jul 26</v>
      </c>
      <c r="D2136" s="2" t="s">
        <v>5</v>
      </c>
    </row>
    <row r="2137" spans="1:4" x14ac:dyDescent="0.35">
      <c r="A2137" s="5" t="str">
        <f t="shared" si="1080"/>
        <v>MFA</v>
      </c>
      <c r="B2137" s="3" t="str">
        <f t="shared" ref="B2137:B2138" si="1101">CHOOSE(2, "1395000000721", "# of 3-Month Active Agents in Leaders above UM")</f>
        <v># of 3-Month Active Agents in Leaders above UM</v>
      </c>
      <c r="C2137" s="4" t="str">
        <f>CHOOSE(2, "5461730030", "Jun 26")</f>
        <v>Jun 26</v>
      </c>
      <c r="D2137" s="2" t="s">
        <v>5</v>
      </c>
    </row>
    <row r="2138" spans="1:4" x14ac:dyDescent="0.35">
      <c r="A2138" s="5" t="str">
        <f t="shared" si="1080"/>
        <v>MFA</v>
      </c>
      <c r="B2138" s="6" t="str">
        <f t="shared" si="1101"/>
        <v># of 3-Month Active Agents in Leaders above UM</v>
      </c>
      <c r="C2138" s="4" t="str">
        <f>CHOOSE(2, "5462030031", "Jul 26")</f>
        <v>Jul 26</v>
      </c>
      <c r="D2138" s="2" t="s">
        <v>5</v>
      </c>
    </row>
    <row r="2139" spans="1:4" x14ac:dyDescent="0.35">
      <c r="A2139" s="5" t="str">
        <f t="shared" si="1080"/>
        <v>MFA</v>
      </c>
      <c r="B2139" s="3" t="str">
        <f t="shared" ref="B2139:B2140" si="1102">CHOOSE(2, "1395000000720", "# of 3-Month Active Agents in FA or equivalent")</f>
        <v># of 3-Month Active Agents in FA or equivalent</v>
      </c>
      <c r="C2139" s="4" t="str">
        <f>CHOOSE(2, "5461730030", "Jun 26")</f>
        <v>Jun 26</v>
      </c>
      <c r="D2139" s="2" t="s">
        <v>5</v>
      </c>
    </row>
    <row r="2140" spans="1:4" x14ac:dyDescent="0.35">
      <c r="A2140" s="5" t="str">
        <f t="shared" si="1080"/>
        <v>MFA</v>
      </c>
      <c r="B2140" s="6" t="str">
        <f t="shared" si="1102"/>
        <v># of 3-Month Active Agents in FA or equivalent</v>
      </c>
      <c r="C2140" s="4" t="str">
        <f>CHOOSE(2, "5462030031", "Jul 26")</f>
        <v>Jul 26</v>
      </c>
      <c r="D2140" s="2" t="s">
        <v>5</v>
      </c>
    </row>
    <row r="2141" spans="1:4" x14ac:dyDescent="0.35">
      <c r="A2141" s="5" t="str">
        <f t="shared" si="1080"/>
        <v>MFA</v>
      </c>
      <c r="B2141" s="3" t="str">
        <f t="shared" ref="B2141:B2142" si="1103">CHOOSE(2, "1395000000719", "Net Case Count - Agency")</f>
        <v>Net Case Count - Agency</v>
      </c>
      <c r="C2141" s="4" t="str">
        <f>CHOOSE(2, "5461730030", "Jun 26")</f>
        <v>Jun 26</v>
      </c>
      <c r="D2141" s="14">
        <v>2694</v>
      </c>
    </row>
    <row r="2142" spans="1:4" x14ac:dyDescent="0.35">
      <c r="A2142" s="5" t="str">
        <f t="shared" si="1080"/>
        <v>MFA</v>
      </c>
      <c r="B2142" s="6" t="str">
        <f t="shared" si="1103"/>
        <v>Net Case Count - Agency</v>
      </c>
      <c r="C2142" s="4" t="str">
        <f>CHOOSE(2, "5462030031", "Jul 26")</f>
        <v>Jul 26</v>
      </c>
      <c r="D2142" s="14">
        <v>2402</v>
      </c>
    </row>
    <row r="2143" spans="1:4" x14ac:dyDescent="0.35">
      <c r="A2143" s="5" t="str">
        <f t="shared" si="1080"/>
        <v>MFA</v>
      </c>
      <c r="B2143" s="3" t="str">
        <f t="shared" ref="B2143:B2144" si="1104">CHOOSE(2, "1395000000718", "Net Case Count - Agency in 0-1M")</f>
        <v>Net Case Count - Agency in 0-1M</v>
      </c>
      <c r="C2143" s="4" t="str">
        <f>CHOOSE(2, "5461730030", "Jun 26")</f>
        <v>Jun 26</v>
      </c>
      <c r="D2143" s="14">
        <v>5</v>
      </c>
    </row>
    <row r="2144" spans="1:4" x14ac:dyDescent="0.35">
      <c r="A2144" s="5" t="str">
        <f t="shared" si="1080"/>
        <v>MFA</v>
      </c>
      <c r="B2144" s="6" t="str">
        <f t="shared" si="1104"/>
        <v>Net Case Count - Agency in 0-1M</v>
      </c>
      <c r="C2144" s="4" t="str">
        <f>CHOOSE(2, "5462030031", "Jul 26")</f>
        <v>Jul 26</v>
      </c>
      <c r="D2144" s="14">
        <v>1</v>
      </c>
    </row>
    <row r="2145" spans="1:4" x14ac:dyDescent="0.35">
      <c r="A2145" s="5" t="str">
        <f t="shared" si="1080"/>
        <v>MFA</v>
      </c>
      <c r="B2145" s="3" t="str">
        <f t="shared" ref="B2145:B2146" si="1105">CHOOSE(2, "1395000000717", "Net Case Count - Agency in 2-3M")</f>
        <v>Net Case Count - Agency in 2-3M</v>
      </c>
      <c r="C2145" s="4" t="str">
        <f>CHOOSE(2, "5461730030", "Jun 26")</f>
        <v>Jun 26</v>
      </c>
      <c r="D2145" s="14">
        <v>118</v>
      </c>
    </row>
    <row r="2146" spans="1:4" x14ac:dyDescent="0.35">
      <c r="A2146" s="5" t="str">
        <f t="shared" si="1080"/>
        <v>MFA</v>
      </c>
      <c r="B2146" s="6" t="str">
        <f t="shared" si="1105"/>
        <v>Net Case Count - Agency in 2-3M</v>
      </c>
      <c r="C2146" s="4" t="str">
        <f>CHOOSE(2, "5462030031", "Jul 26")</f>
        <v>Jul 26</v>
      </c>
      <c r="D2146" s="14">
        <v>128</v>
      </c>
    </row>
    <row r="2147" spans="1:4" x14ac:dyDescent="0.35">
      <c r="A2147" s="5" t="str">
        <f t="shared" si="1080"/>
        <v>MFA</v>
      </c>
      <c r="B2147" s="3" t="str">
        <f t="shared" ref="B2147:B2148" si="1106">CHOOSE(2, "1395000000716", "Net Case Count - Agency in 4-12M")</f>
        <v>Net Case Count - Agency in 4-12M</v>
      </c>
      <c r="C2147" s="4" t="str">
        <f>CHOOSE(2, "5461730030", "Jun 26")</f>
        <v>Jun 26</v>
      </c>
      <c r="D2147" s="14">
        <v>303</v>
      </c>
    </row>
    <row r="2148" spans="1:4" x14ac:dyDescent="0.35">
      <c r="A2148" s="5" t="str">
        <f t="shared" si="1080"/>
        <v>MFA</v>
      </c>
      <c r="B2148" s="6" t="str">
        <f t="shared" si="1106"/>
        <v>Net Case Count - Agency in 4-12M</v>
      </c>
      <c r="C2148" s="4" t="str">
        <f>CHOOSE(2, "5462030031", "Jul 26")</f>
        <v>Jul 26</v>
      </c>
      <c r="D2148" s="14">
        <v>231</v>
      </c>
    </row>
    <row r="2149" spans="1:4" x14ac:dyDescent="0.35">
      <c r="A2149" s="5" t="str">
        <f t="shared" si="1080"/>
        <v>MFA</v>
      </c>
      <c r="B2149" s="3" t="str">
        <f t="shared" ref="B2149:B2150" si="1107">CHOOSE(2, "1395000000715", "Net Case Count - Agency 13+M")</f>
        <v>Net Case Count - Agency 13+M</v>
      </c>
      <c r="C2149" s="4" t="str">
        <f>CHOOSE(2, "5461730030", "Jun 26")</f>
        <v>Jun 26</v>
      </c>
      <c r="D2149" s="14">
        <v>2268</v>
      </c>
    </row>
    <row r="2150" spans="1:4" x14ac:dyDescent="0.35">
      <c r="A2150" s="5" t="str">
        <f t="shared" si="1080"/>
        <v>MFA</v>
      </c>
      <c r="B2150" s="6" t="str">
        <f t="shared" si="1107"/>
        <v>Net Case Count - Agency 13+M</v>
      </c>
      <c r="C2150" s="4" t="str">
        <f>CHOOSE(2, "5462030031", "Jul 26")</f>
        <v>Jul 26</v>
      </c>
      <c r="D2150" s="14">
        <v>2042</v>
      </c>
    </row>
    <row r="2151" spans="1:4" x14ac:dyDescent="0.35">
      <c r="A2151" s="5" t="str">
        <f t="shared" si="1080"/>
        <v>MFA</v>
      </c>
      <c r="B2151" s="3" t="str">
        <f t="shared" ref="B2151:B2152" si="1108">CHOOSE(2, "1395000000714", "Net Case Count - Agency in FA or equivalent")</f>
        <v>Net Case Count - Agency in FA or equivalent</v>
      </c>
      <c r="C2151" s="4" t="str">
        <f>CHOOSE(2, "5461730030", "Jun 26")</f>
        <v>Jun 26</v>
      </c>
      <c r="D2151" s="14">
        <v>2412</v>
      </c>
    </row>
    <row r="2152" spans="1:4" x14ac:dyDescent="0.35">
      <c r="A2152" s="5" t="str">
        <f t="shared" si="1080"/>
        <v>MFA</v>
      </c>
      <c r="B2152" s="6" t="str">
        <f t="shared" si="1108"/>
        <v>Net Case Count - Agency in FA or equivalent</v>
      </c>
      <c r="C2152" s="4" t="str">
        <f>CHOOSE(2, "5462030031", "Jul 26")</f>
        <v>Jul 26</v>
      </c>
      <c r="D2152" s="14">
        <v>2155</v>
      </c>
    </row>
    <row r="2153" spans="1:4" x14ac:dyDescent="0.35">
      <c r="A2153" s="5" t="str">
        <f t="shared" si="1080"/>
        <v>MFA</v>
      </c>
      <c r="B2153" s="3" t="str">
        <f t="shared" ref="B2153:B2154" si="1109">CHOOSE(2, "1395000000713", "Net Case Count - Agency in UM")</f>
        <v>Net Case Count - Agency in UM</v>
      </c>
      <c r="C2153" s="4" t="str">
        <f>CHOOSE(2, "5461730030", "Jun 26")</f>
        <v>Jun 26</v>
      </c>
      <c r="D2153" s="14">
        <v>246</v>
      </c>
    </row>
    <row r="2154" spans="1:4" x14ac:dyDescent="0.35">
      <c r="A2154" s="5" t="str">
        <f t="shared" si="1080"/>
        <v>MFA</v>
      </c>
      <c r="B2154" s="6" t="str">
        <f t="shared" si="1109"/>
        <v>Net Case Count - Agency in UM</v>
      </c>
      <c r="C2154" s="4" t="str">
        <f>CHOOSE(2, "5462030031", "Jul 26")</f>
        <v>Jul 26</v>
      </c>
      <c r="D2154" s="14">
        <v>216</v>
      </c>
    </row>
    <row r="2155" spans="1:4" x14ac:dyDescent="0.35">
      <c r="A2155" s="5" t="str">
        <f t="shared" si="1080"/>
        <v>MFA</v>
      </c>
      <c r="B2155" s="3" t="str">
        <f t="shared" ref="B2155:B2156" si="1110">CHOOSE(2, "1395000000712", "Net Case Count - Agency in Leaders above UM")</f>
        <v>Net Case Count - Agency in Leaders above UM</v>
      </c>
      <c r="C2155" s="4" t="str">
        <f>CHOOSE(2, "5461730030", "Jun 26")</f>
        <v>Jun 26</v>
      </c>
      <c r="D2155" s="14">
        <v>36</v>
      </c>
    </row>
    <row r="2156" spans="1:4" x14ac:dyDescent="0.35">
      <c r="A2156" s="5" t="str">
        <f t="shared" si="1080"/>
        <v>MFA</v>
      </c>
      <c r="B2156" s="6" t="str">
        <f t="shared" si="1110"/>
        <v>Net Case Count - Agency in Leaders above UM</v>
      </c>
      <c r="C2156" s="4" t="str">
        <f>CHOOSE(2, "5462030031", "Jul 26")</f>
        <v>Jul 26</v>
      </c>
      <c r="D2156" s="14">
        <v>31</v>
      </c>
    </row>
    <row r="2157" spans="1:4" x14ac:dyDescent="0.35">
      <c r="A2157" s="5" t="str">
        <f t="shared" si="1080"/>
        <v>MFA</v>
      </c>
      <c r="B2157" s="3" t="str">
        <f t="shared" ref="B2157:B2158" si="1111">CHOOSE(2, "1395000000711", "Net Case Count - Agency in Top-tier Agents")</f>
        <v>Net Case Count - Agency in Top-tier Agents</v>
      </c>
      <c r="C2157" s="4" t="str">
        <f>CHOOSE(2, "5461730030", "Jun 26")</f>
        <v>Jun 26</v>
      </c>
      <c r="D2157" s="14">
        <v>2286</v>
      </c>
    </row>
    <row r="2158" spans="1:4" x14ac:dyDescent="0.35">
      <c r="A2158" s="5" t="str">
        <f t="shared" si="1080"/>
        <v>MFA</v>
      </c>
      <c r="B2158" s="6" t="str">
        <f t="shared" si="1111"/>
        <v>Net Case Count - Agency in Top-tier Agents</v>
      </c>
      <c r="C2158" s="4" t="str">
        <f>CHOOSE(2, "5462030031", "Jul 26")</f>
        <v>Jul 26</v>
      </c>
      <c r="D2158" s="14">
        <v>2040</v>
      </c>
    </row>
    <row r="2159" spans="1:4" x14ac:dyDescent="0.35">
      <c r="A2159" s="5" t="str">
        <f t="shared" si="1080"/>
        <v>MFA</v>
      </c>
      <c r="B2159" s="3" t="str">
        <f t="shared" ref="B2159:B2160" si="1112">CHOOSE(2, "1395000000710", "Net Case Count - Agency in pro-rated MDRT agents (&gt;100%)")</f>
        <v>Net Case Count - Agency in pro-rated MDRT agents (&gt;100%)</v>
      </c>
      <c r="C2159" s="4" t="str">
        <f>CHOOSE(2, "5461730030", "Jun 26")</f>
        <v>Jun 26</v>
      </c>
      <c r="D2159" s="14">
        <v>1893</v>
      </c>
    </row>
    <row r="2160" spans="1:4" x14ac:dyDescent="0.35">
      <c r="A2160" s="5" t="str">
        <f t="shared" si="1080"/>
        <v>MFA</v>
      </c>
      <c r="B2160" s="6" t="str">
        <f t="shared" si="1112"/>
        <v>Net Case Count - Agency in pro-rated MDRT agents (&gt;100%)</v>
      </c>
      <c r="C2160" s="4" t="str">
        <f>CHOOSE(2, "5462030031", "Jul 26")</f>
        <v>Jul 26</v>
      </c>
      <c r="D2160" s="14">
        <v>1691</v>
      </c>
    </row>
    <row r="2161" spans="1:4" x14ac:dyDescent="0.35">
      <c r="A2161" s="5" t="str">
        <f t="shared" ref="A2161:A2224" si="1113">CHOOSE(2, "1260000000003", "MFA")</f>
        <v>MFA</v>
      </c>
      <c r="B2161" s="3" t="str">
        <f t="shared" ref="B2161:B2162" si="1114">CHOOSE(2, "1395000000709", "Net Case Count - Agency in pro-rated MDRT agents (70-99%)")</f>
        <v>Net Case Count - Agency in pro-rated MDRT agents (70-99%)</v>
      </c>
      <c r="C2161" s="4" t="str">
        <f>CHOOSE(2, "5461730030", "Jun 26")</f>
        <v>Jun 26</v>
      </c>
      <c r="D2161" s="14">
        <v>214</v>
      </c>
    </row>
    <row r="2162" spans="1:4" x14ac:dyDescent="0.35">
      <c r="A2162" s="5" t="str">
        <f t="shared" si="1113"/>
        <v>MFA</v>
      </c>
      <c r="B2162" s="6" t="str">
        <f t="shared" si="1114"/>
        <v>Net Case Count - Agency in pro-rated MDRT agents (70-99%)</v>
      </c>
      <c r="C2162" s="4" t="str">
        <f>CHOOSE(2, "5462030031", "Jul 26")</f>
        <v>Jul 26</v>
      </c>
      <c r="D2162" s="14">
        <v>214</v>
      </c>
    </row>
    <row r="2163" spans="1:4" x14ac:dyDescent="0.35">
      <c r="A2163" s="5" t="str">
        <f t="shared" si="1113"/>
        <v>MFA</v>
      </c>
      <c r="B2163" s="3" t="str">
        <f t="shared" ref="B2163:B2164" si="1115">CHOOSE(2, "1395000000708", "Net Case Count - Agency in pro-rated MDRT agents (50-69%)")</f>
        <v>Net Case Count - Agency in pro-rated MDRT agents (50-69%)</v>
      </c>
      <c r="C2163" s="4" t="str">
        <f>CHOOSE(2, "5461730030", "Jun 26")</f>
        <v>Jun 26</v>
      </c>
      <c r="D2163" s="14">
        <v>179</v>
      </c>
    </row>
    <row r="2164" spans="1:4" x14ac:dyDescent="0.35">
      <c r="A2164" s="5" t="str">
        <f t="shared" si="1113"/>
        <v>MFA</v>
      </c>
      <c r="B2164" s="6" t="str">
        <f t="shared" si="1115"/>
        <v>Net Case Count - Agency in pro-rated MDRT agents (50-69%)</v>
      </c>
      <c r="C2164" s="4" t="str">
        <f>CHOOSE(2, "5462030031", "Jul 26")</f>
        <v>Jul 26</v>
      </c>
      <c r="D2164" s="14">
        <v>135</v>
      </c>
    </row>
    <row r="2165" spans="1:4" x14ac:dyDescent="0.35">
      <c r="A2165" s="5" t="str">
        <f t="shared" si="1113"/>
        <v>MFA</v>
      </c>
      <c r="B2165" s="3" t="str">
        <f t="shared" ref="B2165:B2166" si="1116">CHOOSE(2, "1395000000707", "Net Case Count - Agency in Manulife Pro Qualifiers - Total")</f>
        <v>Net Case Count - Agency in Manulife Pro Qualifiers - Total</v>
      </c>
      <c r="C2165" s="4" t="str">
        <f>CHOOSE(2, "5461730030", "Jun 26")</f>
        <v>Jun 26</v>
      </c>
      <c r="D2165" s="14">
        <v>0</v>
      </c>
    </row>
    <row r="2166" spans="1:4" x14ac:dyDescent="0.35">
      <c r="A2166" s="5" t="str">
        <f t="shared" si="1113"/>
        <v>MFA</v>
      </c>
      <c r="B2166" s="6" t="str">
        <f t="shared" si="1116"/>
        <v>Net Case Count - Agency in Manulife Pro Qualifiers - Total</v>
      </c>
      <c r="C2166" s="4" t="str">
        <f>CHOOSE(2, "5462030031", "Jul 26")</f>
        <v>Jul 26</v>
      </c>
      <c r="D2166" s="14">
        <v>0</v>
      </c>
    </row>
    <row r="2167" spans="1:4" x14ac:dyDescent="0.35">
      <c r="A2167" s="5" t="str">
        <f t="shared" si="1113"/>
        <v>MFA</v>
      </c>
      <c r="B2167" s="3" t="str">
        <f t="shared" ref="B2167:B2168" si="1117">CHOOSE(2, "1395000000706", "No. of Sales Proposal Generated")</f>
        <v>No. of Sales Proposal Generated</v>
      </c>
      <c r="C2167" s="4" t="str">
        <f>CHOOSE(2, "5461730030", "Jun 26")</f>
        <v>Jun 26</v>
      </c>
      <c r="D2167" s="14">
        <v>7169</v>
      </c>
    </row>
    <row r="2168" spans="1:4" x14ac:dyDescent="0.35">
      <c r="A2168" s="5" t="str">
        <f t="shared" si="1113"/>
        <v>MFA</v>
      </c>
      <c r="B2168" s="6" t="str">
        <f t="shared" si="1117"/>
        <v>No. of Sales Proposal Generated</v>
      </c>
      <c r="C2168" s="4" t="str">
        <f>CHOOSE(2, "5462030031", "Jul 26")</f>
        <v>Jul 26</v>
      </c>
      <c r="D2168" s="14">
        <v>6771</v>
      </c>
    </row>
    <row r="2169" spans="1:4" x14ac:dyDescent="0.35">
      <c r="A2169" s="5" t="str">
        <f t="shared" si="1113"/>
        <v>MFA</v>
      </c>
      <c r="B2169" s="3" t="str">
        <f t="shared" ref="B2169:B2170" si="1118">CHOOSE(2, "1395000000705", "$ APE from Agents in X tenure")</f>
        <v>$ APE from Agents in X tenure</v>
      </c>
      <c r="C2169" s="4" t="str">
        <f>CHOOSE(2, "5461730030", "Jun 26")</f>
        <v>Jun 26</v>
      </c>
      <c r="D2169" s="14">
        <v>33929395.751645356</v>
      </c>
    </row>
    <row r="2170" spans="1:4" x14ac:dyDescent="0.35">
      <c r="A2170" s="5" t="str">
        <f t="shared" si="1113"/>
        <v>MFA</v>
      </c>
      <c r="B2170" s="6" t="str">
        <f t="shared" si="1118"/>
        <v>$ APE from Agents in X tenure</v>
      </c>
      <c r="C2170" s="4" t="str">
        <f>CHOOSE(2, "5462030031", "Jul 26")</f>
        <v>Jul 26</v>
      </c>
      <c r="D2170" s="14">
        <v>25970325.463205598</v>
      </c>
    </row>
    <row r="2171" spans="1:4" x14ac:dyDescent="0.35">
      <c r="A2171" s="5" t="str">
        <f t="shared" si="1113"/>
        <v>MFA</v>
      </c>
      <c r="B2171" s="3" t="str">
        <f t="shared" ref="B2171:B2172" si="1119">CHOOSE(2, "1395000000704", "$ APE from Agents in X tenure in 0-1M")</f>
        <v>$ APE from Agents in X tenure in 0-1M</v>
      </c>
      <c r="C2171" s="4" t="str">
        <f>CHOOSE(2, "5461730030", "Jun 26")</f>
        <v>Jun 26</v>
      </c>
      <c r="D2171" s="14">
        <v>3392939.575164536</v>
      </c>
    </row>
    <row r="2172" spans="1:4" x14ac:dyDescent="0.35">
      <c r="A2172" s="5" t="str">
        <f t="shared" si="1113"/>
        <v>MFA</v>
      </c>
      <c r="B2172" s="6" t="str">
        <f t="shared" si="1119"/>
        <v>$ APE from Agents in X tenure in 0-1M</v>
      </c>
      <c r="C2172" s="4" t="str">
        <f>CHOOSE(2, "5462030031", "Jul 26")</f>
        <v>Jul 26</v>
      </c>
      <c r="D2172" s="14">
        <v>2597032.5463205599</v>
      </c>
    </row>
    <row r="2173" spans="1:4" x14ac:dyDescent="0.35">
      <c r="A2173" s="5" t="str">
        <f t="shared" si="1113"/>
        <v>MFA</v>
      </c>
      <c r="B2173" s="3" t="str">
        <f t="shared" ref="B2173:B2174" si="1120">CHOOSE(2, "1395000000703", "$ APE from Agents in X tenure in 2-3M")</f>
        <v>$ APE from Agents in X tenure in 2-3M</v>
      </c>
      <c r="C2173" s="4" t="str">
        <f>CHOOSE(2, "5461730030", "Jun 26")</f>
        <v>Jun 26</v>
      </c>
      <c r="D2173" s="14">
        <v>6785879.150329072</v>
      </c>
    </row>
    <row r="2174" spans="1:4" x14ac:dyDescent="0.35">
      <c r="A2174" s="5" t="str">
        <f t="shared" si="1113"/>
        <v>MFA</v>
      </c>
      <c r="B2174" s="6" t="str">
        <f t="shared" si="1120"/>
        <v>$ APE from Agents in X tenure in 2-3M</v>
      </c>
      <c r="C2174" s="4" t="str">
        <f>CHOOSE(2, "5462030031", "Jul 26")</f>
        <v>Jul 26</v>
      </c>
      <c r="D2174" s="14">
        <v>5194065.0926411198</v>
      </c>
    </row>
    <row r="2175" spans="1:4" x14ac:dyDescent="0.35">
      <c r="A2175" s="5" t="str">
        <f t="shared" si="1113"/>
        <v>MFA</v>
      </c>
      <c r="B2175" s="3" t="str">
        <f t="shared" ref="B2175:B2176" si="1121">CHOOSE(2, "1395000000702", "$ APE from Agents in X tenure in 4-12M")</f>
        <v>$ APE from Agents in X tenure in 4-12M</v>
      </c>
      <c r="C2175" s="4" t="str">
        <f>CHOOSE(2, "5461730030", "Jun 26")</f>
        <v>Jun 26</v>
      </c>
      <c r="D2175" s="14">
        <v>10178818.725493606</v>
      </c>
    </row>
    <row r="2176" spans="1:4" x14ac:dyDescent="0.35">
      <c r="A2176" s="5" t="str">
        <f t="shared" si="1113"/>
        <v>MFA</v>
      </c>
      <c r="B2176" s="6" t="str">
        <f t="shared" si="1121"/>
        <v>$ APE from Agents in X tenure in 4-12M</v>
      </c>
      <c r="C2176" s="4" t="str">
        <f>CHOOSE(2, "5462030031", "Jul 26")</f>
        <v>Jul 26</v>
      </c>
      <c r="D2176" s="14">
        <v>7791097.6389616793</v>
      </c>
    </row>
    <row r="2177" spans="1:4" x14ac:dyDescent="0.35">
      <c r="A2177" s="5" t="str">
        <f t="shared" si="1113"/>
        <v>MFA</v>
      </c>
      <c r="B2177" s="3" t="str">
        <f t="shared" ref="B2177:B2178" si="1122">CHOOSE(2, "1395000000701", "$ APE from Agents in X tenure 13+M")</f>
        <v>$ APE from Agents in X tenure 13+M</v>
      </c>
      <c r="C2177" s="4" t="str">
        <f>CHOOSE(2, "5461730030", "Jun 26")</f>
        <v>Jun 26</v>
      </c>
      <c r="D2177" s="14">
        <v>13571758.300658144</v>
      </c>
    </row>
    <row r="2178" spans="1:4" x14ac:dyDescent="0.35">
      <c r="A2178" s="5" t="str">
        <f t="shared" si="1113"/>
        <v>MFA</v>
      </c>
      <c r="B2178" s="6" t="str">
        <f t="shared" si="1122"/>
        <v>$ APE from Agents in X tenure 13+M</v>
      </c>
      <c r="C2178" s="4" t="str">
        <f>CHOOSE(2, "5462030031", "Jul 26")</f>
        <v>Jul 26</v>
      </c>
      <c r="D2178" s="14">
        <v>10388130.18528224</v>
      </c>
    </row>
    <row r="2179" spans="1:4" x14ac:dyDescent="0.35">
      <c r="A2179" s="5" t="str">
        <f t="shared" si="1113"/>
        <v>MFA</v>
      </c>
      <c r="B2179" s="3" t="str">
        <f t="shared" ref="B2179:B2180" si="1123">CHOOSE(2, "1395000000700", "Total agent headcount (end of period)")</f>
        <v>Total agent headcount (end of period)</v>
      </c>
      <c r="C2179" s="4" t="str">
        <f>CHOOSE(2, "5461730030", "Jun 26")</f>
        <v>Jun 26</v>
      </c>
      <c r="D2179" s="14">
        <v>1359</v>
      </c>
    </row>
    <row r="2180" spans="1:4" x14ac:dyDescent="0.35">
      <c r="A2180" s="5" t="str">
        <f t="shared" si="1113"/>
        <v>MFA</v>
      </c>
      <c r="B2180" s="6" t="str">
        <f t="shared" si="1123"/>
        <v>Total agent headcount (end of period)</v>
      </c>
      <c r="C2180" s="4" t="str">
        <f>CHOOSE(2, "5462030031", "Jul 26")</f>
        <v>Jul 26</v>
      </c>
      <c r="D2180" s="14">
        <v>1359</v>
      </c>
    </row>
    <row r="2181" spans="1:4" x14ac:dyDescent="0.35">
      <c r="A2181" s="5" t="str">
        <f t="shared" si="1113"/>
        <v>MFA</v>
      </c>
      <c r="B2181" s="3" t="str">
        <f t="shared" ref="B2181:B2182" si="1124">CHOOSE(2, "1395000000699", "Total agent headcount (end of period) in 0-1M")</f>
        <v>Total agent headcount (end of period) in 0-1M</v>
      </c>
      <c r="C2181" s="4" t="str">
        <f>CHOOSE(2, "5461730030", "Jun 26")</f>
        <v>Jun 26</v>
      </c>
      <c r="D2181" s="14">
        <v>32</v>
      </c>
    </row>
    <row r="2182" spans="1:4" x14ac:dyDescent="0.35">
      <c r="A2182" s="5" t="str">
        <f t="shared" si="1113"/>
        <v>MFA</v>
      </c>
      <c r="B2182" s="6" t="str">
        <f t="shared" si="1124"/>
        <v>Total agent headcount (end of period) in 0-1M</v>
      </c>
      <c r="C2182" s="4" t="str">
        <f>CHOOSE(2, "5462030031", "Jul 26")</f>
        <v>Jul 26</v>
      </c>
      <c r="D2182" s="14">
        <v>28</v>
      </c>
    </row>
    <row r="2183" spans="1:4" x14ac:dyDescent="0.35">
      <c r="A2183" s="5" t="str">
        <f t="shared" si="1113"/>
        <v>MFA</v>
      </c>
      <c r="B2183" s="3" t="str">
        <f t="shared" ref="B2183:B2184" si="1125">CHOOSE(2, "1395000000698", "Total agent headcount (end of period) in 2-3M")</f>
        <v>Total agent headcount (end of period) in 2-3M</v>
      </c>
      <c r="C2183" s="4" t="str">
        <f>CHOOSE(2, "5461730030", "Jun 26")</f>
        <v>Jun 26</v>
      </c>
      <c r="D2183" s="14">
        <v>50</v>
      </c>
    </row>
    <row r="2184" spans="1:4" x14ac:dyDescent="0.35">
      <c r="A2184" s="5" t="str">
        <f t="shared" si="1113"/>
        <v>MFA</v>
      </c>
      <c r="B2184" s="6" t="str">
        <f t="shared" si="1125"/>
        <v>Total agent headcount (end of period) in 2-3M</v>
      </c>
      <c r="C2184" s="4" t="str">
        <f>CHOOSE(2, "5462030031", "Jul 26")</f>
        <v>Jul 26</v>
      </c>
      <c r="D2184" s="14">
        <v>56</v>
      </c>
    </row>
    <row r="2185" spans="1:4" x14ac:dyDescent="0.35">
      <c r="A2185" s="5" t="str">
        <f t="shared" si="1113"/>
        <v>MFA</v>
      </c>
      <c r="B2185" s="3" t="str">
        <f t="shared" ref="B2185:B2186" si="1126">CHOOSE(2, "1395000000697", "Total agent headcount (end of period) in 4-12M")</f>
        <v>Total agent headcount (end of period) in 4-12M</v>
      </c>
      <c r="C2185" s="4" t="str">
        <f>CHOOSE(2, "5461730030", "Jun 26")</f>
        <v>Jun 26</v>
      </c>
      <c r="D2185" s="14">
        <v>184</v>
      </c>
    </row>
    <row r="2186" spans="1:4" x14ac:dyDescent="0.35">
      <c r="A2186" s="5" t="str">
        <f t="shared" si="1113"/>
        <v>MFA</v>
      </c>
      <c r="B2186" s="6" t="str">
        <f t="shared" si="1126"/>
        <v>Total agent headcount (end of period) in 4-12M</v>
      </c>
      <c r="C2186" s="4" t="str">
        <f>CHOOSE(2, "5462030031", "Jul 26")</f>
        <v>Jul 26</v>
      </c>
      <c r="D2186" s="14">
        <v>187</v>
      </c>
    </row>
    <row r="2187" spans="1:4" x14ac:dyDescent="0.35">
      <c r="A2187" s="5" t="str">
        <f t="shared" si="1113"/>
        <v>MFA</v>
      </c>
      <c r="B2187" s="3" t="str">
        <f t="shared" ref="B2187:B2188" si="1127">CHOOSE(2, "1395000000696", "Total agent headcount (end of period) 13+M")</f>
        <v>Total agent headcount (end of period) 13+M</v>
      </c>
      <c r="C2187" s="4" t="str">
        <f>CHOOSE(2, "5461730030", "Jun 26")</f>
        <v>Jun 26</v>
      </c>
      <c r="D2187" s="14">
        <v>1093</v>
      </c>
    </row>
    <row r="2188" spans="1:4" x14ac:dyDescent="0.35">
      <c r="A2188" s="5" t="str">
        <f t="shared" si="1113"/>
        <v>MFA</v>
      </c>
      <c r="B2188" s="6" t="str">
        <f t="shared" si="1127"/>
        <v>Total agent headcount (end of period) 13+M</v>
      </c>
      <c r="C2188" s="4" t="str">
        <f>CHOOSE(2, "5462030031", "Jul 26")</f>
        <v>Jul 26</v>
      </c>
      <c r="D2188" s="14">
        <v>1088</v>
      </c>
    </row>
    <row r="2189" spans="1:4" x14ac:dyDescent="0.35">
      <c r="A2189" s="5" t="str">
        <f t="shared" si="1113"/>
        <v>MFA</v>
      </c>
      <c r="B2189" s="3" t="str">
        <f t="shared" ref="B2189:B2190" si="1128">CHOOSE(2, "1395000000695", "Total agent headcount (end of period) in FA or equivalent")</f>
        <v>Total agent headcount (end of period) in FA or equivalent</v>
      </c>
      <c r="C2189" s="4" t="str">
        <f>CHOOSE(2, "5461730030", "Jun 26")</f>
        <v>Jun 26</v>
      </c>
      <c r="D2189" s="14">
        <v>1133</v>
      </c>
    </row>
    <row r="2190" spans="1:4" x14ac:dyDescent="0.35">
      <c r="A2190" s="5" t="str">
        <f t="shared" si="1113"/>
        <v>MFA</v>
      </c>
      <c r="B2190" s="6" t="str">
        <f t="shared" si="1128"/>
        <v>Total agent headcount (end of period) in FA or equivalent</v>
      </c>
      <c r="C2190" s="4" t="str">
        <f>CHOOSE(2, "5462030031", "Jul 26")</f>
        <v>Jul 26</v>
      </c>
      <c r="D2190" s="14">
        <v>1131</v>
      </c>
    </row>
    <row r="2191" spans="1:4" x14ac:dyDescent="0.35">
      <c r="A2191" s="5" t="str">
        <f t="shared" si="1113"/>
        <v>MFA</v>
      </c>
      <c r="B2191" s="3" t="str">
        <f t="shared" ref="B2191:B2192" si="1129">CHOOSE(2, "1395000000694", "Total agent headcount (end of period) in UM")</f>
        <v>Total agent headcount (end of period) in UM</v>
      </c>
      <c r="C2191" s="4" t="str">
        <f>CHOOSE(2, "5461730030", "Jun 26")</f>
        <v>Jun 26</v>
      </c>
      <c r="D2191" s="14">
        <v>188</v>
      </c>
    </row>
    <row r="2192" spans="1:4" x14ac:dyDescent="0.35">
      <c r="A2192" s="5" t="str">
        <f t="shared" si="1113"/>
        <v>MFA</v>
      </c>
      <c r="B2192" s="6" t="str">
        <f t="shared" si="1129"/>
        <v>Total agent headcount (end of period) in UM</v>
      </c>
      <c r="C2192" s="4" t="str">
        <f>CHOOSE(2, "5462030031", "Jul 26")</f>
        <v>Jul 26</v>
      </c>
      <c r="D2192" s="14">
        <v>190</v>
      </c>
    </row>
    <row r="2193" spans="1:4" x14ac:dyDescent="0.35">
      <c r="A2193" s="5" t="str">
        <f t="shared" si="1113"/>
        <v>MFA</v>
      </c>
      <c r="B2193" s="3" t="str">
        <f t="shared" ref="B2193:B2194" si="1130">CHOOSE(2, "1395000000693", "Total agent headcount (end of period) in Leaders above UM")</f>
        <v>Total agent headcount (end of period) in Leaders above UM</v>
      </c>
      <c r="C2193" s="4" t="str">
        <f>CHOOSE(2, "5461730030", "Jun 26")</f>
        <v>Jun 26</v>
      </c>
      <c r="D2193" s="14">
        <v>38</v>
      </c>
    </row>
    <row r="2194" spans="1:4" x14ac:dyDescent="0.35">
      <c r="A2194" s="5" t="str">
        <f t="shared" si="1113"/>
        <v>MFA</v>
      </c>
      <c r="B2194" s="6" t="str">
        <f t="shared" si="1130"/>
        <v>Total agent headcount (end of period) in Leaders above UM</v>
      </c>
      <c r="C2194" s="4" t="str">
        <f>CHOOSE(2, "5462030031", "Jul 26")</f>
        <v>Jul 26</v>
      </c>
      <c r="D2194" s="14">
        <v>38</v>
      </c>
    </row>
    <row r="2195" spans="1:4" x14ac:dyDescent="0.35">
      <c r="A2195" s="5" t="str">
        <f t="shared" si="1113"/>
        <v>MFA</v>
      </c>
      <c r="B2195" s="3" t="str">
        <f t="shared" ref="B2195:B2196" si="1131">CHOOSE(2, "1395000000692", "Total agent headcount (end of period) in Top-tier agents")</f>
        <v>Total agent headcount (end of period) in Top-tier agents</v>
      </c>
      <c r="C2195" s="4" t="str">
        <f>CHOOSE(2, "5461730030", "Jun 26")</f>
        <v>Jun 26</v>
      </c>
      <c r="D2195" s="14">
        <v>712</v>
      </c>
    </row>
    <row r="2196" spans="1:4" x14ac:dyDescent="0.35">
      <c r="A2196" s="5" t="str">
        <f t="shared" si="1113"/>
        <v>MFA</v>
      </c>
      <c r="B2196" s="6" t="str">
        <f t="shared" si="1131"/>
        <v>Total agent headcount (end of period) in Top-tier agents</v>
      </c>
      <c r="C2196" s="4" t="str">
        <f>CHOOSE(2, "5462030031", "Jul 26")</f>
        <v>Jul 26</v>
      </c>
      <c r="D2196" s="14">
        <v>730</v>
      </c>
    </row>
    <row r="2197" spans="1:4" x14ac:dyDescent="0.35">
      <c r="A2197" s="5" t="str">
        <f t="shared" si="1113"/>
        <v>MFA</v>
      </c>
      <c r="B2197" s="3" t="str">
        <f t="shared" ref="B2197:B2198" si="1132">CHOOSE(2, "1395000000691", "Total agent headcount  in pro-rated MDRT agents (&gt;100%)")</f>
        <v>Total agent headcount  in pro-rated MDRT agents (&gt;100%)</v>
      </c>
      <c r="C2197" s="4" t="str">
        <f>CHOOSE(2, "5461730030", "Jun 26")</f>
        <v>Jun 26</v>
      </c>
      <c r="D2197" s="14">
        <v>517</v>
      </c>
    </row>
    <row r="2198" spans="1:4" x14ac:dyDescent="0.35">
      <c r="A2198" s="5" t="str">
        <f t="shared" si="1113"/>
        <v>MFA</v>
      </c>
      <c r="B2198" s="6" t="str">
        <f t="shared" si="1132"/>
        <v>Total agent headcount  in pro-rated MDRT agents (&gt;100%)</v>
      </c>
      <c r="C2198" s="4" t="str">
        <f>CHOOSE(2, "5462030031", "Jul 26")</f>
        <v>Jul 26</v>
      </c>
      <c r="D2198" s="14">
        <v>531</v>
      </c>
    </row>
    <row r="2199" spans="1:4" x14ac:dyDescent="0.35">
      <c r="A2199" s="5" t="str">
        <f t="shared" si="1113"/>
        <v>MFA</v>
      </c>
      <c r="B2199" s="3" t="str">
        <f t="shared" ref="B2199:B2200" si="1133">CHOOSE(2, "1395000000690", "Total agent headcount  in pro-rated MDRT agents (70-99%)")</f>
        <v>Total agent headcount  in pro-rated MDRT agents (70-99%)</v>
      </c>
      <c r="C2199" s="4" t="str">
        <f>CHOOSE(2, "5461730030", "Jun 26")</f>
        <v>Jun 26</v>
      </c>
      <c r="D2199" s="14">
        <v>103</v>
      </c>
    </row>
    <row r="2200" spans="1:4" x14ac:dyDescent="0.35">
      <c r="A2200" s="5" t="str">
        <f t="shared" si="1113"/>
        <v>MFA</v>
      </c>
      <c r="B2200" s="6" t="str">
        <f t="shared" si="1133"/>
        <v>Total agent headcount  in pro-rated MDRT agents (70-99%)</v>
      </c>
      <c r="C2200" s="4" t="str">
        <f>CHOOSE(2, "5462030031", "Jul 26")</f>
        <v>Jul 26</v>
      </c>
      <c r="D2200" s="14">
        <v>105</v>
      </c>
    </row>
    <row r="2201" spans="1:4" x14ac:dyDescent="0.35">
      <c r="A2201" s="5" t="str">
        <f t="shared" si="1113"/>
        <v>MFA</v>
      </c>
      <c r="B2201" s="3" t="str">
        <f t="shared" ref="B2201:B2202" si="1134">CHOOSE(2, "1395000000689", "Total agent headcount  in pro-rated MDRT agents (50-69%)")</f>
        <v>Total agent headcount  in pro-rated MDRT agents (50-69%)</v>
      </c>
      <c r="C2201" s="4" t="str">
        <f>CHOOSE(2, "5461730030", "Jun 26")</f>
        <v>Jun 26</v>
      </c>
      <c r="D2201" s="14">
        <v>92</v>
      </c>
    </row>
    <row r="2202" spans="1:4" x14ac:dyDescent="0.35">
      <c r="A2202" s="5" t="str">
        <f t="shared" si="1113"/>
        <v>MFA</v>
      </c>
      <c r="B2202" s="6" t="str">
        <f t="shared" si="1134"/>
        <v>Total agent headcount  in pro-rated MDRT agents (50-69%)</v>
      </c>
      <c r="C2202" s="4" t="str">
        <f>CHOOSE(2, "5462030031", "Jul 26")</f>
        <v>Jul 26</v>
      </c>
      <c r="D2202" s="14">
        <v>94</v>
      </c>
    </row>
    <row r="2203" spans="1:4" x14ac:dyDescent="0.35">
      <c r="A2203" s="5" t="str">
        <f t="shared" si="1113"/>
        <v>MFA</v>
      </c>
      <c r="B2203" s="3" t="str">
        <f t="shared" ref="B2203:B2204" si="1135">CHOOSE(2, "1395000000688", "Total agent headcount  in Manulife Pro Qualifiers - Total")</f>
        <v>Total agent headcount  in Manulife Pro Qualifiers - Total</v>
      </c>
      <c r="C2203" s="4" t="str">
        <f>CHOOSE(2, "5461730030", "Jun 26")</f>
        <v>Jun 26</v>
      </c>
      <c r="D2203" s="14">
        <v>0</v>
      </c>
    </row>
    <row r="2204" spans="1:4" x14ac:dyDescent="0.35">
      <c r="A2204" s="5" t="str">
        <f t="shared" si="1113"/>
        <v>MFA</v>
      </c>
      <c r="B2204" s="6" t="str">
        <f t="shared" si="1135"/>
        <v>Total agent headcount  in Manulife Pro Qualifiers - Total</v>
      </c>
      <c r="C2204" s="4" t="str">
        <f>CHOOSE(2, "5462030031", "Jul 26")</f>
        <v>Jul 26</v>
      </c>
      <c r="D2204" s="14">
        <v>0</v>
      </c>
    </row>
    <row r="2205" spans="1:4" x14ac:dyDescent="0.35">
      <c r="A2205" s="5" t="str">
        <f t="shared" si="1113"/>
        <v>MFA</v>
      </c>
      <c r="B2205" s="3" t="str">
        <f t="shared" ref="B2205:B2206" si="1136">CHOOSE(2, "1395000000687", "New recruits")</f>
        <v>New recruits</v>
      </c>
      <c r="C2205" s="4" t="str">
        <f>CHOOSE(2, "5461730030", "Jun 26")</f>
        <v>Jun 26</v>
      </c>
      <c r="D2205" s="14">
        <v>32</v>
      </c>
    </row>
    <row r="2206" spans="1:4" x14ac:dyDescent="0.35">
      <c r="A2206" s="5" t="str">
        <f t="shared" si="1113"/>
        <v>MFA</v>
      </c>
      <c r="B2206" s="6" t="str">
        <f t="shared" si="1136"/>
        <v>New recruits</v>
      </c>
      <c r="C2206" s="4" t="str">
        <f>CHOOSE(2, "5462030031", "Jul 26")</f>
        <v>Jul 26</v>
      </c>
      <c r="D2206" s="14">
        <v>28</v>
      </c>
    </row>
    <row r="2207" spans="1:4" x14ac:dyDescent="0.35">
      <c r="A2207" s="5" t="str">
        <f t="shared" si="1113"/>
        <v>MFA</v>
      </c>
      <c r="B2207" s="3" t="str">
        <f t="shared" ref="B2207:B2208" si="1137">CHOOSE(2, "1395000000686", "New recruits - Leader level")</f>
        <v>New recruits - Leader level</v>
      </c>
      <c r="C2207" s="4" t="str">
        <f>CHOOSE(2, "5461730030", "Jun 26")</f>
        <v>Jun 26</v>
      </c>
      <c r="D2207" s="2" t="s">
        <v>5</v>
      </c>
    </row>
    <row r="2208" spans="1:4" x14ac:dyDescent="0.35">
      <c r="A2208" s="5" t="str">
        <f t="shared" si="1113"/>
        <v>MFA</v>
      </c>
      <c r="B2208" s="6" t="str">
        <f t="shared" si="1137"/>
        <v>New recruits - Leader level</v>
      </c>
      <c r="C2208" s="4" t="str">
        <f>CHOOSE(2, "5462030031", "Jul 26")</f>
        <v>Jul 26</v>
      </c>
      <c r="D2208" s="2" t="s">
        <v>5</v>
      </c>
    </row>
    <row r="2209" spans="1:4" x14ac:dyDescent="0.35">
      <c r="A2209" s="5" t="str">
        <f t="shared" si="1113"/>
        <v>MFA</v>
      </c>
      <c r="B2209" s="3" t="str">
        <f t="shared" ref="B2209:B2210" si="1138">CHOOSE(2, "1395000000685", "New recruits - FA or equivalent")</f>
        <v>New recruits - FA or equivalent</v>
      </c>
      <c r="C2209" s="4" t="str">
        <f>CHOOSE(2, "5461730030", "Jun 26")</f>
        <v>Jun 26</v>
      </c>
      <c r="D2209" s="14">
        <v>30</v>
      </c>
    </row>
    <row r="2210" spans="1:4" x14ac:dyDescent="0.35">
      <c r="A2210" s="5" t="str">
        <f t="shared" si="1113"/>
        <v>MFA</v>
      </c>
      <c r="B2210" s="6" t="str">
        <f t="shared" si="1138"/>
        <v>New recruits - FA or equivalent</v>
      </c>
      <c r="C2210" s="4" t="str">
        <f>CHOOSE(2, "5462030031", "Jul 26")</f>
        <v>Jul 26</v>
      </c>
      <c r="D2210" s="14">
        <v>26</v>
      </c>
    </row>
    <row r="2211" spans="1:4" x14ac:dyDescent="0.35">
      <c r="A2211" s="5" t="str">
        <f t="shared" si="1113"/>
        <v>MFA</v>
      </c>
      <c r="B2211" s="3" t="str">
        <f t="shared" ref="B2211:B2212" si="1139">CHOOSE(2, "1395000000684", "New recruits in UM")</f>
        <v>New recruits in UM</v>
      </c>
      <c r="C2211" s="4" t="str">
        <f>CHOOSE(2, "5461730030", "Jun 26")</f>
        <v>Jun 26</v>
      </c>
      <c r="D2211" s="14">
        <v>2</v>
      </c>
    </row>
    <row r="2212" spans="1:4" x14ac:dyDescent="0.35">
      <c r="A2212" s="5" t="str">
        <f t="shared" si="1113"/>
        <v>MFA</v>
      </c>
      <c r="B2212" s="6" t="str">
        <f t="shared" si="1139"/>
        <v>New recruits in UM</v>
      </c>
      <c r="C2212" s="4" t="str">
        <f>CHOOSE(2, "5462030031", "Jul 26")</f>
        <v>Jul 26</v>
      </c>
      <c r="D2212" s="14">
        <v>2</v>
      </c>
    </row>
    <row r="2213" spans="1:4" x14ac:dyDescent="0.35">
      <c r="A2213" s="5" t="str">
        <f t="shared" si="1113"/>
        <v>MFA</v>
      </c>
      <c r="B2213" s="3" t="str">
        <f t="shared" ref="B2213:B2214" si="1140">CHOOSE(2, "1395000000683", "New recruits in Leaders above UM")</f>
        <v>New recruits in Leaders above UM</v>
      </c>
      <c r="C2213" s="4" t="str">
        <f>CHOOSE(2, "5461730030", "Jun 26")</f>
        <v>Jun 26</v>
      </c>
      <c r="D2213" s="14">
        <v>0</v>
      </c>
    </row>
    <row r="2214" spans="1:4" x14ac:dyDescent="0.35">
      <c r="A2214" s="5" t="str">
        <f t="shared" si="1113"/>
        <v>MFA</v>
      </c>
      <c r="B2214" s="6" t="str">
        <f t="shared" si="1140"/>
        <v>New recruits in Leaders above UM</v>
      </c>
      <c r="C2214" s="4" t="str">
        <f>CHOOSE(2, "5462030031", "Jul 26")</f>
        <v>Jul 26</v>
      </c>
      <c r="D2214" s="14">
        <v>0</v>
      </c>
    </row>
    <row r="2215" spans="1:4" x14ac:dyDescent="0.35">
      <c r="A2215" s="5" t="str">
        <f t="shared" si="1113"/>
        <v>MFA</v>
      </c>
      <c r="B2215" s="3" t="str">
        <f t="shared" ref="B2215:B2216" si="1141">CHOOSE(2, "1395000000682", "# of 6-90 agents")</f>
        <v># of 6-90 agents</v>
      </c>
      <c r="C2215" s="4" t="str">
        <f>CHOOSE(2, "5461730030", "Jun 26")</f>
        <v>Jun 26</v>
      </c>
      <c r="D2215" s="14">
        <v>18</v>
      </c>
    </row>
    <row r="2216" spans="1:4" x14ac:dyDescent="0.35">
      <c r="A2216" s="5" t="str">
        <f t="shared" si="1113"/>
        <v>MFA</v>
      </c>
      <c r="B2216" s="6" t="str">
        <f t="shared" si="1141"/>
        <v># of 6-90 agents</v>
      </c>
      <c r="C2216" s="4" t="str">
        <f>CHOOSE(2, "5462030031", "Jul 26")</f>
        <v>Jul 26</v>
      </c>
      <c r="D2216" s="14">
        <v>18</v>
      </c>
    </row>
    <row r="2217" spans="1:4" x14ac:dyDescent="0.35">
      <c r="A2217" s="5" t="str">
        <f t="shared" si="1113"/>
        <v>MFA</v>
      </c>
      <c r="B2217" s="3" t="str">
        <f t="shared" ref="B2217:B2218" si="1142">CHOOSE(2, "1395000000681", "New Recruits 3M Activation #")</f>
        <v>New Recruits 3M Activation #</v>
      </c>
      <c r="C2217" s="4" t="str">
        <f>CHOOSE(2, "5461730030", "Jun 26")</f>
        <v>Jun 26</v>
      </c>
      <c r="D2217" s="14">
        <v>17</v>
      </c>
    </row>
    <row r="2218" spans="1:4" x14ac:dyDescent="0.35">
      <c r="A2218" s="5" t="str">
        <f t="shared" si="1113"/>
        <v>MFA</v>
      </c>
      <c r="B2218" s="6" t="str">
        <f t="shared" si="1142"/>
        <v>New Recruits 3M Activation #</v>
      </c>
      <c r="C2218" s="4" t="str">
        <f>CHOOSE(2, "5462030031", "Jul 26")</f>
        <v>Jul 26</v>
      </c>
      <c r="D2218" s="14">
        <v>20</v>
      </c>
    </row>
    <row r="2219" spans="1:4" x14ac:dyDescent="0.35">
      <c r="A2219" s="5" t="str">
        <f t="shared" si="1113"/>
        <v>MFA</v>
      </c>
      <c r="B2219" s="3" t="str">
        <f t="shared" ref="B2219:B2220" si="1143">CHOOSE(2, "1395000000680", "No of Terminations")</f>
        <v>No of Terminations</v>
      </c>
      <c r="C2219" s="4" t="str">
        <f>CHOOSE(2, "5461730030", "Jun 26")</f>
        <v>Jun 26</v>
      </c>
      <c r="D2219" s="14">
        <v>15</v>
      </c>
    </row>
    <row r="2220" spans="1:4" x14ac:dyDescent="0.35">
      <c r="A2220" s="5" t="str">
        <f t="shared" si="1113"/>
        <v>MFA</v>
      </c>
      <c r="B2220" s="6" t="str">
        <f t="shared" si="1143"/>
        <v>No of Terminations</v>
      </c>
      <c r="C2220" s="4" t="str">
        <f>CHOOSE(2, "5462030031", "Jul 26")</f>
        <v>Jul 26</v>
      </c>
      <c r="D2220" s="14">
        <v>28</v>
      </c>
    </row>
    <row r="2221" spans="1:4" x14ac:dyDescent="0.35">
      <c r="A2221" s="5" t="str">
        <f t="shared" si="1113"/>
        <v>MFA</v>
      </c>
      <c r="B2221" s="3" t="str">
        <f t="shared" ref="B2221:B2222" si="1144">CHOOSE(2, "1395000000679", "No of Terminations in FA or equivalent")</f>
        <v>No of Terminations in FA or equivalent</v>
      </c>
      <c r="C2221" s="4" t="str">
        <f>CHOOSE(2, "5461730030", "Jun 26")</f>
        <v>Jun 26</v>
      </c>
      <c r="D2221" s="14">
        <v>14</v>
      </c>
    </row>
    <row r="2222" spans="1:4" x14ac:dyDescent="0.35">
      <c r="A2222" s="5" t="str">
        <f t="shared" si="1113"/>
        <v>MFA</v>
      </c>
      <c r="B2222" s="6" t="str">
        <f t="shared" si="1144"/>
        <v>No of Terminations in FA or equivalent</v>
      </c>
      <c r="C2222" s="4" t="str">
        <f>CHOOSE(2, "5462030031", "Jul 26")</f>
        <v>Jul 26</v>
      </c>
      <c r="D2222" s="14">
        <v>27</v>
      </c>
    </row>
    <row r="2223" spans="1:4" x14ac:dyDescent="0.35">
      <c r="A2223" s="5" t="str">
        <f t="shared" si="1113"/>
        <v>MFA</v>
      </c>
      <c r="B2223" s="3" t="str">
        <f t="shared" ref="B2223:B2224" si="1145">CHOOSE(2, "1395000000678", "No of Terminations in UM")</f>
        <v>No of Terminations in UM</v>
      </c>
      <c r="C2223" s="4" t="str">
        <f>CHOOSE(2, "5461730030", "Jun 26")</f>
        <v>Jun 26</v>
      </c>
      <c r="D2223" s="14">
        <v>0</v>
      </c>
    </row>
    <row r="2224" spans="1:4" x14ac:dyDescent="0.35">
      <c r="A2224" s="5" t="str">
        <f t="shared" si="1113"/>
        <v>MFA</v>
      </c>
      <c r="B2224" s="6" t="str">
        <f t="shared" si="1145"/>
        <v>No of Terminations in UM</v>
      </c>
      <c r="C2224" s="4" t="str">
        <f>CHOOSE(2, "5462030031", "Jul 26")</f>
        <v>Jul 26</v>
      </c>
      <c r="D2224" s="14">
        <v>1</v>
      </c>
    </row>
    <row r="2225" spans="1:4" x14ac:dyDescent="0.35">
      <c r="A2225" s="5" t="str">
        <f t="shared" ref="A2225:A2288" si="1146">CHOOSE(2, "1260000000003", "MFA")</f>
        <v>MFA</v>
      </c>
      <c r="B2225" s="3" t="str">
        <f t="shared" ref="B2225:B2226" si="1147">CHOOSE(2, "1395000000677", "No of Terminations in Leaders above UM")</f>
        <v>No of Terminations in Leaders above UM</v>
      </c>
      <c r="C2225" s="4" t="str">
        <f>CHOOSE(2, "5461730030", "Jun 26")</f>
        <v>Jun 26</v>
      </c>
      <c r="D2225" s="14">
        <v>1</v>
      </c>
    </row>
    <row r="2226" spans="1:4" x14ac:dyDescent="0.35">
      <c r="A2226" s="5" t="str">
        <f t="shared" si="1146"/>
        <v>MFA</v>
      </c>
      <c r="B2226" s="6" t="str">
        <f t="shared" si="1147"/>
        <v>No of Terminations in Leaders above UM</v>
      </c>
      <c r="C2226" s="4" t="str">
        <f>CHOOSE(2, "5462030031", "Jul 26")</f>
        <v>Jul 26</v>
      </c>
      <c r="D2226" s="14">
        <v>0</v>
      </c>
    </row>
    <row r="2227" spans="1:4" x14ac:dyDescent="0.35">
      <c r="A2227" s="5" t="str">
        <f t="shared" si="1146"/>
        <v>MFA</v>
      </c>
      <c r="B2227" s="3" t="str">
        <f t="shared" ref="B2227:B2228" si="1148">CHOOSE(2, "1395000000676", "No of Terminations in Top-tier Agents")</f>
        <v>No of Terminations in Top-tier Agents</v>
      </c>
      <c r="C2227" s="4" t="str">
        <f>CHOOSE(2, "5461730030", "Jun 26")</f>
        <v>Jun 26</v>
      </c>
      <c r="D2227" s="14">
        <v>3</v>
      </c>
    </row>
    <row r="2228" spans="1:4" x14ac:dyDescent="0.35">
      <c r="A2228" s="5" t="str">
        <f t="shared" si="1146"/>
        <v>MFA</v>
      </c>
      <c r="B2228" s="6" t="str">
        <f t="shared" si="1148"/>
        <v>No of Terminations in Top-tier Agents</v>
      </c>
      <c r="C2228" s="4" t="str">
        <f>CHOOSE(2, "5462030031", "Jul 26")</f>
        <v>Jul 26</v>
      </c>
      <c r="D2228" s="14">
        <v>4</v>
      </c>
    </row>
    <row r="2229" spans="1:4" x14ac:dyDescent="0.35">
      <c r="A2229" s="5" t="str">
        <f t="shared" si="1146"/>
        <v>MFA</v>
      </c>
      <c r="B2229" s="3" t="str">
        <f t="shared" ref="B2229:B2230" si="1149">CHOOSE(2, "1395000000675", "No of Terminations in pro-rated MDRT agents (&gt;100%)")</f>
        <v>No of Terminations in pro-rated MDRT agents (&gt;100%)</v>
      </c>
      <c r="C2229" s="4" t="str">
        <f>CHOOSE(2, "5461730030", "Jun 26")</f>
        <v>Jun 26</v>
      </c>
      <c r="D2229" s="14">
        <v>1</v>
      </c>
    </row>
    <row r="2230" spans="1:4" x14ac:dyDescent="0.35">
      <c r="A2230" s="5" t="str">
        <f t="shared" si="1146"/>
        <v>MFA</v>
      </c>
      <c r="B2230" s="6" t="str">
        <f t="shared" si="1149"/>
        <v>No of Terminations in pro-rated MDRT agents (&gt;100%)</v>
      </c>
      <c r="C2230" s="4" t="str">
        <f>CHOOSE(2, "5462030031", "Jul 26")</f>
        <v>Jul 26</v>
      </c>
      <c r="D2230" s="14">
        <v>1</v>
      </c>
    </row>
    <row r="2231" spans="1:4" x14ac:dyDescent="0.35">
      <c r="A2231" s="5" t="str">
        <f t="shared" si="1146"/>
        <v>MFA</v>
      </c>
      <c r="B2231" s="3" t="str">
        <f t="shared" ref="B2231:B2232" si="1150">CHOOSE(2, "1395000000674", "No of Terminations in pro-rated MDRT agents (70-99%)")</f>
        <v>No of Terminations in pro-rated MDRT agents (70-99%)</v>
      </c>
      <c r="C2231" s="4" t="str">
        <f>CHOOSE(2, "5461730030", "Jun 26")</f>
        <v>Jun 26</v>
      </c>
      <c r="D2231" s="14">
        <v>1</v>
      </c>
    </row>
    <row r="2232" spans="1:4" x14ac:dyDescent="0.35">
      <c r="A2232" s="5" t="str">
        <f t="shared" si="1146"/>
        <v>MFA</v>
      </c>
      <c r="B2232" s="6" t="str">
        <f t="shared" si="1150"/>
        <v>No of Terminations in pro-rated MDRT agents (70-99%)</v>
      </c>
      <c r="C2232" s="4" t="str">
        <f>CHOOSE(2, "5462030031", "Jul 26")</f>
        <v>Jul 26</v>
      </c>
      <c r="D2232" s="14">
        <v>3</v>
      </c>
    </row>
    <row r="2233" spans="1:4" x14ac:dyDescent="0.35">
      <c r="A2233" s="5" t="str">
        <f t="shared" si="1146"/>
        <v>MFA</v>
      </c>
      <c r="B2233" s="3" t="str">
        <f t="shared" ref="B2233:B2234" si="1151">CHOOSE(2, "1395000000673", "No of Terminations in pro-rated MDRT agents (50-69%)")</f>
        <v>No of Terminations in pro-rated MDRT agents (50-69%)</v>
      </c>
      <c r="C2233" s="4" t="str">
        <f>CHOOSE(2, "5461730030", "Jun 26")</f>
        <v>Jun 26</v>
      </c>
      <c r="D2233" s="14">
        <v>1</v>
      </c>
    </row>
    <row r="2234" spans="1:4" x14ac:dyDescent="0.35">
      <c r="A2234" s="5" t="str">
        <f t="shared" si="1146"/>
        <v>MFA</v>
      </c>
      <c r="B2234" s="6" t="str">
        <f t="shared" si="1151"/>
        <v>No of Terminations in pro-rated MDRT agents (50-69%)</v>
      </c>
      <c r="C2234" s="4" t="str">
        <f>CHOOSE(2, "5462030031", "Jul 26")</f>
        <v>Jul 26</v>
      </c>
      <c r="D2234" s="14">
        <v>0</v>
      </c>
    </row>
    <row r="2235" spans="1:4" x14ac:dyDescent="0.35">
      <c r="A2235" s="5" t="str">
        <f t="shared" si="1146"/>
        <v>MFA</v>
      </c>
      <c r="B2235" s="3" t="str">
        <f t="shared" ref="B2235:B2236" si="1152">CHOOSE(2, "1395000000672", "No of Terminations in Manulife Pro Qualifiers - Total")</f>
        <v>No of Terminations in Manulife Pro Qualifiers - Total</v>
      </c>
      <c r="C2235" s="4" t="str">
        <f>CHOOSE(2, "5461730030", "Jun 26")</f>
        <v>Jun 26</v>
      </c>
      <c r="D2235" s="14">
        <v>0</v>
      </c>
    </row>
    <row r="2236" spans="1:4" x14ac:dyDescent="0.35">
      <c r="A2236" s="5" t="str">
        <f t="shared" si="1146"/>
        <v>MFA</v>
      </c>
      <c r="B2236" s="6" t="str">
        <f t="shared" si="1152"/>
        <v>No of Terminations in Manulife Pro Qualifiers - Total</v>
      </c>
      <c r="C2236" s="4" t="str">
        <f>CHOOSE(2, "5462030031", "Jul 26")</f>
        <v>Jul 26</v>
      </c>
      <c r="D2236" s="14">
        <v>0</v>
      </c>
    </row>
    <row r="2237" spans="1:4" x14ac:dyDescent="0.35">
      <c r="A2237" s="5" t="str">
        <f t="shared" si="1146"/>
        <v>MFA</v>
      </c>
      <c r="B2237" s="3" t="str">
        <f t="shared" ref="B2237:B2238" si="1153">CHOOSE(2, "1395000000671", "First Year Agents Terminated without Sales")</f>
        <v>First Year Agents Terminated without Sales</v>
      </c>
      <c r="C2237" s="4" t="str">
        <f>CHOOSE(2, "5461730030", "Jun 26")</f>
        <v>Jun 26</v>
      </c>
      <c r="D2237" s="14">
        <v>0</v>
      </c>
    </row>
    <row r="2238" spans="1:4" x14ac:dyDescent="0.35">
      <c r="A2238" s="5" t="str">
        <f t="shared" si="1146"/>
        <v>MFA</v>
      </c>
      <c r="B2238" s="6" t="str">
        <f t="shared" si="1153"/>
        <v>First Year Agents Terminated without Sales</v>
      </c>
      <c r="C2238" s="4" t="str">
        <f>CHOOSE(2, "5462030031", "Jul 26")</f>
        <v>Jul 26</v>
      </c>
      <c r="D2238" s="14">
        <v>4</v>
      </c>
    </row>
    <row r="2239" spans="1:4" x14ac:dyDescent="0.35">
      <c r="A2239" s="5" t="str">
        <f t="shared" si="1146"/>
        <v>MFA</v>
      </c>
      <c r="B2239" s="3" t="str">
        <f t="shared" ref="B2239:B2240" si="1154">CHOOSE(2, "1395000000670", "6mth Agency Retention Ratio")</f>
        <v>6mth Agency Retention Ratio</v>
      </c>
      <c r="C2239" s="4" t="str">
        <f>CHOOSE(2, "5461730030", "Jun 26")</f>
        <v>Jun 26</v>
      </c>
      <c r="D2239" s="14">
        <v>0.88339199999999996</v>
      </c>
    </row>
    <row r="2240" spans="1:4" x14ac:dyDescent="0.35">
      <c r="A2240" s="5" t="str">
        <f t="shared" si="1146"/>
        <v>MFA</v>
      </c>
      <c r="B2240" s="6" t="str">
        <f t="shared" si="1154"/>
        <v>6mth Agency Retention Ratio</v>
      </c>
      <c r="C2240" s="4" t="str">
        <f>CHOOSE(2, "5462030031", "Jul 26")</f>
        <v>Jul 26</v>
      </c>
      <c r="D2240" s="14">
        <v>0.877193</v>
      </c>
    </row>
    <row r="2241" spans="1:4" x14ac:dyDescent="0.35">
      <c r="A2241" s="5" t="str">
        <f t="shared" si="1146"/>
        <v>MFA</v>
      </c>
      <c r="B2241" s="3" t="str">
        <f t="shared" ref="B2241:B2242" si="1155">CHOOSE(2, "1395000000669", "12mth Agency Retention Ratio")</f>
        <v>12mth Agency Retention Ratio</v>
      </c>
      <c r="C2241" s="4" t="str">
        <f>CHOOSE(2, "5461730030", "Jun 26")</f>
        <v>Jun 26</v>
      </c>
      <c r="D2241" s="14">
        <v>0.74545499999999998</v>
      </c>
    </row>
    <row r="2242" spans="1:4" x14ac:dyDescent="0.35">
      <c r="A2242" s="5" t="str">
        <f t="shared" si="1146"/>
        <v>MFA</v>
      </c>
      <c r="B2242" s="6" t="str">
        <f t="shared" si="1155"/>
        <v>12mth Agency Retention Ratio</v>
      </c>
      <c r="C2242" s="4" t="str">
        <f>CHOOSE(2, "5462030031", "Jul 26")</f>
        <v>Jul 26</v>
      </c>
      <c r="D2242" s="14">
        <v>0.74545499999999998</v>
      </c>
    </row>
    <row r="2243" spans="1:4" x14ac:dyDescent="0.35">
      <c r="A2243" s="5" t="str">
        <f t="shared" si="1146"/>
        <v>MFA</v>
      </c>
      <c r="B2243" s="3" t="str">
        <f t="shared" ref="B2243:B2244" si="1156">CHOOSE(2, "1395000000668", "24mth Agency Retention Ratio")</f>
        <v>24mth Agency Retention Ratio</v>
      </c>
      <c r="C2243" s="4" t="str">
        <f>CHOOSE(2, "5461730030", "Jun 26")</f>
        <v>Jun 26</v>
      </c>
      <c r="D2243" s="14">
        <v>0.47368399999999999</v>
      </c>
    </row>
    <row r="2244" spans="1:4" x14ac:dyDescent="0.35">
      <c r="A2244" s="5" t="str">
        <f t="shared" si="1146"/>
        <v>MFA</v>
      </c>
      <c r="B2244" s="6" t="str">
        <f t="shared" si="1156"/>
        <v>24mth Agency Retention Ratio</v>
      </c>
      <c r="C2244" s="4" t="str">
        <f>CHOOSE(2, "5462030031", "Jul 26")</f>
        <v>Jul 26</v>
      </c>
      <c r="D2244" s="14">
        <v>0.47099000000000002</v>
      </c>
    </row>
    <row r="2245" spans="1:4" x14ac:dyDescent="0.35">
      <c r="A2245" s="5" t="str">
        <f t="shared" si="1146"/>
        <v>MFA</v>
      </c>
      <c r="B2245" s="3" t="str">
        <f t="shared" ref="B2245:B2246" si="1157">CHOOSE(2, "1395000000667", "Total # of Leaders (end of period)")</f>
        <v>Total # of Leaders (end of period)</v>
      </c>
      <c r="C2245" s="4" t="str">
        <f>CHOOSE(2, "5461730030", "Jun 26")</f>
        <v>Jun 26</v>
      </c>
      <c r="D2245" s="14">
        <v>226</v>
      </c>
    </row>
    <row r="2246" spans="1:4" x14ac:dyDescent="0.35">
      <c r="A2246" s="5" t="str">
        <f t="shared" si="1146"/>
        <v>MFA</v>
      </c>
      <c r="B2246" s="6" t="str">
        <f t="shared" si="1157"/>
        <v>Total # of Leaders (end of period)</v>
      </c>
      <c r="C2246" s="4" t="str">
        <f>CHOOSE(2, "5462030031", "Jul 26")</f>
        <v>Jul 26</v>
      </c>
      <c r="D2246" s="14">
        <v>228</v>
      </c>
    </row>
    <row r="2247" spans="1:4" x14ac:dyDescent="0.35">
      <c r="A2247" s="5" t="str">
        <f t="shared" si="1146"/>
        <v>MFA</v>
      </c>
      <c r="B2247" s="3" t="str">
        <f t="shared" ref="B2247:B2248" si="1158">CHOOSE(2, "1395000000666", "Total # of Unit Managers")</f>
        <v>Total # of Unit Managers</v>
      </c>
      <c r="C2247" s="4" t="str">
        <f>CHOOSE(2, "5461730030", "Jun 26")</f>
        <v>Jun 26</v>
      </c>
      <c r="D2247" s="14">
        <v>188</v>
      </c>
    </row>
    <row r="2248" spans="1:4" x14ac:dyDescent="0.35">
      <c r="A2248" s="5" t="str">
        <f t="shared" si="1146"/>
        <v>MFA</v>
      </c>
      <c r="B2248" s="6" t="str">
        <f t="shared" si="1158"/>
        <v>Total # of Unit Managers</v>
      </c>
      <c r="C2248" s="4" t="str">
        <f>CHOOSE(2, "5462030031", "Jul 26")</f>
        <v>Jul 26</v>
      </c>
      <c r="D2248" s="14">
        <v>190</v>
      </c>
    </row>
    <row r="2249" spans="1:4" x14ac:dyDescent="0.35">
      <c r="A2249" s="5" t="str">
        <f t="shared" si="1146"/>
        <v>MFA</v>
      </c>
      <c r="B2249" s="3" t="str">
        <f t="shared" ref="B2249:B2250" si="1159">CHOOSE(2, "1395000000665", "Total # of Leaders above Unit Manager level")</f>
        <v>Total # of Leaders above Unit Manager level</v>
      </c>
      <c r="C2249" s="4" t="str">
        <f>CHOOSE(2, "5461730030", "Jun 26")</f>
        <v>Jun 26</v>
      </c>
      <c r="D2249" s="14">
        <v>38</v>
      </c>
    </row>
    <row r="2250" spans="1:4" x14ac:dyDescent="0.35">
      <c r="A2250" s="5" t="str">
        <f t="shared" si="1146"/>
        <v>MFA</v>
      </c>
      <c r="B2250" s="6" t="str">
        <f t="shared" si="1159"/>
        <v>Total # of Leaders above Unit Manager level</v>
      </c>
      <c r="C2250" s="4" t="str">
        <f>CHOOSE(2, "5462030031", "Jul 26")</f>
        <v>Jul 26</v>
      </c>
      <c r="D2250" s="14">
        <v>38</v>
      </c>
    </row>
    <row r="2251" spans="1:4" x14ac:dyDescent="0.35">
      <c r="A2251" s="5" t="str">
        <f t="shared" si="1146"/>
        <v>MFA</v>
      </c>
      <c r="B2251" s="3" t="str">
        <f t="shared" ref="B2251:B2252" si="1160">CHOOSE(2, "1395000000664", "Total # of Agents below Unit Manager level (end of period)")</f>
        <v>Total # of Agents below Unit Manager level (end of period)</v>
      </c>
      <c r="C2251" s="4" t="str">
        <f>CHOOSE(2, "5461730030", "Jun 26")</f>
        <v>Jun 26</v>
      </c>
      <c r="D2251" s="2" t="s">
        <v>5</v>
      </c>
    </row>
    <row r="2252" spans="1:4" x14ac:dyDescent="0.35">
      <c r="A2252" s="5" t="str">
        <f t="shared" si="1146"/>
        <v>MFA</v>
      </c>
      <c r="B2252" s="6" t="str">
        <f t="shared" si="1160"/>
        <v>Total # of Agents below Unit Manager level (end of period)</v>
      </c>
      <c r="C2252" s="4" t="str">
        <f>CHOOSE(2, "5462030031", "Jul 26")</f>
        <v>Jul 26</v>
      </c>
      <c r="D2252" s="2" t="s">
        <v>5</v>
      </c>
    </row>
    <row r="2253" spans="1:4" x14ac:dyDescent="0.35">
      <c r="A2253" s="5" t="str">
        <f t="shared" si="1146"/>
        <v>MFA</v>
      </c>
      <c r="B2253" s="3" t="str">
        <f t="shared" ref="B2253:B2254" si="1161">CHOOSE(2, "1395000000663", "# of Active Recruiting Leaders")</f>
        <v># of Active Recruiting Leaders</v>
      </c>
      <c r="C2253" s="4" t="str">
        <f>CHOOSE(2, "5461730030", "Jun 26")</f>
        <v>Jun 26</v>
      </c>
      <c r="D2253" s="14">
        <v>22</v>
      </c>
    </row>
    <row r="2254" spans="1:4" x14ac:dyDescent="0.35">
      <c r="A2254" s="5" t="str">
        <f t="shared" si="1146"/>
        <v>MFA</v>
      </c>
      <c r="B2254" s="6" t="str">
        <f t="shared" si="1161"/>
        <v># of Active Recruiting Leaders</v>
      </c>
      <c r="C2254" s="4" t="str">
        <f>CHOOSE(2, "5462030031", "Jul 26")</f>
        <v>Jul 26</v>
      </c>
      <c r="D2254" s="14">
        <v>21</v>
      </c>
    </row>
    <row r="2255" spans="1:4" x14ac:dyDescent="0.35">
      <c r="A2255" s="5" t="str">
        <f t="shared" si="1146"/>
        <v>MFA</v>
      </c>
      <c r="B2255" s="3" t="str">
        <f t="shared" ref="B2255:B2256" si="1162">CHOOSE(2, "1395000000662", "# of leaders with &gt;1 YTD recruit")</f>
        <v># of leaders with &gt;1 YTD recruit</v>
      </c>
      <c r="C2255" s="4" t="str">
        <f>CHOOSE(2, "5461730030", "Jun 26")</f>
        <v>Jun 26</v>
      </c>
      <c r="D2255" s="14">
        <v>84</v>
      </c>
    </row>
    <row r="2256" spans="1:4" x14ac:dyDescent="0.35">
      <c r="A2256" s="5" t="str">
        <f t="shared" si="1146"/>
        <v>MFA</v>
      </c>
      <c r="B2256" s="6" t="str">
        <f t="shared" si="1162"/>
        <v># of leaders with &gt;1 YTD recruit</v>
      </c>
      <c r="C2256" s="4" t="str">
        <f>CHOOSE(2, "5462030031", "Jul 26")</f>
        <v>Jul 26</v>
      </c>
      <c r="D2256" s="14">
        <v>94</v>
      </c>
    </row>
    <row r="2257" spans="1:4" x14ac:dyDescent="0.35">
      <c r="A2257" s="5" t="str">
        <f t="shared" si="1146"/>
        <v>MFA</v>
      </c>
      <c r="B2257" s="3" t="str">
        <f t="shared" ref="B2257:B2258" si="1163">CHOOSE(2, "1395000000661", "Income ratio from personal sales (UM)")</f>
        <v>Income ratio from personal sales (UM)</v>
      </c>
      <c r="C2257" s="4" t="str">
        <f>CHOOSE(2, "5461730030", "Jun 26")</f>
        <v>Jun 26</v>
      </c>
      <c r="D2257" s="14">
        <v>0.19749257054176228</v>
      </c>
    </row>
    <row r="2258" spans="1:4" x14ac:dyDescent="0.35">
      <c r="A2258" s="5" t="str">
        <f t="shared" si="1146"/>
        <v>MFA</v>
      </c>
      <c r="B2258" s="6" t="str">
        <f t="shared" si="1163"/>
        <v>Income ratio from personal sales (UM)</v>
      </c>
      <c r="C2258" s="4" t="str">
        <f>CHOOSE(2, "5462030031", "Jul 26")</f>
        <v>Jul 26</v>
      </c>
      <c r="D2258" s="14">
        <v>0.45839430583990159</v>
      </c>
    </row>
    <row r="2259" spans="1:4" x14ac:dyDescent="0.35">
      <c r="A2259" s="5" t="str">
        <f t="shared" si="1146"/>
        <v>MFA</v>
      </c>
      <c r="B2259" s="3" t="str">
        <f t="shared" ref="B2259:B2260" si="1164">CHOOSE(2, "1395000000660", "Income ratio from personal sales (UM) (numerator)")</f>
        <v>Income ratio from personal sales (UM) (numerator)</v>
      </c>
      <c r="C2259" s="4" t="str">
        <f>CHOOSE(2, "5461730030", "Jun 26")</f>
        <v>Jun 26</v>
      </c>
      <c r="D2259" s="14">
        <v>1503625.5841949999</v>
      </c>
    </row>
    <row r="2260" spans="1:4" x14ac:dyDescent="0.35">
      <c r="A2260" s="5" t="str">
        <f t="shared" si="1146"/>
        <v>MFA</v>
      </c>
      <c r="B2260" s="6" t="str">
        <f t="shared" si="1164"/>
        <v>Income ratio from personal sales (UM) (numerator)</v>
      </c>
      <c r="C2260" s="4" t="str">
        <f>CHOOSE(2, "5462030031", "Jul 26")</f>
        <v>Jul 26</v>
      </c>
      <c r="D2260" s="14">
        <v>1011537.797851</v>
      </c>
    </row>
    <row r="2261" spans="1:4" x14ac:dyDescent="0.35">
      <c r="A2261" s="5" t="str">
        <f t="shared" si="1146"/>
        <v>MFA</v>
      </c>
      <c r="B2261" s="3" t="str">
        <f t="shared" ref="B2261:B2262" si="1165">CHOOSE(2, "1395000000659", "Income ratio from personal sales (UM) (denominator)")</f>
        <v>Income ratio from personal sales (UM) (denominator)</v>
      </c>
      <c r="C2261" s="4" t="str">
        <f>CHOOSE(2, "5461730030", "Jun 26")</f>
        <v>Jun 26</v>
      </c>
      <c r="D2261" s="14">
        <v>7613580.501131</v>
      </c>
    </row>
    <row r="2262" spans="1:4" x14ac:dyDescent="0.35">
      <c r="A2262" s="5" t="str">
        <f t="shared" si="1146"/>
        <v>MFA</v>
      </c>
      <c r="B2262" s="6" t="str">
        <f t="shared" si="1165"/>
        <v>Income ratio from personal sales (UM) (denominator)</v>
      </c>
      <c r="C2262" s="4" t="str">
        <f>CHOOSE(2, "5462030031", "Jul 26")</f>
        <v>Jul 26</v>
      </c>
      <c r="D2262" s="14">
        <v>2206697.9998750002</v>
      </c>
    </row>
    <row r="2263" spans="1:4" x14ac:dyDescent="0.35">
      <c r="A2263" s="5" t="str">
        <f t="shared" si="1146"/>
        <v>MFA</v>
      </c>
      <c r="B2263" s="3" t="str">
        <f t="shared" ref="B2263:B2264" si="1166">CHOOSE(2, "1395000000658", "Income ratio from personal sales (Leader above UM)")</f>
        <v>Income ratio from personal sales (Leader above UM)</v>
      </c>
      <c r="C2263" s="4" t="str">
        <f>CHOOSE(2, "5461730030", "Jun 26")</f>
        <v>Jun 26</v>
      </c>
      <c r="D2263" s="14">
        <v>0.10386592719109984</v>
      </c>
    </row>
    <row r="2264" spans="1:4" x14ac:dyDescent="0.35">
      <c r="A2264" s="5" t="str">
        <f t="shared" si="1146"/>
        <v>MFA</v>
      </c>
      <c r="B2264" s="6" t="str">
        <f t="shared" si="1166"/>
        <v>Income ratio from personal sales (Leader above UM)</v>
      </c>
      <c r="C2264" s="4" t="str">
        <f>CHOOSE(2, "5462030031", "Jul 26")</f>
        <v>Jul 26</v>
      </c>
      <c r="D2264" s="14">
        <v>0.12395255958606087</v>
      </c>
    </row>
    <row r="2265" spans="1:4" x14ac:dyDescent="0.35">
      <c r="A2265" s="5" t="str">
        <f t="shared" si="1146"/>
        <v>MFA</v>
      </c>
      <c r="B2265" s="3" t="str">
        <f t="shared" ref="B2265:B2266" si="1167">CHOOSE(2, "1395000000657", "Income ratio from personal sales (Leader above UM) (num)")</f>
        <v>Income ratio from personal sales (Leader above UM) (num)</v>
      </c>
      <c r="C2265" s="4" t="str">
        <f>CHOOSE(2, "5461730030", "Jun 26")</f>
        <v>Jun 26</v>
      </c>
      <c r="D2265" s="14">
        <v>214575.25076</v>
      </c>
    </row>
    <row r="2266" spans="1:4" x14ac:dyDescent="0.35">
      <c r="A2266" s="5" t="str">
        <f t="shared" si="1146"/>
        <v>MFA</v>
      </c>
      <c r="B2266" s="6" t="str">
        <f t="shared" si="1167"/>
        <v>Income ratio from personal sales (Leader above UM) (num)</v>
      </c>
      <c r="C2266" s="4" t="str">
        <f>CHOOSE(2, "5462030031", "Jul 26")</f>
        <v>Jul 26</v>
      </c>
      <c r="D2266" s="14">
        <v>201846.912774</v>
      </c>
    </row>
    <row r="2267" spans="1:4" x14ac:dyDescent="0.35">
      <c r="A2267" s="5" t="str">
        <f t="shared" si="1146"/>
        <v>MFA</v>
      </c>
      <c r="B2267" s="3" t="str">
        <f t="shared" ref="B2267:B2268" si="1168">CHOOSE(2, "1395000000656", "Income ratio from personal sales (Leader above UM) (den)")</f>
        <v>Income ratio from personal sales (Leader above UM) (den)</v>
      </c>
      <c r="C2267" s="4" t="str">
        <f>CHOOSE(2, "5461730030", "Jun 26")</f>
        <v>Jun 26</v>
      </c>
      <c r="D2267" s="14">
        <v>2065886.8270169999</v>
      </c>
    </row>
    <row r="2268" spans="1:4" x14ac:dyDescent="0.35">
      <c r="A2268" s="5" t="str">
        <f t="shared" si="1146"/>
        <v>MFA</v>
      </c>
      <c r="B2268" s="6" t="str">
        <f t="shared" si="1168"/>
        <v>Income ratio from personal sales (Leader above UM) (den)</v>
      </c>
      <c r="C2268" s="4" t="str">
        <f>CHOOSE(2, "5462030031", "Jul 26")</f>
        <v>Jul 26</v>
      </c>
      <c r="D2268" s="14">
        <v>1628420.6913360001</v>
      </c>
    </row>
    <row r="2269" spans="1:4" x14ac:dyDescent="0.35">
      <c r="A2269" s="5" t="str">
        <f t="shared" si="1146"/>
        <v>MFA</v>
      </c>
      <c r="B2269" s="3" t="str">
        <f t="shared" ref="B2269:B2270" si="1169">CHOOSE(2, "1395000000655", "Total agent earnings")</f>
        <v>Total agent earnings</v>
      </c>
      <c r="C2269" s="4" t="str">
        <f>CHOOSE(2, "5461730030", "Jun 26")</f>
        <v>Jun 26</v>
      </c>
      <c r="D2269" s="14">
        <v>17948315.367332947</v>
      </c>
    </row>
    <row r="2270" spans="1:4" x14ac:dyDescent="0.35">
      <c r="A2270" s="5" t="str">
        <f t="shared" si="1146"/>
        <v>MFA</v>
      </c>
      <c r="B2270" s="6" t="str">
        <f t="shared" si="1169"/>
        <v>Total agent earnings</v>
      </c>
      <c r="C2270" s="4" t="str">
        <f>CHOOSE(2, "5462030031", "Jul 26")</f>
        <v>Jul 26</v>
      </c>
      <c r="D2270" s="14">
        <v>8045072.5172459632</v>
      </c>
    </row>
    <row r="2271" spans="1:4" x14ac:dyDescent="0.35">
      <c r="A2271" s="5" t="str">
        <f t="shared" si="1146"/>
        <v>MFA</v>
      </c>
      <c r="B2271" s="3" t="str">
        <f t="shared" ref="B2271:B2272" si="1170">CHOOSE(2, "1395000000654", "Total agent earnings in FA or equivalent")</f>
        <v>Total agent earnings in FA or equivalent</v>
      </c>
      <c r="C2271" s="4" t="str">
        <f>CHOOSE(2, "5461730030", "Jun 26")</f>
        <v>Jun 26</v>
      </c>
      <c r="D2271" s="14">
        <v>10384934.468594568</v>
      </c>
    </row>
    <row r="2272" spans="1:4" x14ac:dyDescent="0.35">
      <c r="A2272" s="5" t="str">
        <f t="shared" si="1146"/>
        <v>MFA</v>
      </c>
      <c r="B2272" s="6" t="str">
        <f t="shared" si="1170"/>
        <v>Total agent earnings in FA or equivalent</v>
      </c>
      <c r="C2272" s="4" t="str">
        <f>CHOOSE(2, "5462030031", "Jul 26")</f>
        <v>Jul 26</v>
      </c>
      <c r="D2272" s="14">
        <v>5048372.1338327471</v>
      </c>
    </row>
    <row r="2273" spans="1:4" x14ac:dyDescent="0.35">
      <c r="A2273" s="5" t="str">
        <f t="shared" si="1146"/>
        <v>MFA</v>
      </c>
      <c r="B2273" s="3" t="str">
        <f t="shared" ref="B2273:B2274" si="1171">CHOOSE(2, "1395000000653", "Total agent earnings in UM")</f>
        <v>Total agent earnings in UM</v>
      </c>
      <c r="C2273" s="4" t="str">
        <f>CHOOSE(2, "5461730030", "Jun 26")</f>
        <v>Jun 26</v>
      </c>
      <c r="D2273" s="14">
        <v>5949129.9862957448</v>
      </c>
    </row>
    <row r="2274" spans="1:4" x14ac:dyDescent="0.35">
      <c r="A2274" s="5" t="str">
        <f t="shared" si="1146"/>
        <v>MFA</v>
      </c>
      <c r="B2274" s="6" t="str">
        <f t="shared" si="1171"/>
        <v>Total agent earnings in UM</v>
      </c>
      <c r="C2274" s="4" t="str">
        <f>CHOOSE(2, "5462030031", "Jul 26")</f>
        <v>Jul 26</v>
      </c>
      <c r="D2274" s="14">
        <v>1724278.5099343271</v>
      </c>
    </row>
    <row r="2275" spans="1:4" x14ac:dyDescent="0.35">
      <c r="A2275" s="5" t="str">
        <f t="shared" si="1146"/>
        <v>MFA</v>
      </c>
      <c r="B2275" s="3" t="str">
        <f t="shared" ref="B2275:B2276" si="1172">CHOOSE(2, "1395000000652", "Total agent earnings in Leaders above UM")</f>
        <v>Total agent earnings in Leaders above UM</v>
      </c>
      <c r="C2275" s="4" t="str">
        <f>CHOOSE(2, "5461730030", "Jun 26")</f>
        <v>Jun 26</v>
      </c>
      <c r="D2275" s="14">
        <v>1614250.9124418513</v>
      </c>
    </row>
    <row r="2276" spans="1:4" x14ac:dyDescent="0.35">
      <c r="A2276" s="5" t="str">
        <f t="shared" si="1146"/>
        <v>MFA</v>
      </c>
      <c r="B2276" s="6" t="str">
        <f t="shared" si="1172"/>
        <v>Total agent earnings in Leaders above UM</v>
      </c>
      <c r="C2276" s="4" t="str">
        <f>CHOOSE(2, "5462030031", "Jul 26")</f>
        <v>Jul 26</v>
      </c>
      <c r="D2276" s="14">
        <v>1272421.873478889</v>
      </c>
    </row>
    <row r="2277" spans="1:4" x14ac:dyDescent="0.35">
      <c r="A2277" s="5" t="str">
        <f t="shared" si="1146"/>
        <v>MFA</v>
      </c>
      <c r="B2277" s="3" t="str">
        <f t="shared" ref="B2277:B2278" si="1173">CHOOSE(2, "1395000000651", "# of Newly Promoted UM")</f>
        <v># of Newly Promoted UM</v>
      </c>
      <c r="C2277" s="4" t="str">
        <f>CHOOSE(2, "5461730030", "Jun 26")</f>
        <v>Jun 26</v>
      </c>
      <c r="D2277" s="14">
        <v>1</v>
      </c>
    </row>
    <row r="2278" spans="1:4" x14ac:dyDescent="0.35">
      <c r="A2278" s="5" t="str">
        <f t="shared" si="1146"/>
        <v>MFA</v>
      </c>
      <c r="B2278" s="6" t="str">
        <f t="shared" si="1173"/>
        <v># of Newly Promoted UM</v>
      </c>
      <c r="C2278" s="4" t="str">
        <f>CHOOSE(2, "5462030031", "Jul 26")</f>
        <v>Jul 26</v>
      </c>
      <c r="D2278" s="14">
        <v>3</v>
      </c>
    </row>
    <row r="2279" spans="1:4" x14ac:dyDescent="0.35">
      <c r="A2279" s="5" t="str">
        <f t="shared" si="1146"/>
        <v>MFA</v>
      </c>
      <c r="B2279" s="3" t="str">
        <f t="shared" ref="B2279:B2280" si="1174">CHOOSE(2, "1395000000650", "# of Newly Promoted Leaders above UM")</f>
        <v># of Newly Promoted Leaders above UM</v>
      </c>
      <c r="C2279" s="4" t="str">
        <f>CHOOSE(2, "5461730030", "Jun 26")</f>
        <v>Jun 26</v>
      </c>
      <c r="D2279" s="14">
        <v>1</v>
      </c>
    </row>
    <row r="2280" spans="1:4" x14ac:dyDescent="0.35">
      <c r="A2280" s="5" t="str">
        <f t="shared" si="1146"/>
        <v>MFA</v>
      </c>
      <c r="B2280" s="6" t="str">
        <f t="shared" si="1174"/>
        <v># of Newly Promoted Leaders above UM</v>
      </c>
      <c r="C2280" s="4" t="str">
        <f>CHOOSE(2, "5462030031", "Jul 26")</f>
        <v>Jul 26</v>
      </c>
      <c r="D2280" s="14">
        <v>0</v>
      </c>
    </row>
    <row r="2281" spans="1:4" x14ac:dyDescent="0.35">
      <c r="A2281" s="5" t="str">
        <f t="shared" si="1146"/>
        <v>MFA</v>
      </c>
      <c r="B2281" s="3" t="str">
        <f t="shared" ref="B2281:B2282" si="1175">CHOOSE(2, "1395000000649", "# of Total Leader Promotions")</f>
        <v># of Total Leader Promotions</v>
      </c>
      <c r="C2281" s="4" t="str">
        <f>CHOOSE(2, "5461730030", "Jun 26")</f>
        <v>Jun 26</v>
      </c>
      <c r="D2281" s="14">
        <v>2</v>
      </c>
    </row>
    <row r="2282" spans="1:4" x14ac:dyDescent="0.35">
      <c r="A2282" s="5" t="str">
        <f t="shared" si="1146"/>
        <v>MFA</v>
      </c>
      <c r="B2282" s="6" t="str">
        <f t="shared" si="1175"/>
        <v># of Total Leader Promotions</v>
      </c>
      <c r="C2282" s="4" t="str">
        <f>CHOOSE(2, "5462030031", "Jul 26")</f>
        <v>Jul 26</v>
      </c>
      <c r="D2282" s="14">
        <v>3</v>
      </c>
    </row>
    <row r="2283" spans="1:4" x14ac:dyDescent="0.35">
      <c r="A2283" s="5" t="str">
        <f t="shared" si="1146"/>
        <v>MFA</v>
      </c>
      <c r="B2283" s="3" t="str">
        <f t="shared" ref="B2283:B2284" si="1176">CHOOSE(2, "1395000000648", "# of Newly Demoted UM")</f>
        <v># of Newly Demoted UM</v>
      </c>
      <c r="C2283" s="4" t="str">
        <f>CHOOSE(2, "5461730030", "Jun 26")</f>
        <v>Jun 26</v>
      </c>
      <c r="D2283" s="14">
        <v>1</v>
      </c>
    </row>
    <row r="2284" spans="1:4" x14ac:dyDescent="0.35">
      <c r="A2284" s="5" t="str">
        <f t="shared" si="1146"/>
        <v>MFA</v>
      </c>
      <c r="B2284" s="6" t="str">
        <f t="shared" si="1176"/>
        <v># of Newly Demoted UM</v>
      </c>
      <c r="C2284" s="4" t="str">
        <f>CHOOSE(2, "5462030031", "Jul 26")</f>
        <v>Jul 26</v>
      </c>
      <c r="D2284" s="14">
        <v>1</v>
      </c>
    </row>
    <row r="2285" spans="1:4" x14ac:dyDescent="0.35">
      <c r="A2285" s="5" t="str">
        <f t="shared" si="1146"/>
        <v>MFA</v>
      </c>
      <c r="B2285" s="3" t="str">
        <f t="shared" ref="B2285:B2286" si="1177">CHOOSE(2, "1395000000647", "# of Newly Demoted Leaders above UM")</f>
        <v># of Newly Demoted Leaders above UM</v>
      </c>
      <c r="C2285" s="4" t="str">
        <f>CHOOSE(2, "5461730030", "Jun 26")</f>
        <v>Jun 26</v>
      </c>
      <c r="D2285" s="14">
        <v>1</v>
      </c>
    </row>
    <row r="2286" spans="1:4" x14ac:dyDescent="0.35">
      <c r="A2286" s="5" t="str">
        <f t="shared" si="1146"/>
        <v>MFA</v>
      </c>
      <c r="B2286" s="6" t="str">
        <f t="shared" si="1177"/>
        <v># of Newly Demoted Leaders above UM</v>
      </c>
      <c r="C2286" s="4" t="str">
        <f>CHOOSE(2, "5462030031", "Jul 26")</f>
        <v>Jul 26</v>
      </c>
      <c r="D2286" s="14">
        <v>0</v>
      </c>
    </row>
    <row r="2287" spans="1:4" x14ac:dyDescent="0.35">
      <c r="A2287" s="5" t="str">
        <f t="shared" si="1146"/>
        <v>MFA</v>
      </c>
      <c r="B2287" s="3" t="str">
        <f t="shared" ref="B2287:B2288" si="1178">CHOOSE(2, "1395000000646", "# of Total Leader Demotions")</f>
        <v># of Total Leader Demotions</v>
      </c>
      <c r="C2287" s="4" t="str">
        <f>CHOOSE(2, "5461730030", "Jun 26")</f>
        <v>Jun 26</v>
      </c>
      <c r="D2287" s="14">
        <v>2</v>
      </c>
    </row>
    <row r="2288" spans="1:4" x14ac:dyDescent="0.35">
      <c r="A2288" s="5" t="str">
        <f t="shared" si="1146"/>
        <v>MFA</v>
      </c>
      <c r="B2288" s="6" t="str">
        <f t="shared" si="1178"/>
        <v># of Total Leader Demotions</v>
      </c>
      <c r="C2288" s="4" t="str">
        <f>CHOOSE(2, "5462030031", "Jul 26")</f>
        <v>Jul 26</v>
      </c>
      <c r="D2288" s="14">
        <v>1</v>
      </c>
    </row>
    <row r="2289" spans="1:4" x14ac:dyDescent="0.35">
      <c r="A2289" s="5" t="str">
        <f t="shared" ref="A2289:A2352" si="1179">CHOOSE(2, "1260000000003", "MFA")</f>
        <v>MFA</v>
      </c>
      <c r="B2289" s="3" t="str">
        <f t="shared" ref="B2289:B2290" si="1180">CHOOSE(2, "1395000000645", "# of agents meeting MOC")</f>
        <v># of agents meeting MOC</v>
      </c>
      <c r="C2289" s="4" t="str">
        <f>CHOOSE(2, "5461730030", "Jun 26")</f>
        <v>Jun 26</v>
      </c>
      <c r="D2289" s="14">
        <v>1325</v>
      </c>
    </row>
    <row r="2290" spans="1:4" x14ac:dyDescent="0.35">
      <c r="A2290" s="5" t="str">
        <f t="shared" si="1179"/>
        <v>MFA</v>
      </c>
      <c r="B2290" s="6" t="str">
        <f t="shared" si="1180"/>
        <v># of agents meeting MOC</v>
      </c>
      <c r="C2290" s="4" t="str">
        <f>CHOOSE(2, "5462030031", "Jul 26")</f>
        <v>Jul 26</v>
      </c>
      <c r="D2290" s="14">
        <v>1328</v>
      </c>
    </row>
    <row r="2291" spans="1:4" x14ac:dyDescent="0.35">
      <c r="A2291" s="5" t="str">
        <f t="shared" si="1179"/>
        <v>MFA</v>
      </c>
      <c r="B2291" s="3" t="str">
        <f t="shared" ref="B2291:B2292" si="1181">CHOOSE(2, "1395000000644", "# of agents meeting MOC in FA or equivalent")</f>
        <v># of agents meeting MOC in FA or equivalent</v>
      </c>
      <c r="C2291" s="4" t="str">
        <f>CHOOSE(2, "5461730030", "Jun 26")</f>
        <v>Jun 26</v>
      </c>
      <c r="D2291" s="14">
        <v>1103</v>
      </c>
    </row>
    <row r="2292" spans="1:4" x14ac:dyDescent="0.35">
      <c r="A2292" s="5" t="str">
        <f t="shared" si="1179"/>
        <v>MFA</v>
      </c>
      <c r="B2292" s="6" t="str">
        <f t="shared" si="1181"/>
        <v># of agents meeting MOC in FA or equivalent</v>
      </c>
      <c r="C2292" s="4" t="str">
        <f>CHOOSE(2, "5462030031", "Jul 26")</f>
        <v>Jul 26</v>
      </c>
      <c r="D2292" s="14">
        <v>1105</v>
      </c>
    </row>
    <row r="2293" spans="1:4" x14ac:dyDescent="0.35">
      <c r="A2293" s="5" t="str">
        <f t="shared" si="1179"/>
        <v>MFA</v>
      </c>
      <c r="B2293" s="3" t="str">
        <f t="shared" ref="B2293:B2294" si="1182">CHOOSE(2, "1395000000643", "# of agents meeting MOC in UM")</f>
        <v># of agents meeting MOC in UM</v>
      </c>
      <c r="C2293" s="4" t="str">
        <f>CHOOSE(2, "5461730030", "Jun 26")</f>
        <v>Jun 26</v>
      </c>
      <c r="D2293" s="14">
        <v>185</v>
      </c>
    </row>
    <row r="2294" spans="1:4" x14ac:dyDescent="0.35">
      <c r="A2294" s="5" t="str">
        <f t="shared" si="1179"/>
        <v>MFA</v>
      </c>
      <c r="B2294" s="6" t="str">
        <f t="shared" si="1182"/>
        <v># of agents meeting MOC in UM</v>
      </c>
      <c r="C2294" s="4" t="str">
        <f>CHOOSE(2, "5462030031", "Jul 26")</f>
        <v>Jul 26</v>
      </c>
      <c r="D2294" s="14">
        <v>185</v>
      </c>
    </row>
    <row r="2295" spans="1:4" x14ac:dyDescent="0.35">
      <c r="A2295" s="5" t="str">
        <f t="shared" si="1179"/>
        <v>MFA</v>
      </c>
      <c r="B2295" s="3" t="str">
        <f t="shared" ref="B2295:B2296" si="1183">CHOOSE(2, "1395000000642", "# of agents meeting MOC in Leaders above UM")</f>
        <v># of agents meeting MOC in Leaders above UM</v>
      </c>
      <c r="C2295" s="4" t="str">
        <f>CHOOSE(2, "5461730030", "Jun 26")</f>
        <v>Jun 26</v>
      </c>
      <c r="D2295" s="14">
        <v>37</v>
      </c>
    </row>
    <row r="2296" spans="1:4" x14ac:dyDescent="0.35">
      <c r="A2296" s="5" t="str">
        <f t="shared" si="1179"/>
        <v>MFA</v>
      </c>
      <c r="B2296" s="6" t="str">
        <f t="shared" si="1183"/>
        <v># of agents meeting MOC in Leaders above UM</v>
      </c>
      <c r="C2296" s="4" t="str">
        <f>CHOOSE(2, "5462030031", "Jul 26")</f>
        <v>Jul 26</v>
      </c>
      <c r="D2296" s="14">
        <v>38</v>
      </c>
    </row>
    <row r="2297" spans="1:4" x14ac:dyDescent="0.35">
      <c r="A2297" s="5" t="str">
        <f t="shared" si="1179"/>
        <v>MFA</v>
      </c>
      <c r="B2297" s="3" t="str">
        <f t="shared" ref="B2297:B2298" si="1184">CHOOSE(2, "1395000000641", "New Leaders 3M Activation Rate (by cohort)")</f>
        <v>New Leaders 3M Activation Rate (by cohort)</v>
      </c>
      <c r="C2297" s="4" t="str">
        <f>CHOOSE(2, "5461730030", "Jun 26")</f>
        <v>Jun 26</v>
      </c>
      <c r="D2297" s="14">
        <v>0</v>
      </c>
    </row>
    <row r="2298" spans="1:4" x14ac:dyDescent="0.35">
      <c r="A2298" s="5" t="str">
        <f t="shared" si="1179"/>
        <v>MFA</v>
      </c>
      <c r="B2298" s="6" t="str">
        <f t="shared" si="1184"/>
        <v>New Leaders 3M Activation Rate (by cohort)</v>
      </c>
      <c r="C2298" s="4" t="str">
        <f>CHOOSE(2, "5462030031", "Jul 26")</f>
        <v>Jul 26</v>
      </c>
      <c r="D2298" s="14">
        <v>0.5</v>
      </c>
    </row>
    <row r="2299" spans="1:4" x14ac:dyDescent="0.35">
      <c r="A2299" s="5" t="str">
        <f t="shared" si="1179"/>
        <v>MFA</v>
      </c>
      <c r="B2299" s="3" t="str">
        <f t="shared" ref="B2299:B2300" si="1185">CHOOSE(2, "1395000000640", "New Leaders 3M Activation Rate (by cohort) (numerator)")</f>
        <v>New Leaders 3M Activation Rate (by cohort) (numerator)</v>
      </c>
      <c r="C2299" s="4" t="str">
        <f>CHOOSE(2, "5461730030", "Jun 26")</f>
        <v>Jun 26</v>
      </c>
      <c r="D2299" s="14">
        <v>0</v>
      </c>
    </row>
    <row r="2300" spans="1:4" x14ac:dyDescent="0.35">
      <c r="A2300" s="5" t="str">
        <f t="shared" si="1179"/>
        <v>MFA</v>
      </c>
      <c r="B2300" s="6" t="str">
        <f t="shared" si="1185"/>
        <v>New Leaders 3M Activation Rate (by cohort) (numerator)</v>
      </c>
      <c r="C2300" s="4" t="str">
        <f>CHOOSE(2, "5462030031", "Jul 26")</f>
        <v>Jul 26</v>
      </c>
      <c r="D2300" s="14">
        <v>1</v>
      </c>
    </row>
    <row r="2301" spans="1:4" x14ac:dyDescent="0.35">
      <c r="A2301" s="5" t="str">
        <f t="shared" si="1179"/>
        <v>MFA</v>
      </c>
      <c r="B2301" s="3" t="str">
        <f t="shared" ref="B2301:B2302" si="1186">CHOOSE(2, "1395000000639", "New Leaders 3M Activation Rate (by cohort) (denominator)")</f>
        <v>New Leaders 3M Activation Rate (by cohort) (denominator)</v>
      </c>
      <c r="C2301" s="4" t="str">
        <f>CHOOSE(2, "5461730030", "Jun 26")</f>
        <v>Jun 26</v>
      </c>
      <c r="D2301" s="14">
        <v>0</v>
      </c>
    </row>
    <row r="2302" spans="1:4" x14ac:dyDescent="0.35">
      <c r="A2302" s="5" t="str">
        <f t="shared" si="1179"/>
        <v>MFA</v>
      </c>
      <c r="B2302" s="6" t="str">
        <f t="shared" si="1186"/>
        <v>New Leaders 3M Activation Rate (by cohort) (denominator)</v>
      </c>
      <c r="C2302" s="4" t="str">
        <f>CHOOSE(2, "5462030031", "Jul 26")</f>
        <v>Jul 26</v>
      </c>
      <c r="D2302" s="14">
        <v>2</v>
      </c>
    </row>
    <row r="2303" spans="1:4" x14ac:dyDescent="0.35">
      <c r="A2303" s="5" t="str">
        <f t="shared" si="1179"/>
        <v>MFA</v>
      </c>
      <c r="B2303" s="3" t="str">
        <f t="shared" ref="B2303:B2304" si="1187">CHOOSE(2, "1395000000638", "# of pro-rated MDRT agents (100%)")</f>
        <v># of pro-rated MDRT agents (100%)</v>
      </c>
      <c r="C2303" s="4" t="str">
        <f>CHOOSE(2, "5461730030", "Jun 26")</f>
        <v>Jun 26</v>
      </c>
      <c r="D2303" s="14">
        <v>517</v>
      </c>
    </row>
    <row r="2304" spans="1:4" x14ac:dyDescent="0.35">
      <c r="A2304" s="5" t="str">
        <f t="shared" si="1179"/>
        <v>MFA</v>
      </c>
      <c r="B2304" s="6" t="str">
        <f t="shared" si="1187"/>
        <v># of pro-rated MDRT agents (100%)</v>
      </c>
      <c r="C2304" s="4" t="str">
        <f>CHOOSE(2, "5462030031", "Jul 26")</f>
        <v>Jul 26</v>
      </c>
      <c r="D2304" s="14">
        <v>531</v>
      </c>
    </row>
    <row r="2305" spans="1:4" x14ac:dyDescent="0.35">
      <c r="A2305" s="5" t="str">
        <f t="shared" si="1179"/>
        <v>MFA</v>
      </c>
      <c r="B2305" s="3" t="str">
        <f t="shared" ref="B2305:B2306" si="1188">CHOOSE(2, "1395000000637", "# of pro-rated MDRT agents (90%-99%)")</f>
        <v># of pro-rated MDRT agents (90%-99%)</v>
      </c>
      <c r="C2305" s="4" t="str">
        <f>CHOOSE(2, "5461730030", "Jun 26")</f>
        <v>Jun 26</v>
      </c>
      <c r="D2305" s="2" t="s">
        <v>5</v>
      </c>
    </row>
    <row r="2306" spans="1:4" x14ac:dyDescent="0.35">
      <c r="A2306" s="5" t="str">
        <f t="shared" si="1179"/>
        <v>MFA</v>
      </c>
      <c r="B2306" s="6" t="str">
        <f t="shared" si="1188"/>
        <v># of pro-rated MDRT agents (90%-99%)</v>
      </c>
      <c r="C2306" s="4" t="str">
        <f>CHOOSE(2, "5462030031", "Jul 26")</f>
        <v>Jul 26</v>
      </c>
      <c r="D2306" s="2" t="s">
        <v>5</v>
      </c>
    </row>
    <row r="2307" spans="1:4" x14ac:dyDescent="0.35">
      <c r="A2307" s="5" t="str">
        <f t="shared" si="1179"/>
        <v>MFA</v>
      </c>
      <c r="B2307" s="3" t="str">
        <f t="shared" ref="B2307:B2308" si="1189">CHOOSE(2, "1395000000636", "# of pro-rated MDRT agents (70%-90%)")</f>
        <v># of pro-rated MDRT agents (70%-90%)</v>
      </c>
      <c r="C2307" s="4" t="str">
        <f>CHOOSE(2, "5461730030", "Jun 26")</f>
        <v>Jun 26</v>
      </c>
      <c r="D2307" s="2" t="s">
        <v>5</v>
      </c>
    </row>
    <row r="2308" spans="1:4" x14ac:dyDescent="0.35">
      <c r="A2308" s="5" t="str">
        <f t="shared" si="1179"/>
        <v>MFA</v>
      </c>
      <c r="B2308" s="6" t="str">
        <f t="shared" si="1189"/>
        <v># of pro-rated MDRT agents (70%-90%)</v>
      </c>
      <c r="C2308" s="4" t="str">
        <f>CHOOSE(2, "5462030031", "Jul 26")</f>
        <v>Jul 26</v>
      </c>
      <c r="D2308" s="2" t="s">
        <v>5</v>
      </c>
    </row>
    <row r="2309" spans="1:4" x14ac:dyDescent="0.35">
      <c r="A2309" s="5" t="str">
        <f t="shared" si="1179"/>
        <v>MFA</v>
      </c>
      <c r="B2309" s="3" t="str">
        <f t="shared" ref="B2309:B2310" si="1190">CHOOSE(2, "1395000000635", "# of pro-rated MDRT agents (&lt;70%)")</f>
        <v># of pro-rated MDRT agents (&lt;70%)</v>
      </c>
      <c r="C2309" s="4" t="str">
        <f>CHOOSE(2, "5461730030", "Jun 26")</f>
        <v>Jun 26</v>
      </c>
      <c r="D2309" s="2" t="s">
        <v>5</v>
      </c>
    </row>
    <row r="2310" spans="1:4" x14ac:dyDescent="0.35">
      <c r="A2310" s="5" t="str">
        <f t="shared" si="1179"/>
        <v>MFA</v>
      </c>
      <c r="B2310" s="6" t="str">
        <f t="shared" si="1190"/>
        <v># of pro-rated MDRT agents (&lt;70%)</v>
      </c>
      <c r="C2310" s="4" t="str">
        <f>CHOOSE(2, "5462030031", "Jul 26")</f>
        <v>Jul 26</v>
      </c>
      <c r="D2310" s="2" t="s">
        <v>5</v>
      </c>
    </row>
    <row r="2311" spans="1:4" x14ac:dyDescent="0.35">
      <c r="A2311" s="5" t="str">
        <f t="shared" si="1179"/>
        <v>MFA</v>
      </c>
      <c r="B2311" s="3" t="str">
        <f t="shared" ref="B2311:B2312" si="1191">CHOOSE(2, "1395000000634", "# of pro-rated MDRT agents (50%-70%)")</f>
        <v># of pro-rated MDRT agents (50%-70%)</v>
      </c>
      <c r="C2311" s="4" t="str">
        <f>CHOOSE(2, "5461730030", "Jun 26")</f>
        <v>Jun 26</v>
      </c>
      <c r="D2311" s="2" t="s">
        <v>5</v>
      </c>
    </row>
    <row r="2312" spans="1:4" x14ac:dyDescent="0.35">
      <c r="A2312" s="5" t="str">
        <f t="shared" si="1179"/>
        <v>MFA</v>
      </c>
      <c r="B2312" s="6" t="str">
        <f t="shared" si="1191"/>
        <v># of pro-rated MDRT agents (50%-70%)</v>
      </c>
      <c r="C2312" s="4" t="str">
        <f>CHOOSE(2, "5462030031", "Jul 26")</f>
        <v>Jul 26</v>
      </c>
      <c r="D2312" s="2" t="s">
        <v>5</v>
      </c>
    </row>
    <row r="2313" spans="1:4" x14ac:dyDescent="0.35">
      <c r="A2313" s="5" t="str">
        <f t="shared" si="1179"/>
        <v>MFA</v>
      </c>
      <c r="B2313" s="3" t="str">
        <f t="shared" ref="B2313:B2314" si="1192">CHOOSE(2, "1395000000633", "# of pro-rated MDRT agents (&lt;50%)")</f>
        <v># of pro-rated MDRT agents (&lt;50%)</v>
      </c>
      <c r="C2313" s="4" t="str">
        <f>CHOOSE(2, "5461730030", "Jun 26")</f>
        <v>Jun 26</v>
      </c>
      <c r="D2313" s="2" t="s">
        <v>5</v>
      </c>
    </row>
    <row r="2314" spans="1:4" x14ac:dyDescent="0.35">
      <c r="A2314" s="5" t="str">
        <f t="shared" si="1179"/>
        <v>MFA</v>
      </c>
      <c r="B2314" s="6" t="str">
        <f t="shared" si="1192"/>
        <v># of pro-rated MDRT agents (&lt;50%)</v>
      </c>
      <c r="C2314" s="4" t="str">
        <f>CHOOSE(2, "5462030031", "Jul 26")</f>
        <v>Jul 26</v>
      </c>
      <c r="D2314" s="2" t="s">
        <v>5</v>
      </c>
    </row>
    <row r="2315" spans="1:4" x14ac:dyDescent="0.35">
      <c r="A2315" s="5" t="str">
        <f t="shared" si="1179"/>
        <v>MFA</v>
      </c>
      <c r="B2315" s="3" t="str">
        <f t="shared" ref="B2315:B2316" si="1193">CHOOSE(2, "1395000000632", "# of pro-rated MDRT agents (70-99%)")</f>
        <v># of pro-rated MDRT agents (70-99%)</v>
      </c>
      <c r="C2315" s="4" t="str">
        <f>CHOOSE(2, "5461730030", "Jun 26")</f>
        <v>Jun 26</v>
      </c>
      <c r="D2315" s="14">
        <v>103</v>
      </c>
    </row>
    <row r="2316" spans="1:4" x14ac:dyDescent="0.35">
      <c r="A2316" s="5" t="str">
        <f t="shared" si="1179"/>
        <v>MFA</v>
      </c>
      <c r="B2316" s="6" t="str">
        <f t="shared" si="1193"/>
        <v># of pro-rated MDRT agents (70-99%)</v>
      </c>
      <c r="C2316" s="4" t="str">
        <f>CHOOSE(2, "5462030031", "Jul 26")</f>
        <v>Jul 26</v>
      </c>
      <c r="D2316" s="14">
        <v>105</v>
      </c>
    </row>
    <row r="2317" spans="1:4" x14ac:dyDescent="0.35">
      <c r="A2317" s="5" t="str">
        <f t="shared" si="1179"/>
        <v>MFA</v>
      </c>
      <c r="B2317" s="3" t="str">
        <f t="shared" ref="B2317:B2318" si="1194">CHOOSE(2, "1395000000631", "# of pro-rated MDRT agents (50-69%)")</f>
        <v># of pro-rated MDRT agents (50-69%)</v>
      </c>
      <c r="C2317" s="4" t="str">
        <f>CHOOSE(2, "5461730030", "Jun 26")</f>
        <v>Jun 26</v>
      </c>
      <c r="D2317" s="14">
        <v>92</v>
      </c>
    </row>
    <row r="2318" spans="1:4" x14ac:dyDescent="0.35">
      <c r="A2318" s="5" t="str">
        <f t="shared" si="1179"/>
        <v>MFA</v>
      </c>
      <c r="B2318" s="6" t="str">
        <f t="shared" si="1194"/>
        <v># of pro-rated MDRT agents (50-69%)</v>
      </c>
      <c r="C2318" s="4" t="str">
        <f>CHOOSE(2, "5462030031", "Jul 26")</f>
        <v>Jul 26</v>
      </c>
      <c r="D2318" s="14">
        <v>94</v>
      </c>
    </row>
    <row r="2319" spans="1:4" x14ac:dyDescent="0.35">
      <c r="A2319" s="5" t="str">
        <f t="shared" si="1179"/>
        <v>MFA</v>
      </c>
      <c r="B2319" s="3" t="str">
        <f t="shared" ref="B2319:B2320" si="1195">CHOOSE(2, "1395000000630", "# of Top-tier agents")</f>
        <v># of Top-tier agents</v>
      </c>
      <c r="C2319" s="4" t="str">
        <f>CHOOSE(2, "5461730030", "Jun 26")</f>
        <v>Jun 26</v>
      </c>
      <c r="D2319" s="14">
        <v>712</v>
      </c>
    </row>
    <row r="2320" spans="1:4" x14ac:dyDescent="0.35">
      <c r="A2320" s="5" t="str">
        <f t="shared" si="1179"/>
        <v>MFA</v>
      </c>
      <c r="B2320" s="6" t="str">
        <f t="shared" si="1195"/>
        <v># of Top-tier agents</v>
      </c>
      <c r="C2320" s="4" t="str">
        <f>CHOOSE(2, "5462030031", "Jul 26")</f>
        <v>Jul 26</v>
      </c>
      <c r="D2320" s="14">
        <v>730</v>
      </c>
    </row>
    <row r="2321" spans="1:4" x14ac:dyDescent="0.35">
      <c r="A2321" s="5" t="str">
        <f t="shared" si="1179"/>
        <v>MFA</v>
      </c>
      <c r="B2321" s="3" t="str">
        <f t="shared" ref="B2321:B2322" si="1196">CHOOSE(2, "1395000000629", "$ APE from pro-rated MDRT agents (100%)")</f>
        <v>$ APE from pro-rated MDRT agents (100%)</v>
      </c>
      <c r="C2321" s="4" t="str">
        <f>CHOOSE(2, "5461730030", "Jun 26")</f>
        <v>Jun 26</v>
      </c>
      <c r="D2321" s="14">
        <v>29665103.553649999</v>
      </c>
    </row>
    <row r="2322" spans="1:4" x14ac:dyDescent="0.35">
      <c r="A2322" s="5" t="str">
        <f t="shared" si="1179"/>
        <v>MFA</v>
      </c>
      <c r="B2322" s="6" t="str">
        <f t="shared" si="1196"/>
        <v>$ APE from pro-rated MDRT agents (100%)</v>
      </c>
      <c r="C2322" s="4" t="str">
        <f>CHOOSE(2, "5462030031", "Jul 26")</f>
        <v>Jul 26</v>
      </c>
      <c r="D2322" s="14">
        <v>22071612.517806999</v>
      </c>
    </row>
    <row r="2323" spans="1:4" x14ac:dyDescent="0.35">
      <c r="A2323" s="5" t="str">
        <f t="shared" si="1179"/>
        <v>MFA</v>
      </c>
      <c r="B2323" s="3" t="str">
        <f t="shared" ref="B2323:B2324" si="1197">CHOOSE(2, "1395000000628", "$ APE from pro-rated MDRT agents (70-99%)")</f>
        <v>$ APE from pro-rated MDRT agents (70-99%)</v>
      </c>
      <c r="C2323" s="4" t="str">
        <f>CHOOSE(2, "5461730030", "Jun 26")</f>
        <v>Jun 26</v>
      </c>
      <c r="D2323" s="14">
        <v>1737693.5259169999</v>
      </c>
    </row>
    <row r="2324" spans="1:4" x14ac:dyDescent="0.35">
      <c r="A2324" s="5" t="str">
        <f t="shared" si="1179"/>
        <v>MFA</v>
      </c>
      <c r="B2324" s="6" t="str">
        <f t="shared" si="1197"/>
        <v>$ APE from pro-rated MDRT agents (70-99%)</v>
      </c>
      <c r="C2324" s="4" t="str">
        <f>CHOOSE(2, "5462030031", "Jul 26")</f>
        <v>Jul 26</v>
      </c>
      <c r="D2324" s="14">
        <v>1387052.3609170001</v>
      </c>
    </row>
    <row r="2325" spans="1:4" x14ac:dyDescent="0.35">
      <c r="A2325" s="5" t="str">
        <f t="shared" si="1179"/>
        <v>MFA</v>
      </c>
      <c r="B2325" s="3" t="str">
        <f t="shared" ref="B2325:B2326" si="1198">CHOOSE(2, "1395000000627", "$ APE from pro-rated MDRT agents (50-69%)")</f>
        <v>$ APE from pro-rated MDRT agents (50-69%)</v>
      </c>
      <c r="C2325" s="4" t="str">
        <f>CHOOSE(2, "5461730030", "Jun 26")</f>
        <v>Jun 26</v>
      </c>
      <c r="D2325" s="14">
        <v>1010377.688261</v>
      </c>
    </row>
    <row r="2326" spans="1:4" x14ac:dyDescent="0.35">
      <c r="A2326" s="5" t="str">
        <f t="shared" si="1179"/>
        <v>MFA</v>
      </c>
      <c r="B2326" s="6" t="str">
        <f t="shared" si="1198"/>
        <v>$ APE from pro-rated MDRT agents (50-69%)</v>
      </c>
      <c r="C2326" s="4" t="str">
        <f>CHOOSE(2, "5462030031", "Jul 26")</f>
        <v>Jul 26</v>
      </c>
      <c r="D2326" s="14">
        <v>837702.98941299994</v>
      </c>
    </row>
    <row r="2327" spans="1:4" x14ac:dyDescent="0.35">
      <c r="A2327" s="5" t="str">
        <f t="shared" si="1179"/>
        <v>MFA</v>
      </c>
      <c r="B2327" s="3" t="str">
        <f t="shared" ref="B2327:B2328" si="1199">CHOOSE(2, "1395000000626", "$ APE from Top-tier agents")</f>
        <v>$ APE from Top-tier agents</v>
      </c>
      <c r="C2327" s="4" t="str">
        <f>CHOOSE(2, "5461730030", "Jun 26")</f>
        <v>Jun 26</v>
      </c>
      <c r="D2327" s="14">
        <v>32413174.767829001</v>
      </c>
    </row>
    <row r="2328" spans="1:4" x14ac:dyDescent="0.35">
      <c r="A2328" s="5" t="str">
        <f t="shared" si="1179"/>
        <v>MFA</v>
      </c>
      <c r="B2328" s="6" t="str">
        <f t="shared" si="1199"/>
        <v>$ APE from Top-tier agents</v>
      </c>
      <c r="C2328" s="4" t="str">
        <f>CHOOSE(2, "5462030031", "Jul 26")</f>
        <v>Jul 26</v>
      </c>
      <c r="D2328" s="14">
        <v>24296367.868136</v>
      </c>
    </row>
    <row r="2329" spans="1:4" x14ac:dyDescent="0.35">
      <c r="A2329" s="5" t="str">
        <f t="shared" si="1179"/>
        <v>MFA</v>
      </c>
      <c r="B2329" s="3" t="str">
        <f t="shared" ref="B2329:B2330" si="1200">CHOOSE(2, "1395000000625", "# of MDRT qualifiers - YTD")</f>
        <v># of MDRT qualifiers - YTD</v>
      </c>
      <c r="C2329" s="4" t="str">
        <f>CHOOSE(2, "5461730030", "Jun 26")</f>
        <v>Jun 26</v>
      </c>
      <c r="D2329" s="14">
        <v>303</v>
      </c>
    </row>
    <row r="2330" spans="1:4" x14ac:dyDescent="0.35">
      <c r="A2330" s="5" t="str">
        <f t="shared" si="1179"/>
        <v>MFA</v>
      </c>
      <c r="B2330" s="6" t="str">
        <f t="shared" si="1200"/>
        <v># of MDRT qualifiers - YTD</v>
      </c>
      <c r="C2330" s="4" t="str">
        <f>CHOOSE(2, "5462030031", "Jul 26")</f>
        <v>Jul 26</v>
      </c>
      <c r="D2330" s="14">
        <v>365</v>
      </c>
    </row>
    <row r="2331" spans="1:4" x14ac:dyDescent="0.35">
      <c r="A2331" s="5" t="str">
        <f t="shared" si="1179"/>
        <v>MFA</v>
      </c>
      <c r="B2331" s="3" t="str">
        <f t="shared" ref="B2331:B2332" si="1201">CHOOSE(2, "1395000000624", "# of MDRT COT qualifiers - YTD")</f>
        <v># of MDRT COT qualifiers - YTD</v>
      </c>
      <c r="C2331" s="4" t="str">
        <f>CHOOSE(2, "5461730030", "Jun 26")</f>
        <v>Jun 26</v>
      </c>
      <c r="D2331" s="14">
        <v>48</v>
      </c>
    </row>
    <row r="2332" spans="1:4" x14ac:dyDescent="0.35">
      <c r="A2332" s="5" t="str">
        <f t="shared" si="1179"/>
        <v>MFA</v>
      </c>
      <c r="B2332" s="6" t="str">
        <f t="shared" si="1201"/>
        <v># of MDRT COT qualifiers - YTD</v>
      </c>
      <c r="C2332" s="4" t="str">
        <f>CHOOSE(2, "5462030031", "Jul 26")</f>
        <v>Jul 26</v>
      </c>
      <c r="D2332" s="14">
        <v>51</v>
      </c>
    </row>
    <row r="2333" spans="1:4" x14ac:dyDescent="0.35">
      <c r="A2333" s="5" t="str">
        <f t="shared" si="1179"/>
        <v>MFA</v>
      </c>
      <c r="B2333" s="3" t="str">
        <f t="shared" ref="B2333:B2334" si="1202">CHOOSE(2, "1395000000623", "# of MDRT TOT qualifiers - YTD")</f>
        <v># of MDRT TOT qualifiers - YTD</v>
      </c>
      <c r="C2333" s="4" t="str">
        <f>CHOOSE(2, "5461730030", "Jun 26")</f>
        <v>Jun 26</v>
      </c>
      <c r="D2333" s="14">
        <v>13</v>
      </c>
    </row>
    <row r="2334" spans="1:4" x14ac:dyDescent="0.35">
      <c r="A2334" s="5" t="str">
        <f t="shared" si="1179"/>
        <v>MFA</v>
      </c>
      <c r="B2334" s="6" t="str">
        <f t="shared" si="1202"/>
        <v># of MDRT TOT qualifiers - YTD</v>
      </c>
      <c r="C2334" s="4" t="str">
        <f>CHOOSE(2, "5462030031", "Jul 26")</f>
        <v>Jul 26</v>
      </c>
      <c r="D2334" s="14">
        <v>18</v>
      </c>
    </row>
    <row r="2335" spans="1:4" x14ac:dyDescent="0.35">
      <c r="A2335" s="5" t="str">
        <f t="shared" si="1179"/>
        <v>MFA</v>
      </c>
      <c r="B2335" s="3" t="str">
        <f t="shared" ref="B2335:B2336" si="1203">CHOOSE(2, "1395000000622", "Manulife Pro Qualifiers - Total")</f>
        <v>Manulife Pro Qualifiers - Total</v>
      </c>
      <c r="C2335" s="4" t="str">
        <f>CHOOSE(2, "5461730030", "Jun 26")</f>
        <v>Jun 26</v>
      </c>
      <c r="D2335" s="14">
        <v>59</v>
      </c>
    </row>
    <row r="2336" spans="1:4" x14ac:dyDescent="0.35">
      <c r="A2336" s="5" t="str">
        <f t="shared" si="1179"/>
        <v>MFA</v>
      </c>
      <c r="B2336" s="6" t="str">
        <f t="shared" si="1203"/>
        <v>Manulife Pro Qualifiers - Total</v>
      </c>
      <c r="C2336" s="4" t="str">
        <f>CHOOSE(2, "5462030031", "Jul 26")</f>
        <v>Jul 26</v>
      </c>
      <c r="D2336" s="14">
        <v>59</v>
      </c>
    </row>
    <row r="2337" spans="1:4" x14ac:dyDescent="0.35">
      <c r="A2337" s="5" t="str">
        <f t="shared" si="1179"/>
        <v>MFA</v>
      </c>
      <c r="B2337" s="3" t="str">
        <f t="shared" ref="B2337:B2338" si="1204">CHOOSE(2, "1395000000621", "Manulife Pro Qualifiers - Silver")</f>
        <v>Manulife Pro Qualifiers - Silver</v>
      </c>
      <c r="C2337" s="4" t="str">
        <f>CHOOSE(2, "5461730030", "Jun 26")</f>
        <v>Jun 26</v>
      </c>
      <c r="D2337" s="2" t="s">
        <v>5</v>
      </c>
    </row>
    <row r="2338" spans="1:4" x14ac:dyDescent="0.35">
      <c r="A2338" s="5" t="str">
        <f t="shared" si="1179"/>
        <v>MFA</v>
      </c>
      <c r="B2338" s="6" t="str">
        <f t="shared" si="1204"/>
        <v>Manulife Pro Qualifiers - Silver</v>
      </c>
      <c r="C2338" s="4" t="str">
        <f>CHOOSE(2, "5462030031", "Jul 26")</f>
        <v>Jul 26</v>
      </c>
      <c r="D2338" s="2" t="s">
        <v>5</v>
      </c>
    </row>
    <row r="2339" spans="1:4" x14ac:dyDescent="0.35">
      <c r="A2339" s="5" t="str">
        <f t="shared" si="1179"/>
        <v>MFA</v>
      </c>
      <c r="B2339" s="3" t="str">
        <f t="shared" ref="B2339:B2340" si="1205">CHOOSE(2, "1395000000620", "Manulife Pro Qualifiers - Gold")</f>
        <v>Manulife Pro Qualifiers - Gold</v>
      </c>
      <c r="C2339" s="4" t="str">
        <f>CHOOSE(2, "5461730030", "Jun 26")</f>
        <v>Jun 26</v>
      </c>
      <c r="D2339" s="2" t="s">
        <v>5</v>
      </c>
    </row>
    <row r="2340" spans="1:4" x14ac:dyDescent="0.35">
      <c r="A2340" s="5" t="str">
        <f t="shared" si="1179"/>
        <v>MFA</v>
      </c>
      <c r="B2340" s="6" t="str">
        <f t="shared" si="1205"/>
        <v>Manulife Pro Qualifiers - Gold</v>
      </c>
      <c r="C2340" s="4" t="str">
        <f>CHOOSE(2, "5462030031", "Jul 26")</f>
        <v>Jul 26</v>
      </c>
      <c r="D2340" s="2" t="s">
        <v>5</v>
      </c>
    </row>
    <row r="2341" spans="1:4" x14ac:dyDescent="0.35">
      <c r="A2341" s="5" t="str">
        <f t="shared" si="1179"/>
        <v>MFA</v>
      </c>
      <c r="B2341" s="3" t="str">
        <f t="shared" ref="B2341:B2342" si="1206">CHOOSE(2, "1395000000619", "Manulife Pro Qualifiers  - Platinum")</f>
        <v>Manulife Pro Qualifiers  - Platinum</v>
      </c>
      <c r="C2341" s="4" t="str">
        <f>CHOOSE(2, "5461730030", "Jun 26")</f>
        <v>Jun 26</v>
      </c>
      <c r="D2341" s="2" t="s">
        <v>5</v>
      </c>
    </row>
    <row r="2342" spans="1:4" x14ac:dyDescent="0.35">
      <c r="A2342" s="5" t="str">
        <f t="shared" si="1179"/>
        <v>MFA</v>
      </c>
      <c r="B2342" s="6" t="str">
        <f t="shared" si="1206"/>
        <v>Manulife Pro Qualifiers  - Platinum</v>
      </c>
      <c r="C2342" s="4" t="str">
        <f>CHOOSE(2, "5462030031", "Jul 26")</f>
        <v>Jul 26</v>
      </c>
      <c r="D2342" s="2" t="s">
        <v>5</v>
      </c>
    </row>
    <row r="2343" spans="1:4" x14ac:dyDescent="0.35">
      <c r="A2343" s="5" t="str">
        <f t="shared" si="1179"/>
        <v>MFA</v>
      </c>
      <c r="B2343" s="3" t="str">
        <f t="shared" ref="B2343:B2344" si="1207">CHOOSE(2, "1395000000618", "$ APE from Manulife Pro - Total")</f>
        <v>$ APE from Manulife Pro - Total</v>
      </c>
      <c r="C2343" s="4" t="str">
        <f>CHOOSE(2, "5461730030", "Jun 26")</f>
        <v>Jun 26</v>
      </c>
      <c r="D2343" s="14">
        <v>0</v>
      </c>
    </row>
    <row r="2344" spans="1:4" x14ac:dyDescent="0.35">
      <c r="A2344" s="5" t="str">
        <f t="shared" si="1179"/>
        <v>MFA</v>
      </c>
      <c r="B2344" s="6" t="str">
        <f t="shared" si="1207"/>
        <v>$ APE from Manulife Pro - Total</v>
      </c>
      <c r="C2344" s="4" t="str">
        <f>CHOOSE(2, "5462030031", "Jul 26")</f>
        <v>Jul 26</v>
      </c>
      <c r="D2344" s="14">
        <v>0</v>
      </c>
    </row>
    <row r="2345" spans="1:4" x14ac:dyDescent="0.35">
      <c r="A2345" s="5" t="str">
        <f t="shared" si="1179"/>
        <v>MFA</v>
      </c>
      <c r="B2345" s="3" t="str">
        <f t="shared" ref="B2345:B2346" si="1208">CHOOSE(2, "1395000000617", "$ APE from Manulife Pro - Silver")</f>
        <v>$ APE from Manulife Pro - Silver</v>
      </c>
      <c r="C2345" s="4" t="str">
        <f>CHOOSE(2, "5461730030", "Jun 26")</f>
        <v>Jun 26</v>
      </c>
      <c r="D2345" s="2" t="s">
        <v>5</v>
      </c>
    </row>
    <row r="2346" spans="1:4" x14ac:dyDescent="0.35">
      <c r="A2346" s="5" t="str">
        <f t="shared" si="1179"/>
        <v>MFA</v>
      </c>
      <c r="B2346" s="6" t="str">
        <f t="shared" si="1208"/>
        <v>$ APE from Manulife Pro - Silver</v>
      </c>
      <c r="C2346" s="4" t="str">
        <f>CHOOSE(2, "5462030031", "Jul 26")</f>
        <v>Jul 26</v>
      </c>
      <c r="D2346" s="2" t="s">
        <v>5</v>
      </c>
    </row>
    <row r="2347" spans="1:4" x14ac:dyDescent="0.35">
      <c r="A2347" s="5" t="str">
        <f t="shared" si="1179"/>
        <v>MFA</v>
      </c>
      <c r="B2347" s="3" t="str">
        <f t="shared" ref="B2347:B2348" si="1209">CHOOSE(2, "1395000000616", "$ APE from Manulife Pro - Gold")</f>
        <v>$ APE from Manulife Pro - Gold</v>
      </c>
      <c r="C2347" s="4" t="str">
        <f>CHOOSE(2, "5461730030", "Jun 26")</f>
        <v>Jun 26</v>
      </c>
      <c r="D2347" s="2" t="s">
        <v>5</v>
      </c>
    </row>
    <row r="2348" spans="1:4" x14ac:dyDescent="0.35">
      <c r="A2348" s="5" t="str">
        <f t="shared" si="1179"/>
        <v>MFA</v>
      </c>
      <c r="B2348" s="6" t="str">
        <f t="shared" si="1209"/>
        <v>$ APE from Manulife Pro - Gold</v>
      </c>
      <c r="C2348" s="4" t="str">
        <f>CHOOSE(2, "5462030031", "Jul 26")</f>
        <v>Jul 26</v>
      </c>
      <c r="D2348" s="2" t="s">
        <v>5</v>
      </c>
    </row>
    <row r="2349" spans="1:4" x14ac:dyDescent="0.35">
      <c r="A2349" s="5" t="str">
        <f t="shared" si="1179"/>
        <v>MFA</v>
      </c>
      <c r="B2349" s="3" t="str">
        <f t="shared" ref="B2349:B2350" si="1210">CHOOSE(2, "1395000000615", "$ APE from Manulife Pro  - Platinum")</f>
        <v>$ APE from Manulife Pro  - Platinum</v>
      </c>
      <c r="C2349" s="4" t="str">
        <f>CHOOSE(2, "5461730030", "Jun 26")</f>
        <v>Jun 26</v>
      </c>
      <c r="D2349" s="2" t="s">
        <v>5</v>
      </c>
    </row>
    <row r="2350" spans="1:4" x14ac:dyDescent="0.35">
      <c r="A2350" s="5" t="str">
        <f t="shared" si="1179"/>
        <v>MFA</v>
      </c>
      <c r="B2350" s="6" t="str">
        <f t="shared" si="1210"/>
        <v>$ APE from Manulife Pro  - Platinum</v>
      </c>
      <c r="C2350" s="4" t="str">
        <f>CHOOSE(2, "5462030031", "Jul 26")</f>
        <v>Jul 26</v>
      </c>
      <c r="D2350" s="2" t="s">
        <v>5</v>
      </c>
    </row>
    <row r="2351" spans="1:4" x14ac:dyDescent="0.35">
      <c r="A2351" s="5" t="str">
        <f t="shared" si="1179"/>
        <v>MFA</v>
      </c>
      <c r="B2351" s="3" t="str">
        <f t="shared" ref="B2351:B2352" si="1211">CHOOSE(2, "1395000000614", "Issued APE")</f>
        <v>Issued APE</v>
      </c>
      <c r="C2351" s="4" t="str">
        <f>CHOOSE(2, "5461730030", "Jun 26")</f>
        <v>Jun 26</v>
      </c>
      <c r="D2351" s="14">
        <v>33929395.751645356</v>
      </c>
    </row>
    <row r="2352" spans="1:4" x14ac:dyDescent="0.35">
      <c r="A2352" s="5" t="str">
        <f t="shared" si="1179"/>
        <v>MFA</v>
      </c>
      <c r="B2352" s="6" t="str">
        <f t="shared" si="1211"/>
        <v>Issued APE</v>
      </c>
      <c r="C2352" s="4" t="str">
        <f>CHOOSE(2, "5462030031", "Jul 26")</f>
        <v>Jul 26</v>
      </c>
      <c r="D2352" s="14">
        <v>25970325.463205598</v>
      </c>
    </row>
    <row r="2353" spans="1:4" x14ac:dyDescent="0.35">
      <c r="A2353" s="5" t="str">
        <f t="shared" ref="A2353:A2416" si="1212">CHOOSE(2, "1260000000003", "MFA")</f>
        <v>MFA</v>
      </c>
      <c r="B2353" s="3" t="str">
        <f t="shared" ref="B2353:B2354" si="1213">CHOOSE(2, "1395000000613", "Post-MI APE")</f>
        <v>Post-MI APE</v>
      </c>
      <c r="C2353" s="4" t="str">
        <f>CHOOSE(2, "5461730030", "Jun 26")</f>
        <v>Jun 26</v>
      </c>
      <c r="D2353" s="14">
        <v>33929395.751645356</v>
      </c>
    </row>
    <row r="2354" spans="1:4" x14ac:dyDescent="0.35">
      <c r="A2354" s="5" t="str">
        <f t="shared" si="1212"/>
        <v>MFA</v>
      </c>
      <c r="B2354" s="6" t="str">
        <f t="shared" si="1213"/>
        <v>Post-MI APE</v>
      </c>
      <c r="C2354" s="4" t="str">
        <f>CHOOSE(2, "5462030031", "Jul 26")</f>
        <v>Jul 26</v>
      </c>
      <c r="D2354" s="14">
        <v>25970325.463205598</v>
      </c>
    </row>
    <row r="2355" spans="1:4" x14ac:dyDescent="0.35">
      <c r="A2355" s="5" t="str">
        <f t="shared" si="1212"/>
        <v>MFA</v>
      </c>
      <c r="B2355" s="3" t="str">
        <f t="shared" ref="B2355:B2356" si="1214">CHOOSE(2, "1395000000610", "Pre-gap NBV")</f>
        <v>Pre-gap NBV</v>
      </c>
      <c r="C2355" s="4" t="str">
        <f>CHOOSE(2, "5461730030", "Jun 26")</f>
        <v>Jun 26</v>
      </c>
      <c r="D2355" s="14">
        <v>8997334.2393705603</v>
      </c>
    </row>
    <row r="2356" spans="1:4" x14ac:dyDescent="0.35">
      <c r="A2356" s="5" t="str">
        <f t="shared" si="1212"/>
        <v>MFA</v>
      </c>
      <c r="B2356" s="6" t="str">
        <f t="shared" si="1214"/>
        <v>Pre-gap NBV</v>
      </c>
      <c r="C2356" s="4" t="str">
        <f>CHOOSE(2, "5462030031", "Jul 26")</f>
        <v>Jul 26</v>
      </c>
      <c r="D2356" s="14">
        <v>6495753.4293116797</v>
      </c>
    </row>
    <row r="2357" spans="1:4" x14ac:dyDescent="0.35">
      <c r="A2357" s="5" t="str">
        <f t="shared" si="1212"/>
        <v>MFA</v>
      </c>
      <c r="B2357" s="3" t="str">
        <f t="shared" ref="B2357:B2358" si="1215">CHOOSE(2, "1395000000609", "Pre-gap NBV Margin %")</f>
        <v>Pre-gap NBV Margin %</v>
      </c>
      <c r="C2357" s="4" t="str">
        <f>CHOOSE(2, "5461730030", "Jun 26")</f>
        <v>Jun 26</v>
      </c>
      <c r="D2357" s="14">
        <v>0.26517814538251089</v>
      </c>
    </row>
    <row r="2358" spans="1:4" x14ac:dyDescent="0.35">
      <c r="A2358" s="5" t="str">
        <f t="shared" si="1212"/>
        <v>MFA</v>
      </c>
      <c r="B2358" s="6" t="str">
        <f t="shared" si="1215"/>
        <v>Pre-gap NBV Margin %</v>
      </c>
      <c r="C2358" s="4" t="str">
        <f>CHOOSE(2, "5462030031", "Jul 26")</f>
        <v>Jul 26</v>
      </c>
      <c r="D2358" s="14">
        <v>0.25012214184665393</v>
      </c>
    </row>
    <row r="2359" spans="1:4" x14ac:dyDescent="0.35">
      <c r="A2359" s="5" t="str">
        <f t="shared" si="1212"/>
        <v>MFA</v>
      </c>
      <c r="B2359" s="3" t="str">
        <f t="shared" ref="B2359:B2360" si="1216">CHOOSE(2, "1395000000608", "Post-gap NBV")</f>
        <v>Post-gap NBV</v>
      </c>
      <c r="C2359" s="4" t="str">
        <f>CHOOSE(2, "5461730030", "Jun 26")</f>
        <v>Jun 26</v>
      </c>
      <c r="D2359" s="14">
        <v>8997334.2393705603</v>
      </c>
    </row>
    <row r="2360" spans="1:4" x14ac:dyDescent="0.35">
      <c r="A2360" s="5" t="str">
        <f t="shared" si="1212"/>
        <v>MFA</v>
      </c>
      <c r="B2360" s="6" t="str">
        <f t="shared" si="1216"/>
        <v>Post-gap NBV</v>
      </c>
      <c r="C2360" s="4" t="str">
        <f>CHOOSE(2, "5462030031", "Jul 26")</f>
        <v>Jul 26</v>
      </c>
      <c r="D2360" s="14">
        <v>6495753.4293116797</v>
      </c>
    </row>
    <row r="2361" spans="1:4" x14ac:dyDescent="0.35">
      <c r="A2361" s="5" t="str">
        <f t="shared" si="1212"/>
        <v>MFA</v>
      </c>
      <c r="B2361" s="3" t="str">
        <f t="shared" ref="B2361:B2362" si="1217">CHOOSE(2, "1395000000607", "Post-gap NBV Margin %")</f>
        <v>Post-gap NBV Margin %</v>
      </c>
      <c r="C2361" s="4" t="str">
        <f>CHOOSE(2, "5461730030", "Jun 26")</f>
        <v>Jun 26</v>
      </c>
      <c r="D2361" s="14">
        <v>0.26517814538251089</v>
      </c>
    </row>
    <row r="2362" spans="1:4" x14ac:dyDescent="0.35">
      <c r="A2362" s="5" t="str">
        <f t="shared" si="1212"/>
        <v>MFA</v>
      </c>
      <c r="B2362" s="6" t="str">
        <f t="shared" si="1217"/>
        <v>Post-gap NBV Margin %</v>
      </c>
      <c r="C2362" s="4" t="str">
        <f>CHOOSE(2, "5462030031", "Jul 26")</f>
        <v>Jul 26</v>
      </c>
      <c r="D2362" s="14">
        <v>0.25012214184665393</v>
      </c>
    </row>
    <row r="2363" spans="1:4" x14ac:dyDescent="0.35">
      <c r="A2363" s="5" t="str">
        <f t="shared" si="1212"/>
        <v>MFA</v>
      </c>
      <c r="B2363" s="3" t="str">
        <f t="shared" ref="B2363:B2364" si="1218">CHOOSE(2, "1395000000606", "NB CSM")</f>
        <v>NB CSM</v>
      </c>
      <c r="C2363" s="4" t="str">
        <f>CHOOSE(2, "5461730030", "Jun 26")</f>
        <v>Jun 26</v>
      </c>
      <c r="D2363" s="14">
        <v>9293883.2509843204</v>
      </c>
    </row>
    <row r="2364" spans="1:4" x14ac:dyDescent="0.35">
      <c r="A2364" s="5" t="str">
        <f t="shared" si="1212"/>
        <v>MFA</v>
      </c>
      <c r="B2364" s="6" t="str">
        <f t="shared" si="1218"/>
        <v>NB CSM</v>
      </c>
      <c r="C2364" s="4" t="str">
        <f>CHOOSE(2, "5462030031", "Jul 26")</f>
        <v>Jul 26</v>
      </c>
      <c r="D2364" s="14">
        <v>6987820.6579590403</v>
      </c>
    </row>
    <row r="2365" spans="1:4" x14ac:dyDescent="0.35">
      <c r="A2365" s="5" t="str">
        <f t="shared" si="1212"/>
        <v>MFA</v>
      </c>
      <c r="B2365" s="3" t="str">
        <f t="shared" ref="B2365:B2366" si="1219">CHOOSE(2, "1395000000605", "NB CSM Margin %")</f>
        <v>NB CSM Margin %</v>
      </c>
      <c r="C2365" s="4" t="str">
        <f>CHOOSE(2, "5461730030", "Jun 26")</f>
        <v>Jun 26</v>
      </c>
      <c r="D2365" s="14">
        <v>0.27391832495377189</v>
      </c>
    </row>
    <row r="2366" spans="1:4" x14ac:dyDescent="0.35">
      <c r="A2366" s="5" t="str">
        <f t="shared" si="1212"/>
        <v>MFA</v>
      </c>
      <c r="B2366" s="6" t="str">
        <f t="shared" si="1219"/>
        <v>NB CSM Margin %</v>
      </c>
      <c r="C2366" s="4" t="str">
        <f>CHOOSE(2, "5462030031", "Jul 26")</f>
        <v>Jul 26</v>
      </c>
      <c r="D2366" s="14">
        <v>0.26906942956334101</v>
      </c>
    </row>
    <row r="2367" spans="1:4" x14ac:dyDescent="0.35">
      <c r="A2367" s="5" t="str">
        <f t="shared" si="1212"/>
        <v>MFA</v>
      </c>
      <c r="B2367" s="3" t="str">
        <f t="shared" ref="B2367:B2368" si="1220">CHOOSE(2, "1395000000604", "PRE")</f>
        <v>PRE</v>
      </c>
      <c r="C2367" s="4" t="str">
        <f>CHOOSE(2, "5461730030", "Jun 26")</f>
        <v>Jun 26</v>
      </c>
      <c r="D2367" s="14">
        <v>241447.66505428741</v>
      </c>
    </row>
    <row r="2368" spans="1:4" x14ac:dyDescent="0.35">
      <c r="A2368" s="5" t="str">
        <f t="shared" si="1212"/>
        <v>MFA</v>
      </c>
      <c r="B2368" s="6" t="str">
        <f t="shared" si="1220"/>
        <v>PRE</v>
      </c>
      <c r="C2368" s="4" t="str">
        <f>CHOOSE(2, "5462030031", "Jul 26")</f>
        <v>Jul 26</v>
      </c>
      <c r="D2368" s="14">
        <v>60361.916263571853</v>
      </c>
    </row>
    <row r="2369" spans="1:4" x14ac:dyDescent="0.35">
      <c r="A2369" s="5" t="str">
        <f t="shared" si="1212"/>
        <v>MFA</v>
      </c>
      <c r="B2369" s="3" t="str">
        <f t="shared" ref="B2369:B2370" si="1221">CHOOSE(2, "1395000000603", "ContEx")</f>
        <v>ContEx</v>
      </c>
      <c r="C2369" s="4" t="str">
        <f>CHOOSE(2, "5461730030", "Jun 26")</f>
        <v>Jun 26</v>
      </c>
      <c r="D2369" s="14">
        <v>0</v>
      </c>
    </row>
    <row r="2370" spans="1:4" x14ac:dyDescent="0.35">
      <c r="A2370" s="5" t="str">
        <f t="shared" si="1212"/>
        <v>MFA</v>
      </c>
      <c r="B2370" s="6" t="str">
        <f t="shared" si="1221"/>
        <v>ContEx</v>
      </c>
      <c r="C2370" s="4" t="str">
        <f>CHOOSE(2, "5462030031", "Jul 26")</f>
        <v>Jul 26</v>
      </c>
      <c r="D2370" s="14">
        <v>0</v>
      </c>
    </row>
    <row r="2371" spans="1:4" x14ac:dyDescent="0.35">
      <c r="A2371" s="5" t="str">
        <f t="shared" si="1212"/>
        <v>MFA</v>
      </c>
      <c r="B2371" s="3" t="str">
        <f t="shared" ref="B2371:B2372" si="1222">CHOOSE(2, "1395000000602", "% of 6-90 agents")</f>
        <v>% of 6-90 agents</v>
      </c>
      <c r="C2371" s="4" t="str">
        <f>CHOOSE(2, "5461730030", "Jun 26")</f>
        <v>Jun 26</v>
      </c>
      <c r="D2371" s="14">
        <v>0.21686746987951808</v>
      </c>
    </row>
    <row r="2372" spans="1:4" x14ac:dyDescent="0.35">
      <c r="A2372" s="5" t="str">
        <f t="shared" si="1212"/>
        <v>MFA</v>
      </c>
      <c r="B2372" s="6" t="str">
        <f t="shared" si="1222"/>
        <v>% of 6-90 agents</v>
      </c>
      <c r="C2372" s="4" t="str">
        <f>CHOOSE(2, "5462030031", "Jul 26")</f>
        <v>Jul 26</v>
      </c>
      <c r="D2372" s="14">
        <v>0.21176470588235294</v>
      </c>
    </row>
    <row r="2373" spans="1:4" x14ac:dyDescent="0.35">
      <c r="A2373" s="5" t="str">
        <f t="shared" si="1212"/>
        <v>MFA</v>
      </c>
      <c r="B2373" s="3" t="str">
        <f t="shared" ref="B2373:B2374" si="1223">CHOOSE(2, "1395000000601", "New Recruits 3M Activation Rate")</f>
        <v>New Recruits 3M Activation Rate</v>
      </c>
      <c r="C2373" s="4" t="str">
        <f>CHOOSE(2, "5461730030", "Jun 26")</f>
        <v>Jun 26</v>
      </c>
      <c r="D2373" s="14">
        <v>0.77272727272727271</v>
      </c>
    </row>
    <row r="2374" spans="1:4" x14ac:dyDescent="0.35">
      <c r="A2374" s="5" t="str">
        <f t="shared" si="1212"/>
        <v>MFA</v>
      </c>
      <c r="B2374" s="6" t="str">
        <f t="shared" si="1223"/>
        <v>New Recruits 3M Activation Rate</v>
      </c>
      <c r="C2374" s="4" t="str">
        <f>CHOOSE(2, "5462030031", "Jul 26")</f>
        <v>Jul 26</v>
      </c>
      <c r="D2374" s="14">
        <v>0.76923076923076927</v>
      </c>
    </row>
    <row r="2375" spans="1:4" x14ac:dyDescent="0.35">
      <c r="A2375" s="5" t="str">
        <f t="shared" si="1212"/>
        <v>MFA</v>
      </c>
      <c r="B2375" s="3" t="str">
        <f t="shared" ref="B2375:B2376" si="1224">CHOOSE(2, "1395000000600", "No. of Recruits from leaders")</f>
        <v>No. of Recruits from leaders</v>
      </c>
      <c r="C2375" s="4" t="str">
        <f>CHOOSE(2, "5461730030", "Jun 26")</f>
        <v>Jun 26</v>
      </c>
      <c r="D2375" s="2" t="s">
        <v>5</v>
      </c>
    </row>
    <row r="2376" spans="1:4" x14ac:dyDescent="0.35">
      <c r="A2376" s="5" t="str">
        <f t="shared" si="1212"/>
        <v>MFA</v>
      </c>
      <c r="B2376" s="6" t="str">
        <f t="shared" si="1224"/>
        <v>No. of Recruits from leaders</v>
      </c>
      <c r="C2376" s="4" t="str">
        <f>CHOOSE(2, "5462030031", "Jul 26")</f>
        <v>Jul 26</v>
      </c>
      <c r="D2376" s="2" t="s">
        <v>5</v>
      </c>
    </row>
    <row r="2377" spans="1:4" x14ac:dyDescent="0.35">
      <c r="A2377" s="5" t="str">
        <f t="shared" si="1212"/>
        <v>MFA</v>
      </c>
      <c r="B2377" s="3" t="str">
        <f t="shared" ref="B2377:B2378" si="1225">CHOOSE(2, "1395000000599", "No. of Recruits per Active Recruiting Leader per month")</f>
        <v>No. of Recruits per Active Recruiting Leader per month</v>
      </c>
      <c r="C2377" s="4" t="str">
        <f>CHOOSE(2, "5461730030", "Jun 26")</f>
        <v>Jun 26</v>
      </c>
      <c r="D2377" s="14">
        <v>0</v>
      </c>
    </row>
    <row r="2378" spans="1:4" x14ac:dyDescent="0.35">
      <c r="A2378" s="5" t="str">
        <f t="shared" si="1212"/>
        <v>MFA</v>
      </c>
      <c r="B2378" s="6" t="str">
        <f t="shared" si="1225"/>
        <v>No. of Recruits per Active Recruiting Leader per month</v>
      </c>
      <c r="C2378" s="4" t="str">
        <f>CHOOSE(2, "5462030031", "Jul 26")</f>
        <v>Jul 26</v>
      </c>
      <c r="D2378" s="14">
        <v>0</v>
      </c>
    </row>
    <row r="2379" spans="1:4" x14ac:dyDescent="0.35">
      <c r="A2379" s="5" t="str">
        <f t="shared" si="1212"/>
        <v>MFA</v>
      </c>
      <c r="B2379" s="3" t="str">
        <f t="shared" ref="B2379:B2380" si="1226">CHOOSE(2, "1395000000598", "PRE as % of APE")</f>
        <v>PRE as % of APE</v>
      </c>
      <c r="C2379" s="4" t="str">
        <f>CHOOSE(2, "5461730030", "Jun 26")</f>
        <v>Jun 26</v>
      </c>
      <c r="D2379" s="14">
        <v>7.1161793396388078E-3</v>
      </c>
    </row>
    <row r="2380" spans="1:4" x14ac:dyDescent="0.35">
      <c r="A2380" s="5" t="str">
        <f t="shared" si="1212"/>
        <v>MFA</v>
      </c>
      <c r="B2380" s="6" t="str">
        <f t="shared" si="1226"/>
        <v>PRE as % of APE</v>
      </c>
      <c r="C2380" s="4" t="str">
        <f>CHOOSE(2, "5462030031", "Jul 26")</f>
        <v>Jul 26</v>
      </c>
      <c r="D2380" s="14">
        <v>2.3242649133947816E-3</v>
      </c>
    </row>
    <row r="2381" spans="1:4" x14ac:dyDescent="0.35">
      <c r="A2381" s="5" t="str">
        <f t="shared" si="1212"/>
        <v>MFA</v>
      </c>
      <c r="B2381" s="3" t="str">
        <f t="shared" ref="B2381:B2382" si="1227">CHOOSE(2, "1395000000597", "ContEx as % of APE")</f>
        <v>ContEx as % of APE</v>
      </c>
      <c r="C2381" s="4" t="str">
        <f>CHOOSE(2, "5461730030", "Jun 26")</f>
        <v>Jun 26</v>
      </c>
      <c r="D2381" s="14">
        <v>0</v>
      </c>
    </row>
    <row r="2382" spans="1:4" x14ac:dyDescent="0.35">
      <c r="A2382" s="5" t="str">
        <f t="shared" si="1212"/>
        <v>MFA</v>
      </c>
      <c r="B2382" s="6" t="str">
        <f t="shared" si="1227"/>
        <v>ContEx as % of APE</v>
      </c>
      <c r="C2382" s="4" t="str">
        <f>CHOOSE(2, "5462030031", "Jul 26")</f>
        <v>Jul 26</v>
      </c>
      <c r="D2382" s="14">
        <v>0</v>
      </c>
    </row>
    <row r="2383" spans="1:4" x14ac:dyDescent="0.35">
      <c r="A2383" s="5" t="str">
        <f t="shared" si="1212"/>
        <v>MFA</v>
      </c>
      <c r="B2383" s="3" t="str">
        <f t="shared" ref="B2383:B2384" si="1228">CHOOSE(2, "1395000000596", "% of 1-Month Active Agents")</f>
        <v>% of 1-Month Active Agents</v>
      </c>
      <c r="C2383" s="4" t="str">
        <f>CHOOSE(2, "5461730030", "Jun 26")</f>
        <v>Jun 26</v>
      </c>
      <c r="D2383" s="14">
        <v>0.5312729948491538</v>
      </c>
    </row>
    <row r="2384" spans="1:4" x14ac:dyDescent="0.35">
      <c r="A2384" s="5" t="str">
        <f t="shared" si="1212"/>
        <v>MFA</v>
      </c>
      <c r="B2384" s="6" t="str">
        <f t="shared" si="1228"/>
        <v>% of 1-Month Active Agents</v>
      </c>
      <c r="C2384" s="4" t="str">
        <f>CHOOSE(2, "5462030031", "Jul 26")</f>
        <v>Jul 26</v>
      </c>
      <c r="D2384" s="14">
        <v>0.50772626931567333</v>
      </c>
    </row>
    <row r="2385" spans="1:4" x14ac:dyDescent="0.35">
      <c r="A2385" s="5" t="str">
        <f t="shared" si="1212"/>
        <v>MFA</v>
      </c>
      <c r="B2385" s="3" t="str">
        <f t="shared" ref="B2385:B2386" si="1229">CHOOSE(2, "1395000000595", "% of 3-Month Active Agents")</f>
        <v>% of 3-Month Active Agents</v>
      </c>
      <c r="C2385" s="4" t="str">
        <f>CHOOSE(2, "5461730030", "Jun 26")</f>
        <v>Jun 26</v>
      </c>
      <c r="D2385" s="14">
        <v>0.24218362282878411</v>
      </c>
    </row>
    <row r="2386" spans="1:4" x14ac:dyDescent="0.35">
      <c r="A2386" s="5" t="str">
        <f t="shared" si="1212"/>
        <v>MFA</v>
      </c>
      <c r="B2386" s="6" t="str">
        <f t="shared" si="1229"/>
        <v>% of 3-Month Active Agents</v>
      </c>
      <c r="C2386" s="4" t="str">
        <f>CHOOSE(2, "5462030031", "Jul 26")</f>
        <v>Jul 26</v>
      </c>
      <c r="D2386" s="14">
        <v>0.2460591133004926</v>
      </c>
    </row>
    <row r="2387" spans="1:4" x14ac:dyDescent="0.35">
      <c r="A2387" s="5" t="str">
        <f t="shared" si="1212"/>
        <v>MFA</v>
      </c>
      <c r="B2387" s="3" t="str">
        <f t="shared" ref="B2387:B2388" si="1230">CHOOSE(2, "1395000000594", "Active agents per active leader")</f>
        <v>Active agents per active leader</v>
      </c>
      <c r="C2387" s="4" t="str">
        <f>CHOOSE(2, "5461730030", "Jun 26")</f>
        <v>Jun 26</v>
      </c>
      <c r="D2387" s="14">
        <v>32.81818181818182</v>
      </c>
    </row>
    <row r="2388" spans="1:4" x14ac:dyDescent="0.35">
      <c r="A2388" s="5" t="str">
        <f t="shared" si="1212"/>
        <v>MFA</v>
      </c>
      <c r="B2388" s="6" t="str">
        <f t="shared" si="1230"/>
        <v>Active agents per active leader</v>
      </c>
      <c r="C2388" s="4" t="str">
        <f>CHOOSE(2, "5462030031", "Jul 26")</f>
        <v>Jul 26</v>
      </c>
      <c r="D2388" s="14">
        <v>32.857142857142854</v>
      </c>
    </row>
    <row r="2389" spans="1:4" x14ac:dyDescent="0.35">
      <c r="A2389" s="5" t="str">
        <f t="shared" si="1212"/>
        <v>MFA</v>
      </c>
      <c r="B2389" s="3" t="str">
        <f t="shared" ref="B2389:B2390" si="1231">CHOOSE(2, "1395000000593", "Avg. Case count per 1-Month Active Agent")</f>
        <v>Avg. Case count per 1-Month Active Agent</v>
      </c>
      <c r="C2389" s="4" t="str">
        <f>CHOOSE(2, "5461730030", "Jun 26")</f>
        <v>Jun 26</v>
      </c>
      <c r="D2389" s="14">
        <v>3.7313019390581719</v>
      </c>
    </row>
    <row r="2390" spans="1:4" x14ac:dyDescent="0.35">
      <c r="A2390" s="5" t="str">
        <f t="shared" si="1212"/>
        <v>MFA</v>
      </c>
      <c r="B2390" s="6" t="str">
        <f t="shared" si="1231"/>
        <v>Avg. Case count per 1-Month Active Agent</v>
      </c>
      <c r="C2390" s="4" t="str">
        <f>CHOOSE(2, "5462030031", "Jul 26")</f>
        <v>Jul 26</v>
      </c>
      <c r="D2390" s="14">
        <v>3.4811594202898553</v>
      </c>
    </row>
    <row r="2391" spans="1:4" x14ac:dyDescent="0.35">
      <c r="A2391" s="5" t="str">
        <f t="shared" si="1212"/>
        <v>MFA</v>
      </c>
      <c r="B2391" s="3" t="str">
        <f t="shared" ref="B2391:B2392" si="1232">CHOOSE(2, "1395000000592", "Avg. Case size")</f>
        <v>Avg. Case size</v>
      </c>
      <c r="C2391" s="4" t="str">
        <f>CHOOSE(2, "5461730030", "Jun 26")</f>
        <v>Jun 26</v>
      </c>
      <c r="D2391" s="14">
        <v>12594.43049430043</v>
      </c>
    </row>
    <row r="2392" spans="1:4" x14ac:dyDescent="0.35">
      <c r="A2392" s="5" t="str">
        <f t="shared" si="1212"/>
        <v>MFA</v>
      </c>
      <c r="B2392" s="6" t="str">
        <f t="shared" si="1232"/>
        <v>Avg. Case size</v>
      </c>
      <c r="C2392" s="4" t="str">
        <f>CHOOSE(2, "5462030031", "Jul 26")</f>
        <v>Jul 26</v>
      </c>
      <c r="D2392" s="14">
        <v>10811.958977188009</v>
      </c>
    </row>
    <row r="2393" spans="1:4" x14ac:dyDescent="0.35">
      <c r="A2393" s="5" t="str">
        <f t="shared" si="1212"/>
        <v>MFA</v>
      </c>
      <c r="B2393" s="3" t="str">
        <f t="shared" ref="B2393:B2394" si="1233">CHOOSE(2, "1395000000591", "APE per 1-Month Active Agent")</f>
        <v>APE per 1-Month Active Agent</v>
      </c>
      <c r="C2393" s="4" t="str">
        <f>CHOOSE(2, "5461730030", "Jun 26")</f>
        <v>Jun 26</v>
      </c>
      <c r="D2393" s="14">
        <v>46993.622924716561</v>
      </c>
    </row>
    <row r="2394" spans="1:4" x14ac:dyDescent="0.35">
      <c r="A2394" s="5" t="str">
        <f t="shared" si="1212"/>
        <v>MFA</v>
      </c>
      <c r="B2394" s="6" t="str">
        <f t="shared" si="1233"/>
        <v>APE per 1-Month Active Agent</v>
      </c>
      <c r="C2394" s="4" t="str">
        <f>CHOOSE(2, "5462030031", "Jul 26")</f>
        <v>Jul 26</v>
      </c>
      <c r="D2394" s="14">
        <v>37638.152845225508</v>
      </c>
    </row>
    <row r="2395" spans="1:4" x14ac:dyDescent="0.35">
      <c r="A2395" s="5" t="str">
        <f t="shared" si="1212"/>
        <v>MFA</v>
      </c>
      <c r="B2395" s="3" t="str">
        <f t="shared" ref="B2395:B2396" si="1234">CHOOSE(2, "1395000000590", "% Conversion of Proposals to cases")</f>
        <v>% Conversion of Proposals to cases</v>
      </c>
      <c r="C2395" s="4" t="str">
        <f>CHOOSE(2, "5461730030", "Jun 26")</f>
        <v>Jun 26</v>
      </c>
      <c r="D2395" s="14">
        <v>0.3757846282605663</v>
      </c>
    </row>
    <row r="2396" spans="1:4" x14ac:dyDescent="0.35">
      <c r="A2396" s="5" t="str">
        <f t="shared" si="1212"/>
        <v>MFA</v>
      </c>
      <c r="B2396" s="6" t="str">
        <f t="shared" si="1234"/>
        <v>% Conversion of Proposals to cases</v>
      </c>
      <c r="C2396" s="4" t="str">
        <f>CHOOSE(2, "5462030031", "Jul 26")</f>
        <v>Jul 26</v>
      </c>
      <c r="D2396" s="14">
        <v>0.35474819081376457</v>
      </c>
    </row>
    <row r="2397" spans="1:4" x14ac:dyDescent="0.35">
      <c r="A2397" s="5" t="str">
        <f t="shared" si="1212"/>
        <v>MFA</v>
      </c>
      <c r="B2397" s="3" t="str">
        <f t="shared" ref="B2397:B2398" si="1235">CHOOSE(2, "1395000000588", "% APE from Agents in X tenure")</f>
        <v>% APE from Agents in X tenure</v>
      </c>
      <c r="C2397" s="4" t="str">
        <f>CHOOSE(2, "5461730030", "Jun 26")</f>
        <v>Jun 26</v>
      </c>
      <c r="D2397" s="14">
        <v>1</v>
      </c>
    </row>
    <row r="2398" spans="1:4" x14ac:dyDescent="0.35">
      <c r="A2398" s="5" t="str">
        <f t="shared" si="1212"/>
        <v>MFA</v>
      </c>
      <c r="B2398" s="6" t="str">
        <f t="shared" si="1235"/>
        <v>% APE from Agents in X tenure</v>
      </c>
      <c r="C2398" s="4" t="str">
        <f>CHOOSE(2, "5462030031", "Jul 26")</f>
        <v>Jul 26</v>
      </c>
      <c r="D2398" s="14">
        <v>1</v>
      </c>
    </row>
    <row r="2399" spans="1:4" x14ac:dyDescent="0.35">
      <c r="A2399" s="5" t="str">
        <f t="shared" si="1212"/>
        <v>MFA</v>
      </c>
      <c r="B2399" s="3" t="str">
        <f t="shared" ref="B2399:B2400" si="1236">CHOOSE(2, "1395000000587", "% APE from Agents in X tenure in 0-1M")</f>
        <v>% APE from Agents in X tenure in 0-1M</v>
      </c>
      <c r="C2399" s="4" t="str">
        <f>CHOOSE(2, "5461730030", "Jun 26")</f>
        <v>Jun 26</v>
      </c>
      <c r="D2399" s="14">
        <v>0.1</v>
      </c>
    </row>
    <row r="2400" spans="1:4" x14ac:dyDescent="0.35">
      <c r="A2400" s="5" t="str">
        <f t="shared" si="1212"/>
        <v>MFA</v>
      </c>
      <c r="B2400" s="6" t="str">
        <f t="shared" si="1236"/>
        <v>% APE from Agents in X tenure in 0-1M</v>
      </c>
      <c r="C2400" s="4" t="str">
        <f>CHOOSE(2, "5462030031", "Jul 26")</f>
        <v>Jul 26</v>
      </c>
      <c r="D2400" s="14">
        <v>0.1</v>
      </c>
    </row>
    <row r="2401" spans="1:4" x14ac:dyDescent="0.35">
      <c r="A2401" s="5" t="str">
        <f t="shared" si="1212"/>
        <v>MFA</v>
      </c>
      <c r="B2401" s="3" t="str">
        <f t="shared" ref="B2401:B2402" si="1237">CHOOSE(2, "1395000000586", "% APE from Agents in X tenure in 2-3M")</f>
        <v>% APE from Agents in X tenure in 2-3M</v>
      </c>
      <c r="C2401" s="4" t="str">
        <f>CHOOSE(2, "5461730030", "Jun 26")</f>
        <v>Jun 26</v>
      </c>
      <c r="D2401" s="14">
        <v>0.2</v>
      </c>
    </row>
    <row r="2402" spans="1:4" x14ac:dyDescent="0.35">
      <c r="A2402" s="5" t="str">
        <f t="shared" si="1212"/>
        <v>MFA</v>
      </c>
      <c r="B2402" s="6" t="str">
        <f t="shared" si="1237"/>
        <v>% APE from Agents in X tenure in 2-3M</v>
      </c>
      <c r="C2402" s="4" t="str">
        <f>CHOOSE(2, "5462030031", "Jul 26")</f>
        <v>Jul 26</v>
      </c>
      <c r="D2402" s="14">
        <v>0.2</v>
      </c>
    </row>
    <row r="2403" spans="1:4" x14ac:dyDescent="0.35">
      <c r="A2403" s="5" t="str">
        <f t="shared" si="1212"/>
        <v>MFA</v>
      </c>
      <c r="B2403" s="3" t="str">
        <f t="shared" ref="B2403:B2404" si="1238">CHOOSE(2, "1395000000585", "% APE from Agents in X tenure in 4-12M")</f>
        <v>% APE from Agents in X tenure in 4-12M</v>
      </c>
      <c r="C2403" s="4" t="str">
        <f>CHOOSE(2, "5461730030", "Jun 26")</f>
        <v>Jun 26</v>
      </c>
      <c r="D2403" s="14">
        <v>0.3</v>
      </c>
    </row>
    <row r="2404" spans="1:4" x14ac:dyDescent="0.35">
      <c r="A2404" s="5" t="str">
        <f t="shared" si="1212"/>
        <v>MFA</v>
      </c>
      <c r="B2404" s="6" t="str">
        <f t="shared" si="1238"/>
        <v>% APE from Agents in X tenure in 4-12M</v>
      </c>
      <c r="C2404" s="4" t="str">
        <f>CHOOSE(2, "5462030031", "Jul 26")</f>
        <v>Jul 26</v>
      </c>
      <c r="D2404" s="14">
        <v>0.3</v>
      </c>
    </row>
    <row r="2405" spans="1:4" x14ac:dyDescent="0.35">
      <c r="A2405" s="5" t="str">
        <f t="shared" si="1212"/>
        <v>MFA</v>
      </c>
      <c r="B2405" s="3" t="str">
        <f t="shared" ref="B2405:B2406" si="1239">CHOOSE(2, "1395000000584", "% APE from Agents in X tenure 13+M")</f>
        <v>% APE from Agents in X tenure 13+M</v>
      </c>
      <c r="C2405" s="4" t="str">
        <f>CHOOSE(2, "5461730030", "Jun 26")</f>
        <v>Jun 26</v>
      </c>
      <c r="D2405" s="14">
        <v>0.4</v>
      </c>
    </row>
    <row r="2406" spans="1:4" x14ac:dyDescent="0.35">
      <c r="A2406" s="5" t="str">
        <f t="shared" si="1212"/>
        <v>MFA</v>
      </c>
      <c r="B2406" s="6" t="str">
        <f t="shared" si="1239"/>
        <v>% APE from Agents in X tenure 13+M</v>
      </c>
      <c r="C2406" s="4" t="str">
        <f>CHOOSE(2, "5462030031", "Jul 26")</f>
        <v>Jul 26</v>
      </c>
      <c r="D2406" s="14">
        <v>0.4</v>
      </c>
    </row>
    <row r="2407" spans="1:4" x14ac:dyDescent="0.35">
      <c r="A2407" s="5" t="str">
        <f t="shared" si="1212"/>
        <v>MFA</v>
      </c>
      <c r="B2407" s="3" t="str">
        <f t="shared" ref="B2407:B2408" si="1240">CHOOSE(2, "1395000000583", "% APE from pro-rated MDRT agents (100%)")</f>
        <v>% APE from pro-rated MDRT agents (100%)</v>
      </c>
      <c r="C2407" s="4" t="str">
        <f>CHOOSE(2, "5461730030", "Jun 26")</f>
        <v>Jun 26</v>
      </c>
      <c r="D2407" s="14">
        <v>0.87431865190854252</v>
      </c>
    </row>
    <row r="2408" spans="1:4" x14ac:dyDescent="0.35">
      <c r="A2408" s="5" t="str">
        <f t="shared" si="1212"/>
        <v>MFA</v>
      </c>
      <c r="B2408" s="6" t="str">
        <f t="shared" si="1240"/>
        <v>% APE from pro-rated MDRT agents (100%)</v>
      </c>
      <c r="C2408" s="4" t="str">
        <f>CHOOSE(2, "5462030031", "Jul 26")</f>
        <v>Jul 26</v>
      </c>
      <c r="D2408" s="14">
        <v>0.84987816379420267</v>
      </c>
    </row>
    <row r="2409" spans="1:4" x14ac:dyDescent="0.35">
      <c r="A2409" s="5" t="str">
        <f t="shared" si="1212"/>
        <v>MFA</v>
      </c>
      <c r="B2409" s="3" t="str">
        <f t="shared" ref="B2409:B2410" si="1241">CHOOSE(2, "1395000000582", "% APE from pro-rated MDRT agents (70-99%)")</f>
        <v>% APE from pro-rated MDRT agents (70-99%)</v>
      </c>
      <c r="C2409" s="4" t="str">
        <f>CHOOSE(2, "5461730030", "Jun 26")</f>
        <v>Jun 26</v>
      </c>
      <c r="D2409" s="14">
        <v>5.1214985926554053E-2</v>
      </c>
    </row>
    <row r="2410" spans="1:4" x14ac:dyDescent="0.35">
      <c r="A2410" s="5" t="str">
        <f t="shared" si="1212"/>
        <v>MFA</v>
      </c>
      <c r="B2410" s="6" t="str">
        <f t="shared" si="1241"/>
        <v>% APE from pro-rated MDRT agents (70-99%)</v>
      </c>
      <c r="C2410" s="4" t="str">
        <f>CHOOSE(2, "5462030031", "Jul 26")</f>
        <v>Jul 26</v>
      </c>
      <c r="D2410" s="14">
        <v>5.3409125075546585E-2</v>
      </c>
    </row>
    <row r="2411" spans="1:4" x14ac:dyDescent="0.35">
      <c r="A2411" s="5" t="str">
        <f t="shared" si="1212"/>
        <v>MFA</v>
      </c>
      <c r="B2411" s="3" t="str">
        <f t="shared" ref="B2411:B2412" si="1242">CHOOSE(2, "1395000000581", "% APE from pro-rated MDRT agents (50-69%)")</f>
        <v>% APE from pro-rated MDRT agents (50-69%)</v>
      </c>
      <c r="C2411" s="4" t="str">
        <f>CHOOSE(2, "5461730030", "Jun 26")</f>
        <v>Jun 26</v>
      </c>
      <c r="D2411" s="14">
        <v>2.9778829415551947E-2</v>
      </c>
    </row>
    <row r="2412" spans="1:4" x14ac:dyDescent="0.35">
      <c r="A2412" s="5" t="str">
        <f t="shared" si="1212"/>
        <v>MFA</v>
      </c>
      <c r="B2412" s="6" t="str">
        <f t="shared" si="1242"/>
        <v>% APE from pro-rated MDRT agents (50-69%)</v>
      </c>
      <c r="C2412" s="4" t="str">
        <f>CHOOSE(2, "5462030031", "Jul 26")</f>
        <v>Jul 26</v>
      </c>
      <c r="D2412" s="14">
        <v>3.2256160616848883E-2</v>
      </c>
    </row>
    <row r="2413" spans="1:4" x14ac:dyDescent="0.35">
      <c r="A2413" s="5" t="str">
        <f t="shared" si="1212"/>
        <v>MFA</v>
      </c>
      <c r="B2413" s="3" t="str">
        <f t="shared" ref="B2413:B2414" si="1243">CHOOSE(2, "1395000000580", "% APE from Top-tier agents")</f>
        <v>% APE from Top-tier agents</v>
      </c>
      <c r="C2413" s="4" t="str">
        <f>CHOOSE(2, "5461730030", "Jun 26")</f>
        <v>Jun 26</v>
      </c>
      <c r="D2413" s="14">
        <v>0.95531246725067809</v>
      </c>
    </row>
    <row r="2414" spans="1:4" x14ac:dyDescent="0.35">
      <c r="A2414" s="5" t="str">
        <f t="shared" si="1212"/>
        <v>MFA</v>
      </c>
      <c r="B2414" s="6" t="str">
        <f t="shared" si="1243"/>
        <v>% APE from Top-tier agents</v>
      </c>
      <c r="C2414" s="4" t="str">
        <f>CHOOSE(2, "5462030031", "Jul 26")</f>
        <v>Jul 26</v>
      </c>
      <c r="D2414" s="14">
        <v>0.93554344948655965</v>
      </c>
    </row>
    <row r="2415" spans="1:4" x14ac:dyDescent="0.35">
      <c r="A2415" s="5" t="str">
        <f t="shared" si="1212"/>
        <v>MFA</v>
      </c>
      <c r="B2415" s="3" t="str">
        <f t="shared" ref="B2415:B2416" si="1244">CHOOSE(2, "1395000000579", "% of Active Recruiting Leaders")</f>
        <v>% of Active Recruiting Leaders</v>
      </c>
      <c r="C2415" s="4" t="str">
        <f>CHOOSE(2, "5461730030", "Jun 26")</f>
        <v>Jun 26</v>
      </c>
      <c r="D2415" s="14">
        <v>9.7345132743362831E-2</v>
      </c>
    </row>
    <row r="2416" spans="1:4" x14ac:dyDescent="0.35">
      <c r="A2416" s="5" t="str">
        <f t="shared" si="1212"/>
        <v>MFA</v>
      </c>
      <c r="B2416" s="6" t="str">
        <f t="shared" si="1244"/>
        <v>% of Active Recruiting Leaders</v>
      </c>
      <c r="C2416" s="4" t="str">
        <f>CHOOSE(2, "5462030031", "Jul 26")</f>
        <v>Jul 26</v>
      </c>
      <c r="D2416" s="14">
        <v>9.2105263157894732E-2</v>
      </c>
    </row>
    <row r="2417" spans="1:4" x14ac:dyDescent="0.35">
      <c r="A2417" s="5" t="str">
        <f t="shared" ref="A2417:A2480" si="1245">CHOOSE(2, "1260000000003", "MFA")</f>
        <v>MFA</v>
      </c>
      <c r="B2417" s="3" t="str">
        <f t="shared" ref="B2417:B2418" si="1246">CHOOSE(2, "1395000000578", "% of leaders with &gt;1 YTD recruit")</f>
        <v>% of leaders with &gt;1 YTD recruit</v>
      </c>
      <c r="C2417" s="4" t="str">
        <f>CHOOSE(2, "5461730030", "Jun 26")</f>
        <v>Jun 26</v>
      </c>
      <c r="D2417" s="14">
        <v>0.37168141592920356</v>
      </c>
    </row>
    <row r="2418" spans="1:4" x14ac:dyDescent="0.35">
      <c r="A2418" s="5" t="str">
        <f t="shared" si="1245"/>
        <v>MFA</v>
      </c>
      <c r="B2418" s="6" t="str">
        <f t="shared" si="1246"/>
        <v>% of leaders with &gt;1 YTD recruit</v>
      </c>
      <c r="C2418" s="4" t="str">
        <f>CHOOSE(2, "5462030031", "Jul 26")</f>
        <v>Jul 26</v>
      </c>
      <c r="D2418" s="14">
        <v>0.41228070175438597</v>
      </c>
    </row>
    <row r="2419" spans="1:4" x14ac:dyDescent="0.35">
      <c r="A2419" s="5" t="str">
        <f t="shared" si="1245"/>
        <v>MFA</v>
      </c>
      <c r="B2419" s="3" t="str">
        <f t="shared" ref="B2419:B2420" si="1247">CHOOSE(2, "1395000000577", "% of 1-Month Active Top-tier agents")</f>
        <v>% of 1-Month Active Top-tier agents</v>
      </c>
      <c r="C2419" s="4" t="str">
        <f>CHOOSE(2, "5461730030", "Jun 26")</f>
        <v>Jun 26</v>
      </c>
      <c r="D2419" s="14">
        <v>0.7696629213483146</v>
      </c>
    </row>
    <row r="2420" spans="1:4" x14ac:dyDescent="0.35">
      <c r="A2420" s="5" t="str">
        <f t="shared" si="1245"/>
        <v>MFA</v>
      </c>
      <c r="B2420" s="6" t="str">
        <f t="shared" si="1247"/>
        <v>% of 1-Month Active Top-tier agents</v>
      </c>
      <c r="C2420" s="4" t="str">
        <f>CHOOSE(2, "5462030031", "Jul 26")</f>
        <v>Jul 26</v>
      </c>
      <c r="D2420" s="14">
        <v>0.71369863013698631</v>
      </c>
    </row>
    <row r="2421" spans="1:4" x14ac:dyDescent="0.35">
      <c r="A2421" s="5" t="str">
        <f t="shared" si="1245"/>
        <v>MFA</v>
      </c>
      <c r="B2421" s="3" t="str">
        <f t="shared" ref="B2421:B2422" si="1248">CHOOSE(2, "1395000000576", "% APE from Manulife Pro - Total")</f>
        <v>% APE from Manulife Pro - Total</v>
      </c>
      <c r="C2421" s="4" t="str">
        <f>CHOOSE(2, "5461730030", "Jun 26")</f>
        <v>Jun 26</v>
      </c>
      <c r="D2421" s="14">
        <v>0</v>
      </c>
    </row>
    <row r="2422" spans="1:4" x14ac:dyDescent="0.35">
      <c r="A2422" s="5" t="str">
        <f t="shared" si="1245"/>
        <v>MFA</v>
      </c>
      <c r="B2422" s="6" t="str">
        <f t="shared" si="1248"/>
        <v>% APE from Manulife Pro - Total</v>
      </c>
      <c r="C2422" s="4" t="str">
        <f>CHOOSE(2, "5462030031", "Jul 26")</f>
        <v>Jul 26</v>
      </c>
      <c r="D2422" s="14">
        <v>0</v>
      </c>
    </row>
    <row r="2423" spans="1:4" x14ac:dyDescent="0.35">
      <c r="A2423" s="5" t="str">
        <f t="shared" si="1245"/>
        <v>MFA</v>
      </c>
      <c r="B2423" s="3" t="str">
        <f t="shared" ref="B2423:B2424" si="1249">CHOOSE(2, "1395000000575", "% of 1-Month Active Agents Manulife Pro Qualifiers - Total")</f>
        <v>% of 1-Month Active Agents Manulife Pro Qualifiers - Total</v>
      </c>
      <c r="C2423" s="4" t="str">
        <f>CHOOSE(2, "5461730030", "Jun 26")</f>
        <v>Jun 26</v>
      </c>
      <c r="D2423" s="14">
        <v>0</v>
      </c>
    </row>
    <row r="2424" spans="1:4" x14ac:dyDescent="0.35">
      <c r="A2424" s="5" t="str">
        <f t="shared" si="1245"/>
        <v>MFA</v>
      </c>
      <c r="B2424" s="6" t="str">
        <f t="shared" si="1249"/>
        <v>% of 1-Month Active Agents Manulife Pro Qualifiers - Total</v>
      </c>
      <c r="C2424" s="4" t="str">
        <f>CHOOSE(2, "5462030031", "Jul 26")</f>
        <v>Jul 26</v>
      </c>
      <c r="D2424" s="14">
        <v>0</v>
      </c>
    </row>
    <row r="2425" spans="1:4" x14ac:dyDescent="0.35">
      <c r="A2425" s="5" t="str">
        <f t="shared" si="1245"/>
        <v>MFA</v>
      </c>
      <c r="B2425" s="3" t="str">
        <f t="shared" ref="B2425:B2426" si="1250">CHOOSE(2, "1395000000574", "% of Newly Demoted UM")</f>
        <v>% of Newly Demoted UM</v>
      </c>
      <c r="C2425" s="4" t="str">
        <f>CHOOSE(2, "5461730030", "Jun 26")</f>
        <v>Jun 26</v>
      </c>
      <c r="D2425" s="14">
        <v>5.3191489361702126E-3</v>
      </c>
    </row>
    <row r="2426" spans="1:4" x14ac:dyDescent="0.35">
      <c r="A2426" s="5" t="str">
        <f t="shared" si="1245"/>
        <v>MFA</v>
      </c>
      <c r="B2426" s="6" t="str">
        <f t="shared" si="1250"/>
        <v>% of Newly Demoted UM</v>
      </c>
      <c r="C2426" s="4" t="str">
        <f>CHOOSE(2, "5462030031", "Jul 26")</f>
        <v>Jul 26</v>
      </c>
      <c r="D2426" s="14">
        <v>5.263157894736842E-3</v>
      </c>
    </row>
    <row r="2427" spans="1:4" x14ac:dyDescent="0.35">
      <c r="A2427" s="5" t="str">
        <f t="shared" si="1245"/>
        <v>MFA</v>
      </c>
      <c r="B2427" s="3" t="str">
        <f t="shared" ref="B2427:B2428" si="1251">CHOOSE(2, "1395000000573", "% of Newly Demoted Leaders above UM")</f>
        <v>% of Newly Demoted Leaders above UM</v>
      </c>
      <c r="C2427" s="4" t="str">
        <f>CHOOSE(2, "5461730030", "Jun 26")</f>
        <v>Jun 26</v>
      </c>
      <c r="D2427" s="14">
        <v>2.6315789473684209E-2</v>
      </c>
    </row>
    <row r="2428" spans="1:4" x14ac:dyDescent="0.35">
      <c r="A2428" s="5" t="str">
        <f t="shared" si="1245"/>
        <v>MFA</v>
      </c>
      <c r="B2428" s="6" t="str">
        <f t="shared" si="1251"/>
        <v>% of Newly Demoted Leaders above UM</v>
      </c>
      <c r="C2428" s="4" t="str">
        <f>CHOOSE(2, "5462030031", "Jul 26")</f>
        <v>Jul 26</v>
      </c>
      <c r="D2428" s="14">
        <v>0</v>
      </c>
    </row>
    <row r="2429" spans="1:4" x14ac:dyDescent="0.35">
      <c r="A2429" s="5" t="str">
        <f t="shared" si="1245"/>
        <v>MFA</v>
      </c>
      <c r="B2429" s="3" t="str">
        <f t="shared" ref="B2429:B2430" si="1252">CHOOSE(2, "1395000000572", "Avg. Earning per agent")</f>
        <v>Avg. Earning per agent</v>
      </c>
      <c r="C2429" s="4" t="str">
        <f>CHOOSE(2, "5461730030", "Jun 26")</f>
        <v>Jun 26</v>
      </c>
      <c r="D2429" s="14">
        <v>13207.001741966847</v>
      </c>
    </row>
    <row r="2430" spans="1:4" x14ac:dyDescent="0.35">
      <c r="A2430" s="5" t="str">
        <f t="shared" si="1245"/>
        <v>MFA</v>
      </c>
      <c r="B2430" s="6" t="str">
        <f t="shared" si="1252"/>
        <v>Avg. Earning per agent</v>
      </c>
      <c r="C2430" s="4" t="str">
        <f>CHOOSE(2, "5462030031", "Jul 26")</f>
        <v>Jul 26</v>
      </c>
      <c r="D2430" s="14">
        <v>5919.8473268918051</v>
      </c>
    </row>
    <row r="2431" spans="1:4" x14ac:dyDescent="0.35">
      <c r="A2431" s="5" t="str">
        <f t="shared" si="1245"/>
        <v>MFA</v>
      </c>
      <c r="B2431" s="3" t="str">
        <f t="shared" ref="B2431:B2432" si="1253">CHOOSE(2, "1395000000571", "Avg. Earning per agent in FA or equivalent")</f>
        <v>Avg. Earning per agent in FA or equivalent</v>
      </c>
      <c r="C2431" s="4" t="str">
        <f>CHOOSE(2, "5461730030", "Jun 26")</f>
        <v>Jun 26</v>
      </c>
      <c r="D2431" s="14">
        <v>9165.8733173826731</v>
      </c>
    </row>
    <row r="2432" spans="1:4" x14ac:dyDescent="0.35">
      <c r="A2432" s="5" t="str">
        <f t="shared" si="1245"/>
        <v>MFA</v>
      </c>
      <c r="B2432" s="6" t="str">
        <f t="shared" si="1253"/>
        <v>Avg. Earning per agent in FA or equivalent</v>
      </c>
      <c r="C2432" s="4" t="str">
        <f>CHOOSE(2, "5462030031", "Jul 26")</f>
        <v>Jul 26</v>
      </c>
      <c r="D2432" s="14">
        <v>4463.6358389325796</v>
      </c>
    </row>
    <row r="2433" spans="1:4" x14ac:dyDescent="0.35">
      <c r="A2433" s="5" t="str">
        <f t="shared" si="1245"/>
        <v>MFA</v>
      </c>
      <c r="B2433" s="3" t="str">
        <f t="shared" ref="B2433:B2434" si="1254">CHOOSE(2, "1395000000570", "Avg. Earning per agent in UM")</f>
        <v>Avg. Earning per agent in UM</v>
      </c>
      <c r="C2433" s="4" t="str">
        <f>CHOOSE(2, "5461730030", "Jun 26")</f>
        <v>Jun 26</v>
      </c>
      <c r="D2433" s="14">
        <v>31644.308437743322</v>
      </c>
    </row>
    <row r="2434" spans="1:4" x14ac:dyDescent="0.35">
      <c r="A2434" s="5" t="str">
        <f t="shared" si="1245"/>
        <v>MFA</v>
      </c>
      <c r="B2434" s="6" t="str">
        <f t="shared" si="1254"/>
        <v>Avg. Earning per agent in UM</v>
      </c>
      <c r="C2434" s="4" t="str">
        <f>CHOOSE(2, "5462030031", "Jul 26")</f>
        <v>Jul 26</v>
      </c>
      <c r="D2434" s="14">
        <v>9075.1500522859315</v>
      </c>
    </row>
    <row r="2435" spans="1:4" x14ac:dyDescent="0.35">
      <c r="A2435" s="5" t="str">
        <f t="shared" si="1245"/>
        <v>MFA</v>
      </c>
      <c r="B2435" s="3" t="str">
        <f t="shared" ref="B2435:B2436" si="1255">CHOOSE(2, "1395000000569", "Avg. Earning per agent in Leaders above UM")</f>
        <v>Avg. Earning per agent in Leaders above UM</v>
      </c>
      <c r="C2435" s="4" t="str">
        <f>CHOOSE(2, "5461730030", "Jun 26")</f>
        <v>Jun 26</v>
      </c>
      <c r="D2435" s="14">
        <v>42480.287169522402</v>
      </c>
    </row>
    <row r="2436" spans="1:4" x14ac:dyDescent="0.35">
      <c r="A2436" s="5" t="str">
        <f t="shared" si="1245"/>
        <v>MFA</v>
      </c>
      <c r="B2436" s="6" t="str">
        <f t="shared" si="1255"/>
        <v>Avg. Earning per agent in Leaders above UM</v>
      </c>
      <c r="C2436" s="4" t="str">
        <f>CHOOSE(2, "5462030031", "Jul 26")</f>
        <v>Jul 26</v>
      </c>
      <c r="D2436" s="14">
        <v>33484.786144181293</v>
      </c>
    </row>
    <row r="2437" spans="1:4" x14ac:dyDescent="0.35">
      <c r="A2437" s="5" t="str">
        <f t="shared" si="1245"/>
        <v>MFA</v>
      </c>
      <c r="B2437" s="3" t="str">
        <f t="shared" ref="B2437:B2438" si="1256">CHOOSE(2, "1395000000568", "% of 1-Month Active Agents 0-1M")</f>
        <v>% of 1-Month Active Agents 0-1M</v>
      </c>
      <c r="C2437" s="4" t="str">
        <f>CHOOSE(2, "5461730030", "Jun 26")</f>
        <v>Jun 26</v>
      </c>
      <c r="D2437" s="14">
        <v>6.25E-2</v>
      </c>
    </row>
    <row r="2438" spans="1:4" x14ac:dyDescent="0.35">
      <c r="A2438" s="5" t="str">
        <f t="shared" si="1245"/>
        <v>MFA</v>
      </c>
      <c r="B2438" s="6" t="str">
        <f t="shared" si="1256"/>
        <v>% of 1-Month Active Agents 0-1M</v>
      </c>
      <c r="C2438" s="4" t="str">
        <f>CHOOSE(2, "5462030031", "Jul 26")</f>
        <v>Jul 26</v>
      </c>
      <c r="D2438" s="14">
        <v>3.5714285714285712E-2</v>
      </c>
    </row>
    <row r="2439" spans="1:4" x14ac:dyDescent="0.35">
      <c r="A2439" s="5" t="str">
        <f t="shared" si="1245"/>
        <v>MFA</v>
      </c>
      <c r="B2439" s="3" t="str">
        <f t="shared" ref="B2439:B2440" si="1257">CHOOSE(2, "1395000000567", "% of 1-Month Active Agents in 2-3M")</f>
        <v>% of 1-Month Active Agents in 2-3M</v>
      </c>
      <c r="C2439" s="4" t="str">
        <f>CHOOSE(2, "5461730030", "Jun 26")</f>
        <v>Jun 26</v>
      </c>
      <c r="D2439" s="14">
        <v>0.62</v>
      </c>
    </row>
    <row r="2440" spans="1:4" x14ac:dyDescent="0.35">
      <c r="A2440" s="5" t="str">
        <f t="shared" si="1245"/>
        <v>MFA</v>
      </c>
      <c r="B2440" s="6" t="str">
        <f t="shared" si="1257"/>
        <v>% of 1-Month Active Agents in 2-3M</v>
      </c>
      <c r="C2440" s="4" t="str">
        <f>CHOOSE(2, "5462030031", "Jul 26")</f>
        <v>Jul 26</v>
      </c>
      <c r="D2440" s="14">
        <v>0.5714285714285714</v>
      </c>
    </row>
    <row r="2441" spans="1:4" x14ac:dyDescent="0.35">
      <c r="A2441" s="5" t="str">
        <f t="shared" si="1245"/>
        <v>MFA</v>
      </c>
      <c r="B2441" s="3" t="str">
        <f t="shared" ref="B2441:B2442" si="1258">CHOOSE(2, "1395000000566", "% of 1-Month Active Agents 4-12M")</f>
        <v>% of 1-Month Active Agents 4-12M</v>
      </c>
      <c r="C2441" s="4" t="str">
        <f>CHOOSE(2, "5461730030", "Jun 26")</f>
        <v>Jun 26</v>
      </c>
      <c r="D2441" s="14">
        <v>0.51630434782608692</v>
      </c>
    </row>
    <row r="2442" spans="1:4" x14ac:dyDescent="0.35">
      <c r="A2442" s="5" t="str">
        <f t="shared" si="1245"/>
        <v>MFA</v>
      </c>
      <c r="B2442" s="6" t="str">
        <f t="shared" si="1258"/>
        <v>% of 1-Month Active Agents 4-12M</v>
      </c>
      <c r="C2442" s="4" t="str">
        <f>CHOOSE(2, "5462030031", "Jul 26")</f>
        <v>Jul 26</v>
      </c>
      <c r="D2442" s="14">
        <v>0.42245989304812837</v>
      </c>
    </row>
    <row r="2443" spans="1:4" x14ac:dyDescent="0.35">
      <c r="A2443" s="5" t="str">
        <f t="shared" si="1245"/>
        <v>MFA</v>
      </c>
      <c r="B2443" s="3" t="str">
        <f t="shared" ref="B2443:B2444" si="1259">CHOOSE(2, "1395000000565", "% of 1-Month Active Agents 13+M")</f>
        <v>% of 1-Month Active Agents 13+M</v>
      </c>
      <c r="C2443" s="4" t="str">
        <f>CHOOSE(2, "5461730030", "Jun 26")</f>
        <v>Jun 26</v>
      </c>
      <c r="D2443" s="14">
        <v>0.54345837145471176</v>
      </c>
    </row>
    <row r="2444" spans="1:4" x14ac:dyDescent="0.35">
      <c r="A2444" s="5" t="str">
        <f t="shared" si="1245"/>
        <v>MFA</v>
      </c>
      <c r="B2444" s="6" t="str">
        <f t="shared" si="1259"/>
        <v>% of 1-Month Active Agents 13+M</v>
      </c>
      <c r="C2444" s="4" t="str">
        <f>CHOOSE(2, "5462030031", "Jul 26")</f>
        <v>Jul 26</v>
      </c>
      <c r="D2444" s="14">
        <v>0.53125</v>
      </c>
    </row>
    <row r="2445" spans="1:4" x14ac:dyDescent="0.35">
      <c r="A2445" s="5" t="str">
        <f t="shared" si="1245"/>
        <v>MFA</v>
      </c>
      <c r="B2445" s="3" t="str">
        <f t="shared" ref="B2445:B2446" si="1260">CHOOSE(2, "1395000000564", "% of 3-Month Active Agents 0-1M")</f>
        <v>% of 3-Month Active Agents 0-1M</v>
      </c>
      <c r="C2445" s="4" t="str">
        <f>CHOOSE(2, "5461730030", "Jun 26")</f>
        <v>Jun 26</v>
      </c>
      <c r="D2445" s="14">
        <v>6.25E-2</v>
      </c>
    </row>
    <row r="2446" spans="1:4" x14ac:dyDescent="0.35">
      <c r="A2446" s="5" t="str">
        <f t="shared" si="1245"/>
        <v>MFA</v>
      </c>
      <c r="B2446" s="6" t="str">
        <f t="shared" si="1260"/>
        <v>% of 3-Month Active Agents 0-1M</v>
      </c>
      <c r="C2446" s="4" t="str">
        <f>CHOOSE(2, "5462030031", "Jul 26")</f>
        <v>Jul 26</v>
      </c>
      <c r="D2446" s="14">
        <v>3.5714285714285712E-2</v>
      </c>
    </row>
    <row r="2447" spans="1:4" x14ac:dyDescent="0.35">
      <c r="A2447" s="5" t="str">
        <f t="shared" si="1245"/>
        <v>MFA</v>
      </c>
      <c r="B2447" s="3" t="str">
        <f t="shared" ref="B2447:B2448" si="1261">CHOOSE(2, "1395000000563", "% of 3-Month Active Agents in 2-3M")</f>
        <v>% of 3-Month Active Agents in 2-3M</v>
      </c>
      <c r="C2447" s="4" t="str">
        <f>CHOOSE(2, "5461730030", "Jun 26")</f>
        <v>Jun 26</v>
      </c>
      <c r="D2447" s="14">
        <v>0.68</v>
      </c>
    </row>
    <row r="2448" spans="1:4" x14ac:dyDescent="0.35">
      <c r="A2448" s="5" t="str">
        <f t="shared" si="1245"/>
        <v>MFA</v>
      </c>
      <c r="B2448" s="6" t="str">
        <f t="shared" si="1261"/>
        <v>% of 3-Month Active Agents in 2-3M</v>
      </c>
      <c r="C2448" s="4" t="str">
        <f>CHOOSE(2, "5462030031", "Jul 26")</f>
        <v>Jul 26</v>
      </c>
      <c r="D2448" s="14">
        <v>0.6607142857142857</v>
      </c>
    </row>
    <row r="2449" spans="1:4" x14ac:dyDescent="0.35">
      <c r="A2449" s="5" t="str">
        <f t="shared" si="1245"/>
        <v>MFA</v>
      </c>
      <c r="B2449" s="3" t="str">
        <f t="shared" ref="B2449:B2450" si="1262">CHOOSE(2, "1395000000562", "% of 3-Month Active Agents 4-12M")</f>
        <v>% of 3-Month Active Agents 4-12M</v>
      </c>
      <c r="C2449" s="4" t="str">
        <f>CHOOSE(2, "5461730030", "Jun 26")</f>
        <v>Jun 26</v>
      </c>
      <c r="D2449" s="14">
        <v>0.79347826086956519</v>
      </c>
    </row>
    <row r="2450" spans="1:4" x14ac:dyDescent="0.35">
      <c r="A2450" s="5" t="str">
        <f t="shared" si="1245"/>
        <v>MFA</v>
      </c>
      <c r="B2450" s="6" t="str">
        <f t="shared" si="1262"/>
        <v>% of 3-Month Active Agents 4-12M</v>
      </c>
      <c r="C2450" s="4" t="str">
        <f>CHOOSE(2, "5462030031", "Jul 26")</f>
        <v>Jul 26</v>
      </c>
      <c r="D2450" s="14">
        <v>0.77540106951871657</v>
      </c>
    </row>
    <row r="2451" spans="1:4" x14ac:dyDescent="0.35">
      <c r="A2451" s="5" t="str">
        <f t="shared" si="1245"/>
        <v>MFA</v>
      </c>
      <c r="B2451" s="3" t="str">
        <f t="shared" ref="B2451:B2452" si="1263">CHOOSE(2, "1395000000561", "% of 3-Month Active Agents 13+M")</f>
        <v>% of 3-Month Active Agents 13+M</v>
      </c>
      <c r="C2451" s="4" t="str">
        <f>CHOOSE(2, "5461730030", "Jun 26")</f>
        <v>Jun 26</v>
      </c>
      <c r="D2451" s="14">
        <v>0.72644098810612989</v>
      </c>
    </row>
    <row r="2452" spans="1:4" x14ac:dyDescent="0.35">
      <c r="A2452" s="5" t="str">
        <f t="shared" si="1245"/>
        <v>MFA</v>
      </c>
      <c r="B2452" s="6" t="str">
        <f t="shared" si="1263"/>
        <v>% of 3-Month Active Agents 13+M</v>
      </c>
      <c r="C2452" s="4" t="str">
        <f>CHOOSE(2, "5462030031", "Jul 26")</f>
        <v>Jul 26</v>
      </c>
      <c r="D2452" s="14">
        <v>0.75</v>
      </c>
    </row>
    <row r="2453" spans="1:4" x14ac:dyDescent="0.35">
      <c r="A2453" s="5" t="str">
        <f t="shared" si="1245"/>
        <v>MFA</v>
      </c>
      <c r="B2453" s="3" t="str">
        <f t="shared" ref="B2453:B2454" si="1264">CHOOSE(2, "1395000000560", "Avg. Case count per 1-Month Active Agent 0-1M")</f>
        <v>Avg. Case count per 1-Month Active Agent 0-1M</v>
      </c>
      <c r="C2453" s="4" t="str">
        <f>CHOOSE(2, "5461730030", "Jun 26")</f>
        <v>Jun 26</v>
      </c>
      <c r="D2453" s="14">
        <v>2.5</v>
      </c>
    </row>
    <row r="2454" spans="1:4" x14ac:dyDescent="0.35">
      <c r="A2454" s="5" t="str">
        <f t="shared" si="1245"/>
        <v>MFA</v>
      </c>
      <c r="B2454" s="6" t="str">
        <f t="shared" si="1264"/>
        <v>Avg. Case count per 1-Month Active Agent 0-1M</v>
      </c>
      <c r="C2454" s="4" t="str">
        <f>CHOOSE(2, "5462030031", "Jul 26")</f>
        <v>Jul 26</v>
      </c>
      <c r="D2454" s="14">
        <v>1</v>
      </c>
    </row>
    <row r="2455" spans="1:4" x14ac:dyDescent="0.35">
      <c r="A2455" s="5" t="str">
        <f t="shared" si="1245"/>
        <v>MFA</v>
      </c>
      <c r="B2455" s="3" t="str">
        <f t="shared" ref="B2455:B2456" si="1265">CHOOSE(2, "1395000000559", "Avg. Case count per 1-Month Active Agent in 2-3M")</f>
        <v>Avg. Case count per 1-Month Active Agent in 2-3M</v>
      </c>
      <c r="C2455" s="4" t="str">
        <f>CHOOSE(2, "5461730030", "Jun 26")</f>
        <v>Jun 26</v>
      </c>
      <c r="D2455" s="14">
        <v>3.806451612903226</v>
      </c>
    </row>
    <row r="2456" spans="1:4" x14ac:dyDescent="0.35">
      <c r="A2456" s="5" t="str">
        <f t="shared" si="1245"/>
        <v>MFA</v>
      </c>
      <c r="B2456" s="6" t="str">
        <f t="shared" si="1265"/>
        <v>Avg. Case count per 1-Month Active Agent in 2-3M</v>
      </c>
      <c r="C2456" s="4" t="str">
        <f>CHOOSE(2, "5462030031", "Jul 26")</f>
        <v>Jul 26</v>
      </c>
      <c r="D2456" s="14">
        <v>4</v>
      </c>
    </row>
    <row r="2457" spans="1:4" x14ac:dyDescent="0.35">
      <c r="A2457" s="5" t="str">
        <f t="shared" si="1245"/>
        <v>MFA</v>
      </c>
      <c r="B2457" s="3" t="str">
        <f t="shared" ref="B2457:B2458" si="1266">CHOOSE(2, "1395000000558", "Avg. Case count per 1-Month Active Agent 4-12M")</f>
        <v>Avg. Case count per 1-Month Active Agent 4-12M</v>
      </c>
      <c r="C2457" s="4" t="str">
        <f>CHOOSE(2, "5461730030", "Jun 26")</f>
        <v>Jun 26</v>
      </c>
      <c r="D2457" s="14">
        <v>3.1894736842105265</v>
      </c>
    </row>
    <row r="2458" spans="1:4" x14ac:dyDescent="0.35">
      <c r="A2458" s="5" t="str">
        <f t="shared" si="1245"/>
        <v>MFA</v>
      </c>
      <c r="B2458" s="6" t="str">
        <f t="shared" si="1266"/>
        <v>Avg. Case count per 1-Month Active Agent 4-12M</v>
      </c>
      <c r="C2458" s="4" t="str">
        <f>CHOOSE(2, "5462030031", "Jul 26")</f>
        <v>Jul 26</v>
      </c>
      <c r="D2458" s="14">
        <v>2.9240506329113924</v>
      </c>
    </row>
    <row r="2459" spans="1:4" x14ac:dyDescent="0.35">
      <c r="A2459" s="5" t="str">
        <f t="shared" si="1245"/>
        <v>MFA</v>
      </c>
      <c r="B2459" s="3" t="str">
        <f t="shared" ref="B2459:B2460" si="1267">CHOOSE(2, "1395000000557", "Avg. Case count per 1-Month Active Agent 13+M")</f>
        <v>Avg. Case count per 1-Month Active Agent 13+M</v>
      </c>
      <c r="C2459" s="4" t="str">
        <f>CHOOSE(2, "5461730030", "Jun 26")</f>
        <v>Jun 26</v>
      </c>
      <c r="D2459" s="14">
        <v>3.8181818181818183</v>
      </c>
    </row>
    <row r="2460" spans="1:4" x14ac:dyDescent="0.35">
      <c r="A2460" s="5" t="str">
        <f t="shared" si="1245"/>
        <v>MFA</v>
      </c>
      <c r="B2460" s="6" t="str">
        <f t="shared" si="1267"/>
        <v>Avg. Case count per 1-Month Active Agent 13+M</v>
      </c>
      <c r="C2460" s="4" t="str">
        <f>CHOOSE(2, "5462030031", "Jul 26")</f>
        <v>Jul 26</v>
      </c>
      <c r="D2460" s="14">
        <v>3.5328719723183393</v>
      </c>
    </row>
    <row r="2461" spans="1:4" x14ac:dyDescent="0.35">
      <c r="A2461" s="5" t="str">
        <f t="shared" si="1245"/>
        <v>MFA</v>
      </c>
      <c r="B2461" s="3" t="str">
        <f t="shared" ref="B2461:B2462" si="1268">CHOOSE(2, "1395000000556", "Avg. Case size 0-1M")</f>
        <v>Avg. Case size 0-1M</v>
      </c>
      <c r="C2461" s="4" t="str">
        <f>CHOOSE(2, "5461730030", "Jun 26")</f>
        <v>Jun 26</v>
      </c>
      <c r="D2461" s="14">
        <v>678587.91503290716</v>
      </c>
    </row>
    <row r="2462" spans="1:4" x14ac:dyDescent="0.35">
      <c r="A2462" s="5" t="str">
        <f t="shared" si="1245"/>
        <v>MFA</v>
      </c>
      <c r="B2462" s="6" t="str">
        <f t="shared" si="1268"/>
        <v>Avg. Case size 0-1M</v>
      </c>
      <c r="C2462" s="4" t="str">
        <f>CHOOSE(2, "5462030031", "Jul 26")</f>
        <v>Jul 26</v>
      </c>
      <c r="D2462" s="14">
        <v>2597032.5463205599</v>
      </c>
    </row>
    <row r="2463" spans="1:4" x14ac:dyDescent="0.35">
      <c r="A2463" s="5" t="str">
        <f t="shared" si="1245"/>
        <v>MFA</v>
      </c>
      <c r="B2463" s="3" t="str">
        <f t="shared" ref="B2463:B2464" si="1269">CHOOSE(2, "1395000000555", "Avg. Case size in 2-3M")</f>
        <v>Avg. Case size in 2-3M</v>
      </c>
      <c r="C2463" s="4" t="str">
        <f>CHOOSE(2, "5461730030", "Jun 26")</f>
        <v>Jun 26</v>
      </c>
      <c r="D2463" s="14">
        <v>57507.450426517556</v>
      </c>
    </row>
    <row r="2464" spans="1:4" x14ac:dyDescent="0.35">
      <c r="A2464" s="5" t="str">
        <f t="shared" si="1245"/>
        <v>MFA</v>
      </c>
      <c r="B2464" s="6" t="str">
        <f t="shared" si="1269"/>
        <v>Avg. Case size in 2-3M</v>
      </c>
      <c r="C2464" s="4" t="str">
        <f>CHOOSE(2, "5462030031", "Jul 26")</f>
        <v>Jul 26</v>
      </c>
      <c r="D2464" s="14">
        <v>40578.633536258749</v>
      </c>
    </row>
    <row r="2465" spans="1:4" x14ac:dyDescent="0.35">
      <c r="A2465" s="5" t="str">
        <f t="shared" si="1245"/>
        <v>MFA</v>
      </c>
      <c r="B2465" s="3" t="str">
        <f t="shared" ref="B2465:B2466" si="1270">CHOOSE(2, "1395000000554", "Avg. Case size 4-12M")</f>
        <v>Avg. Case size 4-12M</v>
      </c>
      <c r="C2465" s="4" t="str">
        <f>CHOOSE(2, "5461730030", "Jun 26")</f>
        <v>Jun 26</v>
      </c>
      <c r="D2465" s="14">
        <v>33593.461140242922</v>
      </c>
    </row>
    <row r="2466" spans="1:4" x14ac:dyDescent="0.35">
      <c r="A2466" s="5" t="str">
        <f t="shared" si="1245"/>
        <v>MFA</v>
      </c>
      <c r="B2466" s="6" t="str">
        <f t="shared" si="1270"/>
        <v>Avg. Case size 4-12M</v>
      </c>
      <c r="C2466" s="4" t="str">
        <f>CHOOSE(2, "5462030031", "Jul 26")</f>
        <v>Jul 26</v>
      </c>
      <c r="D2466" s="14">
        <v>33727.695406760518</v>
      </c>
    </row>
    <row r="2467" spans="1:4" x14ac:dyDescent="0.35">
      <c r="A2467" s="5" t="str">
        <f t="shared" si="1245"/>
        <v>MFA</v>
      </c>
      <c r="B2467" s="3" t="str">
        <f t="shared" ref="B2467:B2468" si="1271">CHOOSE(2, "1395000000553", "Avg. Case size 13+M")</f>
        <v>Avg. Case size 13+M</v>
      </c>
      <c r="C2467" s="4" t="str">
        <f>CHOOSE(2, "5461730030", "Jun 26")</f>
        <v>Jun 26</v>
      </c>
      <c r="D2467" s="14">
        <v>5984.0204147522682</v>
      </c>
    </row>
    <row r="2468" spans="1:4" x14ac:dyDescent="0.35">
      <c r="A2468" s="5" t="str">
        <f t="shared" si="1245"/>
        <v>MFA</v>
      </c>
      <c r="B2468" s="6" t="str">
        <f t="shared" si="1271"/>
        <v>Avg. Case size 13+M</v>
      </c>
      <c r="C2468" s="4" t="str">
        <f>CHOOSE(2, "5462030031", "Jul 26")</f>
        <v>Jul 26</v>
      </c>
      <c r="D2468" s="14">
        <v>5087.2331955348873</v>
      </c>
    </row>
    <row r="2469" spans="1:4" x14ac:dyDescent="0.35">
      <c r="A2469" s="5" t="str">
        <f t="shared" si="1245"/>
        <v>MFA</v>
      </c>
      <c r="B2469" s="3" t="str">
        <f t="shared" ref="B2469:B2470" si="1272">CHOOSE(2, "1395000000552", "Avg. Case size UM")</f>
        <v>Avg. Case size UM</v>
      </c>
      <c r="C2469" s="4" t="str">
        <f>CHOOSE(2, "5461730030", "Jun 26")</f>
        <v>Jun 26</v>
      </c>
      <c r="D2469" s="14">
        <v>0</v>
      </c>
    </row>
    <row r="2470" spans="1:4" x14ac:dyDescent="0.35">
      <c r="A2470" s="5" t="str">
        <f t="shared" si="1245"/>
        <v>MFA</v>
      </c>
      <c r="B2470" s="6" t="str">
        <f t="shared" si="1272"/>
        <v>Avg. Case size UM</v>
      </c>
      <c r="C2470" s="4" t="str">
        <f>CHOOSE(2, "5462030031", "Jul 26")</f>
        <v>Jul 26</v>
      </c>
      <c r="D2470" s="14">
        <v>0</v>
      </c>
    </row>
    <row r="2471" spans="1:4" x14ac:dyDescent="0.35">
      <c r="A2471" s="5" t="str">
        <f t="shared" si="1245"/>
        <v>MFA</v>
      </c>
      <c r="B2471" s="3" t="str">
        <f t="shared" ref="B2471:B2472" si="1273">CHOOSE(2, "1395000000551", "Avg. Case size Leaders above UM")</f>
        <v>Avg. Case size Leaders above UM</v>
      </c>
      <c r="C2471" s="4" t="str">
        <f>CHOOSE(2, "5461730030", "Jun 26")</f>
        <v>Jun 26</v>
      </c>
      <c r="D2471" s="14">
        <v>0</v>
      </c>
    </row>
    <row r="2472" spans="1:4" x14ac:dyDescent="0.35">
      <c r="A2472" s="5" t="str">
        <f t="shared" si="1245"/>
        <v>MFA</v>
      </c>
      <c r="B2472" s="6" t="str">
        <f t="shared" si="1273"/>
        <v>Avg. Case size Leaders above UM</v>
      </c>
      <c r="C2472" s="4" t="str">
        <f>CHOOSE(2, "5462030031", "Jul 26")</f>
        <v>Jul 26</v>
      </c>
      <c r="D2472" s="14">
        <v>0</v>
      </c>
    </row>
    <row r="2473" spans="1:4" x14ac:dyDescent="0.35">
      <c r="A2473" s="5" t="str">
        <f t="shared" si="1245"/>
        <v>MFA</v>
      </c>
      <c r="B2473" s="3" t="str">
        <f t="shared" ref="B2473:B2474" si="1274">CHOOSE(2, "1395000000550", "Avg. Case size Top-tier agents")</f>
        <v>Avg. Case size Top-tier agents</v>
      </c>
      <c r="C2473" s="4" t="str">
        <f>CHOOSE(2, "5461730030", "Jun 26")</f>
        <v>Jun 26</v>
      </c>
      <c r="D2473" s="14">
        <v>14178.991586976816</v>
      </c>
    </row>
    <row r="2474" spans="1:4" x14ac:dyDescent="0.35">
      <c r="A2474" s="5" t="str">
        <f t="shared" si="1245"/>
        <v>MFA</v>
      </c>
      <c r="B2474" s="6" t="str">
        <f t="shared" si="1274"/>
        <v>Avg. Case size Top-tier agents</v>
      </c>
      <c r="C2474" s="4" t="str">
        <f>CHOOSE(2, "5462030031", "Jul 26")</f>
        <v>Jul 26</v>
      </c>
      <c r="D2474" s="14">
        <v>11909.984249086274</v>
      </c>
    </row>
    <row r="2475" spans="1:4" x14ac:dyDescent="0.35">
      <c r="A2475" s="5" t="str">
        <f t="shared" si="1245"/>
        <v>MFA</v>
      </c>
      <c r="B2475" s="3" t="str">
        <f t="shared" ref="B2475:B2476" si="1275">CHOOSE(2, "1395000000549", "Avg. Case size Manulife Pro Qualifiers - Total")</f>
        <v>Avg. Case size Manulife Pro Qualifiers - Total</v>
      </c>
      <c r="C2475" s="4" t="str">
        <f>CHOOSE(2, "5461730030", "Jun 26")</f>
        <v>Jun 26</v>
      </c>
      <c r="D2475" s="14">
        <v>0</v>
      </c>
    </row>
    <row r="2476" spans="1:4" x14ac:dyDescent="0.35">
      <c r="A2476" s="5" t="str">
        <f t="shared" si="1245"/>
        <v>MFA</v>
      </c>
      <c r="B2476" s="6" t="str">
        <f t="shared" si="1275"/>
        <v>Avg. Case size Manulife Pro Qualifiers - Total</v>
      </c>
      <c r="C2476" s="4" t="str">
        <f>CHOOSE(2, "5462030031", "Jul 26")</f>
        <v>Jul 26</v>
      </c>
      <c r="D2476" s="14">
        <v>0</v>
      </c>
    </row>
    <row r="2477" spans="1:4" x14ac:dyDescent="0.35">
      <c r="A2477" s="5" t="str">
        <f t="shared" si="1245"/>
        <v>MFA</v>
      </c>
      <c r="B2477" s="3" t="str">
        <f t="shared" ref="B2477:B2478" si="1276">CHOOSE(2, "1395000000548", "Avg. Case size FA or equivalent")</f>
        <v>Avg. Case size FA or equivalent</v>
      </c>
      <c r="C2477" s="4" t="str">
        <f>CHOOSE(2, "5461730030", "Jun 26")</f>
        <v>Jun 26</v>
      </c>
      <c r="D2477" s="14">
        <v>0</v>
      </c>
    </row>
    <row r="2478" spans="1:4" x14ac:dyDescent="0.35">
      <c r="A2478" s="5" t="str">
        <f t="shared" si="1245"/>
        <v>MFA</v>
      </c>
      <c r="B2478" s="6" t="str">
        <f t="shared" si="1276"/>
        <v>Avg. Case size FA or equivalent</v>
      </c>
      <c r="C2478" s="4" t="str">
        <f>CHOOSE(2, "5462030031", "Jul 26")</f>
        <v>Jul 26</v>
      </c>
      <c r="D2478" s="14">
        <v>0</v>
      </c>
    </row>
    <row r="2479" spans="1:4" x14ac:dyDescent="0.35">
      <c r="A2479" s="5" t="str">
        <f t="shared" si="1245"/>
        <v>MFA</v>
      </c>
      <c r="B2479" s="3" t="str">
        <f t="shared" ref="B2479:B2480" si="1277">CHOOSE(2, "1395000000547", "Avg. Case size pro-rated MDRT agents (&gt;100%)")</f>
        <v>Avg. Case size pro-rated MDRT agents (&gt;100%)</v>
      </c>
      <c r="C2479" s="4" t="str">
        <f>CHOOSE(2, "5461730030", "Jun 26")</f>
        <v>Jun 26</v>
      </c>
      <c r="D2479" s="14">
        <v>15670.947466270471</v>
      </c>
    </row>
    <row r="2480" spans="1:4" x14ac:dyDescent="0.35">
      <c r="A2480" s="5" t="str">
        <f t="shared" si="1245"/>
        <v>MFA</v>
      </c>
      <c r="B2480" s="6" t="str">
        <f t="shared" si="1277"/>
        <v>Avg. Case size pro-rated MDRT agents (&gt;100%)</v>
      </c>
      <c r="C2480" s="4" t="str">
        <f>CHOOSE(2, "5462030031", "Jul 26")</f>
        <v>Jul 26</v>
      </c>
      <c r="D2480" s="14">
        <v>13052.402435131284</v>
      </c>
    </row>
    <row r="2481" spans="1:4" x14ac:dyDescent="0.35">
      <c r="A2481" s="5" t="str">
        <f t="shared" ref="A2481:A2514" si="1278">CHOOSE(2, "1260000000003", "MFA")</f>
        <v>MFA</v>
      </c>
      <c r="B2481" s="3" t="str">
        <f t="shared" ref="B2481:B2482" si="1279">CHOOSE(2, "1395000000546", "Avg. Case size pro-rated MDRT agents (70-99%)")</f>
        <v>Avg. Case size pro-rated MDRT agents (70-99%)</v>
      </c>
      <c r="C2481" s="4" t="str">
        <f>CHOOSE(2, "5461730030", "Jun 26")</f>
        <v>Jun 26</v>
      </c>
      <c r="D2481" s="14">
        <v>8120.0632052196261</v>
      </c>
    </row>
    <row r="2482" spans="1:4" x14ac:dyDescent="0.35">
      <c r="A2482" s="5" t="str">
        <f t="shared" si="1278"/>
        <v>MFA</v>
      </c>
      <c r="B2482" s="6" t="str">
        <f t="shared" si="1279"/>
        <v>Avg. Case size pro-rated MDRT agents (70-99%)</v>
      </c>
      <c r="C2482" s="4" t="str">
        <f>CHOOSE(2, "5462030031", "Jul 26")</f>
        <v>Jul 26</v>
      </c>
      <c r="D2482" s="14">
        <v>6481.5530883971969</v>
      </c>
    </row>
    <row r="2483" spans="1:4" x14ac:dyDescent="0.35">
      <c r="A2483" s="5" t="str">
        <f t="shared" si="1278"/>
        <v>MFA</v>
      </c>
      <c r="B2483" s="3" t="str">
        <f t="shared" ref="B2483:B2484" si="1280">CHOOSE(2, "1395000000545", "Avg. Case size pro-rated MDRT agents (50-69%)")</f>
        <v>Avg. Case size pro-rated MDRT agents (50-69%)</v>
      </c>
      <c r="C2483" s="4" t="str">
        <f>CHOOSE(2, "5461730030", "Jun 26")</f>
        <v>Jun 26</v>
      </c>
      <c r="D2483" s="14">
        <v>5644.5680908435752</v>
      </c>
    </row>
    <row r="2484" spans="1:4" x14ac:dyDescent="0.35">
      <c r="A2484" s="5" t="str">
        <f t="shared" si="1278"/>
        <v>MFA</v>
      </c>
      <c r="B2484" s="6" t="str">
        <f t="shared" si="1280"/>
        <v>Avg. Case size pro-rated MDRT agents (50-69%)</v>
      </c>
      <c r="C2484" s="4" t="str">
        <f>CHOOSE(2, "5462030031", "Jul 26")</f>
        <v>Jul 26</v>
      </c>
      <c r="D2484" s="14">
        <v>6205.2073289851851</v>
      </c>
    </row>
    <row r="2485" spans="1:4" x14ac:dyDescent="0.35">
      <c r="A2485" s="5" t="str">
        <f t="shared" si="1278"/>
        <v>MFA</v>
      </c>
      <c r="B2485" s="3" t="str">
        <f t="shared" ref="B2485:B2486" si="1281">CHOOSE(2, "1395000000544", "% of 1-Month Active Agents UM")</f>
        <v>% of 1-Month Active Agents UM</v>
      </c>
      <c r="C2485" s="4" t="str">
        <f>CHOOSE(2, "5461730030", "Jun 26")</f>
        <v>Jun 26</v>
      </c>
      <c r="D2485" s="14">
        <v>0.40425531914893614</v>
      </c>
    </row>
    <row r="2486" spans="1:4" x14ac:dyDescent="0.35">
      <c r="A2486" s="5" t="str">
        <f t="shared" si="1278"/>
        <v>MFA</v>
      </c>
      <c r="B2486" s="6" t="str">
        <f t="shared" si="1281"/>
        <v>% of 1-Month Active Agents UM</v>
      </c>
      <c r="C2486" s="4" t="str">
        <f>CHOOSE(2, "5462030031", "Jul 26")</f>
        <v>Jul 26</v>
      </c>
      <c r="D2486" s="14">
        <v>0.38421052631578945</v>
      </c>
    </row>
    <row r="2487" spans="1:4" x14ac:dyDescent="0.35">
      <c r="A2487" s="5" t="str">
        <f t="shared" si="1278"/>
        <v>MFA</v>
      </c>
      <c r="B2487" s="3" t="str">
        <f t="shared" ref="B2487:B2488" si="1282">CHOOSE(2, "1395000000543", "% of 1-Month Active Agents Leaders above UM")</f>
        <v>% of 1-Month Active Agents Leaders above UM</v>
      </c>
      <c r="C2487" s="4" t="str">
        <f>CHOOSE(2, "5461730030", "Jun 26")</f>
        <v>Jun 26</v>
      </c>
      <c r="D2487" s="14">
        <v>0.18421052631578946</v>
      </c>
    </row>
    <row r="2488" spans="1:4" x14ac:dyDescent="0.35">
      <c r="A2488" s="5" t="str">
        <f t="shared" si="1278"/>
        <v>MFA</v>
      </c>
      <c r="B2488" s="6" t="str">
        <f t="shared" si="1282"/>
        <v>% of 1-Month Active Agents Leaders above UM</v>
      </c>
      <c r="C2488" s="4" t="str">
        <f>CHOOSE(2, "5462030031", "Jul 26")</f>
        <v>Jul 26</v>
      </c>
      <c r="D2488" s="14">
        <v>0.15789473684210525</v>
      </c>
    </row>
    <row r="2489" spans="1:4" x14ac:dyDescent="0.35">
      <c r="A2489" s="5" t="str">
        <f t="shared" si="1278"/>
        <v>MFA</v>
      </c>
      <c r="B2489" s="3" t="str">
        <f t="shared" ref="B2489:B2490" si="1283">CHOOSE(2, "1395000000542", "% of 1-Month Active Agents Top-tier agents")</f>
        <v>% of 1-Month Active Agents Top-tier agents</v>
      </c>
      <c r="C2489" s="4" t="str">
        <f>CHOOSE(2, "5461730030", "Jun 26")</f>
        <v>Jun 26</v>
      </c>
      <c r="D2489" s="14">
        <v>0.7696629213483146</v>
      </c>
    </row>
    <row r="2490" spans="1:4" x14ac:dyDescent="0.35">
      <c r="A2490" s="5" t="str">
        <f t="shared" si="1278"/>
        <v>MFA</v>
      </c>
      <c r="B2490" s="6" t="str">
        <f t="shared" si="1283"/>
        <v>% of 1-Month Active Agents Top-tier agents</v>
      </c>
      <c r="C2490" s="4" t="str">
        <f>CHOOSE(2, "5462030031", "Jul 26")</f>
        <v>Jul 26</v>
      </c>
      <c r="D2490" s="14">
        <v>0.71369863013698631</v>
      </c>
    </row>
    <row r="2491" spans="1:4" x14ac:dyDescent="0.35">
      <c r="A2491" s="5" t="str">
        <f t="shared" si="1278"/>
        <v>MFA</v>
      </c>
      <c r="B2491" s="3" t="str">
        <f t="shared" ref="B2491:B2492" si="1284">CHOOSE(2, "1395000000541", "% of 1-Month Active Agents FA or equivalent")</f>
        <v>% of 1-Month Active Agents FA or equivalent</v>
      </c>
      <c r="C2491" s="4" t="str">
        <f>CHOOSE(2, "5461730030", "Jun 26")</f>
        <v>Jun 26</v>
      </c>
      <c r="D2491" s="14">
        <v>0.56398940864960279</v>
      </c>
    </row>
    <row r="2492" spans="1:4" x14ac:dyDescent="0.35">
      <c r="A2492" s="5" t="str">
        <f t="shared" si="1278"/>
        <v>MFA</v>
      </c>
      <c r="B2492" s="6" t="str">
        <f t="shared" si="1284"/>
        <v>% of 1-Month Active Agents FA or equivalent</v>
      </c>
      <c r="C2492" s="4" t="str">
        <f>CHOOSE(2, "5462030031", "Jul 26")</f>
        <v>Jul 26</v>
      </c>
      <c r="D2492" s="14">
        <v>0.54022988505747127</v>
      </c>
    </row>
    <row r="2493" spans="1:4" x14ac:dyDescent="0.35">
      <c r="A2493" s="5" t="str">
        <f t="shared" si="1278"/>
        <v>MFA</v>
      </c>
      <c r="B2493" s="3" t="str">
        <f t="shared" ref="B2493:B2494" si="1285">CHOOSE(2, "1395000000540", "% of 1-Month Active Agents pro-rated MDRT agents (&gt;100%)")</f>
        <v>% of 1-Month Active Agents pro-rated MDRT agents (&gt;100%)</v>
      </c>
      <c r="C2493" s="4" t="str">
        <f>CHOOSE(2, "5461730030", "Jun 26")</f>
        <v>Jun 26</v>
      </c>
      <c r="D2493" s="14">
        <v>0.81237911025145071</v>
      </c>
    </row>
    <row r="2494" spans="1:4" x14ac:dyDescent="0.35">
      <c r="A2494" s="5" t="str">
        <f t="shared" si="1278"/>
        <v>MFA</v>
      </c>
      <c r="B2494" s="6" t="str">
        <f t="shared" si="1285"/>
        <v>% of 1-Month Active Agents pro-rated MDRT agents (&gt;100%)</v>
      </c>
      <c r="C2494" s="4" t="str">
        <f>CHOOSE(2, "5462030031", "Jul 26")</f>
        <v>Jul 26</v>
      </c>
      <c r="D2494" s="14">
        <v>0.76836158192090398</v>
      </c>
    </row>
    <row r="2495" spans="1:4" x14ac:dyDescent="0.35">
      <c r="A2495" s="5" t="str">
        <f t="shared" si="1278"/>
        <v>MFA</v>
      </c>
      <c r="B2495" s="3" t="str">
        <f t="shared" ref="B2495:B2496" si="1286">CHOOSE(2, "1395000000539", "% of 1-Month Active Agents pro-rated MDRT agents (70-99%)")</f>
        <v>% of 1-Month Active Agents pro-rated MDRT agents (70-99%)</v>
      </c>
      <c r="C2495" s="4" t="str">
        <f>CHOOSE(2, "5461730030", "Jun 26")</f>
        <v>Jun 26</v>
      </c>
      <c r="D2495" s="14">
        <v>0.66019417475728159</v>
      </c>
    </row>
    <row r="2496" spans="1:4" x14ac:dyDescent="0.35">
      <c r="A2496" s="5" t="str">
        <f t="shared" si="1278"/>
        <v>MFA</v>
      </c>
      <c r="B2496" s="6" t="str">
        <f t="shared" si="1286"/>
        <v>% of 1-Month Active Agents pro-rated MDRT agents (70-99%)</v>
      </c>
      <c r="C2496" s="4" t="str">
        <f>CHOOSE(2, "5462030031", "Jul 26")</f>
        <v>Jul 26</v>
      </c>
      <c r="D2496" s="14">
        <v>0.580952380952381</v>
      </c>
    </row>
    <row r="2497" spans="1:4" x14ac:dyDescent="0.35">
      <c r="A2497" s="5" t="str">
        <f t="shared" si="1278"/>
        <v>MFA</v>
      </c>
      <c r="B2497" s="3" t="str">
        <f t="shared" ref="B2497:B2498" si="1287">CHOOSE(2, "1395000000538", "% of 1-Month Active Agents pro-rated MDRT agents (50-69%)")</f>
        <v>% of 1-Month Active Agents pro-rated MDRT agents (50-69%)</v>
      </c>
      <c r="C2497" s="4" t="str">
        <f>CHOOSE(2, "5461730030", "Jun 26")</f>
        <v>Jun 26</v>
      </c>
      <c r="D2497" s="14">
        <v>0.65217391304347827</v>
      </c>
    </row>
    <row r="2498" spans="1:4" x14ac:dyDescent="0.35">
      <c r="A2498" s="5" t="str">
        <f t="shared" si="1278"/>
        <v>MFA</v>
      </c>
      <c r="B2498" s="6" t="str">
        <f t="shared" si="1287"/>
        <v>% of 1-Month Active Agents pro-rated MDRT agents (50-69%)</v>
      </c>
      <c r="C2498" s="4" t="str">
        <f>CHOOSE(2, "5462030031", "Jul 26")</f>
        <v>Jul 26</v>
      </c>
      <c r="D2498" s="14">
        <v>0.55319148936170215</v>
      </c>
    </row>
    <row r="2499" spans="1:4" x14ac:dyDescent="0.35">
      <c r="A2499" s="5" t="str">
        <f t="shared" si="1278"/>
        <v>MFA</v>
      </c>
      <c r="B2499" s="3" t="str">
        <f t="shared" ref="B2499:B2500" si="1288">CHOOSE(2, "1395000000537", "Avg. Case count per 1-Month Active Agent UM")</f>
        <v>Avg. Case count per 1-Month Active Agent UM</v>
      </c>
      <c r="C2499" s="4" t="str">
        <f>CHOOSE(2, "5461730030", "Jun 26")</f>
        <v>Jun 26</v>
      </c>
      <c r="D2499" s="14">
        <v>3.236842105263158</v>
      </c>
    </row>
    <row r="2500" spans="1:4" x14ac:dyDescent="0.35">
      <c r="A2500" s="5" t="str">
        <f t="shared" si="1278"/>
        <v>MFA</v>
      </c>
      <c r="B2500" s="6" t="str">
        <f t="shared" si="1288"/>
        <v>Avg. Case count per 1-Month Active Agent UM</v>
      </c>
      <c r="C2500" s="4" t="str">
        <f>CHOOSE(2, "5462030031", "Jul 26")</f>
        <v>Jul 26</v>
      </c>
      <c r="D2500" s="14">
        <v>2.9589041095890409</v>
      </c>
    </row>
    <row r="2501" spans="1:4" x14ac:dyDescent="0.35">
      <c r="A2501" s="5" t="str">
        <f t="shared" si="1278"/>
        <v>MFA</v>
      </c>
      <c r="B2501" s="3" t="str">
        <f t="shared" ref="B2501:B2502" si="1289">CHOOSE(2, "1395000000536", "Avg. Case count per 1-Month Active Agent Leaders above UM")</f>
        <v>Avg. Case count per 1-Month Active Agent Leaders above UM</v>
      </c>
      <c r="C2501" s="4" t="str">
        <f>CHOOSE(2, "5461730030", "Jun 26")</f>
        <v>Jun 26</v>
      </c>
      <c r="D2501" s="14">
        <v>5.1428571428571432</v>
      </c>
    </row>
    <row r="2502" spans="1:4" x14ac:dyDescent="0.35">
      <c r="A2502" s="5" t="str">
        <f t="shared" si="1278"/>
        <v>MFA</v>
      </c>
      <c r="B2502" s="6" t="str">
        <f t="shared" si="1289"/>
        <v>Avg. Case count per 1-Month Active Agent Leaders above UM</v>
      </c>
      <c r="C2502" s="4" t="str">
        <f>CHOOSE(2, "5462030031", "Jul 26")</f>
        <v>Jul 26</v>
      </c>
      <c r="D2502" s="14">
        <v>5.166666666666667</v>
      </c>
    </row>
    <row r="2503" spans="1:4" x14ac:dyDescent="0.35">
      <c r="A2503" s="5" t="str">
        <f t="shared" si="1278"/>
        <v>MFA</v>
      </c>
      <c r="B2503" s="3" t="str">
        <f t="shared" ref="B2503:B2504" si="1290">CHOOSE(2, "1395000000535", "Avg. Case count per 1-Month Active Agent Top-tier agents")</f>
        <v>Avg. Case count per 1-Month Active Agent Top-tier agents</v>
      </c>
      <c r="C2503" s="4" t="str">
        <f>CHOOSE(2, "5461730030", "Jun 26")</f>
        <v>Jun 26</v>
      </c>
      <c r="D2503" s="14">
        <v>4.1715328467153281</v>
      </c>
    </row>
    <row r="2504" spans="1:4" x14ac:dyDescent="0.35">
      <c r="A2504" s="5" t="str">
        <f t="shared" si="1278"/>
        <v>MFA</v>
      </c>
      <c r="B2504" s="6" t="str">
        <f t="shared" si="1290"/>
        <v>Avg. Case count per 1-Month Active Agent Top-tier agents</v>
      </c>
      <c r="C2504" s="4" t="str">
        <f>CHOOSE(2, "5462030031", "Jul 26")</f>
        <v>Jul 26</v>
      </c>
      <c r="D2504" s="14">
        <v>3.9155470249520152</v>
      </c>
    </row>
    <row r="2505" spans="1:4" x14ac:dyDescent="0.35">
      <c r="A2505" s="5" t="str">
        <f t="shared" si="1278"/>
        <v>MFA</v>
      </c>
      <c r="B2505" s="3" t="str">
        <f t="shared" ref="B2505:B2506" si="1291">CHOOSE(2, "1395000000534", "Avg. Case count per 1-Month Manulife Pro Qualifiers - Total")</f>
        <v>Avg. Case count per 1-Month Manulife Pro Qualifiers - Total</v>
      </c>
      <c r="C2505" s="4" t="str">
        <f>CHOOSE(2, "5461730030", "Jun 26")</f>
        <v>Jun 26</v>
      </c>
      <c r="D2505" s="14">
        <v>0</v>
      </c>
    </row>
    <row r="2506" spans="1:4" x14ac:dyDescent="0.35">
      <c r="A2506" s="5" t="str">
        <f t="shared" si="1278"/>
        <v>MFA</v>
      </c>
      <c r="B2506" s="6" t="str">
        <f t="shared" si="1291"/>
        <v>Avg. Case count per 1-Month Manulife Pro Qualifiers - Total</v>
      </c>
      <c r="C2506" s="4" t="str">
        <f>CHOOSE(2, "5462030031", "Jul 26")</f>
        <v>Jul 26</v>
      </c>
      <c r="D2506" s="14">
        <v>0</v>
      </c>
    </row>
    <row r="2507" spans="1:4" x14ac:dyDescent="0.35">
      <c r="A2507" s="5" t="str">
        <f t="shared" si="1278"/>
        <v>MFA</v>
      </c>
      <c r="B2507" s="3" t="str">
        <f t="shared" ref="B2507:B2508" si="1292">CHOOSE(2, "1395000000533", "Avg. Case count per 1-Month Active Agent FA or equivalent")</f>
        <v>Avg. Case count per 1-Month Active Agent FA or equivalent</v>
      </c>
      <c r="C2507" s="4" t="str">
        <f>CHOOSE(2, "5461730030", "Jun 26")</f>
        <v>Jun 26</v>
      </c>
      <c r="D2507" s="14">
        <v>3.7746478873239435</v>
      </c>
    </row>
    <row r="2508" spans="1:4" x14ac:dyDescent="0.35">
      <c r="A2508" s="5" t="str">
        <f t="shared" si="1278"/>
        <v>MFA</v>
      </c>
      <c r="B2508" s="6" t="str">
        <f t="shared" si="1292"/>
        <v>Avg. Case count per 1-Month Active Agent FA or equivalent</v>
      </c>
      <c r="C2508" s="4" t="str">
        <f>CHOOSE(2, "5462030031", "Jul 26")</f>
        <v>Jul 26</v>
      </c>
      <c r="D2508" s="14">
        <v>3.5270049099836336</v>
      </c>
    </row>
    <row r="2509" spans="1:4" x14ac:dyDescent="0.35">
      <c r="A2509" s="5" t="str">
        <f t="shared" si="1278"/>
        <v>MFA</v>
      </c>
      <c r="B2509" s="3" t="str">
        <f t="shared" ref="B2509:B2510" si="1293">CHOOSE(2, "1395000000532", "Avg. Case count per 1-Month pro-rated MDRT agents (&gt;100%)")</f>
        <v>Avg. Case count per 1-Month pro-rated MDRT agents (&gt;100%)</v>
      </c>
      <c r="C2509" s="4" t="str">
        <f>CHOOSE(2, "5461730030", "Jun 26")</f>
        <v>Jun 26</v>
      </c>
      <c r="D2509" s="14">
        <v>4.5071428571428571</v>
      </c>
    </row>
    <row r="2510" spans="1:4" x14ac:dyDescent="0.35">
      <c r="A2510" s="5" t="str">
        <f t="shared" si="1278"/>
        <v>MFA</v>
      </c>
      <c r="B2510" s="6" t="str">
        <f t="shared" si="1293"/>
        <v>Avg. Case count per 1-Month pro-rated MDRT agents (&gt;100%)</v>
      </c>
      <c r="C2510" s="4" t="str">
        <f>CHOOSE(2, "5462030031", "Jul 26")</f>
        <v>Jul 26</v>
      </c>
      <c r="D2510" s="14">
        <v>4.1446078431372548</v>
      </c>
    </row>
    <row r="2511" spans="1:4" x14ac:dyDescent="0.35">
      <c r="A2511" s="5" t="str">
        <f t="shared" si="1278"/>
        <v>MFA</v>
      </c>
      <c r="B2511" s="3" t="str">
        <f t="shared" ref="B2511:B2512" si="1294">CHOOSE(2, "1395000000531", "Avg. Case count per 1-Month pro-rated MDRT agents (70-99%)")</f>
        <v>Avg. Case count per 1-Month pro-rated MDRT agents (70-99%)</v>
      </c>
      <c r="C2511" s="4" t="str">
        <f>CHOOSE(2, "5461730030", "Jun 26")</f>
        <v>Jun 26</v>
      </c>
      <c r="D2511" s="14">
        <v>3.1470588235294117</v>
      </c>
    </row>
    <row r="2512" spans="1:4" x14ac:dyDescent="0.35">
      <c r="A2512" s="5" t="str">
        <f t="shared" si="1278"/>
        <v>MFA</v>
      </c>
      <c r="B2512" s="6" t="str">
        <f t="shared" si="1294"/>
        <v>Avg. Case count per 1-Month pro-rated MDRT agents (70-99%)</v>
      </c>
      <c r="C2512" s="4" t="str">
        <f>CHOOSE(2, "5462030031", "Jul 26")</f>
        <v>Jul 26</v>
      </c>
      <c r="D2512" s="14">
        <v>3.5081967213114753</v>
      </c>
    </row>
    <row r="2513" spans="1:4" x14ac:dyDescent="0.35">
      <c r="A2513" s="5" t="str">
        <f t="shared" si="1278"/>
        <v>MFA</v>
      </c>
      <c r="B2513" s="3" t="str">
        <f t="shared" ref="B2513:B2514" si="1295">CHOOSE(2, "1395000000530", "Avg. Case count per 1-Month pro-rated MDRT agents (50-69%)")</f>
        <v>Avg. Case count per 1-Month pro-rated MDRT agents (50-69%)</v>
      </c>
      <c r="C2513" s="4" t="str">
        <f>CHOOSE(2, "5461730030", "Jun 26")</f>
        <v>Jun 26</v>
      </c>
      <c r="D2513" s="14">
        <v>2.9833333333333334</v>
      </c>
    </row>
    <row r="2514" spans="1:4" x14ac:dyDescent="0.35">
      <c r="A2514" s="6" t="str">
        <f t="shared" si="1278"/>
        <v>MFA</v>
      </c>
      <c r="B2514" s="6" t="str">
        <f t="shared" si="1295"/>
        <v>Avg. Case count per 1-Month pro-rated MDRT agents (50-69%)</v>
      </c>
      <c r="C2514" s="4" t="str">
        <f>CHOOSE(2, "5462030031", "Jul 26")</f>
        <v>Jul 26</v>
      </c>
      <c r="D2514" s="14">
        <v>2.5961538461538463</v>
      </c>
    </row>
    <row r="2515" spans="1:4" x14ac:dyDescent="0.35">
      <c r="A2515" s="7" t="str">
        <f t="shared" ref="A2515:A2578" si="1296">CHOOSE(2, "204000000003", "Singapore")</f>
        <v>Singapore</v>
      </c>
      <c r="B2515" s="3" t="str">
        <f t="shared" ref="B2515:B2516" si="1297">CHOOSE(2, "1395000000741", "Submitted APE")</f>
        <v>Submitted APE</v>
      </c>
      <c r="C2515" s="4" t="str">
        <f>CHOOSE(2, "5461730030", "Jun 26")</f>
        <v>Jun 26</v>
      </c>
      <c r="D2515" s="14">
        <v>45530426.568668395</v>
      </c>
    </row>
    <row r="2516" spans="1:4" x14ac:dyDescent="0.35">
      <c r="A2516" s="8" t="str">
        <f t="shared" si="1296"/>
        <v>Singapore</v>
      </c>
      <c r="B2516" s="6" t="str">
        <f t="shared" si="1297"/>
        <v>Submitted APE</v>
      </c>
      <c r="C2516" s="4" t="str">
        <f>CHOOSE(2, "5462030031", "Jul 26")</f>
        <v>Jul 26</v>
      </c>
      <c r="D2516" s="14">
        <v>29798650.209911123</v>
      </c>
    </row>
    <row r="2517" spans="1:4" x14ac:dyDescent="0.35">
      <c r="A2517" s="8" t="str">
        <f t="shared" si="1296"/>
        <v>Singapore</v>
      </c>
      <c r="B2517" s="3" t="str">
        <f t="shared" ref="B2517:B2518" si="1298">CHOOSE(2, "1395000000740", "# of 1-Month Active Agents")</f>
        <v># of 1-Month Active Agents</v>
      </c>
      <c r="C2517" s="4" t="str">
        <f>CHOOSE(2, "5461730030", "Jun 26")</f>
        <v>Jun 26</v>
      </c>
      <c r="D2517" s="14">
        <v>1060</v>
      </c>
    </row>
    <row r="2518" spans="1:4" x14ac:dyDescent="0.35">
      <c r="A2518" s="8" t="str">
        <f t="shared" si="1296"/>
        <v>Singapore</v>
      </c>
      <c r="B2518" s="6" t="str">
        <f t="shared" si="1298"/>
        <v># of 1-Month Active Agents</v>
      </c>
      <c r="C2518" s="4" t="str">
        <f>CHOOSE(2, "5462030031", "Jul 26")</f>
        <v>Jul 26</v>
      </c>
      <c r="D2518" s="14">
        <v>1004</v>
      </c>
    </row>
    <row r="2519" spans="1:4" x14ac:dyDescent="0.35">
      <c r="A2519" s="8" t="str">
        <f t="shared" si="1296"/>
        <v>Singapore</v>
      </c>
      <c r="B2519" s="3" t="str">
        <f t="shared" ref="B2519:B2520" si="1299">CHOOSE(2, "1395000000739", "# of 1-Month Active Agents in 0-1M")</f>
        <v># of 1-Month Active Agents in 0-1M</v>
      </c>
      <c r="C2519" s="4" t="str">
        <f>CHOOSE(2, "5461730030", "Jun 26")</f>
        <v>Jun 26</v>
      </c>
      <c r="D2519" s="14">
        <v>2</v>
      </c>
    </row>
    <row r="2520" spans="1:4" x14ac:dyDescent="0.35">
      <c r="A2520" s="8" t="str">
        <f t="shared" si="1296"/>
        <v>Singapore</v>
      </c>
      <c r="B2520" s="6" t="str">
        <f t="shared" si="1299"/>
        <v># of 1-Month Active Agents in 0-1M</v>
      </c>
      <c r="C2520" s="4" t="str">
        <f>CHOOSE(2, "5462030031", "Jul 26")</f>
        <v>Jul 26</v>
      </c>
      <c r="D2520" s="14">
        <v>3</v>
      </c>
    </row>
    <row r="2521" spans="1:4" x14ac:dyDescent="0.35">
      <c r="A2521" s="8" t="str">
        <f t="shared" si="1296"/>
        <v>Singapore</v>
      </c>
      <c r="B2521" s="3" t="str">
        <f t="shared" ref="B2521:B2522" si="1300">CHOOSE(2, "1395000000738", "# of 1-Month Active Agents in 2-3M")</f>
        <v># of 1-Month Active Agents in 2-3M</v>
      </c>
      <c r="C2521" s="4" t="str">
        <f>CHOOSE(2, "5461730030", "Jun 26")</f>
        <v>Jun 26</v>
      </c>
      <c r="D2521" s="14">
        <v>37</v>
      </c>
    </row>
    <row r="2522" spans="1:4" x14ac:dyDescent="0.35">
      <c r="A2522" s="8" t="str">
        <f t="shared" si="1296"/>
        <v>Singapore</v>
      </c>
      <c r="B2522" s="6" t="str">
        <f t="shared" si="1300"/>
        <v># of 1-Month Active Agents in 2-3M</v>
      </c>
      <c r="C2522" s="4" t="str">
        <f>CHOOSE(2, "5462030031", "Jul 26")</f>
        <v>Jul 26</v>
      </c>
      <c r="D2522" s="14">
        <v>39</v>
      </c>
    </row>
    <row r="2523" spans="1:4" x14ac:dyDescent="0.35">
      <c r="A2523" s="8" t="str">
        <f t="shared" si="1296"/>
        <v>Singapore</v>
      </c>
      <c r="B2523" s="3" t="str">
        <f t="shared" ref="B2523:B2524" si="1301">CHOOSE(2, "1395000000737", "# of 1-Month Active Agents in 4-12M")</f>
        <v># of 1-Month Active Agents in 4-12M</v>
      </c>
      <c r="C2523" s="4" t="str">
        <f>CHOOSE(2, "5461730030", "Jun 26")</f>
        <v>Jun 26</v>
      </c>
      <c r="D2523" s="14">
        <v>131</v>
      </c>
    </row>
    <row r="2524" spans="1:4" x14ac:dyDescent="0.35">
      <c r="A2524" s="8" t="str">
        <f t="shared" si="1296"/>
        <v>Singapore</v>
      </c>
      <c r="B2524" s="6" t="str">
        <f t="shared" si="1301"/>
        <v># of 1-Month Active Agents in 4-12M</v>
      </c>
      <c r="C2524" s="4" t="str">
        <f>CHOOSE(2, "5462030031", "Jul 26")</f>
        <v>Jul 26</v>
      </c>
      <c r="D2524" s="14">
        <v>112</v>
      </c>
    </row>
    <row r="2525" spans="1:4" x14ac:dyDescent="0.35">
      <c r="A2525" s="8" t="str">
        <f t="shared" si="1296"/>
        <v>Singapore</v>
      </c>
      <c r="B2525" s="3" t="str">
        <f t="shared" ref="B2525:B2526" si="1302">CHOOSE(2, "1395000000736", "# of 1-Month Active Agents 13+M")</f>
        <v># of 1-Month Active Agents 13+M</v>
      </c>
      <c r="C2525" s="4" t="str">
        <f>CHOOSE(2, "5461730030", "Jun 26")</f>
        <v>Jun 26</v>
      </c>
      <c r="D2525" s="14">
        <v>890</v>
      </c>
    </row>
    <row r="2526" spans="1:4" x14ac:dyDescent="0.35">
      <c r="A2526" s="8" t="str">
        <f t="shared" si="1296"/>
        <v>Singapore</v>
      </c>
      <c r="B2526" s="6" t="str">
        <f t="shared" si="1302"/>
        <v># of 1-Month Active Agents 13+M</v>
      </c>
      <c r="C2526" s="4" t="str">
        <f>CHOOSE(2, "5462030031", "Jul 26")</f>
        <v>Jul 26</v>
      </c>
      <c r="D2526" s="14">
        <v>850</v>
      </c>
    </row>
    <row r="2527" spans="1:4" x14ac:dyDescent="0.35">
      <c r="A2527" s="8" t="str">
        <f t="shared" si="1296"/>
        <v>Singapore</v>
      </c>
      <c r="B2527" s="3" t="str">
        <f t="shared" ref="B2527:B2528" si="1303">CHOOSE(2, "1395000000735", "# of 1-Month Active Agents in FA or equivalent")</f>
        <v># of 1-Month Active Agents in FA or equivalent</v>
      </c>
      <c r="C2527" s="4" t="str">
        <f>CHOOSE(2, "5461730030", "Jun 26")</f>
        <v>Jun 26</v>
      </c>
      <c r="D2527" s="14">
        <v>924</v>
      </c>
    </row>
    <row r="2528" spans="1:4" x14ac:dyDescent="0.35">
      <c r="A2528" s="8" t="str">
        <f t="shared" si="1296"/>
        <v>Singapore</v>
      </c>
      <c r="B2528" s="6" t="str">
        <f t="shared" si="1303"/>
        <v># of 1-Month Active Agents in FA or equivalent</v>
      </c>
      <c r="C2528" s="4" t="str">
        <f>CHOOSE(2, "5462030031", "Jul 26")</f>
        <v>Jul 26</v>
      </c>
      <c r="D2528" s="14">
        <v>881</v>
      </c>
    </row>
    <row r="2529" spans="1:4" x14ac:dyDescent="0.35">
      <c r="A2529" s="8" t="str">
        <f t="shared" si="1296"/>
        <v>Singapore</v>
      </c>
      <c r="B2529" s="3" t="str">
        <f t="shared" ref="B2529:B2530" si="1304">CHOOSE(2, "1395000000734", "# of 1-Month Active Agents in UM")</f>
        <v># of 1-Month Active Agents in UM</v>
      </c>
      <c r="C2529" s="4" t="str">
        <f>CHOOSE(2, "5461730030", "Jun 26")</f>
        <v>Jun 26</v>
      </c>
      <c r="D2529" s="14">
        <v>121</v>
      </c>
    </row>
    <row r="2530" spans="1:4" x14ac:dyDescent="0.35">
      <c r="A2530" s="8" t="str">
        <f t="shared" si="1296"/>
        <v>Singapore</v>
      </c>
      <c r="B2530" s="6" t="str">
        <f t="shared" si="1304"/>
        <v># of 1-Month Active Agents in UM</v>
      </c>
      <c r="C2530" s="4" t="str">
        <f>CHOOSE(2, "5462030031", "Jul 26")</f>
        <v>Jul 26</v>
      </c>
      <c r="D2530" s="14">
        <v>111</v>
      </c>
    </row>
    <row r="2531" spans="1:4" x14ac:dyDescent="0.35">
      <c r="A2531" s="8" t="str">
        <f t="shared" si="1296"/>
        <v>Singapore</v>
      </c>
      <c r="B2531" s="3" t="str">
        <f t="shared" ref="B2531:B2532" si="1305">CHOOSE(2, "1395000000733", "# of 1-Month Active Agents in Leaders above UM")</f>
        <v># of 1-Month Active Agents in Leaders above UM</v>
      </c>
      <c r="C2531" s="4" t="str">
        <f>CHOOSE(2, "5461730030", "Jun 26")</f>
        <v>Jun 26</v>
      </c>
      <c r="D2531" s="14">
        <v>15</v>
      </c>
    </row>
    <row r="2532" spans="1:4" x14ac:dyDescent="0.35">
      <c r="A2532" s="8" t="str">
        <f t="shared" si="1296"/>
        <v>Singapore</v>
      </c>
      <c r="B2532" s="6" t="str">
        <f t="shared" si="1305"/>
        <v># of 1-Month Active Agents in Leaders above UM</v>
      </c>
      <c r="C2532" s="4" t="str">
        <f>CHOOSE(2, "5462030031", "Jul 26")</f>
        <v>Jul 26</v>
      </c>
      <c r="D2532" s="14">
        <v>12</v>
      </c>
    </row>
    <row r="2533" spans="1:4" x14ac:dyDescent="0.35">
      <c r="A2533" s="8" t="str">
        <f t="shared" si="1296"/>
        <v>Singapore</v>
      </c>
      <c r="B2533" s="3" t="str">
        <f t="shared" ref="B2533:B2534" si="1306">CHOOSE(2, "1395000000732", "# of 1-Month Active Top-tier Agents")</f>
        <v># of 1-Month Active Top-tier Agents</v>
      </c>
      <c r="C2533" s="4" t="str">
        <f>CHOOSE(2, "5461730030", "Jun 26")</f>
        <v>Jun 26</v>
      </c>
      <c r="D2533" s="14">
        <v>772</v>
      </c>
    </row>
    <row r="2534" spans="1:4" x14ac:dyDescent="0.35">
      <c r="A2534" s="8" t="str">
        <f t="shared" si="1296"/>
        <v>Singapore</v>
      </c>
      <c r="B2534" s="6" t="str">
        <f t="shared" si="1306"/>
        <v># of 1-Month Active Top-tier Agents</v>
      </c>
      <c r="C2534" s="4" t="str">
        <f>CHOOSE(2, "5462030031", "Jul 26")</f>
        <v>Jul 26</v>
      </c>
      <c r="D2534" s="14">
        <v>727</v>
      </c>
    </row>
    <row r="2535" spans="1:4" x14ac:dyDescent="0.35">
      <c r="A2535" s="8" t="str">
        <f t="shared" si="1296"/>
        <v>Singapore</v>
      </c>
      <c r="B2535" s="3" t="str">
        <f t="shared" ref="B2535:B2536" si="1307">CHOOSE(2, "1395000000731", "# of 1-Month Active Agents in pro-rated MDRT agents (&gt;100%)")</f>
        <v># of 1-Month Active Agents in pro-rated MDRT agents (&gt;100%)</v>
      </c>
      <c r="C2535" s="4" t="str">
        <f>CHOOSE(2, "5461730030", "Jun 26")</f>
        <v>Jun 26</v>
      </c>
      <c r="D2535" s="14">
        <v>591</v>
      </c>
    </row>
    <row r="2536" spans="1:4" x14ac:dyDescent="0.35">
      <c r="A2536" s="8" t="str">
        <f t="shared" si="1296"/>
        <v>Singapore</v>
      </c>
      <c r="B2536" s="6" t="str">
        <f t="shared" si="1307"/>
        <v># of 1-Month Active Agents in pro-rated MDRT agents (&gt;100%)</v>
      </c>
      <c r="C2536" s="4" t="str">
        <f>CHOOSE(2, "5462030031", "Jul 26")</f>
        <v>Jul 26</v>
      </c>
      <c r="D2536" s="14">
        <v>559</v>
      </c>
    </row>
    <row r="2537" spans="1:4" x14ac:dyDescent="0.35">
      <c r="A2537" s="8" t="str">
        <f t="shared" si="1296"/>
        <v>Singapore</v>
      </c>
      <c r="B2537" s="3" t="str">
        <f t="shared" ref="B2537:B2538" si="1308">CHOOSE(2, "1395000000730", "# of 1-Month Active Agents in pro-rated MDRT agents (70-99%)")</f>
        <v># of 1-Month Active Agents in pro-rated MDRT agents (70-99%)</v>
      </c>
      <c r="C2537" s="4" t="str">
        <f>CHOOSE(2, "5461730030", "Jun 26")</f>
        <v>Jun 26</v>
      </c>
      <c r="D2537" s="14">
        <v>100</v>
      </c>
    </row>
    <row r="2538" spans="1:4" x14ac:dyDescent="0.35">
      <c r="A2538" s="8" t="str">
        <f t="shared" si="1296"/>
        <v>Singapore</v>
      </c>
      <c r="B2538" s="6" t="str">
        <f t="shared" si="1308"/>
        <v># of 1-Month Active Agents in pro-rated MDRT agents (70-99%)</v>
      </c>
      <c r="C2538" s="4" t="str">
        <f>CHOOSE(2, "5462030031", "Jul 26")</f>
        <v>Jul 26</v>
      </c>
      <c r="D2538" s="14">
        <v>93</v>
      </c>
    </row>
    <row r="2539" spans="1:4" x14ac:dyDescent="0.35">
      <c r="A2539" s="8" t="str">
        <f t="shared" si="1296"/>
        <v>Singapore</v>
      </c>
      <c r="B2539" s="3" t="str">
        <f t="shared" ref="B2539:B2540" si="1309">CHOOSE(2, "1395000000729", "# of 1-Month Active Agents in pro-rated MDRT agents (50-69%)")</f>
        <v># of 1-Month Active Agents in pro-rated MDRT agents (50-69%)</v>
      </c>
      <c r="C2539" s="4" t="str">
        <f>CHOOSE(2, "5461730030", "Jun 26")</f>
        <v>Jun 26</v>
      </c>
      <c r="D2539" s="14">
        <v>81</v>
      </c>
    </row>
    <row r="2540" spans="1:4" x14ac:dyDescent="0.35">
      <c r="A2540" s="8" t="str">
        <f t="shared" si="1296"/>
        <v>Singapore</v>
      </c>
      <c r="B2540" s="6" t="str">
        <f t="shared" si="1309"/>
        <v># of 1-Month Active Agents in pro-rated MDRT agents (50-69%)</v>
      </c>
      <c r="C2540" s="4" t="str">
        <f>CHOOSE(2, "5462030031", "Jul 26")</f>
        <v>Jul 26</v>
      </c>
      <c r="D2540" s="14">
        <v>75</v>
      </c>
    </row>
    <row r="2541" spans="1:4" x14ac:dyDescent="0.35">
      <c r="A2541" s="8" t="str">
        <f t="shared" si="1296"/>
        <v>Singapore</v>
      </c>
      <c r="B2541" s="3" t="str">
        <f t="shared" ref="B2541:B2542" si="1310">CHOOSE(2, "1395000000728", "# of 1-Month Active Agents in Manulife Pro Qualifiers -Total")</f>
        <v># of 1-Month Active Agents in Manulife Pro Qualifiers -Total</v>
      </c>
      <c r="C2541" s="4" t="str">
        <f>CHOOSE(2, "5461730030", "Jun 26")</f>
        <v>Jun 26</v>
      </c>
      <c r="D2541" s="14">
        <v>0</v>
      </c>
    </row>
    <row r="2542" spans="1:4" x14ac:dyDescent="0.35">
      <c r="A2542" s="8" t="str">
        <f t="shared" si="1296"/>
        <v>Singapore</v>
      </c>
      <c r="B2542" s="6" t="str">
        <f t="shared" si="1310"/>
        <v># of 1-Month Active Agents in Manulife Pro Qualifiers -Total</v>
      </c>
      <c r="C2542" s="4" t="str">
        <f>CHOOSE(2, "5462030031", "Jul 26")</f>
        <v>Jul 26</v>
      </c>
      <c r="D2542" s="14">
        <v>0</v>
      </c>
    </row>
    <row r="2543" spans="1:4" x14ac:dyDescent="0.35">
      <c r="A2543" s="8" t="str">
        <f t="shared" si="1296"/>
        <v>Singapore</v>
      </c>
      <c r="B2543" s="3" t="str">
        <f t="shared" ref="B2543:B2544" si="1311">CHOOSE(2, "1395000000727", "# of 3-Month Active Agents")</f>
        <v># of 3-Month Active Agents</v>
      </c>
      <c r="C2543" s="4" t="str">
        <f>CHOOSE(2, "5461730030", "Jun 26")</f>
        <v>Jun 26</v>
      </c>
      <c r="D2543" s="14">
        <v>1424</v>
      </c>
    </row>
    <row r="2544" spans="1:4" x14ac:dyDescent="0.35">
      <c r="A2544" s="8" t="str">
        <f t="shared" si="1296"/>
        <v>Singapore</v>
      </c>
      <c r="B2544" s="6" t="str">
        <f t="shared" si="1311"/>
        <v># of 3-Month Active Agents</v>
      </c>
      <c r="C2544" s="4" t="str">
        <f>CHOOSE(2, "5462030031", "Jul 26")</f>
        <v>Jul 26</v>
      </c>
      <c r="D2544" s="14">
        <v>1453</v>
      </c>
    </row>
    <row r="2545" spans="1:4" x14ac:dyDescent="0.35">
      <c r="A2545" s="8" t="str">
        <f t="shared" si="1296"/>
        <v>Singapore</v>
      </c>
      <c r="B2545" s="3" t="str">
        <f t="shared" ref="B2545:B2546" si="1312">CHOOSE(2, "1395000000726", "# of 3-Month Active Agents in 0-1M")</f>
        <v># of 3-Month Active Agents in 0-1M</v>
      </c>
      <c r="C2545" s="4" t="str">
        <f>CHOOSE(2, "5461730030", "Jun 26")</f>
        <v>Jun 26</v>
      </c>
      <c r="D2545" s="14">
        <v>2</v>
      </c>
    </row>
    <row r="2546" spans="1:4" x14ac:dyDescent="0.35">
      <c r="A2546" s="8" t="str">
        <f t="shared" si="1296"/>
        <v>Singapore</v>
      </c>
      <c r="B2546" s="6" t="str">
        <f t="shared" si="1312"/>
        <v># of 3-Month Active Agents in 0-1M</v>
      </c>
      <c r="C2546" s="4" t="str">
        <f>CHOOSE(2, "5462030031", "Jul 26")</f>
        <v>Jul 26</v>
      </c>
      <c r="D2546" s="14">
        <v>3</v>
      </c>
    </row>
    <row r="2547" spans="1:4" x14ac:dyDescent="0.35">
      <c r="A2547" s="8" t="str">
        <f t="shared" si="1296"/>
        <v>Singapore</v>
      </c>
      <c r="B2547" s="3" t="str">
        <f t="shared" ref="B2547:B2548" si="1313">CHOOSE(2, "1395000000725", "# of 3-Month Active Agents in 2-3M")</f>
        <v># of 3-Month Active Agents in 2-3M</v>
      </c>
      <c r="C2547" s="4" t="str">
        <f>CHOOSE(2, "5461730030", "Jun 26")</f>
        <v>Jun 26</v>
      </c>
      <c r="D2547" s="14">
        <v>41</v>
      </c>
    </row>
    <row r="2548" spans="1:4" x14ac:dyDescent="0.35">
      <c r="A2548" s="8" t="str">
        <f t="shared" si="1296"/>
        <v>Singapore</v>
      </c>
      <c r="B2548" s="6" t="str">
        <f t="shared" si="1313"/>
        <v># of 3-Month Active Agents in 2-3M</v>
      </c>
      <c r="C2548" s="4" t="str">
        <f>CHOOSE(2, "5462030031", "Jul 26")</f>
        <v>Jul 26</v>
      </c>
      <c r="D2548" s="14">
        <v>45</v>
      </c>
    </row>
    <row r="2549" spans="1:4" x14ac:dyDescent="0.35">
      <c r="A2549" s="8" t="str">
        <f t="shared" si="1296"/>
        <v>Singapore</v>
      </c>
      <c r="B2549" s="3" t="str">
        <f t="shared" ref="B2549:B2550" si="1314">CHOOSE(2, "1395000000724", "# of 3-Month Active Agents in 4-12M")</f>
        <v># of 3-Month Active Agents in 4-12M</v>
      </c>
      <c r="C2549" s="4" t="str">
        <f>CHOOSE(2, "5461730030", "Jun 26")</f>
        <v>Jun 26</v>
      </c>
      <c r="D2549" s="14">
        <v>194</v>
      </c>
    </row>
    <row r="2550" spans="1:4" x14ac:dyDescent="0.35">
      <c r="A2550" s="8" t="str">
        <f t="shared" si="1296"/>
        <v>Singapore</v>
      </c>
      <c r="B2550" s="6" t="str">
        <f t="shared" si="1314"/>
        <v># of 3-Month Active Agents in 4-12M</v>
      </c>
      <c r="C2550" s="4" t="str">
        <f>CHOOSE(2, "5462030031", "Jul 26")</f>
        <v>Jul 26</v>
      </c>
      <c r="D2550" s="14">
        <v>193</v>
      </c>
    </row>
    <row r="2551" spans="1:4" x14ac:dyDescent="0.35">
      <c r="A2551" s="8" t="str">
        <f t="shared" si="1296"/>
        <v>Singapore</v>
      </c>
      <c r="B2551" s="3" t="str">
        <f t="shared" ref="B2551:B2552" si="1315">CHOOSE(2, "1395000000723", "# of 3-Month Active Agents 13+M")</f>
        <v># of 3-Month Active Agents 13+M</v>
      </c>
      <c r="C2551" s="4" t="str">
        <f>CHOOSE(2, "5461730030", "Jun 26")</f>
        <v>Jun 26</v>
      </c>
      <c r="D2551" s="14">
        <v>1187</v>
      </c>
    </row>
    <row r="2552" spans="1:4" x14ac:dyDescent="0.35">
      <c r="A2552" s="8" t="str">
        <f t="shared" si="1296"/>
        <v>Singapore</v>
      </c>
      <c r="B2552" s="6" t="str">
        <f t="shared" si="1315"/>
        <v># of 3-Month Active Agents 13+M</v>
      </c>
      <c r="C2552" s="4" t="str">
        <f>CHOOSE(2, "5462030031", "Jul 26")</f>
        <v>Jul 26</v>
      </c>
      <c r="D2552" s="14">
        <v>1212</v>
      </c>
    </row>
    <row r="2553" spans="1:4" x14ac:dyDescent="0.35">
      <c r="A2553" s="8" t="str">
        <f t="shared" si="1296"/>
        <v>Singapore</v>
      </c>
      <c r="B2553" s="3" t="str">
        <f t="shared" ref="B2553:B2554" si="1316">CHOOSE(2, "1395000000722", "# of 3-Month Active Agents in UM")</f>
        <v># of 3-Month Active Agents in UM</v>
      </c>
      <c r="C2553" s="4" t="str">
        <f>CHOOSE(2, "5461730030", "Jun 26")</f>
        <v>Jun 26</v>
      </c>
      <c r="D2553" s="2" t="s">
        <v>5</v>
      </c>
    </row>
    <row r="2554" spans="1:4" x14ac:dyDescent="0.35">
      <c r="A2554" s="8" t="str">
        <f t="shared" si="1296"/>
        <v>Singapore</v>
      </c>
      <c r="B2554" s="6" t="str">
        <f t="shared" si="1316"/>
        <v># of 3-Month Active Agents in UM</v>
      </c>
      <c r="C2554" s="4" t="str">
        <f>CHOOSE(2, "5462030031", "Jul 26")</f>
        <v>Jul 26</v>
      </c>
      <c r="D2554" s="2" t="s">
        <v>5</v>
      </c>
    </row>
    <row r="2555" spans="1:4" x14ac:dyDescent="0.35">
      <c r="A2555" s="8" t="str">
        <f t="shared" si="1296"/>
        <v>Singapore</v>
      </c>
      <c r="B2555" s="3" t="str">
        <f t="shared" ref="B2555:B2556" si="1317">CHOOSE(2, "1395000000721", "# of 3-Month Active Agents in Leaders above UM")</f>
        <v># of 3-Month Active Agents in Leaders above UM</v>
      </c>
      <c r="C2555" s="4" t="str">
        <f>CHOOSE(2, "5461730030", "Jun 26")</f>
        <v>Jun 26</v>
      </c>
      <c r="D2555" s="2" t="s">
        <v>5</v>
      </c>
    </row>
    <row r="2556" spans="1:4" x14ac:dyDescent="0.35">
      <c r="A2556" s="8" t="str">
        <f t="shared" si="1296"/>
        <v>Singapore</v>
      </c>
      <c r="B2556" s="6" t="str">
        <f t="shared" si="1317"/>
        <v># of 3-Month Active Agents in Leaders above UM</v>
      </c>
      <c r="C2556" s="4" t="str">
        <f>CHOOSE(2, "5462030031", "Jul 26")</f>
        <v>Jul 26</v>
      </c>
      <c r="D2556" s="2" t="s">
        <v>5</v>
      </c>
    </row>
    <row r="2557" spans="1:4" x14ac:dyDescent="0.35">
      <c r="A2557" s="8" t="str">
        <f t="shared" si="1296"/>
        <v>Singapore</v>
      </c>
      <c r="B2557" s="3" t="str">
        <f t="shared" ref="B2557:B2558" si="1318">CHOOSE(2, "1395000000720", "# of 3-Month Active Agents in FA or equivalent")</f>
        <v># of 3-Month Active Agents in FA or equivalent</v>
      </c>
      <c r="C2557" s="4" t="str">
        <f>CHOOSE(2, "5461730030", "Jun 26")</f>
        <v>Jun 26</v>
      </c>
      <c r="D2557" s="2" t="s">
        <v>5</v>
      </c>
    </row>
    <row r="2558" spans="1:4" x14ac:dyDescent="0.35">
      <c r="A2558" s="8" t="str">
        <f t="shared" si="1296"/>
        <v>Singapore</v>
      </c>
      <c r="B2558" s="6" t="str">
        <f t="shared" si="1318"/>
        <v># of 3-Month Active Agents in FA or equivalent</v>
      </c>
      <c r="C2558" s="4" t="str">
        <f>CHOOSE(2, "5462030031", "Jul 26")</f>
        <v>Jul 26</v>
      </c>
      <c r="D2558" s="2" t="s">
        <v>5</v>
      </c>
    </row>
    <row r="2559" spans="1:4" x14ac:dyDescent="0.35">
      <c r="A2559" s="8" t="str">
        <f t="shared" si="1296"/>
        <v>Singapore</v>
      </c>
      <c r="B2559" s="3" t="str">
        <f t="shared" ref="B2559:B2560" si="1319">CHOOSE(2, "1395000000719", "Net Case Count - Agency")</f>
        <v>Net Case Count - Agency</v>
      </c>
      <c r="C2559" s="4" t="str">
        <f>CHOOSE(2, "5461730030", "Jun 26")</f>
        <v>Jun 26</v>
      </c>
      <c r="D2559" s="14">
        <v>4006</v>
      </c>
    </row>
    <row r="2560" spans="1:4" x14ac:dyDescent="0.35">
      <c r="A2560" s="8" t="str">
        <f t="shared" si="1296"/>
        <v>Singapore</v>
      </c>
      <c r="B2560" s="6" t="str">
        <f t="shared" si="1319"/>
        <v>Net Case Count - Agency</v>
      </c>
      <c r="C2560" s="4" t="str">
        <f>CHOOSE(2, "5462030031", "Jul 26")</f>
        <v>Jul 26</v>
      </c>
      <c r="D2560" s="14">
        <v>3521</v>
      </c>
    </row>
    <row r="2561" spans="1:4" x14ac:dyDescent="0.35">
      <c r="A2561" s="8" t="str">
        <f t="shared" si="1296"/>
        <v>Singapore</v>
      </c>
      <c r="B2561" s="3" t="str">
        <f t="shared" ref="B2561:B2562" si="1320">CHOOSE(2, "1395000000718", "Net Case Count - Agency in 0-1M")</f>
        <v>Net Case Count - Agency in 0-1M</v>
      </c>
      <c r="C2561" s="4" t="str">
        <f>CHOOSE(2, "5461730030", "Jun 26")</f>
        <v>Jun 26</v>
      </c>
      <c r="D2561" s="14">
        <v>5</v>
      </c>
    </row>
    <row r="2562" spans="1:4" x14ac:dyDescent="0.35">
      <c r="A2562" s="8" t="str">
        <f t="shared" si="1296"/>
        <v>Singapore</v>
      </c>
      <c r="B2562" s="6" t="str">
        <f t="shared" si="1320"/>
        <v>Net Case Count - Agency in 0-1M</v>
      </c>
      <c r="C2562" s="4" t="str">
        <f>CHOOSE(2, "5462030031", "Jul 26")</f>
        <v>Jul 26</v>
      </c>
      <c r="D2562" s="14">
        <v>7</v>
      </c>
    </row>
    <row r="2563" spans="1:4" x14ac:dyDescent="0.35">
      <c r="A2563" s="8" t="str">
        <f t="shared" si="1296"/>
        <v>Singapore</v>
      </c>
      <c r="B2563" s="3" t="str">
        <f t="shared" ref="B2563:B2564" si="1321">CHOOSE(2, "1395000000717", "Net Case Count - Agency in 2-3M")</f>
        <v>Net Case Count - Agency in 2-3M</v>
      </c>
      <c r="C2563" s="4" t="str">
        <f>CHOOSE(2, "5461730030", "Jun 26")</f>
        <v>Jun 26</v>
      </c>
      <c r="D2563" s="14">
        <v>147</v>
      </c>
    </row>
    <row r="2564" spans="1:4" x14ac:dyDescent="0.35">
      <c r="A2564" s="8" t="str">
        <f t="shared" si="1296"/>
        <v>Singapore</v>
      </c>
      <c r="B2564" s="6" t="str">
        <f t="shared" si="1321"/>
        <v>Net Case Count - Agency in 2-3M</v>
      </c>
      <c r="C2564" s="4" t="str">
        <f>CHOOSE(2, "5462030031", "Jul 26")</f>
        <v>Jul 26</v>
      </c>
      <c r="D2564" s="14">
        <v>171</v>
      </c>
    </row>
    <row r="2565" spans="1:4" x14ac:dyDescent="0.35">
      <c r="A2565" s="8" t="str">
        <f t="shared" si="1296"/>
        <v>Singapore</v>
      </c>
      <c r="B2565" s="3" t="str">
        <f t="shared" ref="B2565:B2566" si="1322">CHOOSE(2, "1395000000716", "Net Case Count - Agency in 4-12M")</f>
        <v>Net Case Count - Agency in 4-12M</v>
      </c>
      <c r="C2565" s="4" t="str">
        <f>CHOOSE(2, "5461730030", "Jun 26")</f>
        <v>Jun 26</v>
      </c>
      <c r="D2565" s="14">
        <v>394</v>
      </c>
    </row>
    <row r="2566" spans="1:4" x14ac:dyDescent="0.35">
      <c r="A2566" s="8" t="str">
        <f t="shared" si="1296"/>
        <v>Singapore</v>
      </c>
      <c r="B2566" s="6" t="str">
        <f t="shared" si="1322"/>
        <v>Net Case Count - Agency in 4-12M</v>
      </c>
      <c r="C2566" s="4" t="str">
        <f>CHOOSE(2, "5462030031", "Jul 26")</f>
        <v>Jul 26</v>
      </c>
      <c r="D2566" s="14">
        <v>318</v>
      </c>
    </row>
    <row r="2567" spans="1:4" x14ac:dyDescent="0.35">
      <c r="A2567" s="8" t="str">
        <f t="shared" si="1296"/>
        <v>Singapore</v>
      </c>
      <c r="B2567" s="3" t="str">
        <f t="shared" ref="B2567:B2568" si="1323">CHOOSE(2, "1395000000715", "Net Case Count - Agency 13+M")</f>
        <v>Net Case Count - Agency 13+M</v>
      </c>
      <c r="C2567" s="4" t="str">
        <f>CHOOSE(2, "5461730030", "Jun 26")</f>
        <v>Jun 26</v>
      </c>
      <c r="D2567" s="14">
        <v>3460</v>
      </c>
    </row>
    <row r="2568" spans="1:4" x14ac:dyDescent="0.35">
      <c r="A2568" s="8" t="str">
        <f t="shared" si="1296"/>
        <v>Singapore</v>
      </c>
      <c r="B2568" s="6" t="str">
        <f t="shared" si="1323"/>
        <v>Net Case Count - Agency 13+M</v>
      </c>
      <c r="C2568" s="4" t="str">
        <f>CHOOSE(2, "5462030031", "Jul 26")</f>
        <v>Jul 26</v>
      </c>
      <c r="D2568" s="14">
        <v>3025</v>
      </c>
    </row>
    <row r="2569" spans="1:4" x14ac:dyDescent="0.35">
      <c r="A2569" s="8" t="str">
        <f t="shared" si="1296"/>
        <v>Singapore</v>
      </c>
      <c r="B2569" s="3" t="str">
        <f t="shared" ref="B2569:B2570" si="1324">CHOOSE(2, "1395000000714", "Net Case Count - Agency in FA or equivalent")</f>
        <v>Net Case Count - Agency in FA or equivalent</v>
      </c>
      <c r="C2569" s="4" t="str">
        <f>CHOOSE(2, "5461730030", "Jun 26")</f>
        <v>Jun 26</v>
      </c>
      <c r="D2569" s="14">
        <v>3515</v>
      </c>
    </row>
    <row r="2570" spans="1:4" x14ac:dyDescent="0.35">
      <c r="A2570" s="8" t="str">
        <f t="shared" si="1296"/>
        <v>Singapore</v>
      </c>
      <c r="B2570" s="6" t="str">
        <f t="shared" si="1324"/>
        <v>Net Case Count - Agency in FA or equivalent</v>
      </c>
      <c r="C2570" s="4" t="str">
        <f>CHOOSE(2, "5462030031", "Jul 26")</f>
        <v>Jul 26</v>
      </c>
      <c r="D2570" s="14">
        <v>3089</v>
      </c>
    </row>
    <row r="2571" spans="1:4" x14ac:dyDescent="0.35">
      <c r="A2571" s="8" t="str">
        <f t="shared" si="1296"/>
        <v>Singapore</v>
      </c>
      <c r="B2571" s="3" t="str">
        <f t="shared" ref="B2571:B2572" si="1325">CHOOSE(2, "1395000000713", "Net Case Count - Agency in UM")</f>
        <v>Net Case Count - Agency in UM</v>
      </c>
      <c r="C2571" s="4" t="str">
        <f>CHOOSE(2, "5461730030", "Jun 26")</f>
        <v>Jun 26</v>
      </c>
      <c r="D2571" s="14">
        <v>420</v>
      </c>
    </row>
    <row r="2572" spans="1:4" x14ac:dyDescent="0.35">
      <c r="A2572" s="8" t="str">
        <f t="shared" si="1296"/>
        <v>Singapore</v>
      </c>
      <c r="B2572" s="6" t="str">
        <f t="shared" si="1325"/>
        <v>Net Case Count - Agency in UM</v>
      </c>
      <c r="C2572" s="4" t="str">
        <f>CHOOSE(2, "5462030031", "Jul 26")</f>
        <v>Jul 26</v>
      </c>
      <c r="D2572" s="14">
        <v>380</v>
      </c>
    </row>
    <row r="2573" spans="1:4" x14ac:dyDescent="0.35">
      <c r="A2573" s="8" t="str">
        <f t="shared" si="1296"/>
        <v>Singapore</v>
      </c>
      <c r="B2573" s="3" t="str">
        <f t="shared" ref="B2573:B2574" si="1326">CHOOSE(2, "1395000000712", "Net Case Count - Agency in Leaders above UM")</f>
        <v>Net Case Count - Agency in Leaders above UM</v>
      </c>
      <c r="C2573" s="4" t="str">
        <f>CHOOSE(2, "5461730030", "Jun 26")</f>
        <v>Jun 26</v>
      </c>
      <c r="D2573" s="14">
        <v>71</v>
      </c>
    </row>
    <row r="2574" spans="1:4" x14ac:dyDescent="0.35">
      <c r="A2574" s="8" t="str">
        <f t="shared" si="1296"/>
        <v>Singapore</v>
      </c>
      <c r="B2574" s="6" t="str">
        <f t="shared" si="1326"/>
        <v>Net Case Count - Agency in Leaders above UM</v>
      </c>
      <c r="C2574" s="4" t="str">
        <f>CHOOSE(2, "5462030031", "Jul 26")</f>
        <v>Jul 26</v>
      </c>
      <c r="D2574" s="14">
        <v>52</v>
      </c>
    </row>
    <row r="2575" spans="1:4" x14ac:dyDescent="0.35">
      <c r="A2575" s="8" t="str">
        <f t="shared" si="1296"/>
        <v>Singapore</v>
      </c>
      <c r="B2575" s="3" t="str">
        <f t="shared" ref="B2575:B2576" si="1327">CHOOSE(2, "1395000000711", "Net Case Count - Agency in Top-tier Agents")</f>
        <v>Net Case Count - Agency in Top-tier Agents</v>
      </c>
      <c r="C2575" s="4" t="str">
        <f>CHOOSE(2, "5461730030", "Jun 26")</f>
        <v>Jun 26</v>
      </c>
      <c r="D2575" s="14">
        <v>3360</v>
      </c>
    </row>
    <row r="2576" spans="1:4" x14ac:dyDescent="0.35">
      <c r="A2576" s="8" t="str">
        <f t="shared" si="1296"/>
        <v>Singapore</v>
      </c>
      <c r="B2576" s="6" t="str">
        <f t="shared" si="1327"/>
        <v>Net Case Count - Agency in Top-tier Agents</v>
      </c>
      <c r="C2576" s="4" t="str">
        <f>CHOOSE(2, "5462030031", "Jul 26")</f>
        <v>Jul 26</v>
      </c>
      <c r="D2576" s="14">
        <v>2887</v>
      </c>
    </row>
    <row r="2577" spans="1:4" x14ac:dyDescent="0.35">
      <c r="A2577" s="8" t="str">
        <f t="shared" si="1296"/>
        <v>Singapore</v>
      </c>
      <c r="B2577" s="3" t="str">
        <f t="shared" ref="B2577:B2578" si="1328">CHOOSE(2, "1395000000710", "Net Case Count - Agency in pro-rated MDRT agents (&gt;100%)")</f>
        <v>Net Case Count - Agency in pro-rated MDRT agents (&gt;100%)</v>
      </c>
      <c r="C2577" s="4" t="str">
        <f>CHOOSE(2, "5461730030", "Jun 26")</f>
        <v>Jun 26</v>
      </c>
      <c r="D2577" s="14">
        <v>2787</v>
      </c>
    </row>
    <row r="2578" spans="1:4" x14ac:dyDescent="0.35">
      <c r="A2578" s="8" t="str">
        <f t="shared" si="1296"/>
        <v>Singapore</v>
      </c>
      <c r="B2578" s="6" t="str">
        <f t="shared" si="1328"/>
        <v>Net Case Count - Agency in pro-rated MDRT agents (&gt;100%)</v>
      </c>
      <c r="C2578" s="4" t="str">
        <f>CHOOSE(2, "5462030031", "Jul 26")</f>
        <v>Jul 26</v>
      </c>
      <c r="D2578" s="14">
        <v>2369</v>
      </c>
    </row>
    <row r="2579" spans="1:4" x14ac:dyDescent="0.35">
      <c r="A2579" s="8" t="str">
        <f t="shared" ref="A2579:A2642" si="1329">CHOOSE(2, "204000000003", "Singapore")</f>
        <v>Singapore</v>
      </c>
      <c r="B2579" s="3" t="str">
        <f t="shared" ref="B2579:B2580" si="1330">CHOOSE(2, "1395000000709", "Net Case Count - Agency in pro-rated MDRT agents (70-99%)")</f>
        <v>Net Case Count - Agency in pro-rated MDRT agents (70-99%)</v>
      </c>
      <c r="C2579" s="4" t="str">
        <f>CHOOSE(2, "5461730030", "Jun 26")</f>
        <v>Jun 26</v>
      </c>
      <c r="D2579" s="14">
        <v>308</v>
      </c>
    </row>
    <row r="2580" spans="1:4" x14ac:dyDescent="0.35">
      <c r="A2580" s="8" t="str">
        <f t="shared" si="1329"/>
        <v>Singapore</v>
      </c>
      <c r="B2580" s="6" t="str">
        <f t="shared" si="1330"/>
        <v>Net Case Count - Agency in pro-rated MDRT agents (70-99%)</v>
      </c>
      <c r="C2580" s="4" t="str">
        <f>CHOOSE(2, "5462030031", "Jul 26")</f>
        <v>Jul 26</v>
      </c>
      <c r="D2580" s="14">
        <v>301</v>
      </c>
    </row>
    <row r="2581" spans="1:4" x14ac:dyDescent="0.35">
      <c r="A2581" s="8" t="str">
        <f t="shared" si="1329"/>
        <v>Singapore</v>
      </c>
      <c r="B2581" s="3" t="str">
        <f t="shared" ref="B2581:B2582" si="1331">CHOOSE(2, "1395000000708", "Net Case Count - Agency in pro-rated MDRT agents (50-69%)")</f>
        <v>Net Case Count - Agency in pro-rated MDRT agents (50-69%)</v>
      </c>
      <c r="C2581" s="4" t="str">
        <f>CHOOSE(2, "5461730030", "Jun 26")</f>
        <v>Jun 26</v>
      </c>
      <c r="D2581" s="14">
        <v>265</v>
      </c>
    </row>
    <row r="2582" spans="1:4" x14ac:dyDescent="0.35">
      <c r="A2582" s="8" t="str">
        <f t="shared" si="1329"/>
        <v>Singapore</v>
      </c>
      <c r="B2582" s="6" t="str">
        <f t="shared" si="1331"/>
        <v>Net Case Count - Agency in pro-rated MDRT agents (50-69%)</v>
      </c>
      <c r="C2582" s="4" t="str">
        <f>CHOOSE(2, "5462030031", "Jul 26")</f>
        <v>Jul 26</v>
      </c>
      <c r="D2582" s="14">
        <v>217</v>
      </c>
    </row>
    <row r="2583" spans="1:4" x14ac:dyDescent="0.35">
      <c r="A2583" s="8" t="str">
        <f t="shared" si="1329"/>
        <v>Singapore</v>
      </c>
      <c r="B2583" s="3" t="str">
        <f t="shared" ref="B2583:B2584" si="1332">CHOOSE(2, "1395000000707", "Net Case Count - Agency in Manulife Pro Qualifiers - Total")</f>
        <v>Net Case Count - Agency in Manulife Pro Qualifiers - Total</v>
      </c>
      <c r="C2583" s="4" t="str">
        <f>CHOOSE(2, "5461730030", "Jun 26")</f>
        <v>Jun 26</v>
      </c>
      <c r="D2583" s="14">
        <v>0</v>
      </c>
    </row>
    <row r="2584" spans="1:4" x14ac:dyDescent="0.35">
      <c r="A2584" s="8" t="str">
        <f t="shared" si="1329"/>
        <v>Singapore</v>
      </c>
      <c r="B2584" s="6" t="str">
        <f t="shared" si="1332"/>
        <v>Net Case Count - Agency in Manulife Pro Qualifiers - Total</v>
      </c>
      <c r="C2584" s="4" t="str">
        <f>CHOOSE(2, "5462030031", "Jul 26")</f>
        <v>Jul 26</v>
      </c>
      <c r="D2584" s="14">
        <v>0</v>
      </c>
    </row>
    <row r="2585" spans="1:4" x14ac:dyDescent="0.35">
      <c r="A2585" s="8" t="str">
        <f t="shared" si="1329"/>
        <v>Singapore</v>
      </c>
      <c r="B2585" s="3" t="str">
        <f t="shared" ref="B2585:B2586" si="1333">CHOOSE(2, "1395000000706", "No. of Sales Proposal Generated")</f>
        <v>No. of Sales Proposal Generated</v>
      </c>
      <c r="C2585" s="4" t="str">
        <f>CHOOSE(2, "5461730030", "Jun 26")</f>
        <v>Jun 26</v>
      </c>
      <c r="D2585" s="14">
        <v>10394</v>
      </c>
    </row>
    <row r="2586" spans="1:4" x14ac:dyDescent="0.35">
      <c r="A2586" s="8" t="str">
        <f t="shared" si="1329"/>
        <v>Singapore</v>
      </c>
      <c r="B2586" s="6" t="str">
        <f t="shared" si="1333"/>
        <v>No. of Sales Proposal Generated</v>
      </c>
      <c r="C2586" s="4" t="str">
        <f>CHOOSE(2, "5462030031", "Jul 26")</f>
        <v>Jul 26</v>
      </c>
      <c r="D2586" s="14">
        <v>9560</v>
      </c>
    </row>
    <row r="2587" spans="1:4" x14ac:dyDescent="0.35">
      <c r="A2587" s="8" t="str">
        <f t="shared" si="1329"/>
        <v>Singapore</v>
      </c>
      <c r="B2587" s="3" t="str">
        <f t="shared" ref="B2587:B2588" si="1334">CHOOSE(2, "1395000000705", "$ APE from Agents in X tenure")</f>
        <v>$ APE from Agents in X tenure</v>
      </c>
      <c r="C2587" s="4" t="str">
        <f>CHOOSE(2, "5461730030", "Jun 26")</f>
        <v>Jun 26</v>
      </c>
      <c r="D2587" s="14">
        <v>47977111.388568476</v>
      </c>
    </row>
    <row r="2588" spans="1:4" x14ac:dyDescent="0.35">
      <c r="A2588" s="8" t="str">
        <f t="shared" si="1329"/>
        <v>Singapore</v>
      </c>
      <c r="B2588" s="6" t="str">
        <f t="shared" si="1334"/>
        <v>$ APE from Agents in X tenure</v>
      </c>
      <c r="C2588" s="4" t="str">
        <f>CHOOSE(2, "5462030031", "Jul 26")</f>
        <v>Jul 26</v>
      </c>
      <c r="D2588" s="14">
        <v>34781486.955390155</v>
      </c>
    </row>
    <row r="2589" spans="1:4" x14ac:dyDescent="0.35">
      <c r="A2589" s="8" t="str">
        <f t="shared" si="1329"/>
        <v>Singapore</v>
      </c>
      <c r="B2589" s="3" t="str">
        <f t="shared" ref="B2589:B2590" si="1335">CHOOSE(2, "1395000000704", "$ APE from Agents in X tenure in 0-1M")</f>
        <v>$ APE from Agents in X tenure in 0-1M</v>
      </c>
      <c r="C2589" s="4" t="str">
        <f>CHOOSE(2, "5461730030", "Jun 26")</f>
        <v>Jun 26</v>
      </c>
      <c r="D2589" s="14">
        <v>4797711.1388568478</v>
      </c>
    </row>
    <row r="2590" spans="1:4" x14ac:dyDescent="0.35">
      <c r="A2590" s="8" t="str">
        <f t="shared" si="1329"/>
        <v>Singapore</v>
      </c>
      <c r="B2590" s="6" t="str">
        <f t="shared" si="1335"/>
        <v>$ APE from Agents in X tenure in 0-1M</v>
      </c>
      <c r="C2590" s="4" t="str">
        <f>CHOOSE(2, "5462030031", "Jul 26")</f>
        <v>Jul 26</v>
      </c>
      <c r="D2590" s="14">
        <v>3478148.6955390158</v>
      </c>
    </row>
    <row r="2591" spans="1:4" x14ac:dyDescent="0.35">
      <c r="A2591" s="8" t="str">
        <f t="shared" si="1329"/>
        <v>Singapore</v>
      </c>
      <c r="B2591" s="3" t="str">
        <f t="shared" ref="B2591:B2592" si="1336">CHOOSE(2, "1395000000703", "$ APE from Agents in X tenure in 2-3M")</f>
        <v>$ APE from Agents in X tenure in 2-3M</v>
      </c>
      <c r="C2591" s="4" t="str">
        <f>CHOOSE(2, "5461730030", "Jun 26")</f>
        <v>Jun 26</v>
      </c>
      <c r="D2591" s="14">
        <v>9595422.2777136955</v>
      </c>
    </row>
    <row r="2592" spans="1:4" x14ac:dyDescent="0.35">
      <c r="A2592" s="8" t="str">
        <f t="shared" si="1329"/>
        <v>Singapore</v>
      </c>
      <c r="B2592" s="6" t="str">
        <f t="shared" si="1336"/>
        <v>$ APE from Agents in X tenure in 2-3M</v>
      </c>
      <c r="C2592" s="4" t="str">
        <f>CHOOSE(2, "5462030031", "Jul 26")</f>
        <v>Jul 26</v>
      </c>
      <c r="D2592" s="14">
        <v>6956297.3910780316</v>
      </c>
    </row>
    <row r="2593" spans="1:4" x14ac:dyDescent="0.35">
      <c r="A2593" s="8" t="str">
        <f t="shared" si="1329"/>
        <v>Singapore</v>
      </c>
      <c r="B2593" s="3" t="str">
        <f t="shared" ref="B2593:B2594" si="1337">CHOOSE(2, "1395000000702", "$ APE from Agents in X tenure in 4-12M")</f>
        <v>$ APE from Agents in X tenure in 4-12M</v>
      </c>
      <c r="C2593" s="4" t="str">
        <f>CHOOSE(2, "5461730030", "Jun 26")</f>
        <v>Jun 26</v>
      </c>
      <c r="D2593" s="14">
        <v>14393133.416570541</v>
      </c>
    </row>
    <row r="2594" spans="1:4" x14ac:dyDescent="0.35">
      <c r="A2594" s="8" t="str">
        <f t="shared" si="1329"/>
        <v>Singapore</v>
      </c>
      <c r="B2594" s="6" t="str">
        <f t="shared" si="1337"/>
        <v>$ APE from Agents in X tenure in 4-12M</v>
      </c>
      <c r="C2594" s="4" t="str">
        <f>CHOOSE(2, "5462030031", "Jul 26")</f>
        <v>Jul 26</v>
      </c>
      <c r="D2594" s="14">
        <v>10434446.086617047</v>
      </c>
    </row>
    <row r="2595" spans="1:4" x14ac:dyDescent="0.35">
      <c r="A2595" s="8" t="str">
        <f t="shared" si="1329"/>
        <v>Singapore</v>
      </c>
      <c r="B2595" s="3" t="str">
        <f t="shared" ref="B2595:B2596" si="1338">CHOOSE(2, "1395000000701", "$ APE from Agents in X tenure 13+M")</f>
        <v>$ APE from Agents in X tenure 13+M</v>
      </c>
      <c r="C2595" s="4" t="str">
        <f>CHOOSE(2, "5461730030", "Jun 26")</f>
        <v>Jun 26</v>
      </c>
      <c r="D2595" s="14">
        <v>19190844.555427391</v>
      </c>
    </row>
    <row r="2596" spans="1:4" x14ac:dyDescent="0.35">
      <c r="A2596" s="8" t="str">
        <f t="shared" si="1329"/>
        <v>Singapore</v>
      </c>
      <c r="B2596" s="6" t="str">
        <f t="shared" si="1338"/>
        <v>$ APE from Agents in X tenure 13+M</v>
      </c>
      <c r="C2596" s="4" t="str">
        <f>CHOOSE(2, "5462030031", "Jul 26")</f>
        <v>Jul 26</v>
      </c>
      <c r="D2596" s="14">
        <v>13912594.782156063</v>
      </c>
    </row>
    <row r="2597" spans="1:4" x14ac:dyDescent="0.35">
      <c r="A2597" s="8" t="str">
        <f t="shared" si="1329"/>
        <v>Singapore</v>
      </c>
      <c r="B2597" s="3" t="str">
        <f t="shared" ref="B2597:B2598" si="1339">CHOOSE(2, "1395000000700", "Total agent headcount (end of period)")</f>
        <v>Total agent headcount (end of period)</v>
      </c>
      <c r="C2597" s="4" t="str">
        <f>CHOOSE(2, "5461730030", "Jun 26")</f>
        <v>Jun 26</v>
      </c>
      <c r="D2597" s="14">
        <v>1947</v>
      </c>
    </row>
    <row r="2598" spans="1:4" x14ac:dyDescent="0.35">
      <c r="A2598" s="8" t="str">
        <f t="shared" si="1329"/>
        <v>Singapore</v>
      </c>
      <c r="B2598" s="6" t="str">
        <f t="shared" si="1339"/>
        <v>Total agent headcount (end of period)</v>
      </c>
      <c r="C2598" s="4" t="str">
        <f>CHOOSE(2, "5462030031", "Jul 26")</f>
        <v>Jul 26</v>
      </c>
      <c r="D2598" s="14">
        <v>1958</v>
      </c>
    </row>
    <row r="2599" spans="1:4" x14ac:dyDescent="0.35">
      <c r="A2599" s="8" t="str">
        <f t="shared" si="1329"/>
        <v>Singapore</v>
      </c>
      <c r="B2599" s="3" t="str">
        <f t="shared" ref="B2599:B2600" si="1340">CHOOSE(2, "1395000000699", "Total agent headcount (end of period) in 0-1M")</f>
        <v>Total agent headcount (end of period) in 0-1M</v>
      </c>
      <c r="C2599" s="4" t="str">
        <f>CHOOSE(2, "5461730030", "Jun 26")</f>
        <v>Jun 26</v>
      </c>
      <c r="D2599" s="14">
        <v>43</v>
      </c>
    </row>
    <row r="2600" spans="1:4" x14ac:dyDescent="0.35">
      <c r="A2600" s="8" t="str">
        <f t="shared" si="1329"/>
        <v>Singapore</v>
      </c>
      <c r="B2600" s="6" t="str">
        <f t="shared" si="1340"/>
        <v>Total agent headcount (end of period) in 0-1M</v>
      </c>
      <c r="C2600" s="4" t="str">
        <f>CHOOSE(2, "5462030031", "Jul 26")</f>
        <v>Jul 26</v>
      </c>
      <c r="D2600" s="14">
        <v>43</v>
      </c>
    </row>
    <row r="2601" spans="1:4" x14ac:dyDescent="0.35">
      <c r="A2601" s="8" t="str">
        <f t="shared" si="1329"/>
        <v>Singapore</v>
      </c>
      <c r="B2601" s="3" t="str">
        <f t="shared" ref="B2601:B2602" si="1341">CHOOSE(2, "1395000000698", "Total agent headcount (end of period) in 2-3M")</f>
        <v>Total agent headcount (end of period) in 2-3M</v>
      </c>
      <c r="C2601" s="4" t="str">
        <f>CHOOSE(2, "5461730030", "Jun 26")</f>
        <v>Jun 26</v>
      </c>
      <c r="D2601" s="14">
        <v>68</v>
      </c>
    </row>
    <row r="2602" spans="1:4" x14ac:dyDescent="0.35">
      <c r="A2602" s="8" t="str">
        <f t="shared" si="1329"/>
        <v>Singapore</v>
      </c>
      <c r="B2602" s="6" t="str">
        <f t="shared" si="1341"/>
        <v>Total agent headcount (end of period) in 2-3M</v>
      </c>
      <c r="C2602" s="4" t="str">
        <f>CHOOSE(2, "5462030031", "Jul 26")</f>
        <v>Jul 26</v>
      </c>
      <c r="D2602" s="14">
        <v>74</v>
      </c>
    </row>
    <row r="2603" spans="1:4" x14ac:dyDescent="0.35">
      <c r="A2603" s="8" t="str">
        <f t="shared" si="1329"/>
        <v>Singapore</v>
      </c>
      <c r="B2603" s="3" t="str">
        <f t="shared" ref="B2603:B2604" si="1342">CHOOSE(2, "1395000000697", "Total agent headcount (end of period) in 4-12M")</f>
        <v>Total agent headcount (end of period) in 4-12M</v>
      </c>
      <c r="C2603" s="4" t="str">
        <f>CHOOSE(2, "5461730030", "Jun 26")</f>
        <v>Jun 26</v>
      </c>
      <c r="D2603" s="14">
        <v>243</v>
      </c>
    </row>
    <row r="2604" spans="1:4" x14ac:dyDescent="0.35">
      <c r="A2604" s="8" t="str">
        <f t="shared" si="1329"/>
        <v>Singapore</v>
      </c>
      <c r="B2604" s="6" t="str">
        <f t="shared" si="1342"/>
        <v>Total agent headcount (end of period) in 4-12M</v>
      </c>
      <c r="C2604" s="4" t="str">
        <f>CHOOSE(2, "5462030031", "Jul 26")</f>
        <v>Jul 26</v>
      </c>
      <c r="D2604" s="14">
        <v>247</v>
      </c>
    </row>
    <row r="2605" spans="1:4" x14ac:dyDescent="0.35">
      <c r="A2605" s="8" t="str">
        <f t="shared" si="1329"/>
        <v>Singapore</v>
      </c>
      <c r="B2605" s="3" t="str">
        <f t="shared" ref="B2605:B2606" si="1343">CHOOSE(2, "1395000000696", "Total agent headcount (end of period) 13+M")</f>
        <v>Total agent headcount (end of period) 13+M</v>
      </c>
      <c r="C2605" s="4" t="str">
        <f>CHOOSE(2, "5461730030", "Jun 26")</f>
        <v>Jun 26</v>
      </c>
      <c r="D2605" s="14">
        <v>1593</v>
      </c>
    </row>
    <row r="2606" spans="1:4" x14ac:dyDescent="0.35">
      <c r="A2606" s="8" t="str">
        <f t="shared" si="1329"/>
        <v>Singapore</v>
      </c>
      <c r="B2606" s="6" t="str">
        <f t="shared" si="1343"/>
        <v>Total agent headcount (end of period) 13+M</v>
      </c>
      <c r="C2606" s="4" t="str">
        <f>CHOOSE(2, "5462030031", "Jul 26")</f>
        <v>Jul 26</v>
      </c>
      <c r="D2606" s="14">
        <v>1594</v>
      </c>
    </row>
    <row r="2607" spans="1:4" x14ac:dyDescent="0.35">
      <c r="A2607" s="8" t="str">
        <f t="shared" si="1329"/>
        <v>Singapore</v>
      </c>
      <c r="B2607" s="3" t="str">
        <f t="shared" ref="B2607:B2608" si="1344">CHOOSE(2, "1395000000695", "Total agent headcount (end of period) in FA or equivalent")</f>
        <v>Total agent headcount (end of period) in FA or equivalent</v>
      </c>
      <c r="C2607" s="4" t="str">
        <f>CHOOSE(2, "5461730030", "Jun 26")</f>
        <v>Jun 26</v>
      </c>
      <c r="D2607" s="14">
        <v>1616</v>
      </c>
    </row>
    <row r="2608" spans="1:4" x14ac:dyDescent="0.35">
      <c r="A2608" s="8" t="str">
        <f t="shared" si="1329"/>
        <v>Singapore</v>
      </c>
      <c r="B2608" s="6" t="str">
        <f t="shared" si="1344"/>
        <v>Total agent headcount (end of period) in FA or equivalent</v>
      </c>
      <c r="C2608" s="4" t="str">
        <f>CHOOSE(2, "5462030031", "Jul 26")</f>
        <v>Jul 26</v>
      </c>
      <c r="D2608" s="14">
        <v>1623</v>
      </c>
    </row>
    <row r="2609" spans="1:4" x14ac:dyDescent="0.35">
      <c r="A2609" s="8" t="str">
        <f t="shared" si="1329"/>
        <v>Singapore</v>
      </c>
      <c r="B2609" s="3" t="str">
        <f t="shared" ref="B2609:B2610" si="1345">CHOOSE(2, "1395000000694", "Total agent headcount (end of period) in UM")</f>
        <v>Total agent headcount (end of period) in UM</v>
      </c>
      <c r="C2609" s="4" t="str">
        <f>CHOOSE(2, "5461730030", "Jun 26")</f>
        <v>Jun 26</v>
      </c>
      <c r="D2609" s="14">
        <v>271</v>
      </c>
    </row>
    <row r="2610" spans="1:4" x14ac:dyDescent="0.35">
      <c r="A2610" s="8" t="str">
        <f t="shared" si="1329"/>
        <v>Singapore</v>
      </c>
      <c r="B2610" s="6" t="str">
        <f t="shared" si="1345"/>
        <v>Total agent headcount (end of period) in UM</v>
      </c>
      <c r="C2610" s="4" t="str">
        <f>CHOOSE(2, "5462030031", "Jul 26")</f>
        <v>Jul 26</v>
      </c>
      <c r="D2610" s="14">
        <v>274</v>
      </c>
    </row>
    <row r="2611" spans="1:4" x14ac:dyDescent="0.35">
      <c r="A2611" s="8" t="str">
        <f t="shared" si="1329"/>
        <v>Singapore</v>
      </c>
      <c r="B2611" s="3" t="str">
        <f t="shared" ref="B2611:B2612" si="1346">CHOOSE(2, "1395000000693", "Total agent headcount (end of period) in Leaders above UM")</f>
        <v>Total agent headcount (end of period) in Leaders above UM</v>
      </c>
      <c r="C2611" s="4" t="str">
        <f>CHOOSE(2, "5461730030", "Jun 26")</f>
        <v>Jun 26</v>
      </c>
      <c r="D2611" s="14">
        <v>60</v>
      </c>
    </row>
    <row r="2612" spans="1:4" x14ac:dyDescent="0.35">
      <c r="A2612" s="8" t="str">
        <f t="shared" si="1329"/>
        <v>Singapore</v>
      </c>
      <c r="B2612" s="6" t="str">
        <f t="shared" si="1346"/>
        <v>Total agent headcount (end of period) in Leaders above UM</v>
      </c>
      <c r="C2612" s="4" t="str">
        <f>CHOOSE(2, "5462030031", "Jul 26")</f>
        <v>Jul 26</v>
      </c>
      <c r="D2612" s="14">
        <v>61</v>
      </c>
    </row>
    <row r="2613" spans="1:4" x14ac:dyDescent="0.35">
      <c r="A2613" s="8" t="str">
        <f t="shared" si="1329"/>
        <v>Singapore</v>
      </c>
      <c r="B2613" s="3" t="str">
        <f t="shared" ref="B2613:B2614" si="1347">CHOOSE(2, "1395000000692", "Total agent headcount (end of period) in Top-tier agents")</f>
        <v>Total agent headcount (end of period) in Top-tier agents</v>
      </c>
      <c r="C2613" s="4" t="str">
        <f>CHOOSE(2, "5461730030", "Jun 26")</f>
        <v>Jun 26</v>
      </c>
      <c r="D2613" s="14">
        <v>980</v>
      </c>
    </row>
    <row r="2614" spans="1:4" x14ac:dyDescent="0.35">
      <c r="A2614" s="8" t="str">
        <f t="shared" si="1329"/>
        <v>Singapore</v>
      </c>
      <c r="B2614" s="6" t="str">
        <f t="shared" si="1347"/>
        <v>Total agent headcount (end of period) in Top-tier agents</v>
      </c>
      <c r="C2614" s="4" t="str">
        <f>CHOOSE(2, "5462030031", "Jul 26")</f>
        <v>Jul 26</v>
      </c>
      <c r="D2614" s="14">
        <v>1004</v>
      </c>
    </row>
    <row r="2615" spans="1:4" x14ac:dyDescent="0.35">
      <c r="A2615" s="8" t="str">
        <f t="shared" si="1329"/>
        <v>Singapore</v>
      </c>
      <c r="B2615" s="3" t="str">
        <f t="shared" ref="B2615:B2616" si="1348">CHOOSE(2, "1395000000691", "Total agent headcount  in pro-rated MDRT agents (&gt;100%)")</f>
        <v>Total agent headcount  in pro-rated MDRT agents (&gt;100%)</v>
      </c>
      <c r="C2615" s="4" t="str">
        <f>CHOOSE(2, "5461730030", "Jun 26")</f>
        <v>Jun 26</v>
      </c>
      <c r="D2615" s="14">
        <v>714</v>
      </c>
    </row>
    <row r="2616" spans="1:4" x14ac:dyDescent="0.35">
      <c r="A2616" s="8" t="str">
        <f t="shared" si="1329"/>
        <v>Singapore</v>
      </c>
      <c r="B2616" s="6" t="str">
        <f t="shared" si="1348"/>
        <v>Total agent headcount  in pro-rated MDRT agents (&gt;100%)</v>
      </c>
      <c r="C2616" s="4" t="str">
        <f>CHOOSE(2, "5462030031", "Jul 26")</f>
        <v>Jul 26</v>
      </c>
      <c r="D2616" s="14">
        <v>725</v>
      </c>
    </row>
    <row r="2617" spans="1:4" x14ac:dyDescent="0.35">
      <c r="A2617" s="8" t="str">
        <f t="shared" si="1329"/>
        <v>Singapore</v>
      </c>
      <c r="B2617" s="3" t="str">
        <f t="shared" ref="B2617:B2618" si="1349">CHOOSE(2, "1395000000690", "Total agent headcount  in pro-rated MDRT agents (70-99%)")</f>
        <v>Total agent headcount  in pro-rated MDRT agents (70-99%)</v>
      </c>
      <c r="C2617" s="4" t="str">
        <f>CHOOSE(2, "5461730030", "Jun 26")</f>
        <v>Jun 26</v>
      </c>
      <c r="D2617" s="14">
        <v>146</v>
      </c>
    </row>
    <row r="2618" spans="1:4" x14ac:dyDescent="0.35">
      <c r="A2618" s="8" t="str">
        <f t="shared" si="1329"/>
        <v>Singapore</v>
      </c>
      <c r="B2618" s="6" t="str">
        <f t="shared" si="1349"/>
        <v>Total agent headcount  in pro-rated MDRT agents (70-99%)</v>
      </c>
      <c r="C2618" s="4" t="str">
        <f>CHOOSE(2, "5462030031", "Jul 26")</f>
        <v>Jul 26</v>
      </c>
      <c r="D2618" s="14">
        <v>149</v>
      </c>
    </row>
    <row r="2619" spans="1:4" x14ac:dyDescent="0.35">
      <c r="A2619" s="8" t="str">
        <f t="shared" si="1329"/>
        <v>Singapore</v>
      </c>
      <c r="B2619" s="3" t="str">
        <f t="shared" ref="B2619:B2620" si="1350">CHOOSE(2, "1395000000689", "Total agent headcount  in pro-rated MDRT agents (50-69%)")</f>
        <v>Total agent headcount  in pro-rated MDRT agents (50-69%)</v>
      </c>
      <c r="C2619" s="4" t="str">
        <f>CHOOSE(2, "5461730030", "Jun 26")</f>
        <v>Jun 26</v>
      </c>
      <c r="D2619" s="14">
        <v>120</v>
      </c>
    </row>
    <row r="2620" spans="1:4" x14ac:dyDescent="0.35">
      <c r="A2620" s="8" t="str">
        <f t="shared" si="1329"/>
        <v>Singapore</v>
      </c>
      <c r="B2620" s="6" t="str">
        <f t="shared" si="1350"/>
        <v>Total agent headcount  in pro-rated MDRT agents (50-69%)</v>
      </c>
      <c r="C2620" s="4" t="str">
        <f>CHOOSE(2, "5462030031", "Jul 26")</f>
        <v>Jul 26</v>
      </c>
      <c r="D2620" s="14">
        <v>130</v>
      </c>
    </row>
    <row r="2621" spans="1:4" x14ac:dyDescent="0.35">
      <c r="A2621" s="8" t="str">
        <f t="shared" si="1329"/>
        <v>Singapore</v>
      </c>
      <c r="B2621" s="3" t="str">
        <f t="shared" ref="B2621:B2622" si="1351">CHOOSE(2, "1395000000688", "Total agent headcount  in Manulife Pro Qualifiers - Total")</f>
        <v>Total agent headcount  in Manulife Pro Qualifiers - Total</v>
      </c>
      <c r="C2621" s="4" t="str">
        <f>CHOOSE(2, "5461730030", "Jun 26")</f>
        <v>Jun 26</v>
      </c>
      <c r="D2621" s="14">
        <v>0</v>
      </c>
    </row>
    <row r="2622" spans="1:4" x14ac:dyDescent="0.35">
      <c r="A2622" s="8" t="str">
        <f t="shared" si="1329"/>
        <v>Singapore</v>
      </c>
      <c r="B2622" s="6" t="str">
        <f t="shared" si="1351"/>
        <v>Total agent headcount  in Manulife Pro Qualifiers - Total</v>
      </c>
      <c r="C2622" s="4" t="str">
        <f>CHOOSE(2, "5462030031", "Jul 26")</f>
        <v>Jul 26</v>
      </c>
      <c r="D2622" s="14">
        <v>0</v>
      </c>
    </row>
    <row r="2623" spans="1:4" x14ac:dyDescent="0.35">
      <c r="A2623" s="8" t="str">
        <f t="shared" si="1329"/>
        <v>Singapore</v>
      </c>
      <c r="B2623" s="3" t="str">
        <f t="shared" ref="B2623:B2624" si="1352">CHOOSE(2, "1395000000687", "New recruits")</f>
        <v>New recruits</v>
      </c>
      <c r="C2623" s="4" t="str">
        <f>CHOOSE(2, "5461730030", "Jun 26")</f>
        <v>Jun 26</v>
      </c>
      <c r="D2623" s="14">
        <v>43</v>
      </c>
    </row>
    <row r="2624" spans="1:4" x14ac:dyDescent="0.35">
      <c r="A2624" s="8" t="str">
        <f t="shared" si="1329"/>
        <v>Singapore</v>
      </c>
      <c r="B2624" s="6" t="str">
        <f t="shared" si="1352"/>
        <v>New recruits</v>
      </c>
      <c r="C2624" s="4" t="str">
        <f>CHOOSE(2, "5462030031", "Jul 26")</f>
        <v>Jul 26</v>
      </c>
      <c r="D2624" s="14">
        <v>43</v>
      </c>
    </row>
    <row r="2625" spans="1:4" x14ac:dyDescent="0.35">
      <c r="A2625" s="8" t="str">
        <f t="shared" si="1329"/>
        <v>Singapore</v>
      </c>
      <c r="B2625" s="3" t="str">
        <f t="shared" ref="B2625:B2626" si="1353">CHOOSE(2, "1395000000686", "New recruits - Leader level")</f>
        <v>New recruits - Leader level</v>
      </c>
      <c r="C2625" s="4" t="str">
        <f>CHOOSE(2, "5461730030", "Jun 26")</f>
        <v>Jun 26</v>
      </c>
      <c r="D2625" s="2" t="s">
        <v>5</v>
      </c>
    </row>
    <row r="2626" spans="1:4" x14ac:dyDescent="0.35">
      <c r="A2626" s="8" t="str">
        <f t="shared" si="1329"/>
        <v>Singapore</v>
      </c>
      <c r="B2626" s="6" t="str">
        <f t="shared" si="1353"/>
        <v>New recruits - Leader level</v>
      </c>
      <c r="C2626" s="4" t="str">
        <f>CHOOSE(2, "5462030031", "Jul 26")</f>
        <v>Jul 26</v>
      </c>
      <c r="D2626" s="2" t="s">
        <v>5</v>
      </c>
    </row>
    <row r="2627" spans="1:4" x14ac:dyDescent="0.35">
      <c r="A2627" s="8" t="str">
        <f t="shared" si="1329"/>
        <v>Singapore</v>
      </c>
      <c r="B2627" s="3" t="str">
        <f t="shared" ref="B2627:B2628" si="1354">CHOOSE(2, "1395000000685", "New recruits - FA or equivalent")</f>
        <v>New recruits - FA or equivalent</v>
      </c>
      <c r="C2627" s="4" t="str">
        <f>CHOOSE(2, "5461730030", "Jun 26")</f>
        <v>Jun 26</v>
      </c>
      <c r="D2627" s="14">
        <v>39</v>
      </c>
    </row>
    <row r="2628" spans="1:4" x14ac:dyDescent="0.35">
      <c r="A2628" s="8" t="str">
        <f t="shared" si="1329"/>
        <v>Singapore</v>
      </c>
      <c r="B2628" s="6" t="str">
        <f t="shared" si="1354"/>
        <v>New recruits - FA or equivalent</v>
      </c>
      <c r="C2628" s="4" t="str">
        <f>CHOOSE(2, "5462030031", "Jul 26")</f>
        <v>Jul 26</v>
      </c>
      <c r="D2628" s="14">
        <v>39</v>
      </c>
    </row>
    <row r="2629" spans="1:4" x14ac:dyDescent="0.35">
      <c r="A2629" s="8" t="str">
        <f t="shared" si="1329"/>
        <v>Singapore</v>
      </c>
      <c r="B2629" s="3" t="str">
        <f t="shared" ref="B2629:B2630" si="1355">CHOOSE(2, "1395000000684", "New recruits in UM")</f>
        <v>New recruits in UM</v>
      </c>
      <c r="C2629" s="4" t="str">
        <f>CHOOSE(2, "5461730030", "Jun 26")</f>
        <v>Jun 26</v>
      </c>
      <c r="D2629" s="14">
        <v>2</v>
      </c>
    </row>
    <row r="2630" spans="1:4" x14ac:dyDescent="0.35">
      <c r="A2630" s="8" t="str">
        <f t="shared" si="1329"/>
        <v>Singapore</v>
      </c>
      <c r="B2630" s="6" t="str">
        <f t="shared" si="1355"/>
        <v>New recruits in UM</v>
      </c>
      <c r="C2630" s="4" t="str">
        <f>CHOOSE(2, "5462030031", "Jul 26")</f>
        <v>Jul 26</v>
      </c>
      <c r="D2630" s="14">
        <v>3</v>
      </c>
    </row>
    <row r="2631" spans="1:4" x14ac:dyDescent="0.35">
      <c r="A2631" s="8" t="str">
        <f t="shared" si="1329"/>
        <v>Singapore</v>
      </c>
      <c r="B2631" s="3" t="str">
        <f t="shared" ref="B2631:B2632" si="1356">CHOOSE(2, "1395000000683", "New recruits in Leaders above UM")</f>
        <v>New recruits in Leaders above UM</v>
      </c>
      <c r="C2631" s="4" t="str">
        <f>CHOOSE(2, "5461730030", "Jun 26")</f>
        <v>Jun 26</v>
      </c>
      <c r="D2631" s="14">
        <v>2</v>
      </c>
    </row>
    <row r="2632" spans="1:4" x14ac:dyDescent="0.35">
      <c r="A2632" s="8" t="str">
        <f t="shared" si="1329"/>
        <v>Singapore</v>
      </c>
      <c r="B2632" s="6" t="str">
        <f t="shared" si="1356"/>
        <v>New recruits in Leaders above UM</v>
      </c>
      <c r="C2632" s="4" t="str">
        <f>CHOOSE(2, "5462030031", "Jul 26")</f>
        <v>Jul 26</v>
      </c>
      <c r="D2632" s="14">
        <v>1</v>
      </c>
    </row>
    <row r="2633" spans="1:4" x14ac:dyDescent="0.35">
      <c r="A2633" s="8" t="str">
        <f t="shared" si="1329"/>
        <v>Singapore</v>
      </c>
      <c r="B2633" s="3" t="str">
        <f t="shared" ref="B2633:B2634" si="1357">CHOOSE(2, "1395000000682", "# of 6-90 agents")</f>
        <v># of 6-90 agents</v>
      </c>
      <c r="C2633" s="4" t="str">
        <f>CHOOSE(2, "5461730030", "Jun 26")</f>
        <v>Jun 26</v>
      </c>
      <c r="D2633" s="14">
        <v>23</v>
      </c>
    </row>
    <row r="2634" spans="1:4" x14ac:dyDescent="0.35">
      <c r="A2634" s="8" t="str">
        <f t="shared" si="1329"/>
        <v>Singapore</v>
      </c>
      <c r="B2634" s="6" t="str">
        <f t="shared" si="1357"/>
        <v># of 6-90 agents</v>
      </c>
      <c r="C2634" s="4" t="str">
        <f>CHOOSE(2, "5462030031", "Jul 26")</f>
        <v>Jul 26</v>
      </c>
      <c r="D2634" s="14">
        <v>24</v>
      </c>
    </row>
    <row r="2635" spans="1:4" x14ac:dyDescent="0.35">
      <c r="A2635" s="8" t="str">
        <f t="shared" si="1329"/>
        <v>Singapore</v>
      </c>
      <c r="B2635" s="3" t="str">
        <f t="shared" ref="B2635:B2636" si="1358">CHOOSE(2, "1395000000681", "New Recruits 3M Activation #")</f>
        <v>New Recruits 3M Activation #</v>
      </c>
      <c r="C2635" s="4" t="str">
        <f>CHOOSE(2, "5461730030", "Jun 26")</f>
        <v>Jun 26</v>
      </c>
      <c r="D2635" s="14">
        <v>23</v>
      </c>
    </row>
    <row r="2636" spans="1:4" x14ac:dyDescent="0.35">
      <c r="A2636" s="8" t="str">
        <f t="shared" si="1329"/>
        <v>Singapore</v>
      </c>
      <c r="B2636" s="6" t="str">
        <f t="shared" si="1358"/>
        <v>New Recruits 3M Activation #</v>
      </c>
      <c r="C2636" s="4" t="str">
        <f>CHOOSE(2, "5462030031", "Jul 26")</f>
        <v>Jul 26</v>
      </c>
      <c r="D2636" s="14">
        <v>25</v>
      </c>
    </row>
    <row r="2637" spans="1:4" x14ac:dyDescent="0.35">
      <c r="A2637" s="8" t="str">
        <f t="shared" si="1329"/>
        <v>Singapore</v>
      </c>
      <c r="B2637" s="3" t="str">
        <f t="shared" ref="B2637:B2638" si="1359">CHOOSE(2, "1395000000680", "No of Terminations")</f>
        <v>No of Terminations</v>
      </c>
      <c r="C2637" s="4" t="str">
        <f>CHOOSE(2, "5461730030", "Jun 26")</f>
        <v>Jun 26</v>
      </c>
      <c r="D2637" s="14">
        <v>22</v>
      </c>
    </row>
    <row r="2638" spans="1:4" x14ac:dyDescent="0.35">
      <c r="A2638" s="8" t="str">
        <f t="shared" si="1329"/>
        <v>Singapore</v>
      </c>
      <c r="B2638" s="6" t="str">
        <f t="shared" si="1359"/>
        <v>No of Terminations</v>
      </c>
      <c r="C2638" s="4" t="str">
        <f>CHOOSE(2, "5462030031", "Jul 26")</f>
        <v>Jul 26</v>
      </c>
      <c r="D2638" s="14">
        <v>32</v>
      </c>
    </row>
    <row r="2639" spans="1:4" x14ac:dyDescent="0.35">
      <c r="A2639" s="8" t="str">
        <f t="shared" si="1329"/>
        <v>Singapore</v>
      </c>
      <c r="B2639" s="3" t="str">
        <f t="shared" ref="B2639:B2640" si="1360">CHOOSE(2, "1395000000679", "No of Terminations in FA or equivalent")</f>
        <v>No of Terminations in FA or equivalent</v>
      </c>
      <c r="C2639" s="4" t="str">
        <f>CHOOSE(2, "5461730030", "Jun 26")</f>
        <v>Jun 26</v>
      </c>
      <c r="D2639" s="14">
        <v>20</v>
      </c>
    </row>
    <row r="2640" spans="1:4" x14ac:dyDescent="0.35">
      <c r="A2640" s="8" t="str">
        <f t="shared" si="1329"/>
        <v>Singapore</v>
      </c>
      <c r="B2640" s="6" t="str">
        <f t="shared" si="1360"/>
        <v>No of Terminations in FA or equivalent</v>
      </c>
      <c r="C2640" s="4" t="str">
        <f>CHOOSE(2, "5462030031", "Jul 26")</f>
        <v>Jul 26</v>
      </c>
      <c r="D2640" s="14">
        <v>31</v>
      </c>
    </row>
    <row r="2641" spans="1:4" x14ac:dyDescent="0.35">
      <c r="A2641" s="8" t="str">
        <f t="shared" si="1329"/>
        <v>Singapore</v>
      </c>
      <c r="B2641" s="3" t="str">
        <f t="shared" ref="B2641:B2642" si="1361">CHOOSE(2, "1395000000678", "No of Terminations in UM")</f>
        <v>No of Terminations in UM</v>
      </c>
      <c r="C2641" s="4" t="str">
        <f>CHOOSE(2, "5461730030", "Jun 26")</f>
        <v>Jun 26</v>
      </c>
      <c r="D2641" s="14">
        <v>1</v>
      </c>
    </row>
    <row r="2642" spans="1:4" x14ac:dyDescent="0.35">
      <c r="A2642" s="8" t="str">
        <f t="shared" si="1329"/>
        <v>Singapore</v>
      </c>
      <c r="B2642" s="6" t="str">
        <f t="shared" si="1361"/>
        <v>No of Terminations in UM</v>
      </c>
      <c r="C2642" s="4" t="str">
        <f>CHOOSE(2, "5462030031", "Jul 26")</f>
        <v>Jul 26</v>
      </c>
      <c r="D2642" s="14">
        <v>1</v>
      </c>
    </row>
    <row r="2643" spans="1:4" x14ac:dyDescent="0.35">
      <c r="A2643" s="8" t="str">
        <f t="shared" ref="A2643:A2706" si="1362">CHOOSE(2, "204000000003", "Singapore")</f>
        <v>Singapore</v>
      </c>
      <c r="B2643" s="3" t="str">
        <f t="shared" ref="B2643:B2644" si="1363">CHOOSE(2, "1395000000677", "No of Terminations in Leaders above UM")</f>
        <v>No of Terminations in Leaders above UM</v>
      </c>
      <c r="C2643" s="4" t="str">
        <f>CHOOSE(2, "5461730030", "Jun 26")</f>
        <v>Jun 26</v>
      </c>
      <c r="D2643" s="14">
        <v>1</v>
      </c>
    </row>
    <row r="2644" spans="1:4" x14ac:dyDescent="0.35">
      <c r="A2644" s="8" t="str">
        <f t="shared" si="1362"/>
        <v>Singapore</v>
      </c>
      <c r="B2644" s="6" t="str">
        <f t="shared" si="1363"/>
        <v>No of Terminations in Leaders above UM</v>
      </c>
      <c r="C2644" s="4" t="str">
        <f>CHOOSE(2, "5462030031", "Jul 26")</f>
        <v>Jul 26</v>
      </c>
      <c r="D2644" s="14">
        <v>0</v>
      </c>
    </row>
    <row r="2645" spans="1:4" x14ac:dyDescent="0.35">
      <c r="A2645" s="8" t="str">
        <f t="shared" si="1362"/>
        <v>Singapore</v>
      </c>
      <c r="B2645" s="3" t="str">
        <f t="shared" ref="B2645:B2646" si="1364">CHOOSE(2, "1395000000676", "No of Terminations in Top-tier Agents")</f>
        <v>No of Terminations in Top-tier Agents</v>
      </c>
      <c r="C2645" s="4" t="str">
        <f>CHOOSE(2, "5461730030", "Jun 26")</f>
        <v>Jun 26</v>
      </c>
      <c r="D2645" s="14">
        <v>4</v>
      </c>
    </row>
    <row r="2646" spans="1:4" x14ac:dyDescent="0.35">
      <c r="A2646" s="8" t="str">
        <f t="shared" si="1362"/>
        <v>Singapore</v>
      </c>
      <c r="B2646" s="6" t="str">
        <f t="shared" si="1364"/>
        <v>No of Terminations in Top-tier Agents</v>
      </c>
      <c r="C2646" s="4" t="str">
        <f>CHOOSE(2, "5462030031", "Jul 26")</f>
        <v>Jul 26</v>
      </c>
      <c r="D2646" s="14">
        <v>4</v>
      </c>
    </row>
    <row r="2647" spans="1:4" x14ac:dyDescent="0.35">
      <c r="A2647" s="8" t="str">
        <f t="shared" si="1362"/>
        <v>Singapore</v>
      </c>
      <c r="B2647" s="3" t="str">
        <f t="shared" ref="B2647:B2648" si="1365">CHOOSE(2, "1395000000675", "No of Terminations in pro-rated MDRT agents (&gt;100%)")</f>
        <v>No of Terminations in pro-rated MDRT agents (&gt;100%)</v>
      </c>
      <c r="C2647" s="4" t="str">
        <f>CHOOSE(2, "5461730030", "Jun 26")</f>
        <v>Jun 26</v>
      </c>
      <c r="D2647" s="14">
        <v>1</v>
      </c>
    </row>
    <row r="2648" spans="1:4" x14ac:dyDescent="0.35">
      <c r="A2648" s="8" t="str">
        <f t="shared" si="1362"/>
        <v>Singapore</v>
      </c>
      <c r="B2648" s="6" t="str">
        <f t="shared" si="1365"/>
        <v>No of Terminations in pro-rated MDRT agents (&gt;100%)</v>
      </c>
      <c r="C2648" s="4" t="str">
        <f>CHOOSE(2, "5462030031", "Jul 26")</f>
        <v>Jul 26</v>
      </c>
      <c r="D2648" s="14">
        <v>1</v>
      </c>
    </row>
    <row r="2649" spans="1:4" x14ac:dyDescent="0.35">
      <c r="A2649" s="8" t="str">
        <f t="shared" si="1362"/>
        <v>Singapore</v>
      </c>
      <c r="B2649" s="3" t="str">
        <f t="shared" ref="B2649:B2650" si="1366">CHOOSE(2, "1395000000674", "No of Terminations in pro-rated MDRT agents (70-99%)")</f>
        <v>No of Terminations in pro-rated MDRT agents (70-99%)</v>
      </c>
      <c r="C2649" s="4" t="str">
        <f>CHOOSE(2, "5461730030", "Jun 26")</f>
        <v>Jun 26</v>
      </c>
      <c r="D2649" s="14">
        <v>1</v>
      </c>
    </row>
    <row r="2650" spans="1:4" x14ac:dyDescent="0.35">
      <c r="A2650" s="8" t="str">
        <f t="shared" si="1362"/>
        <v>Singapore</v>
      </c>
      <c r="B2650" s="6" t="str">
        <f t="shared" si="1366"/>
        <v>No of Terminations in pro-rated MDRT agents (70-99%)</v>
      </c>
      <c r="C2650" s="4" t="str">
        <f>CHOOSE(2, "5462030031", "Jul 26")</f>
        <v>Jul 26</v>
      </c>
      <c r="D2650" s="14">
        <v>3</v>
      </c>
    </row>
    <row r="2651" spans="1:4" x14ac:dyDescent="0.35">
      <c r="A2651" s="8" t="str">
        <f t="shared" si="1362"/>
        <v>Singapore</v>
      </c>
      <c r="B2651" s="3" t="str">
        <f t="shared" ref="B2651:B2652" si="1367">CHOOSE(2, "1395000000673", "No of Terminations in pro-rated MDRT agents (50-69%)")</f>
        <v>No of Terminations in pro-rated MDRT agents (50-69%)</v>
      </c>
      <c r="C2651" s="4" t="str">
        <f>CHOOSE(2, "5461730030", "Jun 26")</f>
        <v>Jun 26</v>
      </c>
      <c r="D2651" s="14">
        <v>2</v>
      </c>
    </row>
    <row r="2652" spans="1:4" x14ac:dyDescent="0.35">
      <c r="A2652" s="8" t="str">
        <f t="shared" si="1362"/>
        <v>Singapore</v>
      </c>
      <c r="B2652" s="6" t="str">
        <f t="shared" si="1367"/>
        <v>No of Terminations in pro-rated MDRT agents (50-69%)</v>
      </c>
      <c r="C2652" s="4" t="str">
        <f>CHOOSE(2, "5462030031", "Jul 26")</f>
        <v>Jul 26</v>
      </c>
      <c r="D2652" s="14">
        <v>0</v>
      </c>
    </row>
    <row r="2653" spans="1:4" x14ac:dyDescent="0.35">
      <c r="A2653" s="8" t="str">
        <f t="shared" si="1362"/>
        <v>Singapore</v>
      </c>
      <c r="B2653" s="3" t="str">
        <f t="shared" ref="B2653:B2654" si="1368">CHOOSE(2, "1395000000672", "No of Terminations in Manulife Pro Qualifiers - Total")</f>
        <v>No of Terminations in Manulife Pro Qualifiers - Total</v>
      </c>
      <c r="C2653" s="4" t="str">
        <f>CHOOSE(2, "5461730030", "Jun 26")</f>
        <v>Jun 26</v>
      </c>
      <c r="D2653" s="14">
        <v>0</v>
      </c>
    </row>
    <row r="2654" spans="1:4" x14ac:dyDescent="0.35">
      <c r="A2654" s="8" t="str">
        <f t="shared" si="1362"/>
        <v>Singapore</v>
      </c>
      <c r="B2654" s="6" t="str">
        <f t="shared" si="1368"/>
        <v>No of Terminations in Manulife Pro Qualifiers - Total</v>
      </c>
      <c r="C2654" s="4" t="str">
        <f>CHOOSE(2, "5462030031", "Jul 26")</f>
        <v>Jul 26</v>
      </c>
      <c r="D2654" s="14">
        <v>0</v>
      </c>
    </row>
    <row r="2655" spans="1:4" x14ac:dyDescent="0.35">
      <c r="A2655" s="8" t="str">
        <f t="shared" si="1362"/>
        <v>Singapore</v>
      </c>
      <c r="B2655" s="3" t="str">
        <f t="shared" ref="B2655:B2656" si="1369">CHOOSE(2, "1395000000671", "First Year Agents Terminated without Sales")</f>
        <v>First Year Agents Terminated without Sales</v>
      </c>
      <c r="C2655" s="4" t="str">
        <f>CHOOSE(2, "5461730030", "Jun 26")</f>
        <v>Jun 26</v>
      </c>
      <c r="D2655" s="14">
        <v>3</v>
      </c>
    </row>
    <row r="2656" spans="1:4" x14ac:dyDescent="0.35">
      <c r="A2656" s="8" t="str">
        <f t="shared" si="1362"/>
        <v>Singapore</v>
      </c>
      <c r="B2656" s="6" t="str">
        <f t="shared" si="1369"/>
        <v>First Year Agents Terminated without Sales</v>
      </c>
      <c r="C2656" s="4" t="str">
        <f>CHOOSE(2, "5462030031", "Jul 26")</f>
        <v>Jul 26</v>
      </c>
      <c r="D2656" s="14">
        <v>5</v>
      </c>
    </row>
    <row r="2657" spans="1:4" x14ac:dyDescent="0.35">
      <c r="A2657" s="8" t="str">
        <f t="shared" si="1362"/>
        <v>Singapore</v>
      </c>
      <c r="B2657" s="3" t="str">
        <f t="shared" ref="B2657:B2658" si="1370">CHOOSE(2, "1395000000670", "6mth Agency Retention Ratio")</f>
        <v>6mth Agency Retention Ratio</v>
      </c>
      <c r="C2657" s="4" t="str">
        <f>CHOOSE(2, "5461730030", "Jun 26")</f>
        <v>Jun 26</v>
      </c>
      <c r="D2657" s="14">
        <v>1.8044449999999999</v>
      </c>
    </row>
    <row r="2658" spans="1:4" x14ac:dyDescent="0.35">
      <c r="A2658" s="8" t="str">
        <f t="shared" si="1362"/>
        <v>Singapore</v>
      </c>
      <c r="B2658" s="6" t="str">
        <f t="shared" si="1370"/>
        <v>6mth Agency Retention Ratio</v>
      </c>
      <c r="C2658" s="4" t="str">
        <f>CHOOSE(2, "5462030031", "Jul 26")</f>
        <v>Jul 26</v>
      </c>
      <c r="D2658" s="14">
        <v>1.8010030000000001</v>
      </c>
    </row>
    <row r="2659" spans="1:4" x14ac:dyDescent="0.35">
      <c r="A2659" s="8" t="str">
        <f t="shared" si="1362"/>
        <v>Singapore</v>
      </c>
      <c r="B2659" s="3" t="str">
        <f t="shared" ref="B2659:B2660" si="1371">CHOOSE(2, "1395000000669", "12mth Agency Retention Ratio")</f>
        <v>12mth Agency Retention Ratio</v>
      </c>
      <c r="C2659" s="4" t="str">
        <f>CHOOSE(2, "5461730030", "Jun 26")</f>
        <v>Jun 26</v>
      </c>
      <c r="D2659" s="14">
        <v>1.6038619999999999</v>
      </c>
    </row>
    <row r="2660" spans="1:4" x14ac:dyDescent="0.35">
      <c r="A2660" s="8" t="str">
        <f t="shared" si="1362"/>
        <v>Singapore</v>
      </c>
      <c r="B2660" s="6" t="str">
        <f t="shared" si="1371"/>
        <v>12mth Agency Retention Ratio</v>
      </c>
      <c r="C2660" s="4" t="str">
        <f>CHOOSE(2, "5462030031", "Jul 26")</f>
        <v>Jul 26</v>
      </c>
      <c r="D2660" s="14">
        <v>1.602598</v>
      </c>
    </row>
    <row r="2661" spans="1:4" x14ac:dyDescent="0.35">
      <c r="A2661" s="8" t="str">
        <f t="shared" si="1362"/>
        <v>Singapore</v>
      </c>
      <c r="B2661" s="3" t="str">
        <f t="shared" ref="B2661:B2662" si="1372">CHOOSE(2, "1395000000668", "24mth Agency Retention Ratio")</f>
        <v>24mth Agency Retention Ratio</v>
      </c>
      <c r="C2661" s="4" t="str">
        <f>CHOOSE(2, "5461730030", "Jun 26")</f>
        <v>Jun 26</v>
      </c>
      <c r="D2661" s="14">
        <v>1.18937</v>
      </c>
    </row>
    <row r="2662" spans="1:4" x14ac:dyDescent="0.35">
      <c r="A2662" s="8" t="str">
        <f t="shared" si="1362"/>
        <v>Singapore</v>
      </c>
      <c r="B2662" s="6" t="str">
        <f t="shared" si="1372"/>
        <v>24mth Agency Retention Ratio</v>
      </c>
      <c r="C2662" s="4" t="str">
        <f>CHOOSE(2, "5462030031", "Jul 26")</f>
        <v>Jul 26</v>
      </c>
      <c r="D2662" s="14">
        <v>1.162579</v>
      </c>
    </row>
    <row r="2663" spans="1:4" x14ac:dyDescent="0.35">
      <c r="A2663" s="8" t="str">
        <f t="shared" si="1362"/>
        <v>Singapore</v>
      </c>
      <c r="B2663" s="3" t="str">
        <f t="shared" ref="B2663:B2664" si="1373">CHOOSE(2, "1395000000667", "Total # of Leaders (end of period)")</f>
        <v>Total # of Leaders (end of period)</v>
      </c>
      <c r="C2663" s="4" t="str">
        <f>CHOOSE(2, "5461730030", "Jun 26")</f>
        <v>Jun 26</v>
      </c>
      <c r="D2663" s="14">
        <v>331</v>
      </c>
    </row>
    <row r="2664" spans="1:4" x14ac:dyDescent="0.35">
      <c r="A2664" s="8" t="str">
        <f t="shared" si="1362"/>
        <v>Singapore</v>
      </c>
      <c r="B2664" s="6" t="str">
        <f t="shared" si="1373"/>
        <v>Total # of Leaders (end of period)</v>
      </c>
      <c r="C2664" s="4" t="str">
        <f>CHOOSE(2, "5462030031", "Jul 26")</f>
        <v>Jul 26</v>
      </c>
      <c r="D2664" s="14">
        <v>335</v>
      </c>
    </row>
    <row r="2665" spans="1:4" x14ac:dyDescent="0.35">
      <c r="A2665" s="8" t="str">
        <f t="shared" si="1362"/>
        <v>Singapore</v>
      </c>
      <c r="B2665" s="3" t="str">
        <f t="shared" ref="B2665:B2666" si="1374">CHOOSE(2, "1395000000666", "Total # of Unit Managers")</f>
        <v>Total # of Unit Managers</v>
      </c>
      <c r="C2665" s="4" t="str">
        <f>CHOOSE(2, "5461730030", "Jun 26")</f>
        <v>Jun 26</v>
      </c>
      <c r="D2665" s="14">
        <v>271</v>
      </c>
    </row>
    <row r="2666" spans="1:4" x14ac:dyDescent="0.35">
      <c r="A2666" s="8" t="str">
        <f t="shared" si="1362"/>
        <v>Singapore</v>
      </c>
      <c r="B2666" s="6" t="str">
        <f t="shared" si="1374"/>
        <v>Total # of Unit Managers</v>
      </c>
      <c r="C2666" s="4" t="str">
        <f>CHOOSE(2, "5462030031", "Jul 26")</f>
        <v>Jul 26</v>
      </c>
      <c r="D2666" s="14">
        <v>274</v>
      </c>
    </row>
    <row r="2667" spans="1:4" x14ac:dyDescent="0.35">
      <c r="A2667" s="8" t="str">
        <f t="shared" si="1362"/>
        <v>Singapore</v>
      </c>
      <c r="B2667" s="3" t="str">
        <f t="shared" ref="B2667:B2668" si="1375">CHOOSE(2, "1395000000665", "Total # of Leaders above Unit Manager level")</f>
        <v>Total # of Leaders above Unit Manager level</v>
      </c>
      <c r="C2667" s="4" t="str">
        <f>CHOOSE(2, "5461730030", "Jun 26")</f>
        <v>Jun 26</v>
      </c>
      <c r="D2667" s="14">
        <v>60</v>
      </c>
    </row>
    <row r="2668" spans="1:4" x14ac:dyDescent="0.35">
      <c r="A2668" s="8" t="str">
        <f t="shared" si="1362"/>
        <v>Singapore</v>
      </c>
      <c r="B2668" s="6" t="str">
        <f t="shared" si="1375"/>
        <v>Total # of Leaders above Unit Manager level</v>
      </c>
      <c r="C2668" s="4" t="str">
        <f>CHOOSE(2, "5462030031", "Jul 26")</f>
        <v>Jul 26</v>
      </c>
      <c r="D2668" s="14">
        <v>61</v>
      </c>
    </row>
    <row r="2669" spans="1:4" x14ac:dyDescent="0.35">
      <c r="A2669" s="8" t="str">
        <f t="shared" si="1362"/>
        <v>Singapore</v>
      </c>
      <c r="B2669" s="3" t="str">
        <f t="shared" ref="B2669:B2670" si="1376">CHOOSE(2, "1395000000664", "Total # of Agents below Unit Manager level (end of period)")</f>
        <v>Total # of Agents below Unit Manager level (end of period)</v>
      </c>
      <c r="C2669" s="4" t="str">
        <f>CHOOSE(2, "5461730030", "Jun 26")</f>
        <v>Jun 26</v>
      </c>
      <c r="D2669" s="2" t="s">
        <v>5</v>
      </c>
    </row>
    <row r="2670" spans="1:4" x14ac:dyDescent="0.35">
      <c r="A2670" s="8" t="str">
        <f t="shared" si="1362"/>
        <v>Singapore</v>
      </c>
      <c r="B2670" s="6" t="str">
        <f t="shared" si="1376"/>
        <v>Total # of Agents below Unit Manager level (end of period)</v>
      </c>
      <c r="C2670" s="4" t="str">
        <f>CHOOSE(2, "5462030031", "Jul 26")</f>
        <v>Jul 26</v>
      </c>
      <c r="D2670" s="2" t="s">
        <v>5</v>
      </c>
    </row>
    <row r="2671" spans="1:4" x14ac:dyDescent="0.35">
      <c r="A2671" s="8" t="str">
        <f t="shared" si="1362"/>
        <v>Singapore</v>
      </c>
      <c r="B2671" s="3" t="str">
        <f t="shared" ref="B2671:B2672" si="1377">CHOOSE(2, "1395000000663", "# of Active Recruiting Leaders")</f>
        <v># of Active Recruiting Leaders</v>
      </c>
      <c r="C2671" s="4" t="str">
        <f>CHOOSE(2, "5461730030", "Jun 26")</f>
        <v>Jun 26</v>
      </c>
      <c r="D2671" s="14">
        <v>30</v>
      </c>
    </row>
    <row r="2672" spans="1:4" x14ac:dyDescent="0.35">
      <c r="A2672" s="8" t="str">
        <f t="shared" si="1362"/>
        <v>Singapore</v>
      </c>
      <c r="B2672" s="6" t="str">
        <f t="shared" si="1377"/>
        <v># of Active Recruiting Leaders</v>
      </c>
      <c r="C2672" s="4" t="str">
        <f>CHOOSE(2, "5462030031", "Jul 26")</f>
        <v>Jul 26</v>
      </c>
      <c r="D2672" s="14">
        <v>30</v>
      </c>
    </row>
    <row r="2673" spans="1:4" x14ac:dyDescent="0.35">
      <c r="A2673" s="8" t="str">
        <f t="shared" si="1362"/>
        <v>Singapore</v>
      </c>
      <c r="B2673" s="3" t="str">
        <f t="shared" ref="B2673:B2674" si="1378">CHOOSE(2, "1395000000662", "# of leaders with &gt;1 YTD recruit")</f>
        <v># of leaders with &gt;1 YTD recruit</v>
      </c>
      <c r="C2673" s="4" t="str">
        <f>CHOOSE(2, "5461730030", "Jun 26")</f>
        <v>Jun 26</v>
      </c>
      <c r="D2673" s="14">
        <v>108</v>
      </c>
    </row>
    <row r="2674" spans="1:4" x14ac:dyDescent="0.35">
      <c r="A2674" s="8" t="str">
        <f t="shared" si="1362"/>
        <v>Singapore</v>
      </c>
      <c r="B2674" s="6" t="str">
        <f t="shared" si="1378"/>
        <v># of leaders with &gt;1 YTD recruit</v>
      </c>
      <c r="C2674" s="4" t="str">
        <f>CHOOSE(2, "5462030031", "Jul 26")</f>
        <v>Jul 26</v>
      </c>
      <c r="D2674" s="14">
        <v>124</v>
      </c>
    </row>
    <row r="2675" spans="1:4" x14ac:dyDescent="0.35">
      <c r="A2675" s="8" t="str">
        <f t="shared" si="1362"/>
        <v>Singapore</v>
      </c>
      <c r="B2675" s="3" t="str">
        <f t="shared" ref="B2675:B2676" si="1379">CHOOSE(2, "1395000000661", "Income ratio from personal sales (UM)")</f>
        <v>Income ratio from personal sales (UM)</v>
      </c>
      <c r="C2675" s="4" t="str">
        <f>CHOOSE(2, "5461730030", "Jun 26")</f>
        <v>Jun 26</v>
      </c>
      <c r="D2675" s="14">
        <v>0.21803743057563613</v>
      </c>
    </row>
    <row r="2676" spans="1:4" x14ac:dyDescent="0.35">
      <c r="A2676" s="8" t="str">
        <f t="shared" si="1362"/>
        <v>Singapore</v>
      </c>
      <c r="B2676" s="6" t="str">
        <f t="shared" si="1379"/>
        <v>Income ratio from personal sales (UM)</v>
      </c>
      <c r="C2676" s="4" t="str">
        <f>CHOOSE(2, "5462030031", "Jul 26")</f>
        <v>Jul 26</v>
      </c>
      <c r="D2676" s="14">
        <v>0.4704237601581614</v>
      </c>
    </row>
    <row r="2677" spans="1:4" x14ac:dyDescent="0.35">
      <c r="A2677" s="8" t="str">
        <f t="shared" si="1362"/>
        <v>Singapore</v>
      </c>
      <c r="B2677" s="3" t="str">
        <f t="shared" ref="B2677:B2678" si="1380">CHOOSE(2, "1395000000660", "Income ratio from personal sales (UM) (numerator)")</f>
        <v>Income ratio from personal sales (UM) (numerator)</v>
      </c>
      <c r="C2677" s="4" t="str">
        <f>CHOOSE(2, "5461730030", "Jun 26")</f>
        <v>Jun 26</v>
      </c>
      <c r="D2677" s="14">
        <v>2280861.8338319999</v>
      </c>
    </row>
    <row r="2678" spans="1:4" x14ac:dyDescent="0.35">
      <c r="A2678" s="8" t="str">
        <f t="shared" si="1362"/>
        <v>Singapore</v>
      </c>
      <c r="B2678" s="6" t="str">
        <f t="shared" si="1380"/>
        <v>Income ratio from personal sales (UM) (numerator)</v>
      </c>
      <c r="C2678" s="4" t="str">
        <f>CHOOSE(2, "5462030031", "Jul 26")</f>
        <v>Jul 26</v>
      </c>
      <c r="D2678" s="14">
        <v>1452035.509173</v>
      </c>
    </row>
    <row r="2679" spans="1:4" x14ac:dyDescent="0.35">
      <c r="A2679" s="8" t="str">
        <f t="shared" si="1362"/>
        <v>Singapore</v>
      </c>
      <c r="B2679" s="3" t="str">
        <f t="shared" ref="B2679:B2680" si="1381">CHOOSE(2, "1395000000659", "Income ratio from personal sales (UM) (denominator)")</f>
        <v>Income ratio from personal sales (UM) (denominator)</v>
      </c>
      <c r="C2679" s="4" t="str">
        <f>CHOOSE(2, "5461730030", "Jun 26")</f>
        <v>Jun 26</v>
      </c>
      <c r="D2679" s="14">
        <v>10460872.831836</v>
      </c>
    </row>
    <row r="2680" spans="1:4" x14ac:dyDescent="0.35">
      <c r="A2680" s="8" t="str">
        <f t="shared" si="1362"/>
        <v>Singapore</v>
      </c>
      <c r="B2680" s="6" t="str">
        <f t="shared" si="1381"/>
        <v>Income ratio from personal sales (UM) (denominator)</v>
      </c>
      <c r="C2680" s="4" t="str">
        <f>CHOOSE(2, "5462030031", "Jul 26")</f>
        <v>Jul 26</v>
      </c>
      <c r="D2680" s="14">
        <v>3086654.2724900004</v>
      </c>
    </row>
    <row r="2681" spans="1:4" x14ac:dyDescent="0.35">
      <c r="A2681" s="8" t="str">
        <f t="shared" si="1362"/>
        <v>Singapore</v>
      </c>
      <c r="B2681" s="3" t="str">
        <f t="shared" ref="B2681:B2682" si="1382">CHOOSE(2, "1395000000658", "Income ratio from personal sales (Leader above UM)")</f>
        <v>Income ratio from personal sales (Leader above UM)</v>
      </c>
      <c r="C2681" s="4" t="str">
        <f>CHOOSE(2, "5461730030", "Jun 26")</f>
        <v>Jun 26</v>
      </c>
      <c r="D2681" s="14">
        <v>0.14129240533919121</v>
      </c>
    </row>
    <row r="2682" spans="1:4" x14ac:dyDescent="0.35">
      <c r="A2682" s="8" t="str">
        <f t="shared" si="1362"/>
        <v>Singapore</v>
      </c>
      <c r="B2682" s="6" t="str">
        <f t="shared" si="1382"/>
        <v>Income ratio from personal sales (Leader above UM)</v>
      </c>
      <c r="C2682" s="4" t="str">
        <f>CHOOSE(2, "5462030031", "Jul 26")</f>
        <v>Jul 26</v>
      </c>
      <c r="D2682" s="14">
        <v>0.15631872998952509</v>
      </c>
    </row>
    <row r="2683" spans="1:4" x14ac:dyDescent="0.35">
      <c r="A2683" s="8" t="str">
        <f t="shared" si="1362"/>
        <v>Singapore</v>
      </c>
      <c r="B2683" s="3" t="str">
        <f t="shared" ref="B2683:B2684" si="1383">CHOOSE(2, "1395000000657", "Income ratio from personal sales (Leader above UM) (num)")</f>
        <v>Income ratio from personal sales (Leader above UM) (num)</v>
      </c>
      <c r="C2683" s="4" t="str">
        <f>CHOOSE(2, "5461730030", "Jun 26")</f>
        <v>Jun 26</v>
      </c>
      <c r="D2683" s="14">
        <v>415742.14742599998</v>
      </c>
    </row>
    <row r="2684" spans="1:4" x14ac:dyDescent="0.35">
      <c r="A2684" s="8" t="str">
        <f t="shared" si="1362"/>
        <v>Singapore</v>
      </c>
      <c r="B2684" s="6" t="str">
        <f t="shared" si="1383"/>
        <v>Income ratio from personal sales (Leader above UM) (num)</v>
      </c>
      <c r="C2684" s="4" t="str">
        <f>CHOOSE(2, "5462030031", "Jul 26")</f>
        <v>Jul 26</v>
      </c>
      <c r="D2684" s="14">
        <v>359560.57718799997</v>
      </c>
    </row>
    <row r="2685" spans="1:4" x14ac:dyDescent="0.35">
      <c r="A2685" s="8" t="str">
        <f t="shared" si="1362"/>
        <v>Singapore</v>
      </c>
      <c r="B2685" s="3" t="str">
        <f t="shared" ref="B2685:B2686" si="1384">CHOOSE(2, "1395000000656", "Income ratio from personal sales (Leader above UM) (den)")</f>
        <v>Income ratio from personal sales (Leader above UM) (den)</v>
      </c>
      <c r="C2685" s="4" t="str">
        <f>CHOOSE(2, "5461730030", "Jun 26")</f>
        <v>Jun 26</v>
      </c>
      <c r="D2685" s="14">
        <v>2942423.879245</v>
      </c>
    </row>
    <row r="2686" spans="1:4" x14ac:dyDescent="0.35">
      <c r="A2686" s="8" t="str">
        <f t="shared" si="1362"/>
        <v>Singapore</v>
      </c>
      <c r="B2686" s="6" t="str">
        <f t="shared" si="1384"/>
        <v>Income ratio from personal sales (Leader above UM) (den)</v>
      </c>
      <c r="C2686" s="4" t="str">
        <f>CHOOSE(2, "5462030031", "Jul 26")</f>
        <v>Jul 26</v>
      </c>
      <c r="D2686" s="14">
        <v>2300175.911179</v>
      </c>
    </row>
    <row r="2687" spans="1:4" x14ac:dyDescent="0.35">
      <c r="A2687" s="8" t="str">
        <f t="shared" si="1362"/>
        <v>Singapore</v>
      </c>
      <c r="B2687" s="3" t="str">
        <f t="shared" ref="B2687:B2688" si="1385">CHOOSE(2, "1395000000655", "Total agent earnings")</f>
        <v>Total agent earnings</v>
      </c>
      <c r="C2687" s="4" t="str">
        <f>CHOOSE(2, "5461730030", "Jun 26")</f>
        <v>Jun 26</v>
      </c>
      <c r="D2687" s="14">
        <v>24917382.386484321</v>
      </c>
    </row>
    <row r="2688" spans="1:4" x14ac:dyDescent="0.35">
      <c r="A2688" s="8" t="str">
        <f t="shared" si="1362"/>
        <v>Singapore</v>
      </c>
      <c r="B2688" s="6" t="str">
        <f t="shared" si="1385"/>
        <v>Total agent earnings</v>
      </c>
      <c r="C2688" s="4" t="str">
        <f>CHOOSE(2, "5462030031", "Jul 26")</f>
        <v>Jul 26</v>
      </c>
      <c r="D2688" s="14">
        <v>11353287.541950822</v>
      </c>
    </row>
    <row r="2689" spans="1:4" x14ac:dyDescent="0.35">
      <c r="A2689" s="8" t="str">
        <f t="shared" si="1362"/>
        <v>Singapore</v>
      </c>
      <c r="B2689" s="3" t="str">
        <f t="shared" ref="B2689:B2690" si="1386">CHOOSE(2, "1395000000654", "Total agent earnings in FA or equivalent")</f>
        <v>Total agent earnings in FA or equivalent</v>
      </c>
      <c r="C2689" s="4" t="str">
        <f>CHOOSE(2, "5461730030", "Jun 26")</f>
        <v>Jun 26</v>
      </c>
      <c r="D2689" s="14">
        <v>14444260.789193006</v>
      </c>
    </row>
    <row r="2690" spans="1:4" x14ac:dyDescent="0.35">
      <c r="A2690" s="8" t="str">
        <f t="shared" si="1362"/>
        <v>Singapore</v>
      </c>
      <c r="B2690" s="6" t="str">
        <f t="shared" si="1386"/>
        <v>Total agent earnings in FA or equivalent</v>
      </c>
      <c r="C2690" s="4" t="str">
        <f>CHOOSE(2, "5462030031", "Jul 26")</f>
        <v>Jul 26</v>
      </c>
      <c r="D2690" s="14">
        <v>7144104.625714805</v>
      </c>
    </row>
    <row r="2691" spans="1:4" x14ac:dyDescent="0.35">
      <c r="A2691" s="8" t="str">
        <f t="shared" si="1362"/>
        <v>Singapore</v>
      </c>
      <c r="B2691" s="3" t="str">
        <f t="shared" ref="B2691:B2692" si="1387">CHOOSE(2, "1395000000653", "Total agent earnings in UM")</f>
        <v>Total agent earnings in UM</v>
      </c>
      <c r="C2691" s="4" t="str">
        <f>CHOOSE(2, "5461730030", "Jun 26")</f>
        <v>Jun 26</v>
      </c>
      <c r="D2691" s="14">
        <v>8173958.6568313409</v>
      </c>
    </row>
    <row r="2692" spans="1:4" x14ac:dyDescent="0.35">
      <c r="A2692" s="8" t="str">
        <f t="shared" si="1362"/>
        <v>Singapore</v>
      </c>
      <c r="B2692" s="6" t="str">
        <f t="shared" si="1387"/>
        <v>Total agent earnings in UM</v>
      </c>
      <c r="C2692" s="4" t="str">
        <f>CHOOSE(2, "5462030031", "Jul 26")</f>
        <v>Jul 26</v>
      </c>
      <c r="D2692" s="14">
        <v>2411862.2620553263</v>
      </c>
    </row>
    <row r="2693" spans="1:4" x14ac:dyDescent="0.35">
      <c r="A2693" s="8" t="str">
        <f t="shared" si="1362"/>
        <v>Singapore</v>
      </c>
      <c r="B2693" s="3" t="str">
        <f t="shared" ref="B2693:B2694" si="1388">CHOOSE(2, "1395000000652", "Total agent earnings in Leaders above UM")</f>
        <v>Total agent earnings in Leaders above UM</v>
      </c>
      <c r="C2693" s="4" t="str">
        <f>CHOOSE(2, "5461730030", "Jun 26")</f>
        <v>Jun 26</v>
      </c>
      <c r="D2693" s="14">
        <v>2299162.940459975</v>
      </c>
    </row>
    <row r="2694" spans="1:4" x14ac:dyDescent="0.35">
      <c r="A2694" s="8" t="str">
        <f t="shared" si="1362"/>
        <v>Singapore</v>
      </c>
      <c r="B2694" s="6" t="str">
        <f t="shared" si="1388"/>
        <v>Total agent earnings in Leaders above UM</v>
      </c>
      <c r="C2694" s="4" t="str">
        <f>CHOOSE(2, "5462030031", "Jul 26")</f>
        <v>Jul 26</v>
      </c>
      <c r="D2694" s="14">
        <v>1797320.6541806916</v>
      </c>
    </row>
    <row r="2695" spans="1:4" x14ac:dyDescent="0.35">
      <c r="A2695" s="8" t="str">
        <f t="shared" si="1362"/>
        <v>Singapore</v>
      </c>
      <c r="B2695" s="3" t="str">
        <f t="shared" ref="B2695:B2696" si="1389">CHOOSE(2, "1395000000651", "# of Newly Promoted UM")</f>
        <v># of Newly Promoted UM</v>
      </c>
      <c r="C2695" s="4" t="str">
        <f>CHOOSE(2, "5461730030", "Jun 26")</f>
        <v>Jun 26</v>
      </c>
      <c r="D2695" s="14">
        <v>3</v>
      </c>
    </row>
    <row r="2696" spans="1:4" x14ac:dyDescent="0.35">
      <c r="A2696" s="8" t="str">
        <f t="shared" si="1362"/>
        <v>Singapore</v>
      </c>
      <c r="B2696" s="6" t="str">
        <f t="shared" si="1389"/>
        <v># of Newly Promoted UM</v>
      </c>
      <c r="C2696" s="4" t="str">
        <f>CHOOSE(2, "5462030031", "Jul 26")</f>
        <v>Jul 26</v>
      </c>
      <c r="D2696" s="14">
        <v>3</v>
      </c>
    </row>
    <row r="2697" spans="1:4" x14ac:dyDescent="0.35">
      <c r="A2697" s="8" t="str">
        <f t="shared" si="1362"/>
        <v>Singapore</v>
      </c>
      <c r="B2697" s="3" t="str">
        <f t="shared" ref="B2697:B2698" si="1390">CHOOSE(2, "1395000000650", "# of Newly Promoted Leaders above UM")</f>
        <v># of Newly Promoted Leaders above UM</v>
      </c>
      <c r="C2697" s="4" t="str">
        <f>CHOOSE(2, "5461730030", "Jun 26")</f>
        <v>Jun 26</v>
      </c>
      <c r="D2697" s="14">
        <v>1</v>
      </c>
    </row>
    <row r="2698" spans="1:4" x14ac:dyDescent="0.35">
      <c r="A2698" s="8" t="str">
        <f t="shared" si="1362"/>
        <v>Singapore</v>
      </c>
      <c r="B2698" s="6" t="str">
        <f t="shared" si="1390"/>
        <v># of Newly Promoted Leaders above UM</v>
      </c>
      <c r="C2698" s="4" t="str">
        <f>CHOOSE(2, "5462030031", "Jul 26")</f>
        <v>Jul 26</v>
      </c>
      <c r="D2698" s="14">
        <v>0</v>
      </c>
    </row>
    <row r="2699" spans="1:4" x14ac:dyDescent="0.35">
      <c r="A2699" s="8" t="str">
        <f t="shared" si="1362"/>
        <v>Singapore</v>
      </c>
      <c r="B2699" s="3" t="str">
        <f t="shared" ref="B2699:B2700" si="1391">CHOOSE(2, "1395000000649", "# of Total Leader Promotions")</f>
        <v># of Total Leader Promotions</v>
      </c>
      <c r="C2699" s="4" t="str">
        <f>CHOOSE(2, "5461730030", "Jun 26")</f>
        <v>Jun 26</v>
      </c>
      <c r="D2699" s="14">
        <v>4</v>
      </c>
    </row>
    <row r="2700" spans="1:4" x14ac:dyDescent="0.35">
      <c r="A2700" s="8" t="str">
        <f t="shared" si="1362"/>
        <v>Singapore</v>
      </c>
      <c r="B2700" s="6" t="str">
        <f t="shared" si="1391"/>
        <v># of Total Leader Promotions</v>
      </c>
      <c r="C2700" s="4" t="str">
        <f>CHOOSE(2, "5462030031", "Jul 26")</f>
        <v>Jul 26</v>
      </c>
      <c r="D2700" s="14">
        <v>3</v>
      </c>
    </row>
    <row r="2701" spans="1:4" x14ac:dyDescent="0.35">
      <c r="A2701" s="8" t="str">
        <f t="shared" si="1362"/>
        <v>Singapore</v>
      </c>
      <c r="B2701" s="3" t="str">
        <f t="shared" ref="B2701:B2702" si="1392">CHOOSE(2, "1395000000648", "# of Newly Demoted UM")</f>
        <v># of Newly Demoted UM</v>
      </c>
      <c r="C2701" s="4" t="str">
        <f>CHOOSE(2, "5461730030", "Jun 26")</f>
        <v>Jun 26</v>
      </c>
      <c r="D2701" s="14">
        <v>1</v>
      </c>
    </row>
    <row r="2702" spans="1:4" x14ac:dyDescent="0.35">
      <c r="A2702" s="8" t="str">
        <f t="shared" si="1362"/>
        <v>Singapore</v>
      </c>
      <c r="B2702" s="6" t="str">
        <f t="shared" si="1392"/>
        <v># of Newly Demoted UM</v>
      </c>
      <c r="C2702" s="4" t="str">
        <f>CHOOSE(2, "5462030031", "Jul 26")</f>
        <v>Jul 26</v>
      </c>
      <c r="D2702" s="14">
        <v>1</v>
      </c>
    </row>
    <row r="2703" spans="1:4" x14ac:dyDescent="0.35">
      <c r="A2703" s="8" t="str">
        <f t="shared" si="1362"/>
        <v>Singapore</v>
      </c>
      <c r="B2703" s="3" t="str">
        <f t="shared" ref="B2703:B2704" si="1393">CHOOSE(2, "1395000000647", "# of Newly Demoted Leaders above UM")</f>
        <v># of Newly Demoted Leaders above UM</v>
      </c>
      <c r="C2703" s="4" t="str">
        <f>CHOOSE(2, "5461730030", "Jun 26")</f>
        <v>Jun 26</v>
      </c>
      <c r="D2703" s="14">
        <v>1</v>
      </c>
    </row>
    <row r="2704" spans="1:4" x14ac:dyDescent="0.35">
      <c r="A2704" s="8" t="str">
        <f t="shared" si="1362"/>
        <v>Singapore</v>
      </c>
      <c r="B2704" s="6" t="str">
        <f t="shared" si="1393"/>
        <v># of Newly Demoted Leaders above UM</v>
      </c>
      <c r="C2704" s="4" t="str">
        <f>CHOOSE(2, "5462030031", "Jul 26")</f>
        <v>Jul 26</v>
      </c>
      <c r="D2704" s="14">
        <v>0</v>
      </c>
    </row>
    <row r="2705" spans="1:4" x14ac:dyDescent="0.35">
      <c r="A2705" s="8" t="str">
        <f t="shared" si="1362"/>
        <v>Singapore</v>
      </c>
      <c r="B2705" s="3" t="str">
        <f t="shared" ref="B2705:B2706" si="1394">CHOOSE(2, "1395000000646", "# of Total Leader Demotions")</f>
        <v># of Total Leader Demotions</v>
      </c>
      <c r="C2705" s="4" t="str">
        <f>CHOOSE(2, "5461730030", "Jun 26")</f>
        <v>Jun 26</v>
      </c>
      <c r="D2705" s="14">
        <v>2</v>
      </c>
    </row>
    <row r="2706" spans="1:4" x14ac:dyDescent="0.35">
      <c r="A2706" s="8" t="str">
        <f t="shared" si="1362"/>
        <v>Singapore</v>
      </c>
      <c r="B2706" s="6" t="str">
        <f t="shared" si="1394"/>
        <v># of Total Leader Demotions</v>
      </c>
      <c r="C2706" s="4" t="str">
        <f>CHOOSE(2, "5462030031", "Jul 26")</f>
        <v>Jul 26</v>
      </c>
      <c r="D2706" s="14">
        <v>1</v>
      </c>
    </row>
    <row r="2707" spans="1:4" x14ac:dyDescent="0.35">
      <c r="A2707" s="8" t="str">
        <f t="shared" ref="A2707:A2770" si="1395">CHOOSE(2, "204000000003", "Singapore")</f>
        <v>Singapore</v>
      </c>
      <c r="B2707" s="3" t="str">
        <f t="shared" ref="B2707:B2708" si="1396">CHOOSE(2, "1395000000645", "# of agents meeting MOC")</f>
        <v># of agents meeting MOC</v>
      </c>
      <c r="C2707" s="4" t="str">
        <f>CHOOSE(2, "5461730030", "Jun 26")</f>
        <v>Jun 26</v>
      </c>
      <c r="D2707" s="14">
        <v>1900</v>
      </c>
    </row>
    <row r="2708" spans="1:4" x14ac:dyDescent="0.35">
      <c r="A2708" s="8" t="str">
        <f t="shared" si="1395"/>
        <v>Singapore</v>
      </c>
      <c r="B2708" s="6" t="str">
        <f t="shared" si="1396"/>
        <v># of agents meeting MOC</v>
      </c>
      <c r="C2708" s="4" t="str">
        <f>CHOOSE(2, "5462030031", "Jul 26")</f>
        <v>Jul 26</v>
      </c>
      <c r="D2708" s="14">
        <v>1912</v>
      </c>
    </row>
    <row r="2709" spans="1:4" x14ac:dyDescent="0.35">
      <c r="A2709" s="8" t="str">
        <f t="shared" si="1395"/>
        <v>Singapore</v>
      </c>
      <c r="B2709" s="3" t="str">
        <f t="shared" ref="B2709:B2710" si="1397">CHOOSE(2, "1395000000644", "# of agents meeting MOC in FA or equivalent")</f>
        <v># of agents meeting MOC in FA or equivalent</v>
      </c>
      <c r="C2709" s="4" t="str">
        <f>CHOOSE(2, "5461730030", "Jun 26")</f>
        <v>Jun 26</v>
      </c>
      <c r="D2709" s="14">
        <v>1577</v>
      </c>
    </row>
    <row r="2710" spans="1:4" x14ac:dyDescent="0.35">
      <c r="A2710" s="8" t="str">
        <f t="shared" si="1395"/>
        <v>Singapore</v>
      </c>
      <c r="B2710" s="6" t="str">
        <f t="shared" si="1397"/>
        <v># of agents meeting MOC in FA or equivalent</v>
      </c>
      <c r="C2710" s="4" t="str">
        <f>CHOOSE(2, "5462030031", "Jul 26")</f>
        <v>Jul 26</v>
      </c>
      <c r="D2710" s="14">
        <v>1584</v>
      </c>
    </row>
    <row r="2711" spans="1:4" x14ac:dyDescent="0.35">
      <c r="A2711" s="8" t="str">
        <f t="shared" si="1395"/>
        <v>Singapore</v>
      </c>
      <c r="B2711" s="3" t="str">
        <f t="shared" ref="B2711:B2712" si="1398">CHOOSE(2, "1395000000643", "# of agents meeting MOC in UM")</f>
        <v># of agents meeting MOC in UM</v>
      </c>
      <c r="C2711" s="4" t="str">
        <f>CHOOSE(2, "5461730030", "Jun 26")</f>
        <v>Jun 26</v>
      </c>
      <c r="D2711" s="14">
        <v>266</v>
      </c>
    </row>
    <row r="2712" spans="1:4" x14ac:dyDescent="0.35">
      <c r="A2712" s="8" t="str">
        <f t="shared" si="1395"/>
        <v>Singapore</v>
      </c>
      <c r="B2712" s="6" t="str">
        <f t="shared" si="1398"/>
        <v># of agents meeting MOC in UM</v>
      </c>
      <c r="C2712" s="4" t="str">
        <f>CHOOSE(2, "5462030031", "Jul 26")</f>
        <v>Jul 26</v>
      </c>
      <c r="D2712" s="14">
        <v>268</v>
      </c>
    </row>
    <row r="2713" spans="1:4" x14ac:dyDescent="0.35">
      <c r="A2713" s="8" t="str">
        <f t="shared" si="1395"/>
        <v>Singapore</v>
      </c>
      <c r="B2713" s="3" t="str">
        <f t="shared" ref="B2713:B2714" si="1399">CHOOSE(2, "1395000000642", "# of agents meeting MOC in Leaders above UM")</f>
        <v># of agents meeting MOC in Leaders above UM</v>
      </c>
      <c r="C2713" s="4" t="str">
        <f>CHOOSE(2, "5461730030", "Jun 26")</f>
        <v>Jun 26</v>
      </c>
      <c r="D2713" s="14">
        <v>57</v>
      </c>
    </row>
    <row r="2714" spans="1:4" x14ac:dyDescent="0.35">
      <c r="A2714" s="8" t="str">
        <f t="shared" si="1395"/>
        <v>Singapore</v>
      </c>
      <c r="B2714" s="6" t="str">
        <f t="shared" si="1399"/>
        <v># of agents meeting MOC in Leaders above UM</v>
      </c>
      <c r="C2714" s="4" t="str">
        <f>CHOOSE(2, "5462030031", "Jul 26")</f>
        <v>Jul 26</v>
      </c>
      <c r="D2714" s="14">
        <v>60</v>
      </c>
    </row>
    <row r="2715" spans="1:4" x14ac:dyDescent="0.35">
      <c r="A2715" s="8" t="str">
        <f t="shared" si="1395"/>
        <v>Singapore</v>
      </c>
      <c r="B2715" s="3" t="str">
        <f t="shared" ref="B2715:B2716" si="1400">CHOOSE(2, "1395000000641", "New Leaders 3M Activation Rate (by cohort)")</f>
        <v>New Leaders 3M Activation Rate (by cohort)</v>
      </c>
      <c r="C2715" s="4" t="str">
        <f>CHOOSE(2, "5461730030", "Jun 26")</f>
        <v>Jun 26</v>
      </c>
      <c r="D2715" s="14">
        <v>0</v>
      </c>
    </row>
    <row r="2716" spans="1:4" x14ac:dyDescent="0.35">
      <c r="A2716" s="8" t="str">
        <f t="shared" si="1395"/>
        <v>Singapore</v>
      </c>
      <c r="B2716" s="6" t="str">
        <f t="shared" si="1400"/>
        <v>New Leaders 3M Activation Rate (by cohort)</v>
      </c>
      <c r="C2716" s="4" t="str">
        <f>CHOOSE(2, "5462030031", "Jul 26")</f>
        <v>Jul 26</v>
      </c>
      <c r="D2716" s="14">
        <v>0.5</v>
      </c>
    </row>
    <row r="2717" spans="1:4" x14ac:dyDescent="0.35">
      <c r="A2717" s="8" t="str">
        <f t="shared" si="1395"/>
        <v>Singapore</v>
      </c>
      <c r="B2717" s="3" t="str">
        <f t="shared" ref="B2717:B2718" si="1401">CHOOSE(2, "1395000000640", "New Leaders 3M Activation Rate (by cohort) (numerator)")</f>
        <v>New Leaders 3M Activation Rate (by cohort) (numerator)</v>
      </c>
      <c r="C2717" s="4" t="str">
        <f>CHOOSE(2, "5461730030", "Jun 26")</f>
        <v>Jun 26</v>
      </c>
      <c r="D2717" s="14">
        <v>0</v>
      </c>
    </row>
    <row r="2718" spans="1:4" x14ac:dyDescent="0.35">
      <c r="A2718" s="8" t="str">
        <f t="shared" si="1395"/>
        <v>Singapore</v>
      </c>
      <c r="B2718" s="6" t="str">
        <f t="shared" si="1401"/>
        <v>New Leaders 3M Activation Rate (by cohort) (numerator)</v>
      </c>
      <c r="C2718" s="4" t="str">
        <f>CHOOSE(2, "5462030031", "Jul 26")</f>
        <v>Jul 26</v>
      </c>
      <c r="D2718" s="14">
        <v>1</v>
      </c>
    </row>
    <row r="2719" spans="1:4" x14ac:dyDescent="0.35">
      <c r="A2719" s="8" t="str">
        <f t="shared" si="1395"/>
        <v>Singapore</v>
      </c>
      <c r="B2719" s="3" t="str">
        <f t="shared" ref="B2719:B2720" si="1402">CHOOSE(2, "1395000000639", "New Leaders 3M Activation Rate (by cohort) (denominator)")</f>
        <v>New Leaders 3M Activation Rate (by cohort) (denominator)</v>
      </c>
      <c r="C2719" s="4" t="str">
        <f>CHOOSE(2, "5461730030", "Jun 26")</f>
        <v>Jun 26</v>
      </c>
      <c r="D2719" s="14">
        <v>1</v>
      </c>
    </row>
    <row r="2720" spans="1:4" x14ac:dyDescent="0.35">
      <c r="A2720" s="8" t="str">
        <f t="shared" si="1395"/>
        <v>Singapore</v>
      </c>
      <c r="B2720" s="6" t="str">
        <f t="shared" si="1402"/>
        <v>New Leaders 3M Activation Rate (by cohort) (denominator)</v>
      </c>
      <c r="C2720" s="4" t="str">
        <f>CHOOSE(2, "5462030031", "Jul 26")</f>
        <v>Jul 26</v>
      </c>
      <c r="D2720" s="14">
        <v>2</v>
      </c>
    </row>
    <row r="2721" spans="1:4" x14ac:dyDescent="0.35">
      <c r="A2721" s="8" t="str">
        <f t="shared" si="1395"/>
        <v>Singapore</v>
      </c>
      <c r="B2721" s="3" t="str">
        <f t="shared" ref="B2721:B2722" si="1403">CHOOSE(2, "1395000000638", "# of pro-rated MDRT agents (100%)")</f>
        <v># of pro-rated MDRT agents (100%)</v>
      </c>
      <c r="C2721" s="4" t="str">
        <f>CHOOSE(2, "5461730030", "Jun 26")</f>
        <v>Jun 26</v>
      </c>
      <c r="D2721" s="14">
        <v>714</v>
      </c>
    </row>
    <row r="2722" spans="1:4" x14ac:dyDescent="0.35">
      <c r="A2722" s="8" t="str">
        <f t="shared" si="1395"/>
        <v>Singapore</v>
      </c>
      <c r="B2722" s="6" t="str">
        <f t="shared" si="1403"/>
        <v># of pro-rated MDRT agents (100%)</v>
      </c>
      <c r="C2722" s="4" t="str">
        <f>CHOOSE(2, "5462030031", "Jul 26")</f>
        <v>Jul 26</v>
      </c>
      <c r="D2722" s="14">
        <v>725</v>
      </c>
    </row>
    <row r="2723" spans="1:4" x14ac:dyDescent="0.35">
      <c r="A2723" s="8" t="str">
        <f t="shared" si="1395"/>
        <v>Singapore</v>
      </c>
      <c r="B2723" s="3" t="str">
        <f t="shared" ref="B2723:B2724" si="1404">CHOOSE(2, "1395000000637", "# of pro-rated MDRT agents (90%-99%)")</f>
        <v># of pro-rated MDRT agents (90%-99%)</v>
      </c>
      <c r="C2723" s="4" t="str">
        <f>CHOOSE(2, "5461730030", "Jun 26")</f>
        <v>Jun 26</v>
      </c>
      <c r="D2723" s="2" t="s">
        <v>5</v>
      </c>
    </row>
    <row r="2724" spans="1:4" x14ac:dyDescent="0.35">
      <c r="A2724" s="8" t="str">
        <f t="shared" si="1395"/>
        <v>Singapore</v>
      </c>
      <c r="B2724" s="6" t="str">
        <f t="shared" si="1404"/>
        <v># of pro-rated MDRT agents (90%-99%)</v>
      </c>
      <c r="C2724" s="4" t="str">
        <f>CHOOSE(2, "5462030031", "Jul 26")</f>
        <v>Jul 26</v>
      </c>
      <c r="D2724" s="2" t="s">
        <v>5</v>
      </c>
    </row>
    <row r="2725" spans="1:4" x14ac:dyDescent="0.35">
      <c r="A2725" s="8" t="str">
        <f t="shared" si="1395"/>
        <v>Singapore</v>
      </c>
      <c r="B2725" s="3" t="str">
        <f t="shared" ref="B2725:B2726" si="1405">CHOOSE(2, "1395000000636", "# of pro-rated MDRT agents (70%-90%)")</f>
        <v># of pro-rated MDRT agents (70%-90%)</v>
      </c>
      <c r="C2725" s="4" t="str">
        <f>CHOOSE(2, "5461730030", "Jun 26")</f>
        <v>Jun 26</v>
      </c>
      <c r="D2725" s="2" t="s">
        <v>5</v>
      </c>
    </row>
    <row r="2726" spans="1:4" x14ac:dyDescent="0.35">
      <c r="A2726" s="8" t="str">
        <f t="shared" si="1395"/>
        <v>Singapore</v>
      </c>
      <c r="B2726" s="6" t="str">
        <f t="shared" si="1405"/>
        <v># of pro-rated MDRT agents (70%-90%)</v>
      </c>
      <c r="C2726" s="4" t="str">
        <f>CHOOSE(2, "5462030031", "Jul 26")</f>
        <v>Jul 26</v>
      </c>
      <c r="D2726" s="2" t="s">
        <v>5</v>
      </c>
    </row>
    <row r="2727" spans="1:4" x14ac:dyDescent="0.35">
      <c r="A2727" s="8" t="str">
        <f t="shared" si="1395"/>
        <v>Singapore</v>
      </c>
      <c r="B2727" s="3" t="str">
        <f t="shared" ref="B2727:B2728" si="1406">CHOOSE(2, "1395000000635", "# of pro-rated MDRT agents (&lt;70%)")</f>
        <v># of pro-rated MDRT agents (&lt;70%)</v>
      </c>
      <c r="C2727" s="4" t="str">
        <f>CHOOSE(2, "5461730030", "Jun 26")</f>
        <v>Jun 26</v>
      </c>
      <c r="D2727" s="2" t="s">
        <v>5</v>
      </c>
    </row>
    <row r="2728" spans="1:4" x14ac:dyDescent="0.35">
      <c r="A2728" s="8" t="str">
        <f t="shared" si="1395"/>
        <v>Singapore</v>
      </c>
      <c r="B2728" s="6" t="str">
        <f t="shared" si="1406"/>
        <v># of pro-rated MDRT agents (&lt;70%)</v>
      </c>
      <c r="C2728" s="4" t="str">
        <f>CHOOSE(2, "5462030031", "Jul 26")</f>
        <v>Jul 26</v>
      </c>
      <c r="D2728" s="2" t="s">
        <v>5</v>
      </c>
    </row>
    <row r="2729" spans="1:4" x14ac:dyDescent="0.35">
      <c r="A2729" s="8" t="str">
        <f t="shared" si="1395"/>
        <v>Singapore</v>
      </c>
      <c r="B2729" s="3" t="str">
        <f t="shared" ref="B2729:B2730" si="1407">CHOOSE(2, "1395000000634", "# of pro-rated MDRT agents (50%-70%)")</f>
        <v># of pro-rated MDRT agents (50%-70%)</v>
      </c>
      <c r="C2729" s="4" t="str">
        <f>CHOOSE(2, "5461730030", "Jun 26")</f>
        <v>Jun 26</v>
      </c>
      <c r="D2729" s="2" t="s">
        <v>5</v>
      </c>
    </row>
    <row r="2730" spans="1:4" x14ac:dyDescent="0.35">
      <c r="A2730" s="8" t="str">
        <f t="shared" si="1395"/>
        <v>Singapore</v>
      </c>
      <c r="B2730" s="6" t="str">
        <f t="shared" si="1407"/>
        <v># of pro-rated MDRT agents (50%-70%)</v>
      </c>
      <c r="C2730" s="4" t="str">
        <f>CHOOSE(2, "5462030031", "Jul 26")</f>
        <v>Jul 26</v>
      </c>
      <c r="D2730" s="2" t="s">
        <v>5</v>
      </c>
    </row>
    <row r="2731" spans="1:4" x14ac:dyDescent="0.35">
      <c r="A2731" s="8" t="str">
        <f t="shared" si="1395"/>
        <v>Singapore</v>
      </c>
      <c r="B2731" s="3" t="str">
        <f t="shared" ref="B2731:B2732" si="1408">CHOOSE(2, "1395000000633", "# of pro-rated MDRT agents (&lt;50%)")</f>
        <v># of pro-rated MDRT agents (&lt;50%)</v>
      </c>
      <c r="C2731" s="4" t="str">
        <f>CHOOSE(2, "5461730030", "Jun 26")</f>
        <v>Jun 26</v>
      </c>
      <c r="D2731" s="2" t="s">
        <v>5</v>
      </c>
    </row>
    <row r="2732" spans="1:4" x14ac:dyDescent="0.35">
      <c r="A2732" s="8" t="str">
        <f t="shared" si="1395"/>
        <v>Singapore</v>
      </c>
      <c r="B2732" s="6" t="str">
        <f t="shared" si="1408"/>
        <v># of pro-rated MDRT agents (&lt;50%)</v>
      </c>
      <c r="C2732" s="4" t="str">
        <f>CHOOSE(2, "5462030031", "Jul 26")</f>
        <v>Jul 26</v>
      </c>
      <c r="D2732" s="2" t="s">
        <v>5</v>
      </c>
    </row>
    <row r="2733" spans="1:4" x14ac:dyDescent="0.35">
      <c r="A2733" s="8" t="str">
        <f t="shared" si="1395"/>
        <v>Singapore</v>
      </c>
      <c r="B2733" s="3" t="str">
        <f t="shared" ref="B2733:B2734" si="1409">CHOOSE(2, "1395000000632", "# of pro-rated MDRT agents (70-99%)")</f>
        <v># of pro-rated MDRT agents (70-99%)</v>
      </c>
      <c r="C2733" s="4" t="str">
        <f>CHOOSE(2, "5461730030", "Jun 26")</f>
        <v>Jun 26</v>
      </c>
      <c r="D2733" s="14">
        <v>146</v>
      </c>
    </row>
    <row r="2734" spans="1:4" x14ac:dyDescent="0.35">
      <c r="A2734" s="8" t="str">
        <f t="shared" si="1395"/>
        <v>Singapore</v>
      </c>
      <c r="B2734" s="6" t="str">
        <f t="shared" si="1409"/>
        <v># of pro-rated MDRT agents (70-99%)</v>
      </c>
      <c r="C2734" s="4" t="str">
        <f>CHOOSE(2, "5462030031", "Jul 26")</f>
        <v>Jul 26</v>
      </c>
      <c r="D2734" s="14">
        <v>149</v>
      </c>
    </row>
    <row r="2735" spans="1:4" x14ac:dyDescent="0.35">
      <c r="A2735" s="8" t="str">
        <f t="shared" si="1395"/>
        <v>Singapore</v>
      </c>
      <c r="B2735" s="3" t="str">
        <f t="shared" ref="B2735:B2736" si="1410">CHOOSE(2, "1395000000631", "# of pro-rated MDRT agents (50-69%)")</f>
        <v># of pro-rated MDRT agents (50-69%)</v>
      </c>
      <c r="C2735" s="4" t="str">
        <f>CHOOSE(2, "5461730030", "Jun 26")</f>
        <v>Jun 26</v>
      </c>
      <c r="D2735" s="14">
        <v>120</v>
      </c>
    </row>
    <row r="2736" spans="1:4" x14ac:dyDescent="0.35">
      <c r="A2736" s="8" t="str">
        <f t="shared" si="1395"/>
        <v>Singapore</v>
      </c>
      <c r="B2736" s="6" t="str">
        <f t="shared" si="1410"/>
        <v># of pro-rated MDRT agents (50-69%)</v>
      </c>
      <c r="C2736" s="4" t="str">
        <f>CHOOSE(2, "5462030031", "Jul 26")</f>
        <v>Jul 26</v>
      </c>
      <c r="D2736" s="14">
        <v>130</v>
      </c>
    </row>
    <row r="2737" spans="1:4" x14ac:dyDescent="0.35">
      <c r="A2737" s="8" t="str">
        <f t="shared" si="1395"/>
        <v>Singapore</v>
      </c>
      <c r="B2737" s="3" t="str">
        <f t="shared" ref="B2737:B2738" si="1411">CHOOSE(2, "1395000000630", "# of Top-tier agents")</f>
        <v># of Top-tier agents</v>
      </c>
      <c r="C2737" s="4" t="str">
        <f>CHOOSE(2, "5461730030", "Jun 26")</f>
        <v>Jun 26</v>
      </c>
      <c r="D2737" s="14">
        <v>980</v>
      </c>
    </row>
    <row r="2738" spans="1:4" x14ac:dyDescent="0.35">
      <c r="A2738" s="8" t="str">
        <f t="shared" si="1395"/>
        <v>Singapore</v>
      </c>
      <c r="B2738" s="6" t="str">
        <f t="shared" si="1411"/>
        <v># of Top-tier agents</v>
      </c>
      <c r="C2738" s="4" t="str">
        <f>CHOOSE(2, "5462030031", "Jul 26")</f>
        <v>Jul 26</v>
      </c>
      <c r="D2738" s="14">
        <v>1004</v>
      </c>
    </row>
    <row r="2739" spans="1:4" x14ac:dyDescent="0.35">
      <c r="A2739" s="8" t="str">
        <f t="shared" si="1395"/>
        <v>Singapore</v>
      </c>
      <c r="B2739" s="3" t="str">
        <f t="shared" ref="B2739:B2740" si="1412">CHOOSE(2, "1395000000629", "$ APE from pro-rated MDRT agents (100%)")</f>
        <v>$ APE from pro-rated MDRT agents (100%)</v>
      </c>
      <c r="C2739" s="4" t="str">
        <f>CHOOSE(2, "5461730030", "Jun 26")</f>
        <v>Jun 26</v>
      </c>
      <c r="D2739" s="14">
        <v>42373876.145960003</v>
      </c>
    </row>
    <row r="2740" spans="1:4" x14ac:dyDescent="0.35">
      <c r="A2740" s="8" t="str">
        <f t="shared" si="1395"/>
        <v>Singapore</v>
      </c>
      <c r="B2740" s="6" t="str">
        <f t="shared" si="1412"/>
        <v>$ APE from pro-rated MDRT agents (100%)</v>
      </c>
      <c r="C2740" s="4" t="str">
        <f>CHOOSE(2, "5462030031", "Jul 26")</f>
        <v>Jul 26</v>
      </c>
      <c r="D2740" s="14">
        <v>29220275.719636999</v>
      </c>
    </row>
    <row r="2741" spans="1:4" x14ac:dyDescent="0.35">
      <c r="A2741" s="8" t="str">
        <f t="shared" si="1395"/>
        <v>Singapore</v>
      </c>
      <c r="B2741" s="3" t="str">
        <f t="shared" ref="B2741:B2742" si="1413">CHOOSE(2, "1395000000628", "$ APE from pro-rated MDRT agents (70-99%)")</f>
        <v>$ APE from pro-rated MDRT agents (70-99%)</v>
      </c>
      <c r="C2741" s="4" t="str">
        <f>CHOOSE(2, "5461730030", "Jun 26")</f>
        <v>Jun 26</v>
      </c>
      <c r="D2741" s="14">
        <v>2194579.037575</v>
      </c>
    </row>
    <row r="2742" spans="1:4" x14ac:dyDescent="0.35">
      <c r="A2742" s="8" t="str">
        <f t="shared" si="1395"/>
        <v>Singapore</v>
      </c>
      <c r="B2742" s="6" t="str">
        <f t="shared" si="1413"/>
        <v>$ APE from pro-rated MDRT agents (70-99%)</v>
      </c>
      <c r="C2742" s="4" t="str">
        <f>CHOOSE(2, "5462030031", "Jul 26")</f>
        <v>Jul 26</v>
      </c>
      <c r="D2742" s="14">
        <v>1989366.9111530001</v>
      </c>
    </row>
    <row r="2743" spans="1:4" x14ac:dyDescent="0.35">
      <c r="A2743" s="8" t="str">
        <f t="shared" si="1395"/>
        <v>Singapore</v>
      </c>
      <c r="B2743" s="3" t="str">
        <f t="shared" ref="B2743:B2744" si="1414">CHOOSE(2, "1395000000627", "$ APE from pro-rated MDRT agents (50-69%)")</f>
        <v>$ APE from pro-rated MDRT agents (50-69%)</v>
      </c>
      <c r="C2743" s="4" t="str">
        <f>CHOOSE(2, "5461730030", "Jun 26")</f>
        <v>Jun 26</v>
      </c>
      <c r="D2743" s="14">
        <v>1373582.8729679999</v>
      </c>
    </row>
    <row r="2744" spans="1:4" x14ac:dyDescent="0.35">
      <c r="A2744" s="8" t="str">
        <f t="shared" si="1395"/>
        <v>Singapore</v>
      </c>
      <c r="B2744" s="6" t="str">
        <f t="shared" si="1414"/>
        <v>$ APE from pro-rated MDRT agents (50-69%)</v>
      </c>
      <c r="C2744" s="4" t="str">
        <f>CHOOSE(2, "5462030031", "Jul 26")</f>
        <v>Jul 26</v>
      </c>
      <c r="D2744" s="14">
        <v>1101136.0449089999</v>
      </c>
    </row>
    <row r="2745" spans="1:4" x14ac:dyDescent="0.35">
      <c r="A2745" s="8" t="str">
        <f t="shared" si="1395"/>
        <v>Singapore</v>
      </c>
      <c r="B2745" s="3" t="str">
        <f t="shared" ref="B2745:B2746" si="1415">CHOOSE(2, "1395000000626", "$ APE from Top-tier agents")</f>
        <v>$ APE from Top-tier agents</v>
      </c>
      <c r="C2745" s="4" t="str">
        <f>CHOOSE(2, "5461730030", "Jun 26")</f>
        <v>Jun 26</v>
      </c>
      <c r="D2745" s="14">
        <v>45942038.056505002</v>
      </c>
    </row>
    <row r="2746" spans="1:4" x14ac:dyDescent="0.35">
      <c r="A2746" s="8" t="str">
        <f t="shared" si="1395"/>
        <v>Singapore</v>
      </c>
      <c r="B2746" s="6" t="str">
        <f t="shared" si="1415"/>
        <v>$ APE from Top-tier agents</v>
      </c>
      <c r="C2746" s="4" t="str">
        <f>CHOOSE(2, "5462030031", "Jul 26")</f>
        <v>Jul 26</v>
      </c>
      <c r="D2746" s="14">
        <v>32310778.675698999</v>
      </c>
    </row>
    <row r="2747" spans="1:4" x14ac:dyDescent="0.35">
      <c r="A2747" s="8" t="str">
        <f t="shared" si="1395"/>
        <v>Singapore</v>
      </c>
      <c r="B2747" s="3" t="str">
        <f t="shared" ref="B2747:B2748" si="1416">CHOOSE(2, "1395000000625", "# of MDRT qualifiers - YTD")</f>
        <v># of MDRT qualifiers - YTD</v>
      </c>
      <c r="C2747" s="4" t="str">
        <f>CHOOSE(2, "5461730030", "Jun 26")</f>
        <v>Jun 26</v>
      </c>
      <c r="D2747" s="14">
        <v>421</v>
      </c>
    </row>
    <row r="2748" spans="1:4" x14ac:dyDescent="0.35">
      <c r="A2748" s="8" t="str">
        <f t="shared" si="1395"/>
        <v>Singapore</v>
      </c>
      <c r="B2748" s="6" t="str">
        <f t="shared" si="1416"/>
        <v># of MDRT qualifiers - YTD</v>
      </c>
      <c r="C2748" s="4" t="str">
        <f>CHOOSE(2, "5462030031", "Jul 26")</f>
        <v>Jul 26</v>
      </c>
      <c r="D2748" s="14">
        <v>495</v>
      </c>
    </row>
    <row r="2749" spans="1:4" x14ac:dyDescent="0.35">
      <c r="A2749" s="8" t="str">
        <f t="shared" si="1395"/>
        <v>Singapore</v>
      </c>
      <c r="B2749" s="3" t="str">
        <f t="shared" ref="B2749:B2750" si="1417">CHOOSE(2, "1395000000624", "# of MDRT COT qualifiers - YTD")</f>
        <v># of MDRT COT qualifiers - YTD</v>
      </c>
      <c r="C2749" s="4" t="str">
        <f>CHOOSE(2, "5461730030", "Jun 26")</f>
        <v>Jun 26</v>
      </c>
      <c r="D2749" s="14">
        <v>66</v>
      </c>
    </row>
    <row r="2750" spans="1:4" x14ac:dyDescent="0.35">
      <c r="A2750" s="8" t="str">
        <f t="shared" si="1395"/>
        <v>Singapore</v>
      </c>
      <c r="B2750" s="6" t="str">
        <f t="shared" si="1417"/>
        <v># of MDRT COT qualifiers - YTD</v>
      </c>
      <c r="C2750" s="4" t="str">
        <f>CHOOSE(2, "5462030031", "Jul 26")</f>
        <v>Jul 26</v>
      </c>
      <c r="D2750" s="14">
        <v>76</v>
      </c>
    </row>
    <row r="2751" spans="1:4" x14ac:dyDescent="0.35">
      <c r="A2751" s="8" t="str">
        <f t="shared" si="1395"/>
        <v>Singapore</v>
      </c>
      <c r="B2751" s="3" t="str">
        <f t="shared" ref="B2751:B2752" si="1418">CHOOSE(2, "1395000000623", "# of MDRT TOT qualifiers - YTD")</f>
        <v># of MDRT TOT qualifiers - YTD</v>
      </c>
      <c r="C2751" s="4" t="str">
        <f>CHOOSE(2, "5461730030", "Jun 26")</f>
        <v>Jun 26</v>
      </c>
      <c r="D2751" s="14">
        <v>21</v>
      </c>
    </row>
    <row r="2752" spans="1:4" x14ac:dyDescent="0.35">
      <c r="A2752" s="8" t="str">
        <f t="shared" si="1395"/>
        <v>Singapore</v>
      </c>
      <c r="B2752" s="6" t="str">
        <f t="shared" si="1418"/>
        <v># of MDRT TOT qualifiers - YTD</v>
      </c>
      <c r="C2752" s="4" t="str">
        <f>CHOOSE(2, "5462030031", "Jul 26")</f>
        <v>Jul 26</v>
      </c>
      <c r="D2752" s="14">
        <v>26</v>
      </c>
    </row>
    <row r="2753" spans="1:4" x14ac:dyDescent="0.35">
      <c r="A2753" s="8" t="str">
        <f t="shared" si="1395"/>
        <v>Singapore</v>
      </c>
      <c r="B2753" s="3" t="str">
        <f t="shared" ref="B2753:B2754" si="1419">CHOOSE(2, "1395000000622", "Manulife Pro Qualifiers - Total")</f>
        <v>Manulife Pro Qualifiers - Total</v>
      </c>
      <c r="C2753" s="4" t="str">
        <f>CHOOSE(2, "5461730030", "Jun 26")</f>
        <v>Jun 26</v>
      </c>
      <c r="D2753" s="14">
        <v>90</v>
      </c>
    </row>
    <row r="2754" spans="1:4" x14ac:dyDescent="0.35">
      <c r="A2754" s="8" t="str">
        <f t="shared" si="1395"/>
        <v>Singapore</v>
      </c>
      <c r="B2754" s="6" t="str">
        <f t="shared" si="1419"/>
        <v>Manulife Pro Qualifiers - Total</v>
      </c>
      <c r="C2754" s="4" t="str">
        <f>CHOOSE(2, "5462030031", "Jul 26")</f>
        <v>Jul 26</v>
      </c>
      <c r="D2754" s="14">
        <v>90</v>
      </c>
    </row>
    <row r="2755" spans="1:4" x14ac:dyDescent="0.35">
      <c r="A2755" s="8" t="str">
        <f t="shared" si="1395"/>
        <v>Singapore</v>
      </c>
      <c r="B2755" s="3" t="str">
        <f t="shared" ref="B2755:B2756" si="1420">CHOOSE(2, "1395000000621", "Manulife Pro Qualifiers - Silver")</f>
        <v>Manulife Pro Qualifiers - Silver</v>
      </c>
      <c r="C2755" s="4" t="str">
        <f>CHOOSE(2, "5461730030", "Jun 26")</f>
        <v>Jun 26</v>
      </c>
      <c r="D2755" s="2" t="s">
        <v>5</v>
      </c>
    </row>
    <row r="2756" spans="1:4" x14ac:dyDescent="0.35">
      <c r="A2756" s="8" t="str">
        <f t="shared" si="1395"/>
        <v>Singapore</v>
      </c>
      <c r="B2756" s="6" t="str">
        <f t="shared" si="1420"/>
        <v>Manulife Pro Qualifiers - Silver</v>
      </c>
      <c r="C2756" s="4" t="str">
        <f>CHOOSE(2, "5462030031", "Jul 26")</f>
        <v>Jul 26</v>
      </c>
      <c r="D2756" s="2" t="s">
        <v>5</v>
      </c>
    </row>
    <row r="2757" spans="1:4" x14ac:dyDescent="0.35">
      <c r="A2757" s="8" t="str">
        <f t="shared" si="1395"/>
        <v>Singapore</v>
      </c>
      <c r="B2757" s="3" t="str">
        <f t="shared" ref="B2757:B2758" si="1421">CHOOSE(2, "1395000000620", "Manulife Pro Qualifiers - Gold")</f>
        <v>Manulife Pro Qualifiers - Gold</v>
      </c>
      <c r="C2757" s="4" t="str">
        <f>CHOOSE(2, "5461730030", "Jun 26")</f>
        <v>Jun 26</v>
      </c>
      <c r="D2757" s="2" t="s">
        <v>5</v>
      </c>
    </row>
    <row r="2758" spans="1:4" x14ac:dyDescent="0.35">
      <c r="A2758" s="8" t="str">
        <f t="shared" si="1395"/>
        <v>Singapore</v>
      </c>
      <c r="B2758" s="6" t="str">
        <f t="shared" si="1421"/>
        <v>Manulife Pro Qualifiers - Gold</v>
      </c>
      <c r="C2758" s="4" t="str">
        <f>CHOOSE(2, "5462030031", "Jul 26")</f>
        <v>Jul 26</v>
      </c>
      <c r="D2758" s="2" t="s">
        <v>5</v>
      </c>
    </row>
    <row r="2759" spans="1:4" x14ac:dyDescent="0.35">
      <c r="A2759" s="8" t="str">
        <f t="shared" si="1395"/>
        <v>Singapore</v>
      </c>
      <c r="B2759" s="3" t="str">
        <f t="shared" ref="B2759:B2760" si="1422">CHOOSE(2, "1395000000619", "Manulife Pro Qualifiers  - Platinum")</f>
        <v>Manulife Pro Qualifiers  - Platinum</v>
      </c>
      <c r="C2759" s="4" t="str">
        <f>CHOOSE(2, "5461730030", "Jun 26")</f>
        <v>Jun 26</v>
      </c>
      <c r="D2759" s="2" t="s">
        <v>5</v>
      </c>
    </row>
    <row r="2760" spans="1:4" x14ac:dyDescent="0.35">
      <c r="A2760" s="8" t="str">
        <f t="shared" si="1395"/>
        <v>Singapore</v>
      </c>
      <c r="B2760" s="6" t="str">
        <f t="shared" si="1422"/>
        <v>Manulife Pro Qualifiers  - Platinum</v>
      </c>
      <c r="C2760" s="4" t="str">
        <f>CHOOSE(2, "5462030031", "Jul 26")</f>
        <v>Jul 26</v>
      </c>
      <c r="D2760" s="2" t="s">
        <v>5</v>
      </c>
    </row>
    <row r="2761" spans="1:4" x14ac:dyDescent="0.35">
      <c r="A2761" s="8" t="str">
        <f t="shared" si="1395"/>
        <v>Singapore</v>
      </c>
      <c r="B2761" s="3" t="str">
        <f t="shared" ref="B2761:B2762" si="1423">CHOOSE(2, "1395000000618", "$ APE from Manulife Pro - Total")</f>
        <v>$ APE from Manulife Pro - Total</v>
      </c>
      <c r="C2761" s="4" t="str">
        <f>CHOOSE(2, "5461730030", "Jun 26")</f>
        <v>Jun 26</v>
      </c>
      <c r="D2761" s="14">
        <v>0</v>
      </c>
    </row>
    <row r="2762" spans="1:4" x14ac:dyDescent="0.35">
      <c r="A2762" s="8" t="str">
        <f t="shared" si="1395"/>
        <v>Singapore</v>
      </c>
      <c r="B2762" s="6" t="str">
        <f t="shared" si="1423"/>
        <v>$ APE from Manulife Pro - Total</v>
      </c>
      <c r="C2762" s="4" t="str">
        <f>CHOOSE(2, "5462030031", "Jul 26")</f>
        <v>Jul 26</v>
      </c>
      <c r="D2762" s="14">
        <v>0</v>
      </c>
    </row>
    <row r="2763" spans="1:4" x14ac:dyDescent="0.35">
      <c r="A2763" s="8" t="str">
        <f t="shared" si="1395"/>
        <v>Singapore</v>
      </c>
      <c r="B2763" s="3" t="str">
        <f t="shared" ref="B2763:B2764" si="1424">CHOOSE(2, "1395000000617", "$ APE from Manulife Pro - Silver")</f>
        <v>$ APE from Manulife Pro - Silver</v>
      </c>
      <c r="C2763" s="4" t="str">
        <f>CHOOSE(2, "5461730030", "Jun 26")</f>
        <v>Jun 26</v>
      </c>
      <c r="D2763" s="2" t="s">
        <v>5</v>
      </c>
    </row>
    <row r="2764" spans="1:4" x14ac:dyDescent="0.35">
      <c r="A2764" s="8" t="str">
        <f t="shared" si="1395"/>
        <v>Singapore</v>
      </c>
      <c r="B2764" s="6" t="str">
        <f t="shared" si="1424"/>
        <v>$ APE from Manulife Pro - Silver</v>
      </c>
      <c r="C2764" s="4" t="str">
        <f>CHOOSE(2, "5462030031", "Jul 26")</f>
        <v>Jul 26</v>
      </c>
      <c r="D2764" s="2" t="s">
        <v>5</v>
      </c>
    </row>
    <row r="2765" spans="1:4" x14ac:dyDescent="0.35">
      <c r="A2765" s="8" t="str">
        <f t="shared" si="1395"/>
        <v>Singapore</v>
      </c>
      <c r="B2765" s="3" t="str">
        <f t="shared" ref="B2765:B2766" si="1425">CHOOSE(2, "1395000000616", "$ APE from Manulife Pro - Gold")</f>
        <v>$ APE from Manulife Pro - Gold</v>
      </c>
      <c r="C2765" s="4" t="str">
        <f>CHOOSE(2, "5461730030", "Jun 26")</f>
        <v>Jun 26</v>
      </c>
      <c r="D2765" s="2" t="s">
        <v>5</v>
      </c>
    </row>
    <row r="2766" spans="1:4" x14ac:dyDescent="0.35">
      <c r="A2766" s="8" t="str">
        <f t="shared" si="1395"/>
        <v>Singapore</v>
      </c>
      <c r="B2766" s="6" t="str">
        <f t="shared" si="1425"/>
        <v>$ APE from Manulife Pro - Gold</v>
      </c>
      <c r="C2766" s="4" t="str">
        <f>CHOOSE(2, "5462030031", "Jul 26")</f>
        <v>Jul 26</v>
      </c>
      <c r="D2766" s="2" t="s">
        <v>5</v>
      </c>
    </row>
    <row r="2767" spans="1:4" x14ac:dyDescent="0.35">
      <c r="A2767" s="8" t="str">
        <f t="shared" si="1395"/>
        <v>Singapore</v>
      </c>
      <c r="B2767" s="3" t="str">
        <f t="shared" ref="B2767:B2768" si="1426">CHOOSE(2, "1395000000615", "$ APE from Manulife Pro  - Platinum")</f>
        <v>$ APE from Manulife Pro  - Platinum</v>
      </c>
      <c r="C2767" s="4" t="str">
        <f>CHOOSE(2, "5461730030", "Jun 26")</f>
        <v>Jun 26</v>
      </c>
      <c r="D2767" s="2" t="s">
        <v>5</v>
      </c>
    </row>
    <row r="2768" spans="1:4" x14ac:dyDescent="0.35">
      <c r="A2768" s="8" t="str">
        <f t="shared" si="1395"/>
        <v>Singapore</v>
      </c>
      <c r="B2768" s="6" t="str">
        <f t="shared" si="1426"/>
        <v>$ APE from Manulife Pro  - Platinum</v>
      </c>
      <c r="C2768" s="4" t="str">
        <f>CHOOSE(2, "5462030031", "Jul 26")</f>
        <v>Jul 26</v>
      </c>
      <c r="D2768" s="2" t="s">
        <v>5</v>
      </c>
    </row>
    <row r="2769" spans="1:4" x14ac:dyDescent="0.35">
      <c r="A2769" s="8" t="str">
        <f t="shared" si="1395"/>
        <v>Singapore</v>
      </c>
      <c r="B2769" s="3" t="str">
        <f t="shared" ref="B2769:B2770" si="1427">CHOOSE(2, "1395000000614", "Issued APE")</f>
        <v>Issued APE</v>
      </c>
      <c r="C2769" s="4" t="str">
        <f>CHOOSE(2, "5461730030", "Jun 26")</f>
        <v>Jun 26</v>
      </c>
      <c r="D2769" s="14">
        <v>47977111.388568476</v>
      </c>
    </row>
    <row r="2770" spans="1:4" x14ac:dyDescent="0.35">
      <c r="A2770" s="8" t="str">
        <f t="shared" si="1395"/>
        <v>Singapore</v>
      </c>
      <c r="B2770" s="6" t="str">
        <f t="shared" si="1427"/>
        <v>Issued APE</v>
      </c>
      <c r="C2770" s="4" t="str">
        <f>CHOOSE(2, "5462030031", "Jul 26")</f>
        <v>Jul 26</v>
      </c>
      <c r="D2770" s="14">
        <v>34781486.955390155</v>
      </c>
    </row>
    <row r="2771" spans="1:4" x14ac:dyDescent="0.35">
      <c r="A2771" s="8" t="str">
        <f t="shared" ref="A2771:A2834" si="1428">CHOOSE(2, "204000000003", "Singapore")</f>
        <v>Singapore</v>
      </c>
      <c r="B2771" s="3" t="str">
        <f t="shared" ref="B2771:B2772" si="1429">CHOOSE(2, "1395000000613", "Post-MI APE")</f>
        <v>Post-MI APE</v>
      </c>
      <c r="C2771" s="4" t="str">
        <f>CHOOSE(2, "5461730030", "Jun 26")</f>
        <v>Jun 26</v>
      </c>
      <c r="D2771" s="14">
        <v>47977111.388568476</v>
      </c>
    </row>
    <row r="2772" spans="1:4" x14ac:dyDescent="0.35">
      <c r="A2772" s="8" t="str">
        <f t="shared" si="1428"/>
        <v>Singapore</v>
      </c>
      <c r="B2772" s="6" t="str">
        <f t="shared" si="1429"/>
        <v>Post-MI APE</v>
      </c>
      <c r="C2772" s="4" t="str">
        <f>CHOOSE(2, "5462030031", "Jul 26")</f>
        <v>Jul 26</v>
      </c>
      <c r="D2772" s="14">
        <v>34781486.955390155</v>
      </c>
    </row>
    <row r="2773" spans="1:4" x14ac:dyDescent="0.35">
      <c r="A2773" s="8" t="str">
        <f t="shared" si="1428"/>
        <v>Singapore</v>
      </c>
      <c r="B2773" s="3" t="str">
        <f t="shared" ref="B2773:B2774" si="1430">CHOOSE(2, "1395000000610", "Pre-gap NBV")</f>
        <v>Pre-gap NBV</v>
      </c>
      <c r="C2773" s="4" t="str">
        <f>CHOOSE(2, "5461730030", "Jun 26")</f>
        <v>Jun 26</v>
      </c>
      <c r="D2773" s="14">
        <v>12347138.769624721</v>
      </c>
    </row>
    <row r="2774" spans="1:4" x14ac:dyDescent="0.35">
      <c r="A2774" s="8" t="str">
        <f t="shared" si="1428"/>
        <v>Singapore</v>
      </c>
      <c r="B2774" s="6" t="str">
        <f t="shared" si="1430"/>
        <v>Pre-gap NBV</v>
      </c>
      <c r="C2774" s="4" t="str">
        <f>CHOOSE(2, "5462030031", "Jul 26")</f>
        <v>Jul 26</v>
      </c>
      <c r="D2774" s="14">
        <v>8411514.854986079</v>
      </c>
    </row>
    <row r="2775" spans="1:4" x14ac:dyDescent="0.35">
      <c r="A2775" s="8" t="str">
        <f t="shared" si="1428"/>
        <v>Singapore</v>
      </c>
      <c r="B2775" s="3" t="str">
        <f t="shared" ref="B2775:B2776" si="1431">CHOOSE(2, "1395000000609", "Pre-gap NBV Margin %")</f>
        <v>Pre-gap NBV Margin %</v>
      </c>
      <c r="C2775" s="4" t="str">
        <f>CHOOSE(2, "5461730030", "Jun 26")</f>
        <v>Jun 26</v>
      </c>
      <c r="D2775" s="14">
        <v>0.25735477631457987</v>
      </c>
    </row>
    <row r="2776" spans="1:4" x14ac:dyDescent="0.35">
      <c r="A2776" s="8" t="str">
        <f t="shared" si="1428"/>
        <v>Singapore</v>
      </c>
      <c r="B2776" s="6" t="str">
        <f t="shared" si="1431"/>
        <v>Pre-gap NBV Margin %</v>
      </c>
      <c r="C2776" s="4" t="str">
        <f>CHOOSE(2, "5462030031", "Jul 26")</f>
        <v>Jul 26</v>
      </c>
      <c r="D2776" s="14">
        <v>0.24183885139167491</v>
      </c>
    </row>
    <row r="2777" spans="1:4" x14ac:dyDescent="0.35">
      <c r="A2777" s="8" t="str">
        <f t="shared" si="1428"/>
        <v>Singapore</v>
      </c>
      <c r="B2777" s="3" t="str">
        <f t="shared" ref="B2777:B2778" si="1432">CHOOSE(2, "1395000000608", "Post-gap NBV")</f>
        <v>Post-gap NBV</v>
      </c>
      <c r="C2777" s="4" t="str">
        <f>CHOOSE(2, "5461730030", "Jun 26")</f>
        <v>Jun 26</v>
      </c>
      <c r="D2777" s="14">
        <v>12347138.769624721</v>
      </c>
    </row>
    <row r="2778" spans="1:4" x14ac:dyDescent="0.35">
      <c r="A2778" s="8" t="str">
        <f t="shared" si="1428"/>
        <v>Singapore</v>
      </c>
      <c r="B2778" s="6" t="str">
        <f t="shared" si="1432"/>
        <v>Post-gap NBV</v>
      </c>
      <c r="C2778" s="4" t="str">
        <f>CHOOSE(2, "5462030031", "Jul 26")</f>
        <v>Jul 26</v>
      </c>
      <c r="D2778" s="14">
        <v>8411514.854986079</v>
      </c>
    </row>
    <row r="2779" spans="1:4" x14ac:dyDescent="0.35">
      <c r="A2779" s="8" t="str">
        <f t="shared" si="1428"/>
        <v>Singapore</v>
      </c>
      <c r="B2779" s="3" t="str">
        <f t="shared" ref="B2779:B2780" si="1433">CHOOSE(2, "1395000000607", "Post-gap NBV Margin %")</f>
        <v>Post-gap NBV Margin %</v>
      </c>
      <c r="C2779" s="4" t="str">
        <f>CHOOSE(2, "5461730030", "Jun 26")</f>
        <v>Jun 26</v>
      </c>
      <c r="D2779" s="14">
        <v>0.25735477631457987</v>
      </c>
    </row>
    <row r="2780" spans="1:4" x14ac:dyDescent="0.35">
      <c r="A2780" s="8" t="str">
        <f t="shared" si="1428"/>
        <v>Singapore</v>
      </c>
      <c r="B2780" s="6" t="str">
        <f t="shared" si="1433"/>
        <v>Post-gap NBV Margin %</v>
      </c>
      <c r="C2780" s="4" t="str">
        <f>CHOOSE(2, "5462030031", "Jul 26")</f>
        <v>Jul 26</v>
      </c>
      <c r="D2780" s="14">
        <v>0.24183885139167491</v>
      </c>
    </row>
    <row r="2781" spans="1:4" x14ac:dyDescent="0.35">
      <c r="A2781" s="8" t="str">
        <f t="shared" si="1428"/>
        <v>Singapore</v>
      </c>
      <c r="B2781" s="3" t="str">
        <f t="shared" ref="B2781:B2782" si="1434">CHOOSE(2, "1395000000606", "NB CSM")</f>
        <v>NB CSM</v>
      </c>
      <c r="C2781" s="4" t="str">
        <f>CHOOSE(2, "5461730030", "Jun 26")</f>
        <v>Jun 26</v>
      </c>
      <c r="D2781" s="14">
        <v>12988907.5925612</v>
      </c>
    </row>
    <row r="2782" spans="1:4" x14ac:dyDescent="0.35">
      <c r="A2782" s="8" t="str">
        <f t="shared" si="1428"/>
        <v>Singapore</v>
      </c>
      <c r="B2782" s="6" t="str">
        <f t="shared" si="1434"/>
        <v>NB CSM</v>
      </c>
      <c r="C2782" s="4" t="str">
        <f>CHOOSE(2, "5462030031", "Jul 26")</f>
        <v>Jul 26</v>
      </c>
      <c r="D2782" s="14">
        <v>9177923.3805832006</v>
      </c>
    </row>
    <row r="2783" spans="1:4" x14ac:dyDescent="0.35">
      <c r="A2783" s="8" t="str">
        <f t="shared" si="1428"/>
        <v>Singapore</v>
      </c>
      <c r="B2783" s="3" t="str">
        <f t="shared" ref="B2783:B2784" si="1435">CHOOSE(2, "1395000000605", "NB CSM Margin %")</f>
        <v>NB CSM Margin %</v>
      </c>
      <c r="C2783" s="4" t="str">
        <f>CHOOSE(2, "5461730030", "Jun 26")</f>
        <v>Jun 26</v>
      </c>
      <c r="D2783" s="14">
        <v>0.2707313386869738</v>
      </c>
    </row>
    <row r="2784" spans="1:4" x14ac:dyDescent="0.35">
      <c r="A2784" s="8" t="str">
        <f t="shared" si="1428"/>
        <v>Singapore</v>
      </c>
      <c r="B2784" s="6" t="str">
        <f t="shared" si="1435"/>
        <v>NB CSM Margin %</v>
      </c>
      <c r="C2784" s="4" t="str">
        <f>CHOOSE(2, "5462030031", "Jul 26")</f>
        <v>Jul 26</v>
      </c>
      <c r="D2784" s="14">
        <v>0.26387380713063158</v>
      </c>
    </row>
    <row r="2785" spans="1:4" x14ac:dyDescent="0.35">
      <c r="A2785" s="8" t="str">
        <f t="shared" si="1428"/>
        <v>Singapore</v>
      </c>
      <c r="B2785" s="3" t="str">
        <f t="shared" ref="B2785:B2786" si="1436">CHOOSE(2, "1395000000604", "PRE")</f>
        <v>PRE</v>
      </c>
      <c r="C2785" s="4" t="str">
        <f>CHOOSE(2, "5461730030", "Jun 26")</f>
        <v>Jun 26</v>
      </c>
      <c r="D2785" s="14">
        <v>3068397.4100649026</v>
      </c>
    </row>
    <row r="2786" spans="1:4" x14ac:dyDescent="0.35">
      <c r="A2786" s="8" t="str">
        <f t="shared" si="1428"/>
        <v>Singapore</v>
      </c>
      <c r="B2786" s="6" t="str">
        <f t="shared" si="1436"/>
        <v>PRE</v>
      </c>
      <c r="C2786" s="4" t="str">
        <f>CHOOSE(2, "5462030031", "Jul 26")</f>
        <v>Jul 26</v>
      </c>
      <c r="D2786" s="14">
        <v>2897371.9806514485</v>
      </c>
    </row>
    <row r="2787" spans="1:4" x14ac:dyDescent="0.35">
      <c r="A2787" s="8" t="str">
        <f t="shared" si="1428"/>
        <v>Singapore</v>
      </c>
      <c r="B2787" s="3" t="str">
        <f t="shared" ref="B2787:B2788" si="1437">CHOOSE(2, "1395000000603", "ContEx")</f>
        <v>ContEx</v>
      </c>
      <c r="C2787" s="4" t="str">
        <f>CHOOSE(2, "5461730030", "Jun 26")</f>
        <v>Jun 26</v>
      </c>
      <c r="D2787" s="14">
        <v>0</v>
      </c>
    </row>
    <row r="2788" spans="1:4" x14ac:dyDescent="0.35">
      <c r="A2788" s="8" t="str">
        <f t="shared" si="1428"/>
        <v>Singapore</v>
      </c>
      <c r="B2788" s="6" t="str">
        <f t="shared" si="1437"/>
        <v>ContEx</v>
      </c>
      <c r="C2788" s="4" t="str">
        <f>CHOOSE(2, "5462030031", "Jul 26")</f>
        <v>Jul 26</v>
      </c>
      <c r="D2788" s="14">
        <v>0</v>
      </c>
    </row>
    <row r="2789" spans="1:4" x14ac:dyDescent="0.35">
      <c r="A2789" s="8" t="str">
        <f t="shared" si="1428"/>
        <v>Singapore</v>
      </c>
      <c r="B2789" s="3" t="str">
        <f t="shared" ref="B2789:B2790" si="1438">CHOOSE(2, "1395000000602", "% of 6-90 agents")</f>
        <v>% of 6-90 agents</v>
      </c>
      <c r="C2789" s="4" t="str">
        <f>CHOOSE(2, "5461730030", "Jun 26")</f>
        <v>Jun 26</v>
      </c>
      <c r="D2789" s="14">
        <v>0.20353982300884957</v>
      </c>
    </row>
    <row r="2790" spans="1:4" x14ac:dyDescent="0.35">
      <c r="A2790" s="8" t="str">
        <f t="shared" si="1428"/>
        <v>Singapore</v>
      </c>
      <c r="B2790" s="6" t="str">
        <f t="shared" si="1438"/>
        <v>% of 6-90 agents</v>
      </c>
      <c r="C2790" s="4" t="str">
        <f>CHOOSE(2, "5462030031", "Jul 26")</f>
        <v>Jul 26</v>
      </c>
      <c r="D2790" s="14">
        <v>0.20338983050847459</v>
      </c>
    </row>
    <row r="2791" spans="1:4" x14ac:dyDescent="0.35">
      <c r="A2791" s="8" t="str">
        <f t="shared" si="1428"/>
        <v>Singapore</v>
      </c>
      <c r="B2791" s="3" t="str">
        <f t="shared" ref="B2791:B2792" si="1439">CHOOSE(2, "1395000000601", "New Recruits 3M Activation Rate")</f>
        <v>New Recruits 3M Activation Rate</v>
      </c>
      <c r="C2791" s="4" t="str">
        <f>CHOOSE(2, "5461730030", "Jun 26")</f>
        <v>Jun 26</v>
      </c>
      <c r="D2791" s="14">
        <v>0.7931034482758621</v>
      </c>
    </row>
    <row r="2792" spans="1:4" x14ac:dyDescent="0.35">
      <c r="A2792" s="8" t="str">
        <f t="shared" si="1428"/>
        <v>Singapore</v>
      </c>
      <c r="B2792" s="6" t="str">
        <f t="shared" si="1439"/>
        <v>New Recruits 3M Activation Rate</v>
      </c>
      <c r="C2792" s="4" t="str">
        <f>CHOOSE(2, "5462030031", "Jul 26")</f>
        <v>Jul 26</v>
      </c>
      <c r="D2792" s="14">
        <v>0.65789473684210531</v>
      </c>
    </row>
    <row r="2793" spans="1:4" x14ac:dyDescent="0.35">
      <c r="A2793" s="8" t="str">
        <f t="shared" si="1428"/>
        <v>Singapore</v>
      </c>
      <c r="B2793" s="3" t="str">
        <f t="shared" ref="B2793:B2794" si="1440">CHOOSE(2, "1395000000600", "No. of Recruits from leaders")</f>
        <v>No. of Recruits from leaders</v>
      </c>
      <c r="C2793" s="4" t="str">
        <f>CHOOSE(2, "5461730030", "Jun 26")</f>
        <v>Jun 26</v>
      </c>
      <c r="D2793" s="2" t="s">
        <v>5</v>
      </c>
    </row>
    <row r="2794" spans="1:4" x14ac:dyDescent="0.35">
      <c r="A2794" s="8" t="str">
        <f t="shared" si="1428"/>
        <v>Singapore</v>
      </c>
      <c r="B2794" s="6" t="str">
        <f t="shared" si="1440"/>
        <v>No. of Recruits from leaders</v>
      </c>
      <c r="C2794" s="4" t="str">
        <f>CHOOSE(2, "5462030031", "Jul 26")</f>
        <v>Jul 26</v>
      </c>
      <c r="D2794" s="2" t="s">
        <v>5</v>
      </c>
    </row>
    <row r="2795" spans="1:4" x14ac:dyDescent="0.35">
      <c r="A2795" s="8" t="str">
        <f t="shared" si="1428"/>
        <v>Singapore</v>
      </c>
      <c r="B2795" s="3" t="str">
        <f t="shared" ref="B2795:B2796" si="1441">CHOOSE(2, "1395000000599", "No. of Recruits per Active Recruiting Leader per month")</f>
        <v>No. of Recruits per Active Recruiting Leader per month</v>
      </c>
      <c r="C2795" s="4" t="str">
        <f>CHOOSE(2, "5461730030", "Jun 26")</f>
        <v>Jun 26</v>
      </c>
      <c r="D2795" s="14">
        <v>0</v>
      </c>
    </row>
    <row r="2796" spans="1:4" x14ac:dyDescent="0.35">
      <c r="A2796" s="8" t="str">
        <f t="shared" si="1428"/>
        <v>Singapore</v>
      </c>
      <c r="B2796" s="6" t="str">
        <f t="shared" si="1441"/>
        <v>No. of Recruits per Active Recruiting Leader per month</v>
      </c>
      <c r="C2796" s="4" t="str">
        <f>CHOOSE(2, "5462030031", "Jul 26")</f>
        <v>Jul 26</v>
      </c>
      <c r="D2796" s="14">
        <v>0</v>
      </c>
    </row>
    <row r="2797" spans="1:4" x14ac:dyDescent="0.35">
      <c r="A2797" s="8" t="str">
        <f t="shared" si="1428"/>
        <v>Singapore</v>
      </c>
      <c r="B2797" s="3" t="str">
        <f t="shared" ref="B2797:B2798" si="1442">CHOOSE(2, "1395000000598", "PRE as % of APE")</f>
        <v>PRE as % of APE</v>
      </c>
      <c r="C2797" s="4" t="str">
        <f>CHOOSE(2, "5461730030", "Jun 26")</f>
        <v>Jun 26</v>
      </c>
      <c r="D2797" s="14">
        <v>6.3955442944737415E-2</v>
      </c>
    </row>
    <row r="2798" spans="1:4" x14ac:dyDescent="0.35">
      <c r="A2798" s="8" t="str">
        <f t="shared" si="1428"/>
        <v>Singapore</v>
      </c>
      <c r="B2798" s="6" t="str">
        <f t="shared" si="1442"/>
        <v>PRE as % of APE</v>
      </c>
      <c r="C2798" s="4" t="str">
        <f>CHOOSE(2, "5462030031", "Jul 26")</f>
        <v>Jul 26</v>
      </c>
      <c r="D2798" s="14">
        <v>8.3302130940162034E-2</v>
      </c>
    </row>
    <row r="2799" spans="1:4" x14ac:dyDescent="0.35">
      <c r="A2799" s="8" t="str">
        <f t="shared" si="1428"/>
        <v>Singapore</v>
      </c>
      <c r="B2799" s="3" t="str">
        <f t="shared" ref="B2799:B2800" si="1443">CHOOSE(2, "1395000000597", "ContEx as % of APE")</f>
        <v>ContEx as % of APE</v>
      </c>
      <c r="C2799" s="4" t="str">
        <f>CHOOSE(2, "5461730030", "Jun 26")</f>
        <v>Jun 26</v>
      </c>
      <c r="D2799" s="14">
        <v>0</v>
      </c>
    </row>
    <row r="2800" spans="1:4" x14ac:dyDescent="0.35">
      <c r="A2800" s="8" t="str">
        <f t="shared" si="1428"/>
        <v>Singapore</v>
      </c>
      <c r="B2800" s="6" t="str">
        <f t="shared" si="1443"/>
        <v>ContEx as % of APE</v>
      </c>
      <c r="C2800" s="4" t="str">
        <f>CHOOSE(2, "5462030031", "Jul 26")</f>
        <v>Jul 26</v>
      </c>
      <c r="D2800" s="14">
        <v>0</v>
      </c>
    </row>
    <row r="2801" spans="1:4" x14ac:dyDescent="0.35">
      <c r="A2801" s="8" t="str">
        <f t="shared" si="1428"/>
        <v>Singapore</v>
      </c>
      <c r="B2801" s="3" t="str">
        <f t="shared" ref="B2801:B2802" si="1444">CHOOSE(2, "1395000000596", "% of 1-Month Active Agents")</f>
        <v>% of 1-Month Active Agents</v>
      </c>
      <c r="C2801" s="4" t="str">
        <f>CHOOSE(2, "5461730030", "Jun 26")</f>
        <v>Jun 26</v>
      </c>
      <c r="D2801" s="14">
        <v>0.54442732408834105</v>
      </c>
    </row>
    <row r="2802" spans="1:4" x14ac:dyDescent="0.35">
      <c r="A2802" s="8" t="str">
        <f t="shared" si="1428"/>
        <v>Singapore</v>
      </c>
      <c r="B2802" s="6" t="str">
        <f t="shared" si="1444"/>
        <v>% of 1-Month Active Agents</v>
      </c>
      <c r="C2802" s="4" t="str">
        <f>CHOOSE(2, "5462030031", "Jul 26")</f>
        <v>Jul 26</v>
      </c>
      <c r="D2802" s="14">
        <v>0.51276813074565886</v>
      </c>
    </row>
    <row r="2803" spans="1:4" x14ac:dyDescent="0.35">
      <c r="A2803" s="8" t="str">
        <f t="shared" si="1428"/>
        <v>Singapore</v>
      </c>
      <c r="B2803" s="3" t="str">
        <f t="shared" ref="B2803:B2804" si="1445">CHOOSE(2, "1395000000595", "% of 3-Month Active Agents")</f>
        <v>% of 3-Month Active Agents</v>
      </c>
      <c r="C2803" s="4" t="str">
        <f>CHOOSE(2, "5461730030", "Jun 26")</f>
        <v>Jun 26</v>
      </c>
      <c r="D2803" s="14">
        <v>0.24606877484015899</v>
      </c>
    </row>
    <row r="2804" spans="1:4" x14ac:dyDescent="0.35">
      <c r="A2804" s="8" t="str">
        <f t="shared" si="1428"/>
        <v>Singapore</v>
      </c>
      <c r="B2804" s="6" t="str">
        <f t="shared" si="1445"/>
        <v>% of 3-Month Active Agents</v>
      </c>
      <c r="C2804" s="4" t="str">
        <f>CHOOSE(2, "5462030031", "Jul 26")</f>
        <v>Jul 26</v>
      </c>
      <c r="D2804" s="14">
        <v>0.24918538844109073</v>
      </c>
    </row>
    <row r="2805" spans="1:4" x14ac:dyDescent="0.35">
      <c r="A2805" s="8" t="str">
        <f t="shared" si="1428"/>
        <v>Singapore</v>
      </c>
      <c r="B2805" s="3" t="str">
        <f t="shared" ref="B2805:B2806" si="1446">CHOOSE(2, "1395000000594", "Active agents per active leader")</f>
        <v>Active agents per active leader</v>
      </c>
      <c r="C2805" s="4" t="str">
        <f>CHOOSE(2, "5461730030", "Jun 26")</f>
        <v>Jun 26</v>
      </c>
      <c r="D2805" s="14">
        <v>35.333333333333336</v>
      </c>
    </row>
    <row r="2806" spans="1:4" x14ac:dyDescent="0.35">
      <c r="A2806" s="8" t="str">
        <f t="shared" si="1428"/>
        <v>Singapore</v>
      </c>
      <c r="B2806" s="6" t="str">
        <f t="shared" si="1446"/>
        <v>Active agents per active leader</v>
      </c>
      <c r="C2806" s="4" t="str">
        <f>CHOOSE(2, "5462030031", "Jul 26")</f>
        <v>Jul 26</v>
      </c>
      <c r="D2806" s="14">
        <v>33.466666666666669</v>
      </c>
    </row>
    <row r="2807" spans="1:4" x14ac:dyDescent="0.35">
      <c r="A2807" s="8" t="str">
        <f t="shared" si="1428"/>
        <v>Singapore</v>
      </c>
      <c r="B2807" s="3" t="str">
        <f t="shared" ref="B2807:B2808" si="1447">CHOOSE(2, "1395000000593", "Avg. Case count per 1-Month Active Agent")</f>
        <v>Avg. Case count per 1-Month Active Agent</v>
      </c>
      <c r="C2807" s="4" t="str">
        <f>CHOOSE(2, "5461730030", "Jun 26")</f>
        <v>Jun 26</v>
      </c>
      <c r="D2807" s="14">
        <v>3.7792452830188679</v>
      </c>
    </row>
    <row r="2808" spans="1:4" x14ac:dyDescent="0.35">
      <c r="A2808" s="8" t="str">
        <f t="shared" si="1428"/>
        <v>Singapore</v>
      </c>
      <c r="B2808" s="6" t="str">
        <f t="shared" si="1447"/>
        <v>Avg. Case count per 1-Month Active Agent</v>
      </c>
      <c r="C2808" s="4" t="str">
        <f>CHOOSE(2, "5462030031", "Jul 26")</f>
        <v>Jul 26</v>
      </c>
      <c r="D2808" s="14">
        <v>3.5069721115537851</v>
      </c>
    </row>
    <row r="2809" spans="1:4" x14ac:dyDescent="0.35">
      <c r="A2809" s="8" t="str">
        <f t="shared" si="1428"/>
        <v>Singapore</v>
      </c>
      <c r="B2809" s="3" t="str">
        <f t="shared" ref="B2809:B2810" si="1448">CHOOSE(2, "1395000000592", "Avg. Case size")</f>
        <v>Avg. Case size</v>
      </c>
      <c r="C2809" s="4" t="str">
        <f>CHOOSE(2, "5461730030", "Jun 26")</f>
        <v>Jun 26</v>
      </c>
      <c r="D2809" s="14">
        <v>11976.313377076503</v>
      </c>
    </row>
    <row r="2810" spans="1:4" x14ac:dyDescent="0.35">
      <c r="A2810" s="8" t="str">
        <f t="shared" si="1428"/>
        <v>Singapore</v>
      </c>
      <c r="B2810" s="6" t="str">
        <f t="shared" si="1448"/>
        <v>Avg. Case size</v>
      </c>
      <c r="C2810" s="4" t="str">
        <f>CHOOSE(2, "5462030031", "Jul 26")</f>
        <v>Jul 26</v>
      </c>
      <c r="D2810" s="14">
        <v>9878.2979140557109</v>
      </c>
    </row>
    <row r="2811" spans="1:4" x14ac:dyDescent="0.35">
      <c r="A2811" s="8" t="str">
        <f t="shared" si="1428"/>
        <v>Singapore</v>
      </c>
      <c r="B2811" s="3" t="str">
        <f t="shared" ref="B2811:B2812" si="1449">CHOOSE(2, "1395000000591", "APE per 1-Month Active Agent")</f>
        <v>APE per 1-Month Active Agent</v>
      </c>
      <c r="C2811" s="4" t="str">
        <f>CHOOSE(2, "5461730030", "Jun 26")</f>
        <v>Jun 26</v>
      </c>
      <c r="D2811" s="14">
        <v>45261.425838272145</v>
      </c>
    </row>
    <row r="2812" spans="1:4" x14ac:dyDescent="0.35">
      <c r="A2812" s="8" t="str">
        <f t="shared" si="1428"/>
        <v>Singapore</v>
      </c>
      <c r="B2812" s="6" t="str">
        <f t="shared" si="1449"/>
        <v>APE per 1-Month Active Agent</v>
      </c>
      <c r="C2812" s="4" t="str">
        <f>CHOOSE(2, "5462030031", "Jul 26")</f>
        <v>Jul 26</v>
      </c>
      <c r="D2812" s="14">
        <v>34642.915294213301</v>
      </c>
    </row>
    <row r="2813" spans="1:4" x14ac:dyDescent="0.35">
      <c r="A2813" s="8" t="str">
        <f t="shared" si="1428"/>
        <v>Singapore</v>
      </c>
      <c r="B2813" s="3" t="str">
        <f t="shared" ref="B2813:B2814" si="1450">CHOOSE(2, "1395000000590", "% Conversion of Proposals to cases")</f>
        <v>% Conversion of Proposals to cases</v>
      </c>
      <c r="C2813" s="4" t="str">
        <f>CHOOSE(2, "5461730030", "Jun 26")</f>
        <v>Jun 26</v>
      </c>
      <c r="D2813" s="14">
        <v>0.38541466230517607</v>
      </c>
    </row>
    <row r="2814" spans="1:4" x14ac:dyDescent="0.35">
      <c r="A2814" s="8" t="str">
        <f t="shared" si="1428"/>
        <v>Singapore</v>
      </c>
      <c r="B2814" s="6" t="str">
        <f t="shared" si="1450"/>
        <v>% Conversion of Proposals to cases</v>
      </c>
      <c r="C2814" s="4" t="str">
        <f>CHOOSE(2, "5462030031", "Jul 26")</f>
        <v>Jul 26</v>
      </c>
      <c r="D2814" s="14">
        <v>0.36830543933054394</v>
      </c>
    </row>
    <row r="2815" spans="1:4" x14ac:dyDescent="0.35">
      <c r="A2815" s="8" t="str">
        <f t="shared" si="1428"/>
        <v>Singapore</v>
      </c>
      <c r="B2815" s="3" t="str">
        <f t="shared" ref="B2815:B2816" si="1451">CHOOSE(2, "1395000000588", "% APE from Agents in X tenure")</f>
        <v>% APE from Agents in X tenure</v>
      </c>
      <c r="C2815" s="4" t="str">
        <f>CHOOSE(2, "5461730030", "Jun 26")</f>
        <v>Jun 26</v>
      </c>
      <c r="D2815" s="14">
        <v>1</v>
      </c>
    </row>
    <row r="2816" spans="1:4" x14ac:dyDescent="0.35">
      <c r="A2816" s="8" t="str">
        <f t="shared" si="1428"/>
        <v>Singapore</v>
      </c>
      <c r="B2816" s="6" t="str">
        <f t="shared" si="1451"/>
        <v>% APE from Agents in X tenure</v>
      </c>
      <c r="C2816" s="4" t="str">
        <f>CHOOSE(2, "5462030031", "Jul 26")</f>
        <v>Jul 26</v>
      </c>
      <c r="D2816" s="14">
        <v>1</v>
      </c>
    </row>
    <row r="2817" spans="1:4" x14ac:dyDescent="0.35">
      <c r="A2817" s="8" t="str">
        <f t="shared" si="1428"/>
        <v>Singapore</v>
      </c>
      <c r="B2817" s="3" t="str">
        <f t="shared" ref="B2817:B2818" si="1452">CHOOSE(2, "1395000000587", "% APE from Agents in X tenure in 0-1M")</f>
        <v>% APE from Agents in X tenure in 0-1M</v>
      </c>
      <c r="C2817" s="4" t="str">
        <f>CHOOSE(2, "5461730030", "Jun 26")</f>
        <v>Jun 26</v>
      </c>
      <c r="D2817" s="14">
        <v>0.1</v>
      </c>
    </row>
    <row r="2818" spans="1:4" x14ac:dyDescent="0.35">
      <c r="A2818" s="8" t="str">
        <f t="shared" si="1428"/>
        <v>Singapore</v>
      </c>
      <c r="B2818" s="6" t="str">
        <f t="shared" si="1452"/>
        <v>% APE from Agents in X tenure in 0-1M</v>
      </c>
      <c r="C2818" s="4" t="str">
        <f>CHOOSE(2, "5462030031", "Jul 26")</f>
        <v>Jul 26</v>
      </c>
      <c r="D2818" s="14">
        <v>0.1</v>
      </c>
    </row>
    <row r="2819" spans="1:4" x14ac:dyDescent="0.35">
      <c r="A2819" s="8" t="str">
        <f t="shared" si="1428"/>
        <v>Singapore</v>
      </c>
      <c r="B2819" s="3" t="str">
        <f t="shared" ref="B2819:B2820" si="1453">CHOOSE(2, "1395000000586", "% APE from Agents in X tenure in 2-3M")</f>
        <v>% APE from Agents in X tenure in 2-3M</v>
      </c>
      <c r="C2819" s="4" t="str">
        <f>CHOOSE(2, "5461730030", "Jun 26")</f>
        <v>Jun 26</v>
      </c>
      <c r="D2819" s="14">
        <v>0.2</v>
      </c>
    </row>
    <row r="2820" spans="1:4" x14ac:dyDescent="0.35">
      <c r="A2820" s="8" t="str">
        <f t="shared" si="1428"/>
        <v>Singapore</v>
      </c>
      <c r="B2820" s="6" t="str">
        <f t="shared" si="1453"/>
        <v>% APE from Agents in X tenure in 2-3M</v>
      </c>
      <c r="C2820" s="4" t="str">
        <f>CHOOSE(2, "5462030031", "Jul 26")</f>
        <v>Jul 26</v>
      </c>
      <c r="D2820" s="14">
        <v>0.2</v>
      </c>
    </row>
    <row r="2821" spans="1:4" x14ac:dyDescent="0.35">
      <c r="A2821" s="8" t="str">
        <f t="shared" si="1428"/>
        <v>Singapore</v>
      </c>
      <c r="B2821" s="3" t="str">
        <f t="shared" ref="B2821:B2822" si="1454">CHOOSE(2, "1395000000585", "% APE from Agents in X tenure in 4-12M")</f>
        <v>% APE from Agents in X tenure in 4-12M</v>
      </c>
      <c r="C2821" s="4" t="str">
        <f>CHOOSE(2, "5461730030", "Jun 26")</f>
        <v>Jun 26</v>
      </c>
      <c r="D2821" s="14">
        <v>0.29999999999999993</v>
      </c>
    </row>
    <row r="2822" spans="1:4" x14ac:dyDescent="0.35">
      <c r="A2822" s="8" t="str">
        <f t="shared" si="1428"/>
        <v>Singapore</v>
      </c>
      <c r="B2822" s="6" t="str">
        <f t="shared" si="1454"/>
        <v>% APE from Agents in X tenure in 4-12M</v>
      </c>
      <c r="C2822" s="4" t="str">
        <f>CHOOSE(2, "5462030031", "Jul 26")</f>
        <v>Jul 26</v>
      </c>
      <c r="D2822" s="14">
        <v>0.3</v>
      </c>
    </row>
    <row r="2823" spans="1:4" x14ac:dyDescent="0.35">
      <c r="A2823" s="8" t="str">
        <f t="shared" si="1428"/>
        <v>Singapore</v>
      </c>
      <c r="B2823" s="3" t="str">
        <f t="shared" ref="B2823:B2824" si="1455">CHOOSE(2, "1395000000584", "% APE from Agents in X tenure 13+M")</f>
        <v>% APE from Agents in X tenure 13+M</v>
      </c>
      <c r="C2823" s="4" t="str">
        <f>CHOOSE(2, "5461730030", "Jun 26")</f>
        <v>Jun 26</v>
      </c>
      <c r="D2823" s="14">
        <v>0.4</v>
      </c>
    </row>
    <row r="2824" spans="1:4" x14ac:dyDescent="0.35">
      <c r="A2824" s="8" t="str">
        <f t="shared" si="1428"/>
        <v>Singapore</v>
      </c>
      <c r="B2824" s="6" t="str">
        <f t="shared" si="1455"/>
        <v>% APE from Agents in X tenure 13+M</v>
      </c>
      <c r="C2824" s="4" t="str">
        <f>CHOOSE(2, "5462030031", "Jul 26")</f>
        <v>Jul 26</v>
      </c>
      <c r="D2824" s="14">
        <v>0.4</v>
      </c>
    </row>
    <row r="2825" spans="1:4" x14ac:dyDescent="0.35">
      <c r="A2825" s="8" t="str">
        <f t="shared" si="1428"/>
        <v>Singapore</v>
      </c>
      <c r="B2825" s="3" t="str">
        <f t="shared" ref="B2825:B2826" si="1456">CHOOSE(2, "1395000000583", "% APE from pro-rated MDRT agents (100%)")</f>
        <v>% APE from pro-rated MDRT agents (100%)</v>
      </c>
      <c r="C2825" s="4" t="str">
        <f>CHOOSE(2, "5461730030", "Jun 26")</f>
        <v>Jun 26</v>
      </c>
      <c r="D2825" s="14">
        <v>0.88321024170822515</v>
      </c>
    </row>
    <row r="2826" spans="1:4" x14ac:dyDescent="0.35">
      <c r="A2826" s="8" t="str">
        <f t="shared" si="1428"/>
        <v>Singapore</v>
      </c>
      <c r="B2826" s="6" t="str">
        <f t="shared" si="1456"/>
        <v>% APE from pro-rated MDRT agents (100%)</v>
      </c>
      <c r="C2826" s="4" t="str">
        <f>CHOOSE(2, "5462030031", "Jul 26")</f>
        <v>Jul 26</v>
      </c>
      <c r="D2826" s="14">
        <v>0.84011002051505668</v>
      </c>
    </row>
    <row r="2827" spans="1:4" x14ac:dyDescent="0.35">
      <c r="A2827" s="8" t="str">
        <f t="shared" si="1428"/>
        <v>Singapore</v>
      </c>
      <c r="B2827" s="3" t="str">
        <f t="shared" ref="B2827:B2828" si="1457">CHOOSE(2, "1395000000582", "% APE from pro-rated MDRT agents (70-99%)")</f>
        <v>% APE from pro-rated MDRT agents (70-99%)</v>
      </c>
      <c r="C2827" s="4" t="str">
        <f>CHOOSE(2, "5461730030", "Jun 26")</f>
        <v>Jun 26</v>
      </c>
      <c r="D2827" s="14">
        <v>4.5742208608622131E-2</v>
      </c>
    </row>
    <row r="2828" spans="1:4" x14ac:dyDescent="0.35">
      <c r="A2828" s="8" t="str">
        <f t="shared" si="1428"/>
        <v>Singapore</v>
      </c>
      <c r="B2828" s="6" t="str">
        <f t="shared" si="1457"/>
        <v>% APE from pro-rated MDRT agents (70-99%)</v>
      </c>
      <c r="C2828" s="4" t="str">
        <f>CHOOSE(2, "5462030031", "Jul 26")</f>
        <v>Jul 26</v>
      </c>
      <c r="D2828" s="14">
        <v>5.7196143273130072E-2</v>
      </c>
    </row>
    <row r="2829" spans="1:4" x14ac:dyDescent="0.35">
      <c r="A2829" s="8" t="str">
        <f t="shared" si="1428"/>
        <v>Singapore</v>
      </c>
      <c r="B2829" s="3" t="str">
        <f t="shared" ref="B2829:B2830" si="1458">CHOOSE(2, "1395000000581", "% APE from pro-rated MDRT agents (50-69%)")</f>
        <v>% APE from pro-rated MDRT agents (50-69%)</v>
      </c>
      <c r="C2829" s="4" t="str">
        <f>CHOOSE(2, "5461730030", "Jun 26")</f>
        <v>Jun 26</v>
      </c>
      <c r="D2829" s="14">
        <v>2.8629961938377222E-2</v>
      </c>
    </row>
    <row r="2830" spans="1:4" x14ac:dyDescent="0.35">
      <c r="A2830" s="8" t="str">
        <f t="shared" si="1428"/>
        <v>Singapore</v>
      </c>
      <c r="B2830" s="6" t="str">
        <f t="shared" si="1458"/>
        <v>% APE from pro-rated MDRT agents (50-69%)</v>
      </c>
      <c r="C2830" s="4" t="str">
        <f>CHOOSE(2, "5462030031", "Jul 26")</f>
        <v>Jul 26</v>
      </c>
      <c r="D2830" s="14">
        <v>3.165868228466738E-2</v>
      </c>
    </row>
    <row r="2831" spans="1:4" x14ac:dyDescent="0.35">
      <c r="A2831" s="8" t="str">
        <f t="shared" si="1428"/>
        <v>Singapore</v>
      </c>
      <c r="B2831" s="3" t="str">
        <f t="shared" ref="B2831:B2832" si="1459">CHOOSE(2, "1395000000580", "% APE from Top-tier agents")</f>
        <v>% APE from Top-tier agents</v>
      </c>
      <c r="C2831" s="4" t="str">
        <f>CHOOSE(2, "5461730030", "Jun 26")</f>
        <v>Jun 26</v>
      </c>
      <c r="D2831" s="14">
        <v>0.95758241225526608</v>
      </c>
    </row>
    <row r="2832" spans="1:4" x14ac:dyDescent="0.35">
      <c r="A2832" s="8" t="str">
        <f t="shared" si="1428"/>
        <v>Singapore</v>
      </c>
      <c r="B2832" s="6" t="str">
        <f t="shared" si="1459"/>
        <v>% APE from Top-tier agents</v>
      </c>
      <c r="C2832" s="4" t="str">
        <f>CHOOSE(2, "5462030031", "Jul 26")</f>
        <v>Jul 26</v>
      </c>
      <c r="D2832" s="14">
        <v>0.92896484607285412</v>
      </c>
    </row>
    <row r="2833" spans="1:4" x14ac:dyDescent="0.35">
      <c r="A2833" s="8" t="str">
        <f t="shared" si="1428"/>
        <v>Singapore</v>
      </c>
      <c r="B2833" s="3" t="str">
        <f t="shared" ref="B2833:B2834" si="1460">CHOOSE(2, "1395000000579", "% of Active Recruiting Leaders")</f>
        <v>% of Active Recruiting Leaders</v>
      </c>
      <c r="C2833" s="4" t="str">
        <f>CHOOSE(2, "5461730030", "Jun 26")</f>
        <v>Jun 26</v>
      </c>
      <c r="D2833" s="14">
        <v>9.0634441087613288E-2</v>
      </c>
    </row>
    <row r="2834" spans="1:4" x14ac:dyDescent="0.35">
      <c r="A2834" s="8" t="str">
        <f t="shared" si="1428"/>
        <v>Singapore</v>
      </c>
      <c r="B2834" s="6" t="str">
        <f t="shared" si="1460"/>
        <v>% of Active Recruiting Leaders</v>
      </c>
      <c r="C2834" s="4" t="str">
        <f>CHOOSE(2, "5462030031", "Jul 26")</f>
        <v>Jul 26</v>
      </c>
      <c r="D2834" s="14">
        <v>8.9552238805970144E-2</v>
      </c>
    </row>
    <row r="2835" spans="1:4" x14ac:dyDescent="0.35">
      <c r="A2835" s="8" t="str">
        <f t="shared" ref="A2835:A2898" si="1461">CHOOSE(2, "204000000003", "Singapore")</f>
        <v>Singapore</v>
      </c>
      <c r="B2835" s="3" t="str">
        <f t="shared" ref="B2835:B2836" si="1462">CHOOSE(2, "1395000000578", "% of leaders with &gt;1 YTD recruit")</f>
        <v>% of leaders with &gt;1 YTD recruit</v>
      </c>
      <c r="C2835" s="4" t="str">
        <f>CHOOSE(2, "5461730030", "Jun 26")</f>
        <v>Jun 26</v>
      </c>
      <c r="D2835" s="14">
        <v>0.32628398791540786</v>
      </c>
    </row>
    <row r="2836" spans="1:4" x14ac:dyDescent="0.35">
      <c r="A2836" s="8" t="str">
        <f t="shared" si="1461"/>
        <v>Singapore</v>
      </c>
      <c r="B2836" s="6" t="str">
        <f t="shared" si="1462"/>
        <v>% of leaders with &gt;1 YTD recruit</v>
      </c>
      <c r="C2836" s="4" t="str">
        <f>CHOOSE(2, "5462030031", "Jul 26")</f>
        <v>Jul 26</v>
      </c>
      <c r="D2836" s="14">
        <v>0.37014925373134328</v>
      </c>
    </row>
    <row r="2837" spans="1:4" x14ac:dyDescent="0.35">
      <c r="A2837" s="8" t="str">
        <f t="shared" si="1461"/>
        <v>Singapore</v>
      </c>
      <c r="B2837" s="3" t="str">
        <f t="shared" ref="B2837:B2838" si="1463">CHOOSE(2, "1395000000577", "% of 1-Month Active Top-tier agents")</f>
        <v>% of 1-Month Active Top-tier agents</v>
      </c>
      <c r="C2837" s="4" t="str">
        <f>CHOOSE(2, "5461730030", "Jun 26")</f>
        <v>Jun 26</v>
      </c>
      <c r="D2837" s="14">
        <v>0.78775510204081634</v>
      </c>
    </row>
    <row r="2838" spans="1:4" x14ac:dyDescent="0.35">
      <c r="A2838" s="8" t="str">
        <f t="shared" si="1461"/>
        <v>Singapore</v>
      </c>
      <c r="B2838" s="6" t="str">
        <f t="shared" si="1463"/>
        <v>% of 1-Month Active Top-tier agents</v>
      </c>
      <c r="C2838" s="4" t="str">
        <f>CHOOSE(2, "5462030031", "Jul 26")</f>
        <v>Jul 26</v>
      </c>
      <c r="D2838" s="14">
        <v>0.72410358565737054</v>
      </c>
    </row>
    <row r="2839" spans="1:4" x14ac:dyDescent="0.35">
      <c r="A2839" s="8" t="str">
        <f t="shared" si="1461"/>
        <v>Singapore</v>
      </c>
      <c r="B2839" s="3" t="str">
        <f t="shared" ref="B2839:B2840" si="1464">CHOOSE(2, "1395000000576", "% APE from Manulife Pro - Total")</f>
        <v>% APE from Manulife Pro - Total</v>
      </c>
      <c r="C2839" s="4" t="str">
        <f>CHOOSE(2, "5461730030", "Jun 26")</f>
        <v>Jun 26</v>
      </c>
      <c r="D2839" s="14">
        <v>0</v>
      </c>
    </row>
    <row r="2840" spans="1:4" x14ac:dyDescent="0.35">
      <c r="A2840" s="8" t="str">
        <f t="shared" si="1461"/>
        <v>Singapore</v>
      </c>
      <c r="B2840" s="6" t="str">
        <f t="shared" si="1464"/>
        <v>% APE from Manulife Pro - Total</v>
      </c>
      <c r="C2840" s="4" t="str">
        <f>CHOOSE(2, "5462030031", "Jul 26")</f>
        <v>Jul 26</v>
      </c>
      <c r="D2840" s="14">
        <v>0</v>
      </c>
    </row>
    <row r="2841" spans="1:4" x14ac:dyDescent="0.35">
      <c r="A2841" s="8" t="str">
        <f t="shared" si="1461"/>
        <v>Singapore</v>
      </c>
      <c r="B2841" s="3" t="str">
        <f t="shared" ref="B2841:B2842" si="1465">CHOOSE(2, "1395000000575", "% of 1-Month Active Agents Manulife Pro Qualifiers - Total")</f>
        <v>% of 1-Month Active Agents Manulife Pro Qualifiers - Total</v>
      </c>
      <c r="C2841" s="4" t="str">
        <f>CHOOSE(2, "5461730030", "Jun 26")</f>
        <v>Jun 26</v>
      </c>
      <c r="D2841" s="14">
        <v>0</v>
      </c>
    </row>
    <row r="2842" spans="1:4" x14ac:dyDescent="0.35">
      <c r="A2842" s="8" t="str">
        <f t="shared" si="1461"/>
        <v>Singapore</v>
      </c>
      <c r="B2842" s="6" t="str">
        <f t="shared" si="1465"/>
        <v>% of 1-Month Active Agents Manulife Pro Qualifiers - Total</v>
      </c>
      <c r="C2842" s="4" t="str">
        <f>CHOOSE(2, "5462030031", "Jul 26")</f>
        <v>Jul 26</v>
      </c>
      <c r="D2842" s="14">
        <v>0</v>
      </c>
    </row>
    <row r="2843" spans="1:4" x14ac:dyDescent="0.35">
      <c r="A2843" s="8" t="str">
        <f t="shared" si="1461"/>
        <v>Singapore</v>
      </c>
      <c r="B2843" s="3" t="str">
        <f t="shared" ref="B2843:B2844" si="1466">CHOOSE(2, "1395000000574", "% of Newly Demoted UM")</f>
        <v>% of Newly Demoted UM</v>
      </c>
      <c r="C2843" s="4" t="str">
        <f>CHOOSE(2, "5461730030", "Jun 26")</f>
        <v>Jun 26</v>
      </c>
      <c r="D2843" s="14">
        <v>3.6900369003690036E-3</v>
      </c>
    </row>
    <row r="2844" spans="1:4" x14ac:dyDescent="0.35">
      <c r="A2844" s="8" t="str">
        <f t="shared" si="1461"/>
        <v>Singapore</v>
      </c>
      <c r="B2844" s="6" t="str">
        <f t="shared" si="1466"/>
        <v>% of Newly Demoted UM</v>
      </c>
      <c r="C2844" s="4" t="str">
        <f>CHOOSE(2, "5462030031", "Jul 26")</f>
        <v>Jul 26</v>
      </c>
      <c r="D2844" s="14">
        <v>3.6496350364963502E-3</v>
      </c>
    </row>
    <row r="2845" spans="1:4" x14ac:dyDescent="0.35">
      <c r="A2845" s="8" t="str">
        <f t="shared" si="1461"/>
        <v>Singapore</v>
      </c>
      <c r="B2845" s="3" t="str">
        <f t="shared" ref="B2845:B2846" si="1467">CHOOSE(2, "1395000000573", "% of Newly Demoted Leaders above UM")</f>
        <v>% of Newly Demoted Leaders above UM</v>
      </c>
      <c r="C2845" s="4" t="str">
        <f>CHOOSE(2, "5461730030", "Jun 26")</f>
        <v>Jun 26</v>
      </c>
      <c r="D2845" s="14">
        <v>1.6666666666666666E-2</v>
      </c>
    </row>
    <row r="2846" spans="1:4" x14ac:dyDescent="0.35">
      <c r="A2846" s="8" t="str">
        <f t="shared" si="1461"/>
        <v>Singapore</v>
      </c>
      <c r="B2846" s="6" t="str">
        <f t="shared" si="1467"/>
        <v>% of Newly Demoted Leaders above UM</v>
      </c>
      <c r="C2846" s="4" t="str">
        <f>CHOOSE(2, "5462030031", "Jul 26")</f>
        <v>Jul 26</v>
      </c>
      <c r="D2846" s="14">
        <v>0</v>
      </c>
    </row>
    <row r="2847" spans="1:4" x14ac:dyDescent="0.35">
      <c r="A2847" s="8" t="str">
        <f t="shared" si="1461"/>
        <v>Singapore</v>
      </c>
      <c r="B2847" s="3" t="str">
        <f t="shared" ref="B2847:B2848" si="1468">CHOOSE(2, "1395000000572", "Avg. Earning per agent")</f>
        <v>Avg. Earning per agent</v>
      </c>
      <c r="C2847" s="4" t="str">
        <f>CHOOSE(2, "5461730030", "Jun 26")</f>
        <v>Jun 26</v>
      </c>
      <c r="D2847" s="14">
        <v>12797.833788641152</v>
      </c>
    </row>
    <row r="2848" spans="1:4" x14ac:dyDescent="0.35">
      <c r="A2848" s="8" t="str">
        <f t="shared" si="1461"/>
        <v>Singapore</v>
      </c>
      <c r="B2848" s="6" t="str">
        <f t="shared" si="1468"/>
        <v>Avg. Earning per agent</v>
      </c>
      <c r="C2848" s="4" t="str">
        <f>CHOOSE(2, "5462030031", "Jul 26")</f>
        <v>Jul 26</v>
      </c>
      <c r="D2848" s="14">
        <v>5798.4103891475088</v>
      </c>
    </row>
    <row r="2849" spans="1:4" x14ac:dyDescent="0.35">
      <c r="A2849" s="8" t="str">
        <f t="shared" si="1461"/>
        <v>Singapore</v>
      </c>
      <c r="B2849" s="3" t="str">
        <f t="shared" ref="B2849:B2850" si="1469">CHOOSE(2, "1395000000571", "Avg. Earning per agent in FA or equivalent")</f>
        <v>Avg. Earning per agent in FA or equivalent</v>
      </c>
      <c r="C2849" s="4" t="str">
        <f>CHOOSE(2, "5461730030", "Jun 26")</f>
        <v>Jun 26</v>
      </c>
      <c r="D2849" s="14">
        <v>8938.2801913323055</v>
      </c>
    </row>
    <row r="2850" spans="1:4" x14ac:dyDescent="0.35">
      <c r="A2850" s="8" t="str">
        <f t="shared" si="1461"/>
        <v>Singapore</v>
      </c>
      <c r="B2850" s="6" t="str">
        <f t="shared" si="1469"/>
        <v>Avg. Earning per agent in FA or equivalent</v>
      </c>
      <c r="C2850" s="4" t="str">
        <f>CHOOSE(2, "5462030031", "Jul 26")</f>
        <v>Jul 26</v>
      </c>
      <c r="D2850" s="14">
        <v>4401.789664642517</v>
      </c>
    </row>
    <row r="2851" spans="1:4" x14ac:dyDescent="0.35">
      <c r="A2851" s="8" t="str">
        <f t="shared" si="1461"/>
        <v>Singapore</v>
      </c>
      <c r="B2851" s="3" t="str">
        <f t="shared" ref="B2851:B2852" si="1470">CHOOSE(2, "1395000000570", "Avg. Earning per agent in UM")</f>
        <v>Avg. Earning per agent in UM</v>
      </c>
      <c r="C2851" s="4" t="str">
        <f>CHOOSE(2, "5461730030", "Jun 26")</f>
        <v>Jun 26</v>
      </c>
      <c r="D2851" s="14">
        <v>30162.209065798306</v>
      </c>
    </row>
    <row r="2852" spans="1:4" x14ac:dyDescent="0.35">
      <c r="A2852" s="8" t="str">
        <f t="shared" si="1461"/>
        <v>Singapore</v>
      </c>
      <c r="B2852" s="6" t="str">
        <f t="shared" si="1470"/>
        <v>Avg. Earning per agent in UM</v>
      </c>
      <c r="C2852" s="4" t="str">
        <f>CHOOSE(2, "5462030031", "Jul 26")</f>
        <v>Jul 26</v>
      </c>
      <c r="D2852" s="14">
        <v>8802.4170148004614</v>
      </c>
    </row>
    <row r="2853" spans="1:4" x14ac:dyDescent="0.35">
      <c r="A2853" s="8" t="str">
        <f t="shared" si="1461"/>
        <v>Singapore</v>
      </c>
      <c r="B2853" s="3" t="str">
        <f t="shared" ref="B2853:B2854" si="1471">CHOOSE(2, "1395000000569", "Avg. Earning per agent in Leaders above UM")</f>
        <v>Avg. Earning per agent in Leaders above UM</v>
      </c>
      <c r="C2853" s="4" t="str">
        <f>CHOOSE(2, "5461730030", "Jun 26")</f>
        <v>Jun 26</v>
      </c>
      <c r="D2853" s="14">
        <v>38319.382340999582</v>
      </c>
    </row>
    <row r="2854" spans="1:4" x14ac:dyDescent="0.35">
      <c r="A2854" s="8" t="str">
        <f t="shared" si="1461"/>
        <v>Singapore</v>
      </c>
      <c r="B2854" s="6" t="str">
        <f t="shared" si="1471"/>
        <v>Avg. Earning per agent in Leaders above UM</v>
      </c>
      <c r="C2854" s="4" t="str">
        <f>CHOOSE(2, "5462030031", "Jul 26")</f>
        <v>Jul 26</v>
      </c>
      <c r="D2854" s="14">
        <v>29464.273019355598</v>
      </c>
    </row>
    <row r="2855" spans="1:4" x14ac:dyDescent="0.35">
      <c r="A2855" s="8" t="str">
        <f t="shared" si="1461"/>
        <v>Singapore</v>
      </c>
      <c r="B2855" s="3" t="str">
        <f t="shared" ref="B2855:B2856" si="1472">CHOOSE(2, "1395000000568", "% of 1-Month Active Agents 0-1M")</f>
        <v>% of 1-Month Active Agents 0-1M</v>
      </c>
      <c r="C2855" s="4" t="str">
        <f>CHOOSE(2, "5461730030", "Jun 26")</f>
        <v>Jun 26</v>
      </c>
      <c r="D2855" s="14">
        <v>4.6511627906976744E-2</v>
      </c>
    </row>
    <row r="2856" spans="1:4" x14ac:dyDescent="0.35">
      <c r="A2856" s="8" t="str">
        <f t="shared" si="1461"/>
        <v>Singapore</v>
      </c>
      <c r="B2856" s="6" t="str">
        <f t="shared" si="1472"/>
        <v>% of 1-Month Active Agents 0-1M</v>
      </c>
      <c r="C2856" s="4" t="str">
        <f>CHOOSE(2, "5462030031", "Jul 26")</f>
        <v>Jul 26</v>
      </c>
      <c r="D2856" s="14">
        <v>6.9767441860465115E-2</v>
      </c>
    </row>
    <row r="2857" spans="1:4" x14ac:dyDescent="0.35">
      <c r="A2857" s="8" t="str">
        <f t="shared" si="1461"/>
        <v>Singapore</v>
      </c>
      <c r="B2857" s="3" t="str">
        <f t="shared" ref="B2857:B2858" si="1473">CHOOSE(2, "1395000000567", "% of 1-Month Active Agents in 2-3M")</f>
        <v>% of 1-Month Active Agents in 2-3M</v>
      </c>
      <c r="C2857" s="4" t="str">
        <f>CHOOSE(2, "5461730030", "Jun 26")</f>
        <v>Jun 26</v>
      </c>
      <c r="D2857" s="14">
        <v>0.54411764705882348</v>
      </c>
    </row>
    <row r="2858" spans="1:4" x14ac:dyDescent="0.35">
      <c r="A2858" s="8" t="str">
        <f t="shared" si="1461"/>
        <v>Singapore</v>
      </c>
      <c r="B2858" s="6" t="str">
        <f t="shared" si="1473"/>
        <v>% of 1-Month Active Agents in 2-3M</v>
      </c>
      <c r="C2858" s="4" t="str">
        <f>CHOOSE(2, "5462030031", "Jul 26")</f>
        <v>Jul 26</v>
      </c>
      <c r="D2858" s="14">
        <v>0.52702702702702697</v>
      </c>
    </row>
    <row r="2859" spans="1:4" x14ac:dyDescent="0.35">
      <c r="A2859" s="8" t="str">
        <f t="shared" si="1461"/>
        <v>Singapore</v>
      </c>
      <c r="B2859" s="3" t="str">
        <f t="shared" ref="B2859:B2860" si="1474">CHOOSE(2, "1395000000566", "% of 1-Month Active Agents 4-12M")</f>
        <v>% of 1-Month Active Agents 4-12M</v>
      </c>
      <c r="C2859" s="4" t="str">
        <f>CHOOSE(2, "5461730030", "Jun 26")</f>
        <v>Jun 26</v>
      </c>
      <c r="D2859" s="14">
        <v>0.53909465020576131</v>
      </c>
    </row>
    <row r="2860" spans="1:4" x14ac:dyDescent="0.35">
      <c r="A2860" s="8" t="str">
        <f t="shared" si="1461"/>
        <v>Singapore</v>
      </c>
      <c r="B2860" s="6" t="str">
        <f t="shared" si="1474"/>
        <v>% of 1-Month Active Agents 4-12M</v>
      </c>
      <c r="C2860" s="4" t="str">
        <f>CHOOSE(2, "5462030031", "Jul 26")</f>
        <v>Jul 26</v>
      </c>
      <c r="D2860" s="14">
        <v>0.45344129554655871</v>
      </c>
    </row>
    <row r="2861" spans="1:4" x14ac:dyDescent="0.35">
      <c r="A2861" s="8" t="str">
        <f t="shared" si="1461"/>
        <v>Singapore</v>
      </c>
      <c r="B2861" s="3" t="str">
        <f t="shared" ref="B2861:B2862" si="1475">CHOOSE(2, "1395000000565", "% of 1-Month Active Agents 13+M")</f>
        <v>% of 1-Month Active Agents 13+M</v>
      </c>
      <c r="C2861" s="4" t="str">
        <f>CHOOSE(2, "5461730030", "Jun 26")</f>
        <v>Jun 26</v>
      </c>
      <c r="D2861" s="14">
        <v>0.55869428750784678</v>
      </c>
    </row>
    <row r="2862" spans="1:4" x14ac:dyDescent="0.35">
      <c r="A2862" s="8" t="str">
        <f t="shared" si="1461"/>
        <v>Singapore</v>
      </c>
      <c r="B2862" s="6" t="str">
        <f t="shared" si="1475"/>
        <v>% of 1-Month Active Agents 13+M</v>
      </c>
      <c r="C2862" s="4" t="str">
        <f>CHOOSE(2, "5462030031", "Jul 26")</f>
        <v>Jul 26</v>
      </c>
      <c r="D2862" s="14">
        <v>0.53324968632371395</v>
      </c>
    </row>
    <row r="2863" spans="1:4" x14ac:dyDescent="0.35">
      <c r="A2863" s="8" t="str">
        <f t="shared" si="1461"/>
        <v>Singapore</v>
      </c>
      <c r="B2863" s="3" t="str">
        <f t="shared" ref="B2863:B2864" si="1476">CHOOSE(2, "1395000000564", "% of 3-Month Active Agents 0-1M")</f>
        <v>% of 3-Month Active Agents 0-1M</v>
      </c>
      <c r="C2863" s="4" t="str">
        <f>CHOOSE(2, "5461730030", "Jun 26")</f>
        <v>Jun 26</v>
      </c>
      <c r="D2863" s="14">
        <v>4.6511627906976744E-2</v>
      </c>
    </row>
    <row r="2864" spans="1:4" x14ac:dyDescent="0.35">
      <c r="A2864" s="8" t="str">
        <f t="shared" si="1461"/>
        <v>Singapore</v>
      </c>
      <c r="B2864" s="6" t="str">
        <f t="shared" si="1476"/>
        <v>% of 3-Month Active Agents 0-1M</v>
      </c>
      <c r="C2864" s="4" t="str">
        <f>CHOOSE(2, "5462030031", "Jul 26")</f>
        <v>Jul 26</v>
      </c>
      <c r="D2864" s="14">
        <v>6.9767441860465115E-2</v>
      </c>
    </row>
    <row r="2865" spans="1:4" x14ac:dyDescent="0.35">
      <c r="A2865" s="8" t="str">
        <f t="shared" si="1461"/>
        <v>Singapore</v>
      </c>
      <c r="B2865" s="3" t="str">
        <f t="shared" ref="B2865:B2866" si="1477">CHOOSE(2, "1395000000563", "% of 3-Month Active Agents in 2-3M")</f>
        <v>% of 3-Month Active Agents in 2-3M</v>
      </c>
      <c r="C2865" s="4" t="str">
        <f>CHOOSE(2, "5461730030", "Jun 26")</f>
        <v>Jun 26</v>
      </c>
      <c r="D2865" s="14">
        <v>0.6029411764705882</v>
      </c>
    </row>
    <row r="2866" spans="1:4" x14ac:dyDescent="0.35">
      <c r="A2866" s="8" t="str">
        <f t="shared" si="1461"/>
        <v>Singapore</v>
      </c>
      <c r="B2866" s="6" t="str">
        <f t="shared" si="1477"/>
        <v>% of 3-Month Active Agents in 2-3M</v>
      </c>
      <c r="C2866" s="4" t="str">
        <f>CHOOSE(2, "5462030031", "Jul 26")</f>
        <v>Jul 26</v>
      </c>
      <c r="D2866" s="14">
        <v>0.60810810810810811</v>
      </c>
    </row>
    <row r="2867" spans="1:4" x14ac:dyDescent="0.35">
      <c r="A2867" s="8" t="str">
        <f t="shared" si="1461"/>
        <v>Singapore</v>
      </c>
      <c r="B2867" s="3" t="str">
        <f t="shared" ref="B2867:B2868" si="1478">CHOOSE(2, "1395000000562", "% of 3-Month Active Agents 4-12M")</f>
        <v>% of 3-Month Active Agents 4-12M</v>
      </c>
      <c r="C2867" s="4" t="str">
        <f>CHOOSE(2, "5461730030", "Jun 26")</f>
        <v>Jun 26</v>
      </c>
      <c r="D2867" s="14">
        <v>0.79835390946502061</v>
      </c>
    </row>
    <row r="2868" spans="1:4" x14ac:dyDescent="0.35">
      <c r="A2868" s="8" t="str">
        <f t="shared" si="1461"/>
        <v>Singapore</v>
      </c>
      <c r="B2868" s="6" t="str">
        <f t="shared" si="1478"/>
        <v>% of 3-Month Active Agents 4-12M</v>
      </c>
      <c r="C2868" s="4" t="str">
        <f>CHOOSE(2, "5462030031", "Jul 26")</f>
        <v>Jul 26</v>
      </c>
      <c r="D2868" s="14">
        <v>0.78137651821862353</v>
      </c>
    </row>
    <row r="2869" spans="1:4" x14ac:dyDescent="0.35">
      <c r="A2869" s="8" t="str">
        <f t="shared" si="1461"/>
        <v>Singapore</v>
      </c>
      <c r="B2869" s="3" t="str">
        <f t="shared" ref="B2869:B2870" si="1479">CHOOSE(2, "1395000000561", "% of 3-Month Active Agents 13+M")</f>
        <v>% of 3-Month Active Agents 13+M</v>
      </c>
      <c r="C2869" s="4" t="str">
        <f>CHOOSE(2, "5461730030", "Jun 26")</f>
        <v>Jun 26</v>
      </c>
      <c r="D2869" s="14">
        <v>0.74513496547394853</v>
      </c>
    </row>
    <row r="2870" spans="1:4" x14ac:dyDescent="0.35">
      <c r="A2870" s="8" t="str">
        <f t="shared" si="1461"/>
        <v>Singapore</v>
      </c>
      <c r="B2870" s="6" t="str">
        <f t="shared" si="1479"/>
        <v>% of 3-Month Active Agents 13+M</v>
      </c>
      <c r="C2870" s="4" t="str">
        <f>CHOOSE(2, "5462030031", "Jul 26")</f>
        <v>Jul 26</v>
      </c>
      <c r="D2870" s="14">
        <v>0.76035131744040152</v>
      </c>
    </row>
    <row r="2871" spans="1:4" x14ac:dyDescent="0.35">
      <c r="A2871" s="8" t="str">
        <f t="shared" si="1461"/>
        <v>Singapore</v>
      </c>
      <c r="B2871" s="3" t="str">
        <f t="shared" ref="B2871:B2872" si="1480">CHOOSE(2, "1395000000560", "Avg. Case count per 1-Month Active Agent 0-1M")</f>
        <v>Avg. Case count per 1-Month Active Agent 0-1M</v>
      </c>
      <c r="C2871" s="4" t="str">
        <f>CHOOSE(2, "5461730030", "Jun 26")</f>
        <v>Jun 26</v>
      </c>
      <c r="D2871" s="14">
        <v>2.5</v>
      </c>
    </row>
    <row r="2872" spans="1:4" x14ac:dyDescent="0.35">
      <c r="A2872" s="8" t="str">
        <f t="shared" si="1461"/>
        <v>Singapore</v>
      </c>
      <c r="B2872" s="6" t="str">
        <f t="shared" si="1480"/>
        <v>Avg. Case count per 1-Month Active Agent 0-1M</v>
      </c>
      <c r="C2872" s="4" t="str">
        <f>CHOOSE(2, "5462030031", "Jul 26")</f>
        <v>Jul 26</v>
      </c>
      <c r="D2872" s="14">
        <v>2.3333333333333335</v>
      </c>
    </row>
    <row r="2873" spans="1:4" x14ac:dyDescent="0.35">
      <c r="A2873" s="8" t="str">
        <f t="shared" si="1461"/>
        <v>Singapore</v>
      </c>
      <c r="B2873" s="3" t="str">
        <f t="shared" ref="B2873:B2874" si="1481">CHOOSE(2, "1395000000559", "Avg. Case count per 1-Month Active Agent in 2-3M")</f>
        <v>Avg. Case count per 1-Month Active Agent in 2-3M</v>
      </c>
      <c r="C2873" s="4" t="str">
        <f>CHOOSE(2, "5461730030", "Jun 26")</f>
        <v>Jun 26</v>
      </c>
      <c r="D2873" s="14">
        <v>3.9729729729729728</v>
      </c>
    </row>
    <row r="2874" spans="1:4" x14ac:dyDescent="0.35">
      <c r="A2874" s="8" t="str">
        <f t="shared" si="1461"/>
        <v>Singapore</v>
      </c>
      <c r="B2874" s="6" t="str">
        <f t="shared" si="1481"/>
        <v>Avg. Case count per 1-Month Active Agent in 2-3M</v>
      </c>
      <c r="C2874" s="4" t="str">
        <f>CHOOSE(2, "5462030031", "Jul 26")</f>
        <v>Jul 26</v>
      </c>
      <c r="D2874" s="14">
        <v>4.384615384615385</v>
      </c>
    </row>
    <row r="2875" spans="1:4" x14ac:dyDescent="0.35">
      <c r="A2875" s="8" t="str">
        <f t="shared" si="1461"/>
        <v>Singapore</v>
      </c>
      <c r="B2875" s="3" t="str">
        <f t="shared" ref="B2875:B2876" si="1482">CHOOSE(2, "1395000000558", "Avg. Case count per 1-Month Active Agent 4-12M")</f>
        <v>Avg. Case count per 1-Month Active Agent 4-12M</v>
      </c>
      <c r="C2875" s="4" t="str">
        <f>CHOOSE(2, "5461730030", "Jun 26")</f>
        <v>Jun 26</v>
      </c>
      <c r="D2875" s="14">
        <v>3.0076335877862594</v>
      </c>
    </row>
    <row r="2876" spans="1:4" x14ac:dyDescent="0.35">
      <c r="A2876" s="8" t="str">
        <f t="shared" si="1461"/>
        <v>Singapore</v>
      </c>
      <c r="B2876" s="6" t="str">
        <f t="shared" si="1482"/>
        <v>Avg. Case count per 1-Month Active Agent 4-12M</v>
      </c>
      <c r="C2876" s="4" t="str">
        <f>CHOOSE(2, "5462030031", "Jul 26")</f>
        <v>Jul 26</v>
      </c>
      <c r="D2876" s="14">
        <v>2.8392857142857144</v>
      </c>
    </row>
    <row r="2877" spans="1:4" x14ac:dyDescent="0.35">
      <c r="A2877" s="8" t="str">
        <f t="shared" si="1461"/>
        <v>Singapore</v>
      </c>
      <c r="B2877" s="3" t="str">
        <f t="shared" ref="B2877:B2878" si="1483">CHOOSE(2, "1395000000557", "Avg. Case count per 1-Month Active Agent 13+M")</f>
        <v>Avg. Case count per 1-Month Active Agent 13+M</v>
      </c>
      <c r="C2877" s="4" t="str">
        <f>CHOOSE(2, "5461730030", "Jun 26")</f>
        <v>Jun 26</v>
      </c>
      <c r="D2877" s="14">
        <v>3.8876404494382024</v>
      </c>
    </row>
    <row r="2878" spans="1:4" x14ac:dyDescent="0.35">
      <c r="A2878" s="8" t="str">
        <f t="shared" si="1461"/>
        <v>Singapore</v>
      </c>
      <c r="B2878" s="6" t="str">
        <f t="shared" si="1483"/>
        <v>Avg. Case count per 1-Month Active Agent 13+M</v>
      </c>
      <c r="C2878" s="4" t="str">
        <f>CHOOSE(2, "5462030031", "Jul 26")</f>
        <v>Jul 26</v>
      </c>
      <c r="D2878" s="14">
        <v>3.5588235294117645</v>
      </c>
    </row>
    <row r="2879" spans="1:4" x14ac:dyDescent="0.35">
      <c r="A2879" s="8" t="str">
        <f t="shared" si="1461"/>
        <v>Singapore</v>
      </c>
      <c r="B2879" s="3" t="str">
        <f t="shared" ref="B2879:B2880" si="1484">CHOOSE(2, "1395000000556", "Avg. Case size 0-1M")</f>
        <v>Avg. Case size 0-1M</v>
      </c>
      <c r="C2879" s="4" t="str">
        <f>CHOOSE(2, "5461730030", "Jun 26")</f>
        <v>Jun 26</v>
      </c>
      <c r="D2879" s="14">
        <v>959542.22777136951</v>
      </c>
    </row>
    <row r="2880" spans="1:4" x14ac:dyDescent="0.35">
      <c r="A2880" s="8" t="str">
        <f t="shared" si="1461"/>
        <v>Singapore</v>
      </c>
      <c r="B2880" s="6" t="str">
        <f t="shared" si="1484"/>
        <v>Avg. Case size 0-1M</v>
      </c>
      <c r="C2880" s="4" t="str">
        <f>CHOOSE(2, "5462030031", "Jul 26")</f>
        <v>Jul 26</v>
      </c>
      <c r="D2880" s="14">
        <v>496878.38507700228</v>
      </c>
    </row>
    <row r="2881" spans="1:4" x14ac:dyDescent="0.35">
      <c r="A2881" s="8" t="str">
        <f t="shared" si="1461"/>
        <v>Singapore</v>
      </c>
      <c r="B2881" s="3" t="str">
        <f t="shared" ref="B2881:B2882" si="1485">CHOOSE(2, "1395000000555", "Avg. Case size in 2-3M")</f>
        <v>Avg. Case size in 2-3M</v>
      </c>
      <c r="C2881" s="4" t="str">
        <f>CHOOSE(2, "5461730030", "Jun 26")</f>
        <v>Jun 26</v>
      </c>
      <c r="D2881" s="14">
        <v>65274.98148104555</v>
      </c>
    </row>
    <row r="2882" spans="1:4" x14ac:dyDescent="0.35">
      <c r="A2882" s="8" t="str">
        <f t="shared" si="1461"/>
        <v>Singapore</v>
      </c>
      <c r="B2882" s="6" t="str">
        <f t="shared" si="1485"/>
        <v>Avg. Case size in 2-3M</v>
      </c>
      <c r="C2882" s="4" t="str">
        <f>CHOOSE(2, "5462030031", "Jul 26")</f>
        <v>Jul 26</v>
      </c>
      <c r="D2882" s="14">
        <v>40680.101702210712</v>
      </c>
    </row>
    <row r="2883" spans="1:4" x14ac:dyDescent="0.35">
      <c r="A2883" s="8" t="str">
        <f t="shared" si="1461"/>
        <v>Singapore</v>
      </c>
      <c r="B2883" s="3" t="str">
        <f t="shared" ref="B2883:B2884" si="1486">CHOOSE(2, "1395000000554", "Avg. Case size 4-12M")</f>
        <v>Avg. Case size 4-12M</v>
      </c>
      <c r="C2883" s="4" t="str">
        <f>CHOOSE(2, "5461730030", "Jun 26")</f>
        <v>Jun 26</v>
      </c>
      <c r="D2883" s="14">
        <v>36530.795473529288</v>
      </c>
    </row>
    <row r="2884" spans="1:4" x14ac:dyDescent="0.35">
      <c r="A2884" s="8" t="str">
        <f t="shared" si="1461"/>
        <v>Singapore</v>
      </c>
      <c r="B2884" s="6" t="str">
        <f t="shared" si="1486"/>
        <v>Avg. Case size 4-12M</v>
      </c>
      <c r="C2884" s="4" t="str">
        <f>CHOOSE(2, "5462030031", "Jul 26")</f>
        <v>Jul 26</v>
      </c>
      <c r="D2884" s="14">
        <v>32812.723542820902</v>
      </c>
    </row>
    <row r="2885" spans="1:4" x14ac:dyDescent="0.35">
      <c r="A2885" s="8" t="str">
        <f t="shared" si="1461"/>
        <v>Singapore</v>
      </c>
      <c r="B2885" s="3" t="str">
        <f t="shared" ref="B2885:B2886" si="1487">CHOOSE(2, "1395000000553", "Avg. Case size 13+M")</f>
        <v>Avg. Case size 13+M</v>
      </c>
      <c r="C2885" s="4" t="str">
        <f>CHOOSE(2, "5461730030", "Jun 26")</f>
        <v>Jun 26</v>
      </c>
      <c r="D2885" s="14">
        <v>5546.4868657304596</v>
      </c>
    </row>
    <row r="2886" spans="1:4" x14ac:dyDescent="0.35">
      <c r="A2886" s="8" t="str">
        <f t="shared" si="1461"/>
        <v>Singapore</v>
      </c>
      <c r="B2886" s="6" t="str">
        <f t="shared" si="1487"/>
        <v>Avg. Case size 13+M</v>
      </c>
      <c r="C2886" s="4" t="str">
        <f>CHOOSE(2, "5462030031", "Jul 26")</f>
        <v>Jul 26</v>
      </c>
      <c r="D2886" s="14">
        <v>4599.2048866631612</v>
      </c>
    </row>
    <row r="2887" spans="1:4" x14ac:dyDescent="0.35">
      <c r="A2887" s="8" t="str">
        <f t="shared" si="1461"/>
        <v>Singapore</v>
      </c>
      <c r="B2887" s="3" t="str">
        <f t="shared" ref="B2887:B2888" si="1488">CHOOSE(2, "1395000000552", "Avg. Case size UM")</f>
        <v>Avg. Case size UM</v>
      </c>
      <c r="C2887" s="4" t="str">
        <f>CHOOSE(2, "5461730030", "Jun 26")</f>
        <v>Jun 26</v>
      </c>
      <c r="D2887" s="14">
        <v>0</v>
      </c>
    </row>
    <row r="2888" spans="1:4" x14ac:dyDescent="0.35">
      <c r="A2888" s="8" t="str">
        <f t="shared" si="1461"/>
        <v>Singapore</v>
      </c>
      <c r="B2888" s="6" t="str">
        <f t="shared" si="1488"/>
        <v>Avg. Case size UM</v>
      </c>
      <c r="C2888" s="4" t="str">
        <f>CHOOSE(2, "5462030031", "Jul 26")</f>
        <v>Jul 26</v>
      </c>
      <c r="D2888" s="14">
        <v>0</v>
      </c>
    </row>
    <row r="2889" spans="1:4" x14ac:dyDescent="0.35">
      <c r="A2889" s="8" t="str">
        <f t="shared" si="1461"/>
        <v>Singapore</v>
      </c>
      <c r="B2889" s="3" t="str">
        <f t="shared" ref="B2889:B2890" si="1489">CHOOSE(2, "1395000000551", "Avg. Case size Leaders above UM")</f>
        <v>Avg. Case size Leaders above UM</v>
      </c>
      <c r="C2889" s="4" t="str">
        <f>CHOOSE(2, "5461730030", "Jun 26")</f>
        <v>Jun 26</v>
      </c>
      <c r="D2889" s="14">
        <v>0</v>
      </c>
    </row>
    <row r="2890" spans="1:4" x14ac:dyDescent="0.35">
      <c r="A2890" s="8" t="str">
        <f t="shared" si="1461"/>
        <v>Singapore</v>
      </c>
      <c r="B2890" s="6" t="str">
        <f t="shared" si="1489"/>
        <v>Avg. Case size Leaders above UM</v>
      </c>
      <c r="C2890" s="4" t="str">
        <f>CHOOSE(2, "5462030031", "Jul 26")</f>
        <v>Jul 26</v>
      </c>
      <c r="D2890" s="14">
        <v>0</v>
      </c>
    </row>
    <row r="2891" spans="1:4" x14ac:dyDescent="0.35">
      <c r="A2891" s="8" t="str">
        <f t="shared" si="1461"/>
        <v>Singapore</v>
      </c>
      <c r="B2891" s="3" t="str">
        <f t="shared" ref="B2891:B2892" si="1490">CHOOSE(2, "1395000000550", "Avg. Case size Top-tier agents")</f>
        <v>Avg. Case size Top-tier agents</v>
      </c>
      <c r="C2891" s="4" t="str">
        <f>CHOOSE(2, "5461730030", "Jun 26")</f>
        <v>Jun 26</v>
      </c>
      <c r="D2891" s="14">
        <v>13673.225612055061</v>
      </c>
    </row>
    <row r="2892" spans="1:4" x14ac:dyDescent="0.35">
      <c r="A2892" s="8" t="str">
        <f t="shared" si="1461"/>
        <v>Singapore</v>
      </c>
      <c r="B2892" s="6" t="str">
        <f t="shared" si="1490"/>
        <v>Avg. Case size Top-tier agents</v>
      </c>
      <c r="C2892" s="4" t="str">
        <f>CHOOSE(2, "5462030031", "Jul 26")</f>
        <v>Jul 26</v>
      </c>
      <c r="D2892" s="14">
        <v>11191.818037997575</v>
      </c>
    </row>
    <row r="2893" spans="1:4" x14ac:dyDescent="0.35">
      <c r="A2893" s="8" t="str">
        <f t="shared" si="1461"/>
        <v>Singapore</v>
      </c>
      <c r="B2893" s="3" t="str">
        <f t="shared" ref="B2893:B2894" si="1491">CHOOSE(2, "1395000000549", "Avg. Case size Manulife Pro Qualifiers - Total")</f>
        <v>Avg. Case size Manulife Pro Qualifiers - Total</v>
      </c>
      <c r="C2893" s="4" t="str">
        <f>CHOOSE(2, "5461730030", "Jun 26")</f>
        <v>Jun 26</v>
      </c>
      <c r="D2893" s="14">
        <v>0</v>
      </c>
    </row>
    <row r="2894" spans="1:4" x14ac:dyDescent="0.35">
      <c r="A2894" s="8" t="str">
        <f t="shared" si="1461"/>
        <v>Singapore</v>
      </c>
      <c r="B2894" s="6" t="str">
        <f t="shared" si="1491"/>
        <v>Avg. Case size Manulife Pro Qualifiers - Total</v>
      </c>
      <c r="C2894" s="4" t="str">
        <f>CHOOSE(2, "5462030031", "Jul 26")</f>
        <v>Jul 26</v>
      </c>
      <c r="D2894" s="14">
        <v>0</v>
      </c>
    </row>
    <row r="2895" spans="1:4" x14ac:dyDescent="0.35">
      <c r="A2895" s="8" t="str">
        <f t="shared" si="1461"/>
        <v>Singapore</v>
      </c>
      <c r="B2895" s="3" t="str">
        <f t="shared" ref="B2895:B2896" si="1492">CHOOSE(2, "1395000000548", "Avg. Case size FA or equivalent")</f>
        <v>Avg. Case size FA or equivalent</v>
      </c>
      <c r="C2895" s="4" t="str">
        <f>CHOOSE(2, "5461730030", "Jun 26")</f>
        <v>Jun 26</v>
      </c>
      <c r="D2895" s="14">
        <v>0</v>
      </c>
    </row>
    <row r="2896" spans="1:4" x14ac:dyDescent="0.35">
      <c r="A2896" s="8" t="str">
        <f t="shared" si="1461"/>
        <v>Singapore</v>
      </c>
      <c r="B2896" s="6" t="str">
        <f t="shared" si="1492"/>
        <v>Avg. Case size FA or equivalent</v>
      </c>
      <c r="C2896" s="4" t="str">
        <f>CHOOSE(2, "5462030031", "Jul 26")</f>
        <v>Jul 26</v>
      </c>
      <c r="D2896" s="14">
        <v>0</v>
      </c>
    </row>
    <row r="2897" spans="1:4" x14ac:dyDescent="0.35">
      <c r="A2897" s="8" t="str">
        <f t="shared" si="1461"/>
        <v>Singapore</v>
      </c>
      <c r="B2897" s="3" t="str">
        <f t="shared" ref="B2897:B2898" si="1493">CHOOSE(2, "1395000000547", "Avg. Case size pro-rated MDRT agents (&gt;100%)")</f>
        <v>Avg. Case size pro-rated MDRT agents (&gt;100%)</v>
      </c>
      <c r="C2897" s="4" t="str">
        <f>CHOOSE(2, "5461730030", "Jun 26")</f>
        <v>Jun 26</v>
      </c>
      <c r="D2897" s="14">
        <v>15204.117741643346</v>
      </c>
    </row>
    <row r="2898" spans="1:4" x14ac:dyDescent="0.35">
      <c r="A2898" s="8" t="str">
        <f t="shared" si="1461"/>
        <v>Singapore</v>
      </c>
      <c r="B2898" s="6" t="str">
        <f t="shared" si="1493"/>
        <v>Avg. Case size pro-rated MDRT agents (&gt;100%)</v>
      </c>
      <c r="C2898" s="4" t="str">
        <f>CHOOSE(2, "5462030031", "Jul 26")</f>
        <v>Jul 26</v>
      </c>
      <c r="D2898" s="14">
        <v>12334.434664262135</v>
      </c>
    </row>
    <row r="2899" spans="1:4" x14ac:dyDescent="0.35">
      <c r="A2899" s="8" t="str">
        <f t="shared" ref="A2899:A2932" si="1494">CHOOSE(2, "204000000003", "Singapore")</f>
        <v>Singapore</v>
      </c>
      <c r="B2899" s="3" t="str">
        <f t="shared" ref="B2899:B2900" si="1495">CHOOSE(2, "1395000000546", "Avg. Case size pro-rated MDRT agents (70-99%)")</f>
        <v>Avg. Case size pro-rated MDRT agents (70-99%)</v>
      </c>
      <c r="C2899" s="4" t="str">
        <f>CHOOSE(2, "5461730030", "Jun 26")</f>
        <v>Jun 26</v>
      </c>
      <c r="D2899" s="14">
        <v>7125.2566155032464</v>
      </c>
    </row>
    <row r="2900" spans="1:4" x14ac:dyDescent="0.35">
      <c r="A2900" s="8" t="str">
        <f t="shared" si="1494"/>
        <v>Singapore</v>
      </c>
      <c r="B2900" s="6" t="str">
        <f t="shared" si="1495"/>
        <v>Avg. Case size pro-rated MDRT agents (70-99%)</v>
      </c>
      <c r="C2900" s="4" t="str">
        <f>CHOOSE(2, "5462030031", "Jul 26")</f>
        <v>Jul 26</v>
      </c>
      <c r="D2900" s="14">
        <v>6609.1923958571433</v>
      </c>
    </row>
    <row r="2901" spans="1:4" x14ac:dyDescent="0.35">
      <c r="A2901" s="8" t="str">
        <f t="shared" si="1494"/>
        <v>Singapore</v>
      </c>
      <c r="B2901" s="3" t="str">
        <f t="shared" ref="B2901:B2902" si="1496">CHOOSE(2, "1395000000545", "Avg. Case size pro-rated MDRT agents (50-69%)")</f>
        <v>Avg. Case size pro-rated MDRT agents (50-69%)</v>
      </c>
      <c r="C2901" s="4" t="str">
        <f>CHOOSE(2, "5461730030", "Jun 26")</f>
        <v>Jun 26</v>
      </c>
      <c r="D2901" s="14">
        <v>5183.3315961056596</v>
      </c>
    </row>
    <row r="2902" spans="1:4" x14ac:dyDescent="0.35">
      <c r="A2902" s="8" t="str">
        <f t="shared" si="1494"/>
        <v>Singapore</v>
      </c>
      <c r="B2902" s="6" t="str">
        <f t="shared" si="1496"/>
        <v>Avg. Case size pro-rated MDRT agents (50-69%)</v>
      </c>
      <c r="C2902" s="4" t="str">
        <f>CHOOSE(2, "5462030031", "Jul 26")</f>
        <v>Jul 26</v>
      </c>
      <c r="D2902" s="14">
        <v>5074.3596539585251</v>
      </c>
    </row>
    <row r="2903" spans="1:4" x14ac:dyDescent="0.35">
      <c r="A2903" s="8" t="str">
        <f t="shared" si="1494"/>
        <v>Singapore</v>
      </c>
      <c r="B2903" s="3" t="str">
        <f t="shared" ref="B2903:B2904" si="1497">CHOOSE(2, "1395000000544", "% of 1-Month Active Agents UM")</f>
        <v>% of 1-Month Active Agents UM</v>
      </c>
      <c r="C2903" s="4" t="str">
        <f>CHOOSE(2, "5461730030", "Jun 26")</f>
        <v>Jun 26</v>
      </c>
      <c r="D2903" s="14">
        <v>0.44649446494464945</v>
      </c>
    </row>
    <row r="2904" spans="1:4" x14ac:dyDescent="0.35">
      <c r="A2904" s="8" t="str">
        <f t="shared" si="1494"/>
        <v>Singapore</v>
      </c>
      <c r="B2904" s="6" t="str">
        <f t="shared" si="1497"/>
        <v>% of 1-Month Active Agents UM</v>
      </c>
      <c r="C2904" s="4" t="str">
        <f>CHOOSE(2, "5462030031", "Jul 26")</f>
        <v>Jul 26</v>
      </c>
      <c r="D2904" s="14">
        <v>0.4051094890510949</v>
      </c>
    </row>
    <row r="2905" spans="1:4" x14ac:dyDescent="0.35">
      <c r="A2905" s="8" t="str">
        <f t="shared" si="1494"/>
        <v>Singapore</v>
      </c>
      <c r="B2905" s="3" t="str">
        <f t="shared" ref="B2905:B2906" si="1498">CHOOSE(2, "1395000000543", "% of 1-Month Active Agents Leaders above UM")</f>
        <v>% of 1-Month Active Agents Leaders above UM</v>
      </c>
      <c r="C2905" s="4" t="str">
        <f>CHOOSE(2, "5461730030", "Jun 26")</f>
        <v>Jun 26</v>
      </c>
      <c r="D2905" s="14">
        <v>0.25</v>
      </c>
    </row>
    <row r="2906" spans="1:4" x14ac:dyDescent="0.35">
      <c r="A2906" s="8" t="str">
        <f t="shared" si="1494"/>
        <v>Singapore</v>
      </c>
      <c r="B2906" s="6" t="str">
        <f t="shared" si="1498"/>
        <v>% of 1-Month Active Agents Leaders above UM</v>
      </c>
      <c r="C2906" s="4" t="str">
        <f>CHOOSE(2, "5462030031", "Jul 26")</f>
        <v>Jul 26</v>
      </c>
      <c r="D2906" s="14">
        <v>0.19672131147540983</v>
      </c>
    </row>
    <row r="2907" spans="1:4" x14ac:dyDescent="0.35">
      <c r="A2907" s="8" t="str">
        <f t="shared" si="1494"/>
        <v>Singapore</v>
      </c>
      <c r="B2907" s="3" t="str">
        <f t="shared" ref="B2907:B2908" si="1499">CHOOSE(2, "1395000000542", "% of 1-Month Active Agents Top-tier agents")</f>
        <v>% of 1-Month Active Agents Top-tier agents</v>
      </c>
      <c r="C2907" s="4" t="str">
        <f>CHOOSE(2, "5461730030", "Jun 26")</f>
        <v>Jun 26</v>
      </c>
      <c r="D2907" s="14">
        <v>0.78775510204081634</v>
      </c>
    </row>
    <row r="2908" spans="1:4" x14ac:dyDescent="0.35">
      <c r="A2908" s="8" t="str">
        <f t="shared" si="1494"/>
        <v>Singapore</v>
      </c>
      <c r="B2908" s="6" t="str">
        <f t="shared" si="1499"/>
        <v>% of 1-Month Active Agents Top-tier agents</v>
      </c>
      <c r="C2908" s="4" t="str">
        <f>CHOOSE(2, "5462030031", "Jul 26")</f>
        <v>Jul 26</v>
      </c>
      <c r="D2908" s="14">
        <v>0.72410358565737054</v>
      </c>
    </row>
    <row r="2909" spans="1:4" x14ac:dyDescent="0.35">
      <c r="A2909" s="8" t="str">
        <f t="shared" si="1494"/>
        <v>Singapore</v>
      </c>
      <c r="B2909" s="3" t="str">
        <f t="shared" ref="B2909:B2910" si="1500">CHOOSE(2, "1395000000541", "% of 1-Month Active Agents FA or equivalent")</f>
        <v>% of 1-Month Active Agents FA or equivalent</v>
      </c>
      <c r="C2909" s="4" t="str">
        <f>CHOOSE(2, "5461730030", "Jun 26")</f>
        <v>Jun 26</v>
      </c>
      <c r="D2909" s="14">
        <v>0.57178217821782173</v>
      </c>
    </row>
    <row r="2910" spans="1:4" x14ac:dyDescent="0.35">
      <c r="A2910" s="8" t="str">
        <f t="shared" si="1494"/>
        <v>Singapore</v>
      </c>
      <c r="B2910" s="6" t="str">
        <f t="shared" si="1500"/>
        <v>% of 1-Month Active Agents FA or equivalent</v>
      </c>
      <c r="C2910" s="4" t="str">
        <f>CHOOSE(2, "5462030031", "Jul 26")</f>
        <v>Jul 26</v>
      </c>
      <c r="D2910" s="14">
        <v>0.54282193468884776</v>
      </c>
    </row>
    <row r="2911" spans="1:4" x14ac:dyDescent="0.35">
      <c r="A2911" s="8" t="str">
        <f t="shared" si="1494"/>
        <v>Singapore</v>
      </c>
      <c r="B2911" s="3" t="str">
        <f t="shared" ref="B2911:B2912" si="1501">CHOOSE(2, "1395000000540", "% of 1-Month Active Agents pro-rated MDRT agents (&gt;100%)")</f>
        <v>% of 1-Month Active Agents pro-rated MDRT agents (&gt;100%)</v>
      </c>
      <c r="C2911" s="4" t="str">
        <f>CHOOSE(2, "5461730030", "Jun 26")</f>
        <v>Jun 26</v>
      </c>
      <c r="D2911" s="14">
        <v>0.82773109243697474</v>
      </c>
    </row>
    <row r="2912" spans="1:4" x14ac:dyDescent="0.35">
      <c r="A2912" s="8" t="str">
        <f t="shared" si="1494"/>
        <v>Singapore</v>
      </c>
      <c r="B2912" s="6" t="str">
        <f t="shared" si="1501"/>
        <v>% of 1-Month Active Agents pro-rated MDRT agents (&gt;100%)</v>
      </c>
      <c r="C2912" s="4" t="str">
        <f>CHOOSE(2, "5462030031", "Jul 26")</f>
        <v>Jul 26</v>
      </c>
      <c r="D2912" s="14">
        <v>0.77103448275862074</v>
      </c>
    </row>
    <row r="2913" spans="1:4" x14ac:dyDescent="0.35">
      <c r="A2913" s="8" t="str">
        <f t="shared" si="1494"/>
        <v>Singapore</v>
      </c>
      <c r="B2913" s="3" t="str">
        <f t="shared" ref="B2913:B2914" si="1502">CHOOSE(2, "1395000000539", "% of 1-Month Active Agents pro-rated MDRT agents (70-99%)")</f>
        <v>% of 1-Month Active Agents pro-rated MDRT agents (70-99%)</v>
      </c>
      <c r="C2913" s="4" t="str">
        <f>CHOOSE(2, "5461730030", "Jun 26")</f>
        <v>Jun 26</v>
      </c>
      <c r="D2913" s="14">
        <v>0.68493150684931503</v>
      </c>
    </row>
    <row r="2914" spans="1:4" x14ac:dyDescent="0.35">
      <c r="A2914" s="8" t="str">
        <f t="shared" si="1494"/>
        <v>Singapore</v>
      </c>
      <c r="B2914" s="6" t="str">
        <f t="shared" si="1502"/>
        <v>% of 1-Month Active Agents pro-rated MDRT agents (70-99%)</v>
      </c>
      <c r="C2914" s="4" t="str">
        <f>CHOOSE(2, "5462030031", "Jul 26")</f>
        <v>Jul 26</v>
      </c>
      <c r="D2914" s="14">
        <v>0.62416107382550334</v>
      </c>
    </row>
    <row r="2915" spans="1:4" x14ac:dyDescent="0.35">
      <c r="A2915" s="8" t="str">
        <f t="shared" si="1494"/>
        <v>Singapore</v>
      </c>
      <c r="B2915" s="3" t="str">
        <f t="shared" ref="B2915:B2916" si="1503">CHOOSE(2, "1395000000538", "% of 1-Month Active Agents pro-rated MDRT agents (50-69%)")</f>
        <v>% of 1-Month Active Agents pro-rated MDRT agents (50-69%)</v>
      </c>
      <c r="C2915" s="4" t="str">
        <f>CHOOSE(2, "5461730030", "Jun 26")</f>
        <v>Jun 26</v>
      </c>
      <c r="D2915" s="14">
        <v>0.67500000000000004</v>
      </c>
    </row>
    <row r="2916" spans="1:4" x14ac:dyDescent="0.35">
      <c r="A2916" s="8" t="str">
        <f t="shared" si="1494"/>
        <v>Singapore</v>
      </c>
      <c r="B2916" s="6" t="str">
        <f t="shared" si="1503"/>
        <v>% of 1-Month Active Agents pro-rated MDRT agents (50-69%)</v>
      </c>
      <c r="C2916" s="4" t="str">
        <f>CHOOSE(2, "5462030031", "Jul 26")</f>
        <v>Jul 26</v>
      </c>
      <c r="D2916" s="14">
        <v>0.57692307692307687</v>
      </c>
    </row>
    <row r="2917" spans="1:4" x14ac:dyDescent="0.35">
      <c r="A2917" s="8" t="str">
        <f t="shared" si="1494"/>
        <v>Singapore</v>
      </c>
      <c r="B2917" s="3" t="str">
        <f t="shared" ref="B2917:B2918" si="1504">CHOOSE(2, "1395000000537", "Avg. Case count per 1-Month Active Agent UM")</f>
        <v>Avg. Case count per 1-Month Active Agent UM</v>
      </c>
      <c r="C2917" s="4" t="str">
        <f>CHOOSE(2, "5461730030", "Jun 26")</f>
        <v>Jun 26</v>
      </c>
      <c r="D2917" s="14">
        <v>3.4710743801652892</v>
      </c>
    </row>
    <row r="2918" spans="1:4" x14ac:dyDescent="0.35">
      <c r="A2918" s="8" t="str">
        <f t="shared" si="1494"/>
        <v>Singapore</v>
      </c>
      <c r="B2918" s="6" t="str">
        <f t="shared" si="1504"/>
        <v>Avg. Case count per 1-Month Active Agent UM</v>
      </c>
      <c r="C2918" s="4" t="str">
        <f>CHOOSE(2, "5462030031", "Jul 26")</f>
        <v>Jul 26</v>
      </c>
      <c r="D2918" s="14">
        <v>3.4234234234234235</v>
      </c>
    </row>
    <row r="2919" spans="1:4" x14ac:dyDescent="0.35">
      <c r="A2919" s="8" t="str">
        <f t="shared" si="1494"/>
        <v>Singapore</v>
      </c>
      <c r="B2919" s="3" t="str">
        <f t="shared" ref="B2919:B2920" si="1505">CHOOSE(2, "1395000000536", "Avg. Case count per 1-Month Active Agent Leaders above UM")</f>
        <v>Avg. Case count per 1-Month Active Agent Leaders above UM</v>
      </c>
      <c r="C2919" s="4" t="str">
        <f>CHOOSE(2, "5461730030", "Jun 26")</f>
        <v>Jun 26</v>
      </c>
      <c r="D2919" s="14">
        <v>4.7333333333333334</v>
      </c>
    </row>
    <row r="2920" spans="1:4" x14ac:dyDescent="0.35">
      <c r="A2920" s="8" t="str">
        <f t="shared" si="1494"/>
        <v>Singapore</v>
      </c>
      <c r="B2920" s="6" t="str">
        <f t="shared" si="1505"/>
        <v>Avg. Case count per 1-Month Active Agent Leaders above UM</v>
      </c>
      <c r="C2920" s="4" t="str">
        <f>CHOOSE(2, "5462030031", "Jul 26")</f>
        <v>Jul 26</v>
      </c>
      <c r="D2920" s="14">
        <v>4.333333333333333</v>
      </c>
    </row>
    <row r="2921" spans="1:4" x14ac:dyDescent="0.35">
      <c r="A2921" s="8" t="str">
        <f t="shared" si="1494"/>
        <v>Singapore</v>
      </c>
      <c r="B2921" s="3" t="str">
        <f t="shared" ref="B2921:B2922" si="1506">CHOOSE(2, "1395000000535", "Avg. Case count per 1-Month Active Agent Top-tier agents")</f>
        <v>Avg. Case count per 1-Month Active Agent Top-tier agents</v>
      </c>
      <c r="C2921" s="4" t="str">
        <f>CHOOSE(2, "5461730030", "Jun 26")</f>
        <v>Jun 26</v>
      </c>
      <c r="D2921" s="14">
        <v>4.3523316062176169</v>
      </c>
    </row>
    <row r="2922" spans="1:4" x14ac:dyDescent="0.35">
      <c r="A2922" s="8" t="str">
        <f t="shared" si="1494"/>
        <v>Singapore</v>
      </c>
      <c r="B2922" s="6" t="str">
        <f t="shared" si="1506"/>
        <v>Avg. Case count per 1-Month Active Agent Top-tier agents</v>
      </c>
      <c r="C2922" s="4" t="str">
        <f>CHOOSE(2, "5462030031", "Jul 26")</f>
        <v>Jul 26</v>
      </c>
      <c r="D2922" s="14">
        <v>3.9711141678129298</v>
      </c>
    </row>
    <row r="2923" spans="1:4" x14ac:dyDescent="0.35">
      <c r="A2923" s="8" t="str">
        <f t="shared" si="1494"/>
        <v>Singapore</v>
      </c>
      <c r="B2923" s="3" t="str">
        <f t="shared" ref="B2923:B2924" si="1507">CHOOSE(2, "1395000000534", "Avg. Case count per 1-Month Manulife Pro Qualifiers - Total")</f>
        <v>Avg. Case count per 1-Month Manulife Pro Qualifiers - Total</v>
      </c>
      <c r="C2923" s="4" t="str">
        <f>CHOOSE(2, "5461730030", "Jun 26")</f>
        <v>Jun 26</v>
      </c>
      <c r="D2923" s="14">
        <v>0</v>
      </c>
    </row>
    <row r="2924" spans="1:4" x14ac:dyDescent="0.35">
      <c r="A2924" s="8" t="str">
        <f t="shared" si="1494"/>
        <v>Singapore</v>
      </c>
      <c r="B2924" s="6" t="str">
        <f t="shared" si="1507"/>
        <v>Avg. Case count per 1-Month Manulife Pro Qualifiers - Total</v>
      </c>
      <c r="C2924" s="4" t="str">
        <f>CHOOSE(2, "5462030031", "Jul 26")</f>
        <v>Jul 26</v>
      </c>
      <c r="D2924" s="14">
        <v>0</v>
      </c>
    </row>
    <row r="2925" spans="1:4" x14ac:dyDescent="0.35">
      <c r="A2925" s="8" t="str">
        <f t="shared" si="1494"/>
        <v>Singapore</v>
      </c>
      <c r="B2925" s="3" t="str">
        <f t="shared" ref="B2925:B2926" si="1508">CHOOSE(2, "1395000000533", "Avg. Case count per 1-Month Active Agent FA or equivalent")</f>
        <v>Avg. Case count per 1-Month Active Agent FA or equivalent</v>
      </c>
      <c r="C2925" s="4" t="str">
        <f>CHOOSE(2, "5461730030", "Jun 26")</f>
        <v>Jun 26</v>
      </c>
      <c r="D2925" s="14">
        <v>3.804112554112554</v>
      </c>
    </row>
    <row r="2926" spans="1:4" x14ac:dyDescent="0.35">
      <c r="A2926" s="8" t="str">
        <f t="shared" si="1494"/>
        <v>Singapore</v>
      </c>
      <c r="B2926" s="6" t="str">
        <f t="shared" si="1508"/>
        <v>Avg. Case count per 1-Month Active Agent FA or equivalent</v>
      </c>
      <c r="C2926" s="4" t="str">
        <f>CHOOSE(2, "5462030031", "Jul 26")</f>
        <v>Jul 26</v>
      </c>
      <c r="D2926" s="14">
        <v>3.5062429057888762</v>
      </c>
    </row>
    <row r="2927" spans="1:4" x14ac:dyDescent="0.35">
      <c r="A2927" s="8" t="str">
        <f t="shared" si="1494"/>
        <v>Singapore</v>
      </c>
      <c r="B2927" s="3" t="str">
        <f t="shared" ref="B2927:B2928" si="1509">CHOOSE(2, "1395000000532", "Avg. Case count per 1-Month pro-rated MDRT agents (&gt;100%)")</f>
        <v>Avg. Case count per 1-Month pro-rated MDRT agents (&gt;100%)</v>
      </c>
      <c r="C2927" s="4" t="str">
        <f>CHOOSE(2, "5461730030", "Jun 26")</f>
        <v>Jun 26</v>
      </c>
      <c r="D2927" s="14">
        <v>4.7157360406091371</v>
      </c>
    </row>
    <row r="2928" spans="1:4" x14ac:dyDescent="0.35">
      <c r="A2928" s="8" t="str">
        <f t="shared" si="1494"/>
        <v>Singapore</v>
      </c>
      <c r="B2928" s="6" t="str">
        <f t="shared" si="1509"/>
        <v>Avg. Case count per 1-Month pro-rated MDRT agents (&gt;100%)</v>
      </c>
      <c r="C2928" s="4" t="str">
        <f>CHOOSE(2, "5462030031", "Jul 26")</f>
        <v>Jul 26</v>
      </c>
      <c r="D2928" s="14">
        <v>4.2379248658318422</v>
      </c>
    </row>
    <row r="2929" spans="1:4" x14ac:dyDescent="0.35">
      <c r="A2929" s="8" t="str">
        <f t="shared" si="1494"/>
        <v>Singapore</v>
      </c>
      <c r="B2929" s="3" t="str">
        <f t="shared" ref="B2929:B2930" si="1510">CHOOSE(2, "1395000000531", "Avg. Case count per 1-Month pro-rated MDRT agents (70-99%)")</f>
        <v>Avg. Case count per 1-Month pro-rated MDRT agents (70-99%)</v>
      </c>
      <c r="C2929" s="4" t="str">
        <f>CHOOSE(2, "5461730030", "Jun 26")</f>
        <v>Jun 26</v>
      </c>
      <c r="D2929" s="14">
        <v>3.08</v>
      </c>
    </row>
    <row r="2930" spans="1:4" x14ac:dyDescent="0.35">
      <c r="A2930" s="8" t="str">
        <f t="shared" si="1494"/>
        <v>Singapore</v>
      </c>
      <c r="B2930" s="6" t="str">
        <f t="shared" si="1510"/>
        <v>Avg. Case count per 1-Month pro-rated MDRT agents (70-99%)</v>
      </c>
      <c r="C2930" s="4" t="str">
        <f>CHOOSE(2, "5462030031", "Jul 26")</f>
        <v>Jul 26</v>
      </c>
      <c r="D2930" s="14">
        <v>3.236559139784946</v>
      </c>
    </row>
    <row r="2931" spans="1:4" x14ac:dyDescent="0.35">
      <c r="A2931" s="8" t="str">
        <f t="shared" si="1494"/>
        <v>Singapore</v>
      </c>
      <c r="B2931" s="3" t="str">
        <f t="shared" ref="B2931:B2932" si="1511">CHOOSE(2, "1395000000530", "Avg. Case count per 1-Month pro-rated MDRT agents (50-69%)")</f>
        <v>Avg. Case count per 1-Month pro-rated MDRT agents (50-69%)</v>
      </c>
      <c r="C2931" s="4" t="str">
        <f>CHOOSE(2, "5461730030", "Jun 26")</f>
        <v>Jun 26</v>
      </c>
      <c r="D2931" s="14">
        <v>3.2716049382716048</v>
      </c>
    </row>
    <row r="2932" spans="1:4" x14ac:dyDescent="0.35">
      <c r="A2932" s="9" t="str">
        <f t="shared" si="1494"/>
        <v>Singapore</v>
      </c>
      <c r="B2932" s="6" t="str">
        <f t="shared" si="1511"/>
        <v>Avg. Case count per 1-Month pro-rated MDRT agents (50-69%)</v>
      </c>
      <c r="C2932" s="4" t="str">
        <f>CHOOSE(2, "5462030031", "Jul 26")</f>
        <v>Jul 26</v>
      </c>
      <c r="D2932" s="14">
        <v>2.8933333333333335</v>
      </c>
    </row>
    <row r="2933" spans="1:4" x14ac:dyDescent="0.35">
      <c r="A2933" s="3" t="str">
        <f t="shared" ref="A2933:A2996" si="1512">CHOOSE(2, "1260000000010", "Agency")</f>
        <v>Agency</v>
      </c>
      <c r="B2933" s="3" t="str">
        <f t="shared" ref="B2933:B2934" si="1513">CHOOSE(2, "1395000000741", "Submitted APE")</f>
        <v>Submitted APE</v>
      </c>
      <c r="C2933" s="4" t="str">
        <f>CHOOSE(2, "5461730030", "Jun 26")</f>
        <v>Jun 26</v>
      </c>
      <c r="D2933" s="14">
        <v>54418840.008519188</v>
      </c>
    </row>
    <row r="2934" spans="1:4" x14ac:dyDescent="0.35">
      <c r="A2934" s="5" t="str">
        <f t="shared" si="1512"/>
        <v>Agency</v>
      </c>
      <c r="B2934" s="6" t="str">
        <f t="shared" si="1513"/>
        <v>Submitted APE</v>
      </c>
      <c r="C2934" s="4" t="str">
        <f>CHOOSE(2, "5462030031", "Jul 26")</f>
        <v>Jul 26</v>
      </c>
      <c r="D2934" s="14">
        <v>8869210.0411208607</v>
      </c>
    </row>
    <row r="2935" spans="1:4" x14ac:dyDescent="0.35">
      <c r="A2935" s="5" t="str">
        <f t="shared" si="1512"/>
        <v>Agency</v>
      </c>
      <c r="B2935" s="3" t="str">
        <f t="shared" ref="B2935:B2936" si="1514">CHOOSE(2, "1395000000740", "# of 1-Month Active Agents")</f>
        <v># of 1-Month Active Agents</v>
      </c>
      <c r="C2935" s="4" t="str">
        <f>CHOOSE(2, "5461730030", "Jun 26")</f>
        <v>Jun 26</v>
      </c>
      <c r="D2935" s="14">
        <v>4551</v>
      </c>
    </row>
    <row r="2936" spans="1:4" x14ac:dyDescent="0.35">
      <c r="A2936" s="5" t="str">
        <f t="shared" si="1512"/>
        <v>Agency</v>
      </c>
      <c r="B2936" s="6" t="str">
        <f t="shared" si="1514"/>
        <v># of 1-Month Active Agents</v>
      </c>
      <c r="C2936" s="4" t="str">
        <f>CHOOSE(2, "5462030031", "Jul 26")</f>
        <v>Jul 26</v>
      </c>
      <c r="D2936" s="14">
        <v>3498</v>
      </c>
    </row>
    <row r="2937" spans="1:4" x14ac:dyDescent="0.35">
      <c r="A2937" s="5" t="str">
        <f t="shared" si="1512"/>
        <v>Agency</v>
      </c>
      <c r="B2937" s="3" t="str">
        <f t="shared" ref="B2937:B2938" si="1515">CHOOSE(2, "1395000000739", "# of 1-Month Active Agents in 0-1M")</f>
        <v># of 1-Month Active Agents in 0-1M</v>
      </c>
      <c r="C2937" s="4" t="str">
        <f>CHOOSE(2, "5461730030", "Jun 26")</f>
        <v>Jun 26</v>
      </c>
      <c r="D2937" s="14">
        <v>292</v>
      </c>
    </row>
    <row r="2938" spans="1:4" x14ac:dyDescent="0.35">
      <c r="A2938" s="5" t="str">
        <f t="shared" si="1512"/>
        <v>Agency</v>
      </c>
      <c r="B2938" s="6" t="str">
        <f t="shared" si="1515"/>
        <v># of 1-Month Active Agents in 0-1M</v>
      </c>
      <c r="C2938" s="4" t="str">
        <f>CHOOSE(2, "5462030031", "Jul 26")</f>
        <v>Jul 26</v>
      </c>
      <c r="D2938" s="14">
        <v>116</v>
      </c>
    </row>
    <row r="2939" spans="1:4" x14ac:dyDescent="0.35">
      <c r="A2939" s="5" t="str">
        <f t="shared" si="1512"/>
        <v>Agency</v>
      </c>
      <c r="B2939" s="3" t="str">
        <f t="shared" ref="B2939:B2940" si="1516">CHOOSE(2, "1395000000738", "# of 1-Month Active Agents in 2-3M")</f>
        <v># of 1-Month Active Agents in 2-3M</v>
      </c>
      <c r="C2939" s="4" t="str">
        <f>CHOOSE(2, "5461730030", "Jun 26")</f>
        <v>Jun 26</v>
      </c>
      <c r="D2939" s="14">
        <v>264</v>
      </c>
    </row>
    <row r="2940" spans="1:4" x14ac:dyDescent="0.35">
      <c r="A2940" s="5" t="str">
        <f t="shared" si="1512"/>
        <v>Agency</v>
      </c>
      <c r="B2940" s="6" t="str">
        <f t="shared" si="1516"/>
        <v># of 1-Month Active Agents in 2-3M</v>
      </c>
      <c r="C2940" s="4" t="str">
        <f>CHOOSE(2, "5462030031", "Jul 26")</f>
        <v>Jul 26</v>
      </c>
      <c r="D2940" s="14">
        <v>214</v>
      </c>
    </row>
    <row r="2941" spans="1:4" x14ac:dyDescent="0.35">
      <c r="A2941" s="5" t="str">
        <f t="shared" si="1512"/>
        <v>Agency</v>
      </c>
      <c r="B2941" s="3" t="str">
        <f t="shared" ref="B2941:B2942" si="1517">CHOOSE(2, "1395000000737", "# of 1-Month Active Agents in 4-12M")</f>
        <v># of 1-Month Active Agents in 4-12M</v>
      </c>
      <c r="C2941" s="4" t="str">
        <f>CHOOSE(2, "5461730030", "Jun 26")</f>
        <v>Jun 26</v>
      </c>
      <c r="D2941" s="14">
        <v>502</v>
      </c>
    </row>
    <row r="2942" spans="1:4" x14ac:dyDescent="0.35">
      <c r="A2942" s="5" t="str">
        <f t="shared" si="1512"/>
        <v>Agency</v>
      </c>
      <c r="B2942" s="6" t="str">
        <f t="shared" si="1517"/>
        <v># of 1-Month Active Agents in 4-12M</v>
      </c>
      <c r="C2942" s="4" t="str">
        <f>CHOOSE(2, "5462030031", "Jul 26")</f>
        <v>Jul 26</v>
      </c>
      <c r="D2942" s="14">
        <v>317</v>
      </c>
    </row>
    <row r="2943" spans="1:4" x14ac:dyDescent="0.35">
      <c r="A2943" s="5" t="str">
        <f t="shared" si="1512"/>
        <v>Agency</v>
      </c>
      <c r="B2943" s="3" t="str">
        <f t="shared" ref="B2943:B2944" si="1518">CHOOSE(2, "1395000000736", "# of 1-Month Active Agents 13+M")</f>
        <v># of 1-Month Active Agents 13+M</v>
      </c>
      <c r="C2943" s="4" t="str">
        <f>CHOOSE(2, "5461730030", "Jun 26")</f>
        <v>Jun 26</v>
      </c>
      <c r="D2943" s="14">
        <v>3493</v>
      </c>
    </row>
    <row r="2944" spans="1:4" x14ac:dyDescent="0.35">
      <c r="A2944" s="5" t="str">
        <f t="shared" si="1512"/>
        <v>Agency</v>
      </c>
      <c r="B2944" s="6" t="str">
        <f t="shared" si="1518"/>
        <v># of 1-Month Active Agents 13+M</v>
      </c>
      <c r="C2944" s="4" t="str">
        <f>CHOOSE(2, "5462030031", "Jul 26")</f>
        <v>Jul 26</v>
      </c>
      <c r="D2944" s="14">
        <v>2851</v>
      </c>
    </row>
    <row r="2945" spans="1:4" x14ac:dyDescent="0.35">
      <c r="A2945" s="5" t="str">
        <f t="shared" si="1512"/>
        <v>Agency</v>
      </c>
      <c r="B2945" s="3" t="str">
        <f t="shared" ref="B2945:B2946" si="1519">CHOOSE(2, "1395000000735", "# of 1-Month Active Agents in FA or equivalent")</f>
        <v># of 1-Month Active Agents in FA or equivalent</v>
      </c>
      <c r="C2945" s="4" t="str">
        <f>CHOOSE(2, "5461730030", "Jun 26")</f>
        <v>Jun 26</v>
      </c>
      <c r="D2945" s="2" t="s">
        <v>5</v>
      </c>
    </row>
    <row r="2946" spans="1:4" x14ac:dyDescent="0.35">
      <c r="A2946" s="5" t="str">
        <f t="shared" si="1512"/>
        <v>Agency</v>
      </c>
      <c r="B2946" s="6" t="str">
        <f t="shared" si="1519"/>
        <v># of 1-Month Active Agents in FA or equivalent</v>
      </c>
      <c r="C2946" s="4" t="str">
        <f>CHOOSE(2, "5462030031", "Jul 26")</f>
        <v>Jul 26</v>
      </c>
      <c r="D2946" s="2" t="s">
        <v>5</v>
      </c>
    </row>
    <row r="2947" spans="1:4" x14ac:dyDescent="0.35">
      <c r="A2947" s="5" t="str">
        <f t="shared" si="1512"/>
        <v>Agency</v>
      </c>
      <c r="B2947" s="3" t="str">
        <f t="shared" ref="B2947:B2948" si="1520">CHOOSE(2, "1395000000734", "# of 1-Month Active Agents in UM")</f>
        <v># of 1-Month Active Agents in UM</v>
      </c>
      <c r="C2947" s="4" t="str">
        <f>CHOOSE(2, "5461730030", "Jun 26")</f>
        <v>Jun 26</v>
      </c>
      <c r="D2947" s="2" t="s">
        <v>5</v>
      </c>
    </row>
    <row r="2948" spans="1:4" x14ac:dyDescent="0.35">
      <c r="A2948" s="5" t="str">
        <f t="shared" si="1512"/>
        <v>Agency</v>
      </c>
      <c r="B2948" s="6" t="str">
        <f t="shared" si="1520"/>
        <v># of 1-Month Active Agents in UM</v>
      </c>
      <c r="C2948" s="4" t="str">
        <f>CHOOSE(2, "5462030031", "Jul 26")</f>
        <v>Jul 26</v>
      </c>
      <c r="D2948" s="2" t="s">
        <v>5</v>
      </c>
    </row>
    <row r="2949" spans="1:4" x14ac:dyDescent="0.35">
      <c r="A2949" s="5" t="str">
        <f t="shared" si="1512"/>
        <v>Agency</v>
      </c>
      <c r="B2949" s="3" t="str">
        <f t="shared" ref="B2949:B2950" si="1521">CHOOSE(2, "1395000000733", "# of 1-Month Active Agents in Leaders above UM")</f>
        <v># of 1-Month Active Agents in Leaders above UM</v>
      </c>
      <c r="C2949" s="4" t="str">
        <f>CHOOSE(2, "5461730030", "Jun 26")</f>
        <v>Jun 26</v>
      </c>
      <c r="D2949" s="2" t="s">
        <v>5</v>
      </c>
    </row>
    <row r="2950" spans="1:4" x14ac:dyDescent="0.35">
      <c r="A2950" s="5" t="str">
        <f t="shared" si="1512"/>
        <v>Agency</v>
      </c>
      <c r="B2950" s="6" t="str">
        <f t="shared" si="1521"/>
        <v># of 1-Month Active Agents in Leaders above UM</v>
      </c>
      <c r="C2950" s="4" t="str">
        <f>CHOOSE(2, "5462030031", "Jul 26")</f>
        <v>Jul 26</v>
      </c>
      <c r="D2950" s="2" t="s">
        <v>5</v>
      </c>
    </row>
    <row r="2951" spans="1:4" x14ac:dyDescent="0.35">
      <c r="A2951" s="5" t="str">
        <f t="shared" si="1512"/>
        <v>Agency</v>
      </c>
      <c r="B2951" s="3" t="str">
        <f t="shared" ref="B2951:B2952" si="1522">CHOOSE(2, "1395000000732", "# of 1-Month Active Top-tier Agents")</f>
        <v># of 1-Month Active Top-tier Agents</v>
      </c>
      <c r="C2951" s="4" t="str">
        <f>CHOOSE(2, "5461730030", "Jun 26")</f>
        <v>Jun 26</v>
      </c>
      <c r="D2951" s="2" t="s">
        <v>5</v>
      </c>
    </row>
    <row r="2952" spans="1:4" x14ac:dyDescent="0.35">
      <c r="A2952" s="5" t="str">
        <f t="shared" si="1512"/>
        <v>Agency</v>
      </c>
      <c r="B2952" s="6" t="str">
        <f t="shared" si="1522"/>
        <v># of 1-Month Active Top-tier Agents</v>
      </c>
      <c r="C2952" s="4" t="str">
        <f>CHOOSE(2, "5462030031", "Jul 26")</f>
        <v>Jul 26</v>
      </c>
      <c r="D2952" s="2" t="s">
        <v>5</v>
      </c>
    </row>
    <row r="2953" spans="1:4" x14ac:dyDescent="0.35">
      <c r="A2953" s="5" t="str">
        <f t="shared" si="1512"/>
        <v>Agency</v>
      </c>
      <c r="B2953" s="3" t="str">
        <f t="shared" ref="B2953:B2954" si="1523">CHOOSE(2, "1395000000731", "# of 1-Month Active Agents in pro-rated MDRT agents (&gt;100%)")</f>
        <v># of 1-Month Active Agents in pro-rated MDRT agents (&gt;100%)</v>
      </c>
      <c r="C2953" s="4" t="str">
        <f>CHOOSE(2, "5461730030", "Jun 26")</f>
        <v>Jun 26</v>
      </c>
      <c r="D2953" s="2" t="s">
        <v>5</v>
      </c>
    </row>
    <row r="2954" spans="1:4" x14ac:dyDescent="0.35">
      <c r="A2954" s="5" t="str">
        <f t="shared" si="1512"/>
        <v>Agency</v>
      </c>
      <c r="B2954" s="6" t="str">
        <f t="shared" si="1523"/>
        <v># of 1-Month Active Agents in pro-rated MDRT agents (&gt;100%)</v>
      </c>
      <c r="C2954" s="4" t="str">
        <f>CHOOSE(2, "5462030031", "Jul 26")</f>
        <v>Jul 26</v>
      </c>
      <c r="D2954" s="2" t="s">
        <v>5</v>
      </c>
    </row>
    <row r="2955" spans="1:4" x14ac:dyDescent="0.35">
      <c r="A2955" s="5" t="str">
        <f t="shared" si="1512"/>
        <v>Agency</v>
      </c>
      <c r="B2955" s="3" t="str">
        <f t="shared" ref="B2955:B2956" si="1524">CHOOSE(2, "1395000000730", "# of 1-Month Active Agents in pro-rated MDRT agents (70-99%)")</f>
        <v># of 1-Month Active Agents in pro-rated MDRT agents (70-99%)</v>
      </c>
      <c r="C2955" s="4" t="str">
        <f>CHOOSE(2, "5461730030", "Jun 26")</f>
        <v>Jun 26</v>
      </c>
      <c r="D2955" s="2" t="s">
        <v>5</v>
      </c>
    </row>
    <row r="2956" spans="1:4" x14ac:dyDescent="0.35">
      <c r="A2956" s="5" t="str">
        <f t="shared" si="1512"/>
        <v>Agency</v>
      </c>
      <c r="B2956" s="6" t="str">
        <f t="shared" si="1524"/>
        <v># of 1-Month Active Agents in pro-rated MDRT agents (70-99%)</v>
      </c>
      <c r="C2956" s="4" t="str">
        <f>CHOOSE(2, "5462030031", "Jul 26")</f>
        <v>Jul 26</v>
      </c>
      <c r="D2956" s="2" t="s">
        <v>5</v>
      </c>
    </row>
    <row r="2957" spans="1:4" x14ac:dyDescent="0.35">
      <c r="A2957" s="5" t="str">
        <f t="shared" si="1512"/>
        <v>Agency</v>
      </c>
      <c r="B2957" s="3" t="str">
        <f t="shared" ref="B2957:B2958" si="1525">CHOOSE(2, "1395000000729", "# of 1-Month Active Agents in pro-rated MDRT agents (50-69%)")</f>
        <v># of 1-Month Active Agents in pro-rated MDRT agents (50-69%)</v>
      </c>
      <c r="C2957" s="4" t="str">
        <f>CHOOSE(2, "5461730030", "Jun 26")</f>
        <v>Jun 26</v>
      </c>
      <c r="D2957" s="2" t="s">
        <v>5</v>
      </c>
    </row>
    <row r="2958" spans="1:4" x14ac:dyDescent="0.35">
      <c r="A2958" s="5" t="str">
        <f t="shared" si="1512"/>
        <v>Agency</v>
      </c>
      <c r="B2958" s="6" t="str">
        <f t="shared" si="1525"/>
        <v># of 1-Month Active Agents in pro-rated MDRT agents (50-69%)</v>
      </c>
      <c r="C2958" s="4" t="str">
        <f>CHOOSE(2, "5462030031", "Jul 26")</f>
        <v>Jul 26</v>
      </c>
      <c r="D2958" s="2" t="s">
        <v>5</v>
      </c>
    </row>
    <row r="2959" spans="1:4" x14ac:dyDescent="0.35">
      <c r="A2959" s="5" t="str">
        <f t="shared" si="1512"/>
        <v>Agency</v>
      </c>
      <c r="B2959" s="3" t="str">
        <f t="shared" ref="B2959:B2960" si="1526">CHOOSE(2, "1395000000728", "# of 1-Month Active Agents in Manulife Pro Qualifiers -Total")</f>
        <v># of 1-Month Active Agents in Manulife Pro Qualifiers -Total</v>
      </c>
      <c r="C2959" s="4" t="str">
        <f>CHOOSE(2, "5461730030", "Jun 26")</f>
        <v>Jun 26</v>
      </c>
      <c r="D2959" s="2" t="s">
        <v>5</v>
      </c>
    </row>
    <row r="2960" spans="1:4" x14ac:dyDescent="0.35">
      <c r="A2960" s="5" t="str">
        <f t="shared" si="1512"/>
        <v>Agency</v>
      </c>
      <c r="B2960" s="6" t="str">
        <f t="shared" si="1526"/>
        <v># of 1-Month Active Agents in Manulife Pro Qualifiers -Total</v>
      </c>
      <c r="C2960" s="4" t="str">
        <f>CHOOSE(2, "5462030031", "Jul 26")</f>
        <v>Jul 26</v>
      </c>
      <c r="D2960" s="2" t="s">
        <v>5</v>
      </c>
    </row>
    <row r="2961" spans="1:4" x14ac:dyDescent="0.35">
      <c r="A2961" s="5" t="str">
        <f t="shared" si="1512"/>
        <v>Agency</v>
      </c>
      <c r="B2961" s="3" t="str">
        <f t="shared" ref="B2961:B2962" si="1527">CHOOSE(2, "1395000000727", "# of 3-Month Active Agents")</f>
        <v># of 3-Month Active Agents</v>
      </c>
      <c r="C2961" s="4" t="str">
        <f>CHOOSE(2, "5461730030", "Jun 26")</f>
        <v>Jun 26</v>
      </c>
      <c r="D2961" s="2" t="s">
        <v>5</v>
      </c>
    </row>
    <row r="2962" spans="1:4" x14ac:dyDescent="0.35">
      <c r="A2962" s="5" t="str">
        <f t="shared" si="1512"/>
        <v>Agency</v>
      </c>
      <c r="B2962" s="6" t="str">
        <f t="shared" si="1527"/>
        <v># of 3-Month Active Agents</v>
      </c>
      <c r="C2962" s="4" t="str">
        <f>CHOOSE(2, "5462030031", "Jul 26")</f>
        <v>Jul 26</v>
      </c>
      <c r="D2962" s="2" t="s">
        <v>5</v>
      </c>
    </row>
    <row r="2963" spans="1:4" x14ac:dyDescent="0.35">
      <c r="A2963" s="5" t="str">
        <f t="shared" si="1512"/>
        <v>Agency</v>
      </c>
      <c r="B2963" s="3" t="str">
        <f t="shared" ref="B2963:B2964" si="1528">CHOOSE(2, "1395000000726", "# of 3-Month Active Agents in 0-1M")</f>
        <v># of 3-Month Active Agents in 0-1M</v>
      </c>
      <c r="C2963" s="4" t="str">
        <f>CHOOSE(2, "5461730030", "Jun 26")</f>
        <v>Jun 26</v>
      </c>
      <c r="D2963" s="2" t="s">
        <v>5</v>
      </c>
    </row>
    <row r="2964" spans="1:4" x14ac:dyDescent="0.35">
      <c r="A2964" s="5" t="str">
        <f t="shared" si="1512"/>
        <v>Agency</v>
      </c>
      <c r="B2964" s="6" t="str">
        <f t="shared" si="1528"/>
        <v># of 3-Month Active Agents in 0-1M</v>
      </c>
      <c r="C2964" s="4" t="str">
        <f>CHOOSE(2, "5462030031", "Jul 26")</f>
        <v>Jul 26</v>
      </c>
      <c r="D2964" s="2" t="s">
        <v>5</v>
      </c>
    </row>
    <row r="2965" spans="1:4" x14ac:dyDescent="0.35">
      <c r="A2965" s="5" t="str">
        <f t="shared" si="1512"/>
        <v>Agency</v>
      </c>
      <c r="B2965" s="3" t="str">
        <f t="shared" ref="B2965:B2966" si="1529">CHOOSE(2, "1395000000725", "# of 3-Month Active Agents in 2-3M")</f>
        <v># of 3-Month Active Agents in 2-3M</v>
      </c>
      <c r="C2965" s="4" t="str">
        <f>CHOOSE(2, "5461730030", "Jun 26")</f>
        <v>Jun 26</v>
      </c>
      <c r="D2965" s="2" t="s">
        <v>5</v>
      </c>
    </row>
    <row r="2966" spans="1:4" x14ac:dyDescent="0.35">
      <c r="A2966" s="5" t="str">
        <f t="shared" si="1512"/>
        <v>Agency</v>
      </c>
      <c r="B2966" s="6" t="str">
        <f t="shared" si="1529"/>
        <v># of 3-Month Active Agents in 2-3M</v>
      </c>
      <c r="C2966" s="4" t="str">
        <f>CHOOSE(2, "5462030031", "Jul 26")</f>
        <v>Jul 26</v>
      </c>
      <c r="D2966" s="2" t="s">
        <v>5</v>
      </c>
    </row>
    <row r="2967" spans="1:4" x14ac:dyDescent="0.35">
      <c r="A2967" s="5" t="str">
        <f t="shared" si="1512"/>
        <v>Agency</v>
      </c>
      <c r="B2967" s="3" t="str">
        <f t="shared" ref="B2967:B2968" si="1530">CHOOSE(2, "1395000000724", "# of 3-Month Active Agents in 4-12M")</f>
        <v># of 3-Month Active Agents in 4-12M</v>
      </c>
      <c r="C2967" s="4" t="str">
        <f>CHOOSE(2, "5461730030", "Jun 26")</f>
        <v>Jun 26</v>
      </c>
      <c r="D2967" s="2" t="s">
        <v>5</v>
      </c>
    </row>
    <row r="2968" spans="1:4" x14ac:dyDescent="0.35">
      <c r="A2968" s="5" t="str">
        <f t="shared" si="1512"/>
        <v>Agency</v>
      </c>
      <c r="B2968" s="6" t="str">
        <f t="shared" si="1530"/>
        <v># of 3-Month Active Agents in 4-12M</v>
      </c>
      <c r="C2968" s="4" t="str">
        <f>CHOOSE(2, "5462030031", "Jul 26")</f>
        <v>Jul 26</v>
      </c>
      <c r="D2968" s="2" t="s">
        <v>5</v>
      </c>
    </row>
    <row r="2969" spans="1:4" x14ac:dyDescent="0.35">
      <c r="A2969" s="5" t="str">
        <f t="shared" si="1512"/>
        <v>Agency</v>
      </c>
      <c r="B2969" s="3" t="str">
        <f t="shared" ref="B2969:B2970" si="1531">CHOOSE(2, "1395000000723", "# of 3-Month Active Agents 13+M")</f>
        <v># of 3-Month Active Agents 13+M</v>
      </c>
      <c r="C2969" s="4" t="str">
        <f>CHOOSE(2, "5461730030", "Jun 26")</f>
        <v>Jun 26</v>
      </c>
      <c r="D2969" s="2" t="s">
        <v>5</v>
      </c>
    </row>
    <row r="2970" spans="1:4" x14ac:dyDescent="0.35">
      <c r="A2970" s="5" t="str">
        <f t="shared" si="1512"/>
        <v>Agency</v>
      </c>
      <c r="B2970" s="6" t="str">
        <f t="shared" si="1531"/>
        <v># of 3-Month Active Agents 13+M</v>
      </c>
      <c r="C2970" s="4" t="str">
        <f>CHOOSE(2, "5462030031", "Jul 26")</f>
        <v>Jul 26</v>
      </c>
      <c r="D2970" s="2" t="s">
        <v>5</v>
      </c>
    </row>
    <row r="2971" spans="1:4" x14ac:dyDescent="0.35">
      <c r="A2971" s="5" t="str">
        <f t="shared" si="1512"/>
        <v>Agency</v>
      </c>
      <c r="B2971" s="3" t="str">
        <f t="shared" ref="B2971:B2972" si="1532">CHOOSE(2, "1395000000722", "# of 3-Month Active Agents in UM")</f>
        <v># of 3-Month Active Agents in UM</v>
      </c>
      <c r="C2971" s="4" t="str">
        <f>CHOOSE(2, "5461730030", "Jun 26")</f>
        <v>Jun 26</v>
      </c>
      <c r="D2971" s="2" t="s">
        <v>5</v>
      </c>
    </row>
    <row r="2972" spans="1:4" x14ac:dyDescent="0.35">
      <c r="A2972" s="5" t="str">
        <f t="shared" si="1512"/>
        <v>Agency</v>
      </c>
      <c r="B2972" s="6" t="str">
        <f t="shared" si="1532"/>
        <v># of 3-Month Active Agents in UM</v>
      </c>
      <c r="C2972" s="4" t="str">
        <f>CHOOSE(2, "5462030031", "Jul 26")</f>
        <v>Jul 26</v>
      </c>
      <c r="D2972" s="2" t="s">
        <v>5</v>
      </c>
    </row>
    <row r="2973" spans="1:4" x14ac:dyDescent="0.35">
      <c r="A2973" s="5" t="str">
        <f t="shared" si="1512"/>
        <v>Agency</v>
      </c>
      <c r="B2973" s="3" t="str">
        <f t="shared" ref="B2973:B2974" si="1533">CHOOSE(2, "1395000000721", "# of 3-Month Active Agents in Leaders above UM")</f>
        <v># of 3-Month Active Agents in Leaders above UM</v>
      </c>
      <c r="C2973" s="4" t="str">
        <f>CHOOSE(2, "5461730030", "Jun 26")</f>
        <v>Jun 26</v>
      </c>
      <c r="D2973" s="2" t="s">
        <v>5</v>
      </c>
    </row>
    <row r="2974" spans="1:4" x14ac:dyDescent="0.35">
      <c r="A2974" s="5" t="str">
        <f t="shared" si="1512"/>
        <v>Agency</v>
      </c>
      <c r="B2974" s="6" t="str">
        <f t="shared" si="1533"/>
        <v># of 3-Month Active Agents in Leaders above UM</v>
      </c>
      <c r="C2974" s="4" t="str">
        <f>CHOOSE(2, "5462030031", "Jul 26")</f>
        <v>Jul 26</v>
      </c>
      <c r="D2974" s="2" t="s">
        <v>5</v>
      </c>
    </row>
    <row r="2975" spans="1:4" x14ac:dyDescent="0.35">
      <c r="A2975" s="5" t="str">
        <f t="shared" si="1512"/>
        <v>Agency</v>
      </c>
      <c r="B2975" s="3" t="str">
        <f t="shared" ref="B2975:B2976" si="1534">CHOOSE(2, "1395000000720", "# of 3-Month Active Agents in FA or equivalent")</f>
        <v># of 3-Month Active Agents in FA or equivalent</v>
      </c>
      <c r="C2975" s="4" t="str">
        <f>CHOOSE(2, "5461730030", "Jun 26")</f>
        <v>Jun 26</v>
      </c>
      <c r="D2975" s="2" t="s">
        <v>5</v>
      </c>
    </row>
    <row r="2976" spans="1:4" x14ac:dyDescent="0.35">
      <c r="A2976" s="5" t="str">
        <f t="shared" si="1512"/>
        <v>Agency</v>
      </c>
      <c r="B2976" s="6" t="str">
        <f t="shared" si="1534"/>
        <v># of 3-Month Active Agents in FA or equivalent</v>
      </c>
      <c r="C2976" s="4" t="str">
        <f>CHOOSE(2, "5462030031", "Jul 26")</f>
        <v>Jul 26</v>
      </c>
      <c r="D2976" s="2" t="s">
        <v>5</v>
      </c>
    </row>
    <row r="2977" spans="1:4" x14ac:dyDescent="0.35">
      <c r="A2977" s="5" t="str">
        <f t="shared" si="1512"/>
        <v>Agency</v>
      </c>
      <c r="B2977" s="3" t="str">
        <f t="shared" ref="B2977:B2978" si="1535">CHOOSE(2, "1395000000719", "Net Case Count - Agency")</f>
        <v>Net Case Count - Agency</v>
      </c>
      <c r="C2977" s="4" t="str">
        <f>CHOOSE(2, "5461730030", "Jun 26")</f>
        <v>Jun 26</v>
      </c>
      <c r="D2977" s="14">
        <v>7004</v>
      </c>
    </row>
    <row r="2978" spans="1:4" x14ac:dyDescent="0.35">
      <c r="A2978" s="5" t="str">
        <f t="shared" si="1512"/>
        <v>Agency</v>
      </c>
      <c r="B2978" s="6" t="str">
        <f t="shared" si="1535"/>
        <v>Net Case Count - Agency</v>
      </c>
      <c r="C2978" s="4" t="str">
        <f>CHOOSE(2, "5462030031", "Jul 26")</f>
        <v>Jul 26</v>
      </c>
      <c r="D2978" s="14">
        <v>3575</v>
      </c>
    </row>
    <row r="2979" spans="1:4" x14ac:dyDescent="0.35">
      <c r="A2979" s="5" t="str">
        <f t="shared" si="1512"/>
        <v>Agency</v>
      </c>
      <c r="B2979" s="3" t="str">
        <f t="shared" ref="B2979:B2980" si="1536">CHOOSE(2, "1395000000718", "Net Case Count - Agency in 0-1M")</f>
        <v>Net Case Count - Agency in 0-1M</v>
      </c>
      <c r="C2979" s="4" t="str">
        <f>CHOOSE(2, "5461730030", "Jun 26")</f>
        <v>Jun 26</v>
      </c>
      <c r="D2979" s="2" t="s">
        <v>5</v>
      </c>
    </row>
    <row r="2980" spans="1:4" x14ac:dyDescent="0.35">
      <c r="A2980" s="5" t="str">
        <f t="shared" si="1512"/>
        <v>Agency</v>
      </c>
      <c r="B2980" s="6" t="str">
        <f t="shared" si="1536"/>
        <v>Net Case Count - Agency in 0-1M</v>
      </c>
      <c r="C2980" s="4" t="str">
        <f>CHOOSE(2, "5462030031", "Jul 26")</f>
        <v>Jul 26</v>
      </c>
      <c r="D2980" s="2" t="s">
        <v>5</v>
      </c>
    </row>
    <row r="2981" spans="1:4" x14ac:dyDescent="0.35">
      <c r="A2981" s="5" t="str">
        <f t="shared" si="1512"/>
        <v>Agency</v>
      </c>
      <c r="B2981" s="3" t="str">
        <f t="shared" ref="B2981:B2982" si="1537">CHOOSE(2, "1395000000717", "Net Case Count - Agency in 2-3M")</f>
        <v>Net Case Count - Agency in 2-3M</v>
      </c>
      <c r="C2981" s="4" t="str">
        <f>CHOOSE(2, "5461730030", "Jun 26")</f>
        <v>Jun 26</v>
      </c>
      <c r="D2981" s="2" t="s">
        <v>5</v>
      </c>
    </row>
    <row r="2982" spans="1:4" x14ac:dyDescent="0.35">
      <c r="A2982" s="5" t="str">
        <f t="shared" si="1512"/>
        <v>Agency</v>
      </c>
      <c r="B2982" s="6" t="str">
        <f t="shared" si="1537"/>
        <v>Net Case Count - Agency in 2-3M</v>
      </c>
      <c r="C2982" s="4" t="str">
        <f>CHOOSE(2, "5462030031", "Jul 26")</f>
        <v>Jul 26</v>
      </c>
      <c r="D2982" s="2" t="s">
        <v>5</v>
      </c>
    </row>
    <row r="2983" spans="1:4" x14ac:dyDescent="0.35">
      <c r="A2983" s="5" t="str">
        <f t="shared" si="1512"/>
        <v>Agency</v>
      </c>
      <c r="B2983" s="3" t="str">
        <f t="shared" ref="B2983:B2984" si="1538">CHOOSE(2, "1395000000716", "Net Case Count - Agency in 4-12M")</f>
        <v>Net Case Count - Agency in 4-12M</v>
      </c>
      <c r="C2983" s="4" t="str">
        <f>CHOOSE(2, "5461730030", "Jun 26")</f>
        <v>Jun 26</v>
      </c>
      <c r="D2983" s="2" t="s">
        <v>5</v>
      </c>
    </row>
    <row r="2984" spans="1:4" x14ac:dyDescent="0.35">
      <c r="A2984" s="5" t="str">
        <f t="shared" si="1512"/>
        <v>Agency</v>
      </c>
      <c r="B2984" s="6" t="str">
        <f t="shared" si="1538"/>
        <v>Net Case Count - Agency in 4-12M</v>
      </c>
      <c r="C2984" s="4" t="str">
        <f>CHOOSE(2, "5462030031", "Jul 26")</f>
        <v>Jul 26</v>
      </c>
      <c r="D2984" s="2" t="s">
        <v>5</v>
      </c>
    </row>
    <row r="2985" spans="1:4" x14ac:dyDescent="0.35">
      <c r="A2985" s="5" t="str">
        <f t="shared" si="1512"/>
        <v>Agency</v>
      </c>
      <c r="B2985" s="3" t="str">
        <f t="shared" ref="B2985:B2986" si="1539">CHOOSE(2, "1395000000715", "Net Case Count - Agency 13+M")</f>
        <v>Net Case Count - Agency 13+M</v>
      </c>
      <c r="C2985" s="4" t="str">
        <f>CHOOSE(2, "5461730030", "Jun 26")</f>
        <v>Jun 26</v>
      </c>
      <c r="D2985" s="14">
        <v>8362</v>
      </c>
    </row>
    <row r="2986" spans="1:4" x14ac:dyDescent="0.35">
      <c r="A2986" s="5" t="str">
        <f t="shared" si="1512"/>
        <v>Agency</v>
      </c>
      <c r="B2986" s="6" t="str">
        <f t="shared" si="1539"/>
        <v>Net Case Count - Agency 13+M</v>
      </c>
      <c r="C2986" s="4" t="str">
        <f>CHOOSE(2, "5462030031", "Jul 26")</f>
        <v>Jul 26</v>
      </c>
      <c r="D2986" s="14">
        <v>5655.5</v>
      </c>
    </row>
    <row r="2987" spans="1:4" x14ac:dyDescent="0.35">
      <c r="A2987" s="5" t="str">
        <f t="shared" si="1512"/>
        <v>Agency</v>
      </c>
      <c r="B2987" s="3" t="str">
        <f t="shared" ref="B2987:B2988" si="1540">CHOOSE(2, "1395000000714", "Net Case Count - Agency in FA or equivalent")</f>
        <v>Net Case Count - Agency in FA or equivalent</v>
      </c>
      <c r="C2987" s="4" t="str">
        <f>CHOOSE(2, "5461730030", "Jun 26")</f>
        <v>Jun 26</v>
      </c>
      <c r="D2987" s="2" t="s">
        <v>5</v>
      </c>
    </row>
    <row r="2988" spans="1:4" x14ac:dyDescent="0.35">
      <c r="A2988" s="5" t="str">
        <f t="shared" si="1512"/>
        <v>Agency</v>
      </c>
      <c r="B2988" s="6" t="str">
        <f t="shared" si="1540"/>
        <v>Net Case Count - Agency in FA or equivalent</v>
      </c>
      <c r="C2988" s="4" t="str">
        <f>CHOOSE(2, "5462030031", "Jul 26")</f>
        <v>Jul 26</v>
      </c>
      <c r="D2988" s="2" t="s">
        <v>5</v>
      </c>
    </row>
    <row r="2989" spans="1:4" x14ac:dyDescent="0.35">
      <c r="A2989" s="5" t="str">
        <f t="shared" si="1512"/>
        <v>Agency</v>
      </c>
      <c r="B2989" s="3" t="str">
        <f t="shared" ref="B2989:B2990" si="1541">CHOOSE(2, "1395000000713", "Net Case Count - Agency in UM")</f>
        <v>Net Case Count - Agency in UM</v>
      </c>
      <c r="C2989" s="4" t="str">
        <f>CHOOSE(2, "5461730030", "Jun 26")</f>
        <v>Jun 26</v>
      </c>
      <c r="D2989" s="2" t="s">
        <v>5</v>
      </c>
    </row>
    <row r="2990" spans="1:4" x14ac:dyDescent="0.35">
      <c r="A2990" s="5" t="str">
        <f t="shared" si="1512"/>
        <v>Agency</v>
      </c>
      <c r="B2990" s="6" t="str">
        <f t="shared" si="1541"/>
        <v>Net Case Count - Agency in UM</v>
      </c>
      <c r="C2990" s="4" t="str">
        <f>CHOOSE(2, "5462030031", "Jul 26")</f>
        <v>Jul 26</v>
      </c>
      <c r="D2990" s="2" t="s">
        <v>5</v>
      </c>
    </row>
    <row r="2991" spans="1:4" x14ac:dyDescent="0.35">
      <c r="A2991" s="5" t="str">
        <f t="shared" si="1512"/>
        <v>Agency</v>
      </c>
      <c r="B2991" s="3" t="str">
        <f t="shared" ref="B2991:B2992" si="1542">CHOOSE(2, "1395000000712", "Net Case Count - Agency in Leaders above UM")</f>
        <v>Net Case Count - Agency in Leaders above UM</v>
      </c>
      <c r="C2991" s="4" t="str">
        <f>CHOOSE(2, "5461730030", "Jun 26")</f>
        <v>Jun 26</v>
      </c>
      <c r="D2991" s="2" t="s">
        <v>5</v>
      </c>
    </row>
    <row r="2992" spans="1:4" x14ac:dyDescent="0.35">
      <c r="A2992" s="5" t="str">
        <f t="shared" si="1512"/>
        <v>Agency</v>
      </c>
      <c r="B2992" s="6" t="str">
        <f t="shared" si="1542"/>
        <v>Net Case Count - Agency in Leaders above UM</v>
      </c>
      <c r="C2992" s="4" t="str">
        <f>CHOOSE(2, "5462030031", "Jul 26")</f>
        <v>Jul 26</v>
      </c>
      <c r="D2992" s="2" t="s">
        <v>5</v>
      </c>
    </row>
    <row r="2993" spans="1:4" x14ac:dyDescent="0.35">
      <c r="A2993" s="5" t="str">
        <f t="shared" si="1512"/>
        <v>Agency</v>
      </c>
      <c r="B2993" s="3" t="str">
        <f t="shared" ref="B2993:B2994" si="1543">CHOOSE(2, "1395000000711", "Net Case Count - Agency in Top-tier Agents")</f>
        <v>Net Case Count - Agency in Top-tier Agents</v>
      </c>
      <c r="C2993" s="4" t="str">
        <f>CHOOSE(2, "5461730030", "Jun 26")</f>
        <v>Jun 26</v>
      </c>
      <c r="D2993" s="2" t="s">
        <v>5</v>
      </c>
    </row>
    <row r="2994" spans="1:4" x14ac:dyDescent="0.35">
      <c r="A2994" s="5" t="str">
        <f t="shared" si="1512"/>
        <v>Agency</v>
      </c>
      <c r="B2994" s="6" t="str">
        <f t="shared" si="1543"/>
        <v>Net Case Count - Agency in Top-tier Agents</v>
      </c>
      <c r="C2994" s="4" t="str">
        <f>CHOOSE(2, "5462030031", "Jul 26")</f>
        <v>Jul 26</v>
      </c>
      <c r="D2994" s="2" t="s">
        <v>5</v>
      </c>
    </row>
    <row r="2995" spans="1:4" x14ac:dyDescent="0.35">
      <c r="A2995" s="5" t="str">
        <f t="shared" si="1512"/>
        <v>Agency</v>
      </c>
      <c r="B2995" s="3" t="str">
        <f t="shared" ref="B2995:B2996" si="1544">CHOOSE(2, "1395000000710", "Net Case Count - Agency in pro-rated MDRT agents (&gt;100%)")</f>
        <v>Net Case Count - Agency in pro-rated MDRT agents (&gt;100%)</v>
      </c>
      <c r="C2995" s="4" t="str">
        <f>CHOOSE(2, "5461730030", "Jun 26")</f>
        <v>Jun 26</v>
      </c>
      <c r="D2995" s="2" t="s">
        <v>5</v>
      </c>
    </row>
    <row r="2996" spans="1:4" x14ac:dyDescent="0.35">
      <c r="A2996" s="5" t="str">
        <f t="shared" si="1512"/>
        <v>Agency</v>
      </c>
      <c r="B2996" s="6" t="str">
        <f t="shared" si="1544"/>
        <v>Net Case Count - Agency in pro-rated MDRT agents (&gt;100%)</v>
      </c>
      <c r="C2996" s="4" t="str">
        <f>CHOOSE(2, "5462030031", "Jul 26")</f>
        <v>Jul 26</v>
      </c>
      <c r="D2996" s="2" t="s">
        <v>5</v>
      </c>
    </row>
    <row r="2997" spans="1:4" x14ac:dyDescent="0.35">
      <c r="A2997" s="5" t="str">
        <f t="shared" ref="A2997:A3060" si="1545">CHOOSE(2, "1260000000010", "Agency")</f>
        <v>Agency</v>
      </c>
      <c r="B2997" s="3" t="str">
        <f t="shared" ref="B2997:B2998" si="1546">CHOOSE(2, "1395000000709", "Net Case Count - Agency in pro-rated MDRT agents (70-99%)")</f>
        <v>Net Case Count - Agency in pro-rated MDRT agents (70-99%)</v>
      </c>
      <c r="C2997" s="4" t="str">
        <f>CHOOSE(2, "5461730030", "Jun 26")</f>
        <v>Jun 26</v>
      </c>
      <c r="D2997" s="2" t="s">
        <v>5</v>
      </c>
    </row>
    <row r="2998" spans="1:4" x14ac:dyDescent="0.35">
      <c r="A2998" s="5" t="str">
        <f t="shared" si="1545"/>
        <v>Agency</v>
      </c>
      <c r="B2998" s="6" t="str">
        <f t="shared" si="1546"/>
        <v>Net Case Count - Agency in pro-rated MDRT agents (70-99%)</v>
      </c>
      <c r="C2998" s="4" t="str">
        <f>CHOOSE(2, "5462030031", "Jul 26")</f>
        <v>Jul 26</v>
      </c>
      <c r="D2998" s="2" t="s">
        <v>5</v>
      </c>
    </row>
    <row r="2999" spans="1:4" x14ac:dyDescent="0.35">
      <c r="A2999" s="5" t="str">
        <f t="shared" si="1545"/>
        <v>Agency</v>
      </c>
      <c r="B2999" s="3" t="str">
        <f t="shared" ref="B2999:B3000" si="1547">CHOOSE(2, "1395000000708", "Net Case Count - Agency in pro-rated MDRT agents (50-69%)")</f>
        <v>Net Case Count - Agency in pro-rated MDRT agents (50-69%)</v>
      </c>
      <c r="C2999" s="4" t="str">
        <f>CHOOSE(2, "5461730030", "Jun 26")</f>
        <v>Jun 26</v>
      </c>
      <c r="D2999" s="2" t="s">
        <v>5</v>
      </c>
    </row>
    <row r="3000" spans="1:4" x14ac:dyDescent="0.35">
      <c r="A3000" s="5" t="str">
        <f t="shared" si="1545"/>
        <v>Agency</v>
      </c>
      <c r="B3000" s="6" t="str">
        <f t="shared" si="1547"/>
        <v>Net Case Count - Agency in pro-rated MDRT agents (50-69%)</v>
      </c>
      <c r="C3000" s="4" t="str">
        <f>CHOOSE(2, "5462030031", "Jul 26")</f>
        <v>Jul 26</v>
      </c>
      <c r="D3000" s="2" t="s">
        <v>5</v>
      </c>
    </row>
    <row r="3001" spans="1:4" x14ac:dyDescent="0.35">
      <c r="A3001" s="5" t="str">
        <f t="shared" si="1545"/>
        <v>Agency</v>
      </c>
      <c r="B3001" s="3" t="str">
        <f t="shared" ref="B3001:B3002" si="1548">CHOOSE(2, "1395000000707", "Net Case Count - Agency in Manulife Pro Qualifiers - Total")</f>
        <v>Net Case Count - Agency in Manulife Pro Qualifiers - Total</v>
      </c>
      <c r="C3001" s="4" t="str">
        <f>CHOOSE(2, "5461730030", "Jun 26")</f>
        <v>Jun 26</v>
      </c>
      <c r="D3001" s="2" t="s">
        <v>5</v>
      </c>
    </row>
    <row r="3002" spans="1:4" x14ac:dyDescent="0.35">
      <c r="A3002" s="5" t="str">
        <f t="shared" si="1545"/>
        <v>Agency</v>
      </c>
      <c r="B3002" s="6" t="str">
        <f t="shared" si="1548"/>
        <v>Net Case Count - Agency in Manulife Pro Qualifiers - Total</v>
      </c>
      <c r="C3002" s="4" t="str">
        <f>CHOOSE(2, "5462030031", "Jul 26")</f>
        <v>Jul 26</v>
      </c>
      <c r="D3002" s="2" t="s">
        <v>5</v>
      </c>
    </row>
    <row r="3003" spans="1:4" x14ac:dyDescent="0.35">
      <c r="A3003" s="5" t="str">
        <f t="shared" si="1545"/>
        <v>Agency</v>
      </c>
      <c r="B3003" s="3" t="str">
        <f t="shared" ref="B3003:B3004" si="1549">CHOOSE(2, "1395000000706", "No. of Sales Proposal Generated")</f>
        <v>No. of Sales Proposal Generated</v>
      </c>
      <c r="C3003" s="4" t="str">
        <f>CHOOSE(2, "5461730030", "Jun 26")</f>
        <v>Jun 26</v>
      </c>
      <c r="D3003" s="2" t="s">
        <v>5</v>
      </c>
    </row>
    <row r="3004" spans="1:4" x14ac:dyDescent="0.35">
      <c r="A3004" s="5" t="str">
        <f t="shared" si="1545"/>
        <v>Agency</v>
      </c>
      <c r="B3004" s="6" t="str">
        <f t="shared" si="1549"/>
        <v>No. of Sales Proposal Generated</v>
      </c>
      <c r="C3004" s="4" t="str">
        <f>CHOOSE(2, "5462030031", "Jul 26")</f>
        <v>Jul 26</v>
      </c>
      <c r="D3004" s="2" t="s">
        <v>5</v>
      </c>
    </row>
    <row r="3005" spans="1:4" x14ac:dyDescent="0.35">
      <c r="A3005" s="5" t="str">
        <f t="shared" si="1545"/>
        <v>Agency</v>
      </c>
      <c r="B3005" s="3" t="str">
        <f t="shared" ref="B3005:B3006" si="1550">CHOOSE(2, "1395000000705", "$ APE from Agents in X tenure")</f>
        <v>$ APE from Agents in X tenure</v>
      </c>
      <c r="C3005" s="4" t="str">
        <f>CHOOSE(2, "5461730030", "Jun 26")</f>
        <v>Jun 26</v>
      </c>
      <c r="D3005" s="14">
        <v>38271453.795239389</v>
      </c>
    </row>
    <row r="3006" spans="1:4" x14ac:dyDescent="0.35">
      <c r="A3006" s="5" t="str">
        <f t="shared" si="1545"/>
        <v>Agency</v>
      </c>
      <c r="B3006" s="6" t="str">
        <f t="shared" si="1550"/>
        <v>$ APE from Agents in X tenure</v>
      </c>
      <c r="C3006" s="4" t="str">
        <f>CHOOSE(2, "5462030031", "Jul 26")</f>
        <v>Jul 26</v>
      </c>
      <c r="D3006" s="14">
        <v>17454646.815873642</v>
      </c>
    </row>
    <row r="3007" spans="1:4" x14ac:dyDescent="0.35">
      <c r="A3007" s="5" t="str">
        <f t="shared" si="1545"/>
        <v>Agency</v>
      </c>
      <c r="B3007" s="3" t="str">
        <f t="shared" ref="B3007:B3008" si="1551">CHOOSE(2, "1395000000704", "$ APE from Agents in X tenure in 0-1M")</f>
        <v>$ APE from Agents in X tenure in 0-1M</v>
      </c>
      <c r="C3007" s="4" t="str">
        <f>CHOOSE(2, "5461730030", "Jun 26")</f>
        <v>Jun 26</v>
      </c>
      <c r="D3007" s="14">
        <v>3827145.379523939</v>
      </c>
    </row>
    <row r="3008" spans="1:4" x14ac:dyDescent="0.35">
      <c r="A3008" s="5" t="str">
        <f t="shared" si="1545"/>
        <v>Agency</v>
      </c>
      <c r="B3008" s="6" t="str">
        <f t="shared" si="1551"/>
        <v>$ APE from Agents in X tenure in 0-1M</v>
      </c>
      <c r="C3008" s="4" t="str">
        <f>CHOOSE(2, "5462030031", "Jul 26")</f>
        <v>Jul 26</v>
      </c>
      <c r="D3008" s="14">
        <v>1745464.6815873643</v>
      </c>
    </row>
    <row r="3009" spans="1:4" x14ac:dyDescent="0.35">
      <c r="A3009" s="5" t="str">
        <f t="shared" si="1545"/>
        <v>Agency</v>
      </c>
      <c r="B3009" s="3" t="str">
        <f t="shared" ref="B3009:B3010" si="1552">CHOOSE(2, "1395000000703", "$ APE from Agents in X tenure in 2-3M")</f>
        <v>$ APE from Agents in X tenure in 2-3M</v>
      </c>
      <c r="C3009" s="4" t="str">
        <f>CHOOSE(2, "5461730030", "Jun 26")</f>
        <v>Jun 26</v>
      </c>
      <c r="D3009" s="14">
        <v>7654290.759047878</v>
      </c>
    </row>
    <row r="3010" spans="1:4" x14ac:dyDescent="0.35">
      <c r="A3010" s="5" t="str">
        <f t="shared" si="1545"/>
        <v>Agency</v>
      </c>
      <c r="B3010" s="6" t="str">
        <f t="shared" si="1552"/>
        <v>$ APE from Agents in X tenure in 2-3M</v>
      </c>
      <c r="C3010" s="4" t="str">
        <f>CHOOSE(2, "5462030031", "Jul 26")</f>
        <v>Jul 26</v>
      </c>
      <c r="D3010" s="14">
        <v>3490929.3631747286</v>
      </c>
    </row>
    <row r="3011" spans="1:4" x14ac:dyDescent="0.35">
      <c r="A3011" s="5" t="str">
        <f t="shared" si="1545"/>
        <v>Agency</v>
      </c>
      <c r="B3011" s="3" t="str">
        <f t="shared" ref="B3011:B3012" si="1553">CHOOSE(2, "1395000000702", "$ APE from Agents in X tenure in 4-12M")</f>
        <v>$ APE from Agents in X tenure in 4-12M</v>
      </c>
      <c r="C3011" s="4" t="str">
        <f>CHOOSE(2, "5461730030", "Jun 26")</f>
        <v>Jun 26</v>
      </c>
      <c r="D3011" s="14">
        <v>11481436.138571816</v>
      </c>
    </row>
    <row r="3012" spans="1:4" x14ac:dyDescent="0.35">
      <c r="A3012" s="5" t="str">
        <f t="shared" si="1545"/>
        <v>Agency</v>
      </c>
      <c r="B3012" s="6" t="str">
        <f t="shared" si="1553"/>
        <v>$ APE from Agents in X tenure in 4-12M</v>
      </c>
      <c r="C3012" s="4" t="str">
        <f>CHOOSE(2, "5462030031", "Jul 26")</f>
        <v>Jul 26</v>
      </c>
      <c r="D3012" s="14">
        <v>5236394.0447620926</v>
      </c>
    </row>
    <row r="3013" spans="1:4" x14ac:dyDescent="0.35">
      <c r="A3013" s="5" t="str">
        <f t="shared" si="1545"/>
        <v>Agency</v>
      </c>
      <c r="B3013" s="3" t="str">
        <f t="shared" ref="B3013:B3014" si="1554">CHOOSE(2, "1395000000701", "$ APE from Agents in X tenure 13+M")</f>
        <v>$ APE from Agents in X tenure 13+M</v>
      </c>
      <c r="C3013" s="4" t="str">
        <f>CHOOSE(2, "5461730030", "Jun 26")</f>
        <v>Jun 26</v>
      </c>
      <c r="D3013" s="14">
        <v>15308581.518095756</v>
      </c>
    </row>
    <row r="3014" spans="1:4" x14ac:dyDescent="0.35">
      <c r="A3014" s="5" t="str">
        <f t="shared" si="1545"/>
        <v>Agency</v>
      </c>
      <c r="B3014" s="6" t="str">
        <f t="shared" si="1554"/>
        <v>$ APE from Agents in X tenure 13+M</v>
      </c>
      <c r="C3014" s="4" t="str">
        <f>CHOOSE(2, "5462030031", "Jul 26")</f>
        <v>Jul 26</v>
      </c>
      <c r="D3014" s="14">
        <v>6981858.7263494572</v>
      </c>
    </row>
    <row r="3015" spans="1:4" x14ac:dyDescent="0.35">
      <c r="A3015" s="5" t="str">
        <f t="shared" si="1545"/>
        <v>Agency</v>
      </c>
      <c r="B3015" s="3" t="str">
        <f t="shared" ref="B3015:B3016" si="1555">CHOOSE(2, "1395000000700", "Total agent headcount (end of period)")</f>
        <v>Total agent headcount (end of period)</v>
      </c>
      <c r="C3015" s="4" t="str">
        <f>CHOOSE(2, "5461730030", "Jun 26")</f>
        <v>Jun 26</v>
      </c>
      <c r="D3015" s="14">
        <v>7495</v>
      </c>
    </row>
    <row r="3016" spans="1:4" x14ac:dyDescent="0.35">
      <c r="A3016" s="5" t="str">
        <f t="shared" si="1545"/>
        <v>Agency</v>
      </c>
      <c r="B3016" s="6" t="str">
        <f t="shared" si="1555"/>
        <v>Total agent headcount (end of period)</v>
      </c>
      <c r="C3016" s="4" t="str">
        <f>CHOOSE(2, "5462030031", "Jul 26")</f>
        <v>Jul 26</v>
      </c>
      <c r="D3016" s="14">
        <v>7324</v>
      </c>
    </row>
    <row r="3017" spans="1:4" x14ac:dyDescent="0.35">
      <c r="A3017" s="5" t="str">
        <f t="shared" si="1545"/>
        <v>Agency</v>
      </c>
      <c r="B3017" s="3" t="str">
        <f t="shared" ref="B3017:B3018" si="1556">CHOOSE(2, "1395000000699", "Total agent headcount (end of period) in 0-1M")</f>
        <v>Total agent headcount (end of period) in 0-1M</v>
      </c>
      <c r="C3017" s="4" t="str">
        <f>CHOOSE(2, "5461730030", "Jun 26")</f>
        <v>Jun 26</v>
      </c>
      <c r="D3017" s="2" t="s">
        <v>5</v>
      </c>
    </row>
    <row r="3018" spans="1:4" x14ac:dyDescent="0.35">
      <c r="A3018" s="5" t="str">
        <f t="shared" si="1545"/>
        <v>Agency</v>
      </c>
      <c r="B3018" s="6" t="str">
        <f t="shared" si="1556"/>
        <v>Total agent headcount (end of period) in 0-1M</v>
      </c>
      <c r="C3018" s="4" t="str">
        <f>CHOOSE(2, "5462030031", "Jul 26")</f>
        <v>Jul 26</v>
      </c>
      <c r="D3018" s="2" t="s">
        <v>5</v>
      </c>
    </row>
    <row r="3019" spans="1:4" x14ac:dyDescent="0.35">
      <c r="A3019" s="5" t="str">
        <f t="shared" si="1545"/>
        <v>Agency</v>
      </c>
      <c r="B3019" s="3" t="str">
        <f t="shared" ref="B3019:B3020" si="1557">CHOOSE(2, "1395000000698", "Total agent headcount (end of period) in 2-3M")</f>
        <v>Total agent headcount (end of period) in 2-3M</v>
      </c>
      <c r="C3019" s="4" t="str">
        <f>CHOOSE(2, "5461730030", "Jun 26")</f>
        <v>Jun 26</v>
      </c>
      <c r="D3019" s="2" t="s">
        <v>5</v>
      </c>
    </row>
    <row r="3020" spans="1:4" x14ac:dyDescent="0.35">
      <c r="A3020" s="5" t="str">
        <f t="shared" si="1545"/>
        <v>Agency</v>
      </c>
      <c r="B3020" s="6" t="str">
        <f t="shared" si="1557"/>
        <v>Total agent headcount (end of period) in 2-3M</v>
      </c>
      <c r="C3020" s="4" t="str">
        <f>CHOOSE(2, "5462030031", "Jul 26")</f>
        <v>Jul 26</v>
      </c>
      <c r="D3020" s="2" t="s">
        <v>5</v>
      </c>
    </row>
    <row r="3021" spans="1:4" x14ac:dyDescent="0.35">
      <c r="A3021" s="5" t="str">
        <f t="shared" si="1545"/>
        <v>Agency</v>
      </c>
      <c r="B3021" s="3" t="str">
        <f t="shared" ref="B3021:B3022" si="1558">CHOOSE(2, "1395000000697", "Total agent headcount (end of period) in 4-12M")</f>
        <v>Total agent headcount (end of period) in 4-12M</v>
      </c>
      <c r="C3021" s="4" t="str">
        <f>CHOOSE(2, "5461730030", "Jun 26")</f>
        <v>Jun 26</v>
      </c>
      <c r="D3021" s="2" t="s">
        <v>5</v>
      </c>
    </row>
    <row r="3022" spans="1:4" x14ac:dyDescent="0.35">
      <c r="A3022" s="5" t="str">
        <f t="shared" si="1545"/>
        <v>Agency</v>
      </c>
      <c r="B3022" s="6" t="str">
        <f t="shared" si="1558"/>
        <v>Total agent headcount (end of period) in 4-12M</v>
      </c>
      <c r="C3022" s="4" t="str">
        <f>CHOOSE(2, "5462030031", "Jul 26")</f>
        <v>Jul 26</v>
      </c>
      <c r="D3022" s="2" t="s">
        <v>5</v>
      </c>
    </row>
    <row r="3023" spans="1:4" x14ac:dyDescent="0.35">
      <c r="A3023" s="5" t="str">
        <f t="shared" si="1545"/>
        <v>Agency</v>
      </c>
      <c r="B3023" s="3" t="str">
        <f t="shared" ref="B3023:B3024" si="1559">CHOOSE(2, "1395000000696", "Total agent headcount (end of period) 13+M")</f>
        <v>Total agent headcount (end of period) 13+M</v>
      </c>
      <c r="C3023" s="4" t="str">
        <f>CHOOSE(2, "5461730030", "Jun 26")</f>
        <v>Jun 26</v>
      </c>
      <c r="D3023" s="2" t="s">
        <v>5</v>
      </c>
    </row>
    <row r="3024" spans="1:4" x14ac:dyDescent="0.35">
      <c r="A3024" s="5" t="str">
        <f t="shared" si="1545"/>
        <v>Agency</v>
      </c>
      <c r="B3024" s="6" t="str">
        <f t="shared" si="1559"/>
        <v>Total agent headcount (end of period) 13+M</v>
      </c>
      <c r="C3024" s="4" t="str">
        <f>CHOOSE(2, "5462030031", "Jul 26")</f>
        <v>Jul 26</v>
      </c>
      <c r="D3024" s="2" t="s">
        <v>5</v>
      </c>
    </row>
    <row r="3025" spans="1:4" x14ac:dyDescent="0.35">
      <c r="A3025" s="5" t="str">
        <f t="shared" si="1545"/>
        <v>Agency</v>
      </c>
      <c r="B3025" s="3" t="str">
        <f t="shared" ref="B3025:B3026" si="1560">CHOOSE(2, "1395000000695", "Total agent headcount (end of period) in FA or equivalent")</f>
        <v>Total agent headcount (end of period) in FA or equivalent</v>
      </c>
      <c r="C3025" s="4" t="str">
        <f>CHOOSE(2, "5461730030", "Jun 26")</f>
        <v>Jun 26</v>
      </c>
      <c r="D3025" s="2" t="s">
        <v>5</v>
      </c>
    </row>
    <row r="3026" spans="1:4" x14ac:dyDescent="0.35">
      <c r="A3026" s="5" t="str">
        <f t="shared" si="1545"/>
        <v>Agency</v>
      </c>
      <c r="B3026" s="6" t="str">
        <f t="shared" si="1560"/>
        <v>Total agent headcount (end of period) in FA or equivalent</v>
      </c>
      <c r="C3026" s="4" t="str">
        <f>CHOOSE(2, "5462030031", "Jul 26")</f>
        <v>Jul 26</v>
      </c>
      <c r="D3026" s="2" t="s">
        <v>5</v>
      </c>
    </row>
    <row r="3027" spans="1:4" x14ac:dyDescent="0.35">
      <c r="A3027" s="5" t="str">
        <f t="shared" si="1545"/>
        <v>Agency</v>
      </c>
      <c r="B3027" s="3" t="str">
        <f t="shared" ref="B3027:B3028" si="1561">CHOOSE(2, "1395000000694", "Total agent headcount (end of period) in UM")</f>
        <v>Total agent headcount (end of period) in UM</v>
      </c>
      <c r="C3027" s="4" t="str">
        <f>CHOOSE(2, "5461730030", "Jun 26")</f>
        <v>Jun 26</v>
      </c>
      <c r="D3027" s="2" t="s">
        <v>5</v>
      </c>
    </row>
    <row r="3028" spans="1:4" x14ac:dyDescent="0.35">
      <c r="A3028" s="5" t="str">
        <f t="shared" si="1545"/>
        <v>Agency</v>
      </c>
      <c r="B3028" s="6" t="str">
        <f t="shared" si="1561"/>
        <v>Total agent headcount (end of period) in UM</v>
      </c>
      <c r="C3028" s="4" t="str">
        <f>CHOOSE(2, "5462030031", "Jul 26")</f>
        <v>Jul 26</v>
      </c>
      <c r="D3028" s="2" t="s">
        <v>5</v>
      </c>
    </row>
    <row r="3029" spans="1:4" x14ac:dyDescent="0.35">
      <c r="A3029" s="5" t="str">
        <f t="shared" si="1545"/>
        <v>Agency</v>
      </c>
      <c r="B3029" s="3" t="str">
        <f t="shared" ref="B3029:B3030" si="1562">CHOOSE(2, "1395000000693", "Total agent headcount (end of period) in Leaders above UM")</f>
        <v>Total agent headcount (end of period) in Leaders above UM</v>
      </c>
      <c r="C3029" s="4" t="str">
        <f>CHOOSE(2, "5461730030", "Jun 26")</f>
        <v>Jun 26</v>
      </c>
      <c r="D3029" s="2" t="s">
        <v>5</v>
      </c>
    </row>
    <row r="3030" spans="1:4" x14ac:dyDescent="0.35">
      <c r="A3030" s="5" t="str">
        <f t="shared" si="1545"/>
        <v>Agency</v>
      </c>
      <c r="B3030" s="6" t="str">
        <f t="shared" si="1562"/>
        <v>Total agent headcount (end of period) in Leaders above UM</v>
      </c>
      <c r="C3030" s="4" t="str">
        <f>CHOOSE(2, "5462030031", "Jul 26")</f>
        <v>Jul 26</v>
      </c>
      <c r="D3030" s="2" t="s">
        <v>5</v>
      </c>
    </row>
    <row r="3031" spans="1:4" x14ac:dyDescent="0.35">
      <c r="A3031" s="5" t="str">
        <f t="shared" si="1545"/>
        <v>Agency</v>
      </c>
      <c r="B3031" s="3" t="str">
        <f t="shared" ref="B3031:B3032" si="1563">CHOOSE(2, "1395000000692", "Total agent headcount (end of period) in Top-tier agents")</f>
        <v>Total agent headcount (end of period) in Top-tier agents</v>
      </c>
      <c r="C3031" s="4" t="str">
        <f>CHOOSE(2, "5461730030", "Jun 26")</f>
        <v>Jun 26</v>
      </c>
      <c r="D3031" s="14">
        <v>1776</v>
      </c>
    </row>
    <row r="3032" spans="1:4" x14ac:dyDescent="0.35">
      <c r="A3032" s="5" t="str">
        <f t="shared" si="1545"/>
        <v>Agency</v>
      </c>
      <c r="B3032" s="6" t="str">
        <f t="shared" si="1563"/>
        <v>Total agent headcount (end of period) in Top-tier agents</v>
      </c>
      <c r="C3032" s="4" t="str">
        <f>CHOOSE(2, "5462030031", "Jul 26")</f>
        <v>Jul 26</v>
      </c>
      <c r="D3032" s="14">
        <v>1663</v>
      </c>
    </row>
    <row r="3033" spans="1:4" x14ac:dyDescent="0.35">
      <c r="A3033" s="5" t="str">
        <f t="shared" si="1545"/>
        <v>Agency</v>
      </c>
      <c r="B3033" s="3" t="str">
        <f t="shared" ref="B3033:B3034" si="1564">CHOOSE(2, "1395000000691", "Total agent headcount  in pro-rated MDRT agents (&gt;100%)")</f>
        <v>Total agent headcount  in pro-rated MDRT agents (&gt;100%)</v>
      </c>
      <c r="C3033" s="4" t="str">
        <f>CHOOSE(2, "5461730030", "Jun 26")</f>
        <v>Jun 26</v>
      </c>
      <c r="D3033" s="14">
        <v>1097</v>
      </c>
    </row>
    <row r="3034" spans="1:4" x14ac:dyDescent="0.35">
      <c r="A3034" s="5" t="str">
        <f t="shared" si="1545"/>
        <v>Agency</v>
      </c>
      <c r="B3034" s="6" t="str">
        <f t="shared" si="1564"/>
        <v>Total agent headcount  in pro-rated MDRT agents (&gt;100%)</v>
      </c>
      <c r="C3034" s="4" t="str">
        <f>CHOOSE(2, "5462030031", "Jul 26")</f>
        <v>Jul 26</v>
      </c>
      <c r="D3034" s="14">
        <v>987</v>
      </c>
    </row>
    <row r="3035" spans="1:4" x14ac:dyDescent="0.35">
      <c r="A3035" s="5" t="str">
        <f t="shared" si="1545"/>
        <v>Agency</v>
      </c>
      <c r="B3035" s="3" t="str">
        <f t="shared" ref="B3035:B3036" si="1565">CHOOSE(2, "1395000000690", "Total agent headcount  in pro-rated MDRT agents (70-99%)")</f>
        <v>Total agent headcount  in pro-rated MDRT agents (70-99%)</v>
      </c>
      <c r="C3035" s="4" t="str">
        <f>CHOOSE(2, "5461730030", "Jun 26")</f>
        <v>Jun 26</v>
      </c>
      <c r="D3035" s="14">
        <v>322</v>
      </c>
    </row>
    <row r="3036" spans="1:4" x14ac:dyDescent="0.35">
      <c r="A3036" s="5" t="str">
        <f t="shared" si="1545"/>
        <v>Agency</v>
      </c>
      <c r="B3036" s="6" t="str">
        <f t="shared" si="1565"/>
        <v>Total agent headcount  in pro-rated MDRT agents (70-99%)</v>
      </c>
      <c r="C3036" s="4" t="str">
        <f>CHOOSE(2, "5462030031", "Jul 26")</f>
        <v>Jul 26</v>
      </c>
      <c r="D3036" s="14">
        <v>341</v>
      </c>
    </row>
    <row r="3037" spans="1:4" x14ac:dyDescent="0.35">
      <c r="A3037" s="5" t="str">
        <f t="shared" si="1545"/>
        <v>Agency</v>
      </c>
      <c r="B3037" s="3" t="str">
        <f t="shared" ref="B3037:B3038" si="1566">CHOOSE(2, "1395000000689", "Total agent headcount  in pro-rated MDRT agents (50-69%)")</f>
        <v>Total agent headcount  in pro-rated MDRT agents (50-69%)</v>
      </c>
      <c r="C3037" s="4" t="str">
        <f>CHOOSE(2, "5461730030", "Jun 26")</f>
        <v>Jun 26</v>
      </c>
      <c r="D3037" s="14">
        <v>357</v>
      </c>
    </row>
    <row r="3038" spans="1:4" x14ac:dyDescent="0.35">
      <c r="A3038" s="5" t="str">
        <f t="shared" si="1545"/>
        <v>Agency</v>
      </c>
      <c r="B3038" s="6" t="str">
        <f t="shared" si="1566"/>
        <v>Total agent headcount  in pro-rated MDRT agents (50-69%)</v>
      </c>
      <c r="C3038" s="4" t="str">
        <f>CHOOSE(2, "5462030031", "Jul 26")</f>
        <v>Jul 26</v>
      </c>
      <c r="D3038" s="14">
        <v>335</v>
      </c>
    </row>
    <row r="3039" spans="1:4" x14ac:dyDescent="0.35">
      <c r="A3039" s="5" t="str">
        <f t="shared" si="1545"/>
        <v>Agency</v>
      </c>
      <c r="B3039" s="3" t="str">
        <f t="shared" ref="B3039:B3040" si="1567">CHOOSE(2, "1395000000688", "Total agent headcount  in Manulife Pro Qualifiers - Total")</f>
        <v>Total agent headcount  in Manulife Pro Qualifiers - Total</v>
      </c>
      <c r="C3039" s="4" t="str">
        <f>CHOOSE(2, "5461730030", "Jun 26")</f>
        <v>Jun 26</v>
      </c>
      <c r="D3039" s="2" t="s">
        <v>5</v>
      </c>
    </row>
    <row r="3040" spans="1:4" x14ac:dyDescent="0.35">
      <c r="A3040" s="5" t="str">
        <f t="shared" si="1545"/>
        <v>Agency</v>
      </c>
      <c r="B3040" s="6" t="str">
        <f t="shared" si="1567"/>
        <v>Total agent headcount  in Manulife Pro Qualifiers - Total</v>
      </c>
      <c r="C3040" s="4" t="str">
        <f>CHOOSE(2, "5462030031", "Jul 26")</f>
        <v>Jul 26</v>
      </c>
      <c r="D3040" s="2" t="s">
        <v>5</v>
      </c>
    </row>
    <row r="3041" spans="1:4" x14ac:dyDescent="0.35">
      <c r="A3041" s="5" t="str">
        <f t="shared" si="1545"/>
        <v>Agency</v>
      </c>
      <c r="B3041" s="3" t="str">
        <f t="shared" ref="B3041:B3042" si="1568">CHOOSE(2, "1395000000687", "New recruits")</f>
        <v>New recruits</v>
      </c>
      <c r="C3041" s="4" t="str">
        <f>CHOOSE(2, "5461730030", "Jun 26")</f>
        <v>Jun 26</v>
      </c>
      <c r="D3041" s="14">
        <v>378</v>
      </c>
    </row>
    <row r="3042" spans="1:4" x14ac:dyDescent="0.35">
      <c r="A3042" s="5" t="str">
        <f t="shared" si="1545"/>
        <v>Agency</v>
      </c>
      <c r="B3042" s="6" t="str">
        <f t="shared" si="1568"/>
        <v>New recruits</v>
      </c>
      <c r="C3042" s="4" t="str">
        <f>CHOOSE(2, "5462030031", "Jul 26")</f>
        <v>Jul 26</v>
      </c>
      <c r="D3042" s="14">
        <v>292</v>
      </c>
    </row>
    <row r="3043" spans="1:4" x14ac:dyDescent="0.35">
      <c r="A3043" s="5" t="str">
        <f t="shared" si="1545"/>
        <v>Agency</v>
      </c>
      <c r="B3043" s="3" t="str">
        <f t="shared" ref="B3043:B3044" si="1569">CHOOSE(2, "1395000000686", "New recruits - Leader level")</f>
        <v>New recruits - Leader level</v>
      </c>
      <c r="C3043" s="4" t="str">
        <f>CHOOSE(2, "5461730030", "Jun 26")</f>
        <v>Jun 26</v>
      </c>
      <c r="D3043" s="2" t="s">
        <v>5</v>
      </c>
    </row>
    <row r="3044" spans="1:4" x14ac:dyDescent="0.35">
      <c r="A3044" s="5" t="str">
        <f t="shared" si="1545"/>
        <v>Agency</v>
      </c>
      <c r="B3044" s="6" t="str">
        <f t="shared" si="1569"/>
        <v>New recruits - Leader level</v>
      </c>
      <c r="C3044" s="4" t="str">
        <f>CHOOSE(2, "5462030031", "Jul 26")</f>
        <v>Jul 26</v>
      </c>
      <c r="D3044" s="2" t="s">
        <v>5</v>
      </c>
    </row>
    <row r="3045" spans="1:4" x14ac:dyDescent="0.35">
      <c r="A3045" s="5" t="str">
        <f t="shared" si="1545"/>
        <v>Agency</v>
      </c>
      <c r="B3045" s="3" t="str">
        <f t="shared" ref="B3045:B3046" si="1570">CHOOSE(2, "1395000000685", "New recruits - FA or equivalent")</f>
        <v>New recruits - FA or equivalent</v>
      </c>
      <c r="C3045" s="4" t="str">
        <f>CHOOSE(2, "5461730030", "Jun 26")</f>
        <v>Jun 26</v>
      </c>
      <c r="D3045" s="2" t="s">
        <v>5</v>
      </c>
    </row>
    <row r="3046" spans="1:4" x14ac:dyDescent="0.35">
      <c r="A3046" s="5" t="str">
        <f t="shared" si="1545"/>
        <v>Agency</v>
      </c>
      <c r="B3046" s="6" t="str">
        <f t="shared" si="1570"/>
        <v>New recruits - FA or equivalent</v>
      </c>
      <c r="C3046" s="4" t="str">
        <f>CHOOSE(2, "5462030031", "Jul 26")</f>
        <v>Jul 26</v>
      </c>
      <c r="D3046" s="2" t="s">
        <v>5</v>
      </c>
    </row>
    <row r="3047" spans="1:4" x14ac:dyDescent="0.35">
      <c r="A3047" s="5" t="str">
        <f t="shared" si="1545"/>
        <v>Agency</v>
      </c>
      <c r="B3047" s="3" t="str">
        <f t="shared" ref="B3047:B3048" si="1571">CHOOSE(2, "1395000000684", "New recruits in UM")</f>
        <v>New recruits in UM</v>
      </c>
      <c r="C3047" s="4" t="str">
        <f>CHOOSE(2, "5461730030", "Jun 26")</f>
        <v>Jun 26</v>
      </c>
      <c r="D3047" s="2" t="s">
        <v>5</v>
      </c>
    </row>
    <row r="3048" spans="1:4" x14ac:dyDescent="0.35">
      <c r="A3048" s="5" t="str">
        <f t="shared" si="1545"/>
        <v>Agency</v>
      </c>
      <c r="B3048" s="6" t="str">
        <f t="shared" si="1571"/>
        <v>New recruits in UM</v>
      </c>
      <c r="C3048" s="4" t="str">
        <f>CHOOSE(2, "5462030031", "Jul 26")</f>
        <v>Jul 26</v>
      </c>
      <c r="D3048" s="2" t="s">
        <v>5</v>
      </c>
    </row>
    <row r="3049" spans="1:4" x14ac:dyDescent="0.35">
      <c r="A3049" s="5" t="str">
        <f t="shared" si="1545"/>
        <v>Agency</v>
      </c>
      <c r="B3049" s="3" t="str">
        <f t="shared" ref="B3049:B3050" si="1572">CHOOSE(2, "1395000000683", "New recruits in Leaders above UM")</f>
        <v>New recruits in Leaders above UM</v>
      </c>
      <c r="C3049" s="4" t="str">
        <f>CHOOSE(2, "5461730030", "Jun 26")</f>
        <v>Jun 26</v>
      </c>
      <c r="D3049" s="2" t="s">
        <v>5</v>
      </c>
    </row>
    <row r="3050" spans="1:4" x14ac:dyDescent="0.35">
      <c r="A3050" s="5" t="str">
        <f t="shared" si="1545"/>
        <v>Agency</v>
      </c>
      <c r="B3050" s="6" t="str">
        <f t="shared" si="1572"/>
        <v>New recruits in Leaders above UM</v>
      </c>
      <c r="C3050" s="4" t="str">
        <f>CHOOSE(2, "5462030031", "Jul 26")</f>
        <v>Jul 26</v>
      </c>
      <c r="D3050" s="2" t="s">
        <v>5</v>
      </c>
    </row>
    <row r="3051" spans="1:4" x14ac:dyDescent="0.35">
      <c r="A3051" s="5" t="str">
        <f t="shared" si="1545"/>
        <v>Agency</v>
      </c>
      <c r="B3051" s="3" t="str">
        <f t="shared" ref="B3051:B3052" si="1573">CHOOSE(2, "1395000000682", "# of 6-90 agents")</f>
        <v># of 6-90 agents</v>
      </c>
      <c r="C3051" s="4" t="str">
        <f>CHOOSE(2, "5461730030", "Jun 26")</f>
        <v>Jun 26</v>
      </c>
      <c r="D3051" s="14">
        <v>130</v>
      </c>
    </row>
    <row r="3052" spans="1:4" x14ac:dyDescent="0.35">
      <c r="A3052" s="5" t="str">
        <f t="shared" si="1545"/>
        <v>Agency</v>
      </c>
      <c r="B3052" s="6" t="str">
        <f t="shared" si="1573"/>
        <v># of 6-90 agents</v>
      </c>
      <c r="C3052" s="4" t="str">
        <f>CHOOSE(2, "5462030031", "Jul 26")</f>
        <v>Jul 26</v>
      </c>
      <c r="D3052" s="14">
        <v>114</v>
      </c>
    </row>
    <row r="3053" spans="1:4" x14ac:dyDescent="0.35">
      <c r="A3053" s="5" t="str">
        <f t="shared" si="1545"/>
        <v>Agency</v>
      </c>
      <c r="B3053" s="3" t="str">
        <f t="shared" ref="B3053:B3054" si="1574">CHOOSE(2, "1395000000681", "New Recruits 3M Activation #")</f>
        <v>New Recruits 3M Activation #</v>
      </c>
      <c r="C3053" s="4" t="str">
        <f>CHOOSE(2, "5461730030", "Jun 26")</f>
        <v>Jun 26</v>
      </c>
      <c r="D3053" s="14">
        <v>217.44</v>
      </c>
    </row>
    <row r="3054" spans="1:4" x14ac:dyDescent="0.35">
      <c r="A3054" s="5" t="str">
        <f t="shared" si="1545"/>
        <v>Agency</v>
      </c>
      <c r="B3054" s="6" t="str">
        <f t="shared" si="1574"/>
        <v>New Recruits 3M Activation #</v>
      </c>
      <c r="C3054" s="4" t="str">
        <f>CHOOSE(2, "5462030031", "Jul 26")</f>
        <v>Jul 26</v>
      </c>
      <c r="D3054" s="14">
        <v>214</v>
      </c>
    </row>
    <row r="3055" spans="1:4" x14ac:dyDescent="0.35">
      <c r="A3055" s="5" t="str">
        <f t="shared" si="1545"/>
        <v>Agency</v>
      </c>
      <c r="B3055" s="3" t="str">
        <f t="shared" ref="B3055:B3056" si="1575">CHOOSE(2, "1395000000680", "No of Terminations")</f>
        <v>No of Terminations</v>
      </c>
      <c r="C3055" s="4" t="str">
        <f>CHOOSE(2, "5461730030", "Jun 26")</f>
        <v>Jun 26</v>
      </c>
      <c r="D3055" s="14">
        <v>82</v>
      </c>
    </row>
    <row r="3056" spans="1:4" x14ac:dyDescent="0.35">
      <c r="A3056" s="5" t="str">
        <f t="shared" si="1545"/>
        <v>Agency</v>
      </c>
      <c r="B3056" s="6" t="str">
        <f t="shared" si="1575"/>
        <v>No of Terminations</v>
      </c>
      <c r="C3056" s="4" t="str">
        <f>CHOOSE(2, "5462030031", "Jul 26")</f>
        <v>Jul 26</v>
      </c>
      <c r="D3056" s="14">
        <v>463</v>
      </c>
    </row>
    <row r="3057" spans="1:4" x14ac:dyDescent="0.35">
      <c r="A3057" s="5" t="str">
        <f t="shared" si="1545"/>
        <v>Agency</v>
      </c>
      <c r="B3057" s="3" t="str">
        <f t="shared" ref="B3057:B3058" si="1576">CHOOSE(2, "1395000000679", "No of Terminations in FA or equivalent")</f>
        <v>No of Terminations in FA or equivalent</v>
      </c>
      <c r="C3057" s="4" t="str">
        <f>CHOOSE(2, "5461730030", "Jun 26")</f>
        <v>Jun 26</v>
      </c>
      <c r="D3057" s="2" t="s">
        <v>5</v>
      </c>
    </row>
    <row r="3058" spans="1:4" x14ac:dyDescent="0.35">
      <c r="A3058" s="5" t="str">
        <f t="shared" si="1545"/>
        <v>Agency</v>
      </c>
      <c r="B3058" s="6" t="str">
        <f t="shared" si="1576"/>
        <v>No of Terminations in FA or equivalent</v>
      </c>
      <c r="C3058" s="4" t="str">
        <f>CHOOSE(2, "5462030031", "Jul 26")</f>
        <v>Jul 26</v>
      </c>
      <c r="D3058" s="2" t="s">
        <v>5</v>
      </c>
    </row>
    <row r="3059" spans="1:4" x14ac:dyDescent="0.35">
      <c r="A3059" s="5" t="str">
        <f t="shared" si="1545"/>
        <v>Agency</v>
      </c>
      <c r="B3059" s="3" t="str">
        <f t="shared" ref="B3059:B3060" si="1577">CHOOSE(2, "1395000000678", "No of Terminations in UM")</f>
        <v>No of Terminations in UM</v>
      </c>
      <c r="C3059" s="4" t="str">
        <f>CHOOSE(2, "5461730030", "Jun 26")</f>
        <v>Jun 26</v>
      </c>
      <c r="D3059" s="2" t="s">
        <v>5</v>
      </c>
    </row>
    <row r="3060" spans="1:4" x14ac:dyDescent="0.35">
      <c r="A3060" s="5" t="str">
        <f t="shared" si="1545"/>
        <v>Agency</v>
      </c>
      <c r="B3060" s="6" t="str">
        <f t="shared" si="1577"/>
        <v>No of Terminations in UM</v>
      </c>
      <c r="C3060" s="4" t="str">
        <f>CHOOSE(2, "5462030031", "Jul 26")</f>
        <v>Jul 26</v>
      </c>
      <c r="D3060" s="2" t="s">
        <v>5</v>
      </c>
    </row>
    <row r="3061" spans="1:4" x14ac:dyDescent="0.35">
      <c r="A3061" s="5" t="str">
        <f t="shared" ref="A3061:A3124" si="1578">CHOOSE(2, "1260000000010", "Agency")</f>
        <v>Agency</v>
      </c>
      <c r="B3061" s="3" t="str">
        <f t="shared" ref="B3061:B3062" si="1579">CHOOSE(2, "1395000000677", "No of Terminations in Leaders above UM")</f>
        <v>No of Terminations in Leaders above UM</v>
      </c>
      <c r="C3061" s="4" t="str">
        <f>CHOOSE(2, "5461730030", "Jun 26")</f>
        <v>Jun 26</v>
      </c>
      <c r="D3061" s="2" t="s">
        <v>5</v>
      </c>
    </row>
    <row r="3062" spans="1:4" x14ac:dyDescent="0.35">
      <c r="A3062" s="5" t="str">
        <f t="shared" si="1578"/>
        <v>Agency</v>
      </c>
      <c r="B3062" s="6" t="str">
        <f t="shared" si="1579"/>
        <v>No of Terminations in Leaders above UM</v>
      </c>
      <c r="C3062" s="4" t="str">
        <f>CHOOSE(2, "5462030031", "Jul 26")</f>
        <v>Jul 26</v>
      </c>
      <c r="D3062" s="2" t="s">
        <v>5</v>
      </c>
    </row>
    <row r="3063" spans="1:4" x14ac:dyDescent="0.35">
      <c r="A3063" s="5" t="str">
        <f t="shared" si="1578"/>
        <v>Agency</v>
      </c>
      <c r="B3063" s="3" t="str">
        <f t="shared" ref="B3063:B3064" si="1580">CHOOSE(2, "1395000000676", "No of Terminations in Top-tier Agents")</f>
        <v>No of Terminations in Top-tier Agents</v>
      </c>
      <c r="C3063" s="4" t="str">
        <f>CHOOSE(2, "5461730030", "Jun 26")</f>
        <v>Jun 26</v>
      </c>
      <c r="D3063" s="2" t="s">
        <v>5</v>
      </c>
    </row>
    <row r="3064" spans="1:4" x14ac:dyDescent="0.35">
      <c r="A3064" s="5" t="str">
        <f t="shared" si="1578"/>
        <v>Agency</v>
      </c>
      <c r="B3064" s="6" t="str">
        <f t="shared" si="1580"/>
        <v>No of Terminations in Top-tier Agents</v>
      </c>
      <c r="C3064" s="4" t="str">
        <f>CHOOSE(2, "5462030031", "Jul 26")</f>
        <v>Jul 26</v>
      </c>
      <c r="D3064" s="2" t="s">
        <v>5</v>
      </c>
    </row>
    <row r="3065" spans="1:4" x14ac:dyDescent="0.35">
      <c r="A3065" s="5" t="str">
        <f t="shared" si="1578"/>
        <v>Agency</v>
      </c>
      <c r="B3065" s="3" t="str">
        <f t="shared" ref="B3065:B3066" si="1581">CHOOSE(2, "1395000000675", "No of Terminations in pro-rated MDRT agents (&gt;100%)")</f>
        <v>No of Terminations in pro-rated MDRT agents (&gt;100%)</v>
      </c>
      <c r="C3065" s="4" t="str">
        <f>CHOOSE(2, "5461730030", "Jun 26")</f>
        <v>Jun 26</v>
      </c>
      <c r="D3065" s="2" t="s">
        <v>5</v>
      </c>
    </row>
    <row r="3066" spans="1:4" x14ac:dyDescent="0.35">
      <c r="A3066" s="5" t="str">
        <f t="shared" si="1578"/>
        <v>Agency</v>
      </c>
      <c r="B3066" s="6" t="str">
        <f t="shared" si="1581"/>
        <v>No of Terminations in pro-rated MDRT agents (&gt;100%)</v>
      </c>
      <c r="C3066" s="4" t="str">
        <f>CHOOSE(2, "5462030031", "Jul 26")</f>
        <v>Jul 26</v>
      </c>
      <c r="D3066" s="2" t="s">
        <v>5</v>
      </c>
    </row>
    <row r="3067" spans="1:4" x14ac:dyDescent="0.35">
      <c r="A3067" s="5" t="str">
        <f t="shared" si="1578"/>
        <v>Agency</v>
      </c>
      <c r="B3067" s="3" t="str">
        <f t="shared" ref="B3067:B3068" si="1582">CHOOSE(2, "1395000000674", "No of Terminations in pro-rated MDRT agents (70-99%)")</f>
        <v>No of Terminations in pro-rated MDRT agents (70-99%)</v>
      </c>
      <c r="C3067" s="4" t="str">
        <f>CHOOSE(2, "5461730030", "Jun 26")</f>
        <v>Jun 26</v>
      </c>
      <c r="D3067" s="2" t="s">
        <v>5</v>
      </c>
    </row>
    <row r="3068" spans="1:4" x14ac:dyDescent="0.35">
      <c r="A3068" s="5" t="str">
        <f t="shared" si="1578"/>
        <v>Agency</v>
      </c>
      <c r="B3068" s="6" t="str">
        <f t="shared" si="1582"/>
        <v>No of Terminations in pro-rated MDRT agents (70-99%)</v>
      </c>
      <c r="C3068" s="4" t="str">
        <f>CHOOSE(2, "5462030031", "Jul 26")</f>
        <v>Jul 26</v>
      </c>
      <c r="D3068" s="2" t="s">
        <v>5</v>
      </c>
    </row>
    <row r="3069" spans="1:4" x14ac:dyDescent="0.35">
      <c r="A3069" s="5" t="str">
        <f t="shared" si="1578"/>
        <v>Agency</v>
      </c>
      <c r="B3069" s="3" t="str">
        <f t="shared" ref="B3069:B3070" si="1583">CHOOSE(2, "1395000000673", "No of Terminations in pro-rated MDRT agents (50-69%)")</f>
        <v>No of Terminations in pro-rated MDRT agents (50-69%)</v>
      </c>
      <c r="C3069" s="4" t="str">
        <f>CHOOSE(2, "5461730030", "Jun 26")</f>
        <v>Jun 26</v>
      </c>
      <c r="D3069" s="2" t="s">
        <v>5</v>
      </c>
    </row>
    <row r="3070" spans="1:4" x14ac:dyDescent="0.35">
      <c r="A3070" s="5" t="str">
        <f t="shared" si="1578"/>
        <v>Agency</v>
      </c>
      <c r="B3070" s="6" t="str">
        <f t="shared" si="1583"/>
        <v>No of Terminations in pro-rated MDRT agents (50-69%)</v>
      </c>
      <c r="C3070" s="4" t="str">
        <f>CHOOSE(2, "5462030031", "Jul 26")</f>
        <v>Jul 26</v>
      </c>
      <c r="D3070" s="2" t="s">
        <v>5</v>
      </c>
    </row>
    <row r="3071" spans="1:4" x14ac:dyDescent="0.35">
      <c r="A3071" s="5" t="str">
        <f t="shared" si="1578"/>
        <v>Agency</v>
      </c>
      <c r="B3071" s="3" t="str">
        <f t="shared" ref="B3071:B3072" si="1584">CHOOSE(2, "1395000000672", "No of Terminations in Manulife Pro Qualifiers - Total")</f>
        <v>No of Terminations in Manulife Pro Qualifiers - Total</v>
      </c>
      <c r="C3071" s="4" t="str">
        <f>CHOOSE(2, "5461730030", "Jun 26")</f>
        <v>Jun 26</v>
      </c>
      <c r="D3071" s="2" t="s">
        <v>5</v>
      </c>
    </row>
    <row r="3072" spans="1:4" x14ac:dyDescent="0.35">
      <c r="A3072" s="5" t="str">
        <f t="shared" si="1578"/>
        <v>Agency</v>
      </c>
      <c r="B3072" s="6" t="str">
        <f t="shared" si="1584"/>
        <v>No of Terminations in Manulife Pro Qualifiers - Total</v>
      </c>
      <c r="C3072" s="4" t="str">
        <f>CHOOSE(2, "5462030031", "Jul 26")</f>
        <v>Jul 26</v>
      </c>
      <c r="D3072" s="2" t="s">
        <v>5</v>
      </c>
    </row>
    <row r="3073" spans="1:4" x14ac:dyDescent="0.35">
      <c r="A3073" s="5" t="str">
        <f t="shared" si="1578"/>
        <v>Agency</v>
      </c>
      <c r="B3073" s="3" t="str">
        <f t="shared" ref="B3073:B3074" si="1585">CHOOSE(2, "1395000000671", "First Year Agents Terminated without Sales")</f>
        <v>First Year Agents Terminated without Sales</v>
      </c>
      <c r="C3073" s="4" t="str">
        <f>CHOOSE(2, "5461730030", "Jun 26")</f>
        <v>Jun 26</v>
      </c>
      <c r="D3073" s="2" t="s">
        <v>5</v>
      </c>
    </row>
    <row r="3074" spans="1:4" x14ac:dyDescent="0.35">
      <c r="A3074" s="5" t="str">
        <f t="shared" si="1578"/>
        <v>Agency</v>
      </c>
      <c r="B3074" s="6" t="str">
        <f t="shared" si="1585"/>
        <v>First Year Agents Terminated without Sales</v>
      </c>
      <c r="C3074" s="4" t="str">
        <f>CHOOSE(2, "5462030031", "Jul 26")</f>
        <v>Jul 26</v>
      </c>
      <c r="D3074" s="2" t="s">
        <v>5</v>
      </c>
    </row>
    <row r="3075" spans="1:4" x14ac:dyDescent="0.35">
      <c r="A3075" s="5" t="str">
        <f t="shared" si="1578"/>
        <v>Agency</v>
      </c>
      <c r="B3075" s="3" t="str">
        <f t="shared" ref="B3075:B3076" si="1586">CHOOSE(2, "1395000000670", "6mth Agency Retention Ratio")</f>
        <v>6mth Agency Retention Ratio</v>
      </c>
      <c r="C3075" s="4" t="str">
        <f>CHOOSE(2, "5461730030", "Jun 26")</f>
        <v>Jun 26</v>
      </c>
      <c r="D3075" s="2" t="s">
        <v>5</v>
      </c>
    </row>
    <row r="3076" spans="1:4" x14ac:dyDescent="0.35">
      <c r="A3076" s="5" t="str">
        <f t="shared" si="1578"/>
        <v>Agency</v>
      </c>
      <c r="B3076" s="6" t="str">
        <f t="shared" si="1586"/>
        <v>6mth Agency Retention Ratio</v>
      </c>
      <c r="C3076" s="4" t="str">
        <f>CHOOSE(2, "5462030031", "Jul 26")</f>
        <v>Jul 26</v>
      </c>
      <c r="D3076" s="2" t="s">
        <v>5</v>
      </c>
    </row>
    <row r="3077" spans="1:4" x14ac:dyDescent="0.35">
      <c r="A3077" s="5" t="str">
        <f t="shared" si="1578"/>
        <v>Agency</v>
      </c>
      <c r="B3077" s="3" t="str">
        <f t="shared" ref="B3077:B3078" si="1587">CHOOSE(2, "1395000000669", "12mth Agency Retention Ratio")</f>
        <v>12mth Agency Retention Ratio</v>
      </c>
      <c r="C3077" s="4" t="str">
        <f>CHOOSE(2, "5461730030", "Jun 26")</f>
        <v>Jun 26</v>
      </c>
      <c r="D3077" s="2" t="s">
        <v>5</v>
      </c>
    </row>
    <row r="3078" spans="1:4" x14ac:dyDescent="0.35">
      <c r="A3078" s="5" t="str">
        <f t="shared" si="1578"/>
        <v>Agency</v>
      </c>
      <c r="B3078" s="6" t="str">
        <f t="shared" si="1587"/>
        <v>12mth Agency Retention Ratio</v>
      </c>
      <c r="C3078" s="4" t="str">
        <f>CHOOSE(2, "5462030031", "Jul 26")</f>
        <v>Jul 26</v>
      </c>
      <c r="D3078" s="2" t="s">
        <v>5</v>
      </c>
    </row>
    <row r="3079" spans="1:4" x14ac:dyDescent="0.35">
      <c r="A3079" s="5" t="str">
        <f t="shared" si="1578"/>
        <v>Agency</v>
      </c>
      <c r="B3079" s="3" t="str">
        <f t="shared" ref="B3079:B3080" si="1588">CHOOSE(2, "1395000000668", "24mth Agency Retention Ratio")</f>
        <v>24mth Agency Retention Ratio</v>
      </c>
      <c r="C3079" s="4" t="str">
        <f>CHOOSE(2, "5461730030", "Jun 26")</f>
        <v>Jun 26</v>
      </c>
      <c r="D3079" s="2" t="s">
        <v>5</v>
      </c>
    </row>
    <row r="3080" spans="1:4" x14ac:dyDescent="0.35">
      <c r="A3080" s="5" t="str">
        <f t="shared" si="1578"/>
        <v>Agency</v>
      </c>
      <c r="B3080" s="6" t="str">
        <f t="shared" si="1588"/>
        <v>24mth Agency Retention Ratio</v>
      </c>
      <c r="C3080" s="4" t="str">
        <f>CHOOSE(2, "5462030031", "Jul 26")</f>
        <v>Jul 26</v>
      </c>
      <c r="D3080" s="2" t="s">
        <v>5</v>
      </c>
    </row>
    <row r="3081" spans="1:4" x14ac:dyDescent="0.35">
      <c r="A3081" s="5" t="str">
        <f t="shared" si="1578"/>
        <v>Agency</v>
      </c>
      <c r="B3081" s="3" t="str">
        <f t="shared" ref="B3081:B3082" si="1589">CHOOSE(2, "1395000000667", "Total # of Leaders (end of period)")</f>
        <v>Total # of Leaders (end of period)</v>
      </c>
      <c r="C3081" s="4" t="str">
        <f>CHOOSE(2, "5461730030", "Jun 26")</f>
        <v>Jun 26</v>
      </c>
      <c r="D3081" s="14">
        <v>1261</v>
      </c>
    </row>
    <row r="3082" spans="1:4" x14ac:dyDescent="0.35">
      <c r="A3082" s="5" t="str">
        <f t="shared" si="1578"/>
        <v>Agency</v>
      </c>
      <c r="B3082" s="6" t="str">
        <f t="shared" si="1589"/>
        <v>Total # of Leaders (end of period)</v>
      </c>
      <c r="C3082" s="4" t="str">
        <f>CHOOSE(2, "5462030031", "Jul 26")</f>
        <v>Jul 26</v>
      </c>
      <c r="D3082" s="14">
        <v>1246</v>
      </c>
    </row>
    <row r="3083" spans="1:4" x14ac:dyDescent="0.35">
      <c r="A3083" s="5" t="str">
        <f t="shared" si="1578"/>
        <v>Agency</v>
      </c>
      <c r="B3083" s="3" t="str">
        <f t="shared" ref="B3083:B3084" si="1590">CHOOSE(2, "1395000000666", "Total # of Unit Managers")</f>
        <v>Total # of Unit Managers</v>
      </c>
      <c r="C3083" s="4" t="str">
        <f>CHOOSE(2, "5461730030", "Jun 26")</f>
        <v>Jun 26</v>
      </c>
      <c r="D3083" s="14">
        <v>657</v>
      </c>
    </row>
    <row r="3084" spans="1:4" x14ac:dyDescent="0.35">
      <c r="A3084" s="5" t="str">
        <f t="shared" si="1578"/>
        <v>Agency</v>
      </c>
      <c r="B3084" s="6" t="str">
        <f t="shared" si="1590"/>
        <v>Total # of Unit Managers</v>
      </c>
      <c r="C3084" s="4" t="str">
        <f>CHOOSE(2, "5462030031", "Jul 26")</f>
        <v>Jul 26</v>
      </c>
      <c r="D3084" s="14">
        <v>642</v>
      </c>
    </row>
    <row r="3085" spans="1:4" x14ac:dyDescent="0.35">
      <c r="A3085" s="5" t="str">
        <f t="shared" si="1578"/>
        <v>Agency</v>
      </c>
      <c r="B3085" s="3" t="str">
        <f t="shared" ref="B3085:B3086" si="1591">CHOOSE(2, "1395000000665", "Total # of Leaders above Unit Manager level")</f>
        <v>Total # of Leaders above Unit Manager level</v>
      </c>
      <c r="C3085" s="4" t="str">
        <f>CHOOSE(2, "5461730030", "Jun 26")</f>
        <v>Jun 26</v>
      </c>
      <c r="D3085" s="14">
        <v>604</v>
      </c>
    </row>
    <row r="3086" spans="1:4" x14ac:dyDescent="0.35">
      <c r="A3086" s="5" t="str">
        <f t="shared" si="1578"/>
        <v>Agency</v>
      </c>
      <c r="B3086" s="6" t="str">
        <f t="shared" si="1591"/>
        <v>Total # of Leaders above Unit Manager level</v>
      </c>
      <c r="C3086" s="4" t="str">
        <f>CHOOSE(2, "5462030031", "Jul 26")</f>
        <v>Jul 26</v>
      </c>
      <c r="D3086" s="14">
        <v>604</v>
      </c>
    </row>
    <row r="3087" spans="1:4" x14ac:dyDescent="0.35">
      <c r="A3087" s="5" t="str">
        <f t="shared" si="1578"/>
        <v>Agency</v>
      </c>
      <c r="B3087" s="3" t="str">
        <f t="shared" ref="B3087:B3088" si="1592">CHOOSE(2, "1395000000664", "Total # of Agents below Unit Manager level (end of period)")</f>
        <v>Total # of Agents below Unit Manager level (end of period)</v>
      </c>
      <c r="C3087" s="4" t="str">
        <f>CHOOSE(2, "5461730030", "Jun 26")</f>
        <v>Jun 26</v>
      </c>
      <c r="D3087" s="2" t="s">
        <v>5</v>
      </c>
    </row>
    <row r="3088" spans="1:4" x14ac:dyDescent="0.35">
      <c r="A3088" s="5" t="str">
        <f t="shared" si="1578"/>
        <v>Agency</v>
      </c>
      <c r="B3088" s="6" t="str">
        <f t="shared" si="1592"/>
        <v>Total # of Agents below Unit Manager level (end of period)</v>
      </c>
      <c r="C3088" s="4" t="str">
        <f>CHOOSE(2, "5462030031", "Jul 26")</f>
        <v>Jul 26</v>
      </c>
      <c r="D3088" s="2" t="s">
        <v>5</v>
      </c>
    </row>
    <row r="3089" spans="1:4" x14ac:dyDescent="0.35">
      <c r="A3089" s="5" t="str">
        <f t="shared" si="1578"/>
        <v>Agency</v>
      </c>
      <c r="B3089" s="3" t="str">
        <f t="shared" ref="B3089:B3090" si="1593">CHOOSE(2, "1395000000663", "# of Active Recruiting Leaders")</f>
        <v># of Active Recruiting Leaders</v>
      </c>
      <c r="C3089" s="4" t="str">
        <f>CHOOSE(2, "5461730030", "Jun 26")</f>
        <v>Jun 26</v>
      </c>
      <c r="D3089" s="14">
        <v>180</v>
      </c>
    </row>
    <row r="3090" spans="1:4" x14ac:dyDescent="0.35">
      <c r="A3090" s="5" t="str">
        <f t="shared" si="1578"/>
        <v>Agency</v>
      </c>
      <c r="B3090" s="6" t="str">
        <f t="shared" si="1593"/>
        <v># of Active Recruiting Leaders</v>
      </c>
      <c r="C3090" s="4" t="str">
        <f>CHOOSE(2, "5462030031", "Jul 26")</f>
        <v>Jul 26</v>
      </c>
      <c r="D3090" s="14">
        <v>130</v>
      </c>
    </row>
    <row r="3091" spans="1:4" x14ac:dyDescent="0.35">
      <c r="A3091" s="5" t="str">
        <f t="shared" si="1578"/>
        <v>Agency</v>
      </c>
      <c r="B3091" s="3" t="str">
        <f t="shared" ref="B3091:B3092" si="1594">CHOOSE(2, "1395000000662", "# of leaders with &gt;1 YTD recruit")</f>
        <v># of leaders with &gt;1 YTD recruit</v>
      </c>
      <c r="C3091" s="4" t="str">
        <f>CHOOSE(2, "5461730030", "Jun 26")</f>
        <v>Jun 26</v>
      </c>
      <c r="D3091" s="14">
        <v>616</v>
      </c>
    </row>
    <row r="3092" spans="1:4" x14ac:dyDescent="0.35">
      <c r="A3092" s="5" t="str">
        <f t="shared" si="1578"/>
        <v>Agency</v>
      </c>
      <c r="B3092" s="6" t="str">
        <f t="shared" si="1594"/>
        <v># of leaders with &gt;1 YTD recruit</v>
      </c>
      <c r="C3092" s="4" t="str">
        <f>CHOOSE(2, "5462030031", "Jul 26")</f>
        <v>Jul 26</v>
      </c>
      <c r="D3092" s="14">
        <v>695</v>
      </c>
    </row>
    <row r="3093" spans="1:4" x14ac:dyDescent="0.35">
      <c r="A3093" s="5" t="str">
        <f t="shared" si="1578"/>
        <v>Agency</v>
      </c>
      <c r="B3093" s="3" t="str">
        <f t="shared" ref="B3093:B3094" si="1595">CHOOSE(2, "1395000000661", "Income ratio from personal sales (UM)")</f>
        <v>Income ratio from personal sales (UM)</v>
      </c>
      <c r="C3093" s="4" t="str">
        <f>CHOOSE(2, "5461730030", "Jun 26")</f>
        <v>Jun 26</v>
      </c>
      <c r="D3093" s="2" t="s">
        <v>5</v>
      </c>
    </row>
    <row r="3094" spans="1:4" x14ac:dyDescent="0.35">
      <c r="A3094" s="5" t="str">
        <f t="shared" si="1578"/>
        <v>Agency</v>
      </c>
      <c r="B3094" s="6" t="str">
        <f t="shared" si="1595"/>
        <v>Income ratio from personal sales (UM)</v>
      </c>
      <c r="C3094" s="4" t="str">
        <f>CHOOSE(2, "5462030031", "Jul 26")</f>
        <v>Jul 26</v>
      </c>
      <c r="D3094" s="2" t="s">
        <v>5</v>
      </c>
    </row>
    <row r="3095" spans="1:4" x14ac:dyDescent="0.35">
      <c r="A3095" s="5" t="str">
        <f t="shared" si="1578"/>
        <v>Agency</v>
      </c>
      <c r="B3095" s="3" t="str">
        <f t="shared" ref="B3095:B3096" si="1596">CHOOSE(2, "1395000000660", "Income ratio from personal sales (UM) (numerator)")</f>
        <v>Income ratio from personal sales (UM) (numerator)</v>
      </c>
      <c r="C3095" s="4" t="str">
        <f>CHOOSE(2, "5461730030", "Jun 26")</f>
        <v>Jun 26</v>
      </c>
      <c r="D3095" s="2" t="s">
        <v>5</v>
      </c>
    </row>
    <row r="3096" spans="1:4" x14ac:dyDescent="0.35">
      <c r="A3096" s="5" t="str">
        <f t="shared" si="1578"/>
        <v>Agency</v>
      </c>
      <c r="B3096" s="6" t="str">
        <f t="shared" si="1596"/>
        <v>Income ratio from personal sales (UM) (numerator)</v>
      </c>
      <c r="C3096" s="4" t="str">
        <f>CHOOSE(2, "5462030031", "Jul 26")</f>
        <v>Jul 26</v>
      </c>
      <c r="D3096" s="2" t="s">
        <v>5</v>
      </c>
    </row>
    <row r="3097" spans="1:4" x14ac:dyDescent="0.35">
      <c r="A3097" s="5" t="str">
        <f t="shared" si="1578"/>
        <v>Agency</v>
      </c>
      <c r="B3097" s="3" t="str">
        <f t="shared" ref="B3097:B3098" si="1597">CHOOSE(2, "1395000000659", "Income ratio from personal sales (UM) (denominator)")</f>
        <v>Income ratio from personal sales (UM) (denominator)</v>
      </c>
      <c r="C3097" s="4" t="str">
        <f>CHOOSE(2, "5461730030", "Jun 26")</f>
        <v>Jun 26</v>
      </c>
      <c r="D3097" s="2" t="s">
        <v>5</v>
      </c>
    </row>
    <row r="3098" spans="1:4" x14ac:dyDescent="0.35">
      <c r="A3098" s="5" t="str">
        <f t="shared" si="1578"/>
        <v>Agency</v>
      </c>
      <c r="B3098" s="6" t="str">
        <f t="shared" si="1597"/>
        <v>Income ratio from personal sales (UM) (denominator)</v>
      </c>
      <c r="C3098" s="4" t="str">
        <f>CHOOSE(2, "5462030031", "Jul 26")</f>
        <v>Jul 26</v>
      </c>
      <c r="D3098" s="2" t="s">
        <v>5</v>
      </c>
    </row>
    <row r="3099" spans="1:4" x14ac:dyDescent="0.35">
      <c r="A3099" s="5" t="str">
        <f t="shared" si="1578"/>
        <v>Agency</v>
      </c>
      <c r="B3099" s="3" t="str">
        <f t="shared" ref="B3099:B3100" si="1598">CHOOSE(2, "1395000000658", "Income ratio from personal sales (Leader above UM)")</f>
        <v>Income ratio from personal sales (Leader above UM)</v>
      </c>
      <c r="C3099" s="4" t="str">
        <f>CHOOSE(2, "5461730030", "Jun 26")</f>
        <v>Jun 26</v>
      </c>
      <c r="D3099" s="2" t="s">
        <v>5</v>
      </c>
    </row>
    <row r="3100" spans="1:4" x14ac:dyDescent="0.35">
      <c r="A3100" s="5" t="str">
        <f t="shared" si="1578"/>
        <v>Agency</v>
      </c>
      <c r="B3100" s="6" t="str">
        <f t="shared" si="1598"/>
        <v>Income ratio from personal sales (Leader above UM)</v>
      </c>
      <c r="C3100" s="4" t="str">
        <f>CHOOSE(2, "5462030031", "Jul 26")</f>
        <v>Jul 26</v>
      </c>
      <c r="D3100" s="2" t="s">
        <v>5</v>
      </c>
    </row>
    <row r="3101" spans="1:4" x14ac:dyDescent="0.35">
      <c r="A3101" s="5" t="str">
        <f t="shared" si="1578"/>
        <v>Agency</v>
      </c>
      <c r="B3101" s="3" t="str">
        <f t="shared" ref="B3101:B3102" si="1599">CHOOSE(2, "1395000000657", "Income ratio from personal sales (Leader above UM) (num)")</f>
        <v>Income ratio from personal sales (Leader above UM) (num)</v>
      </c>
      <c r="C3101" s="4" t="str">
        <f>CHOOSE(2, "5461730030", "Jun 26")</f>
        <v>Jun 26</v>
      </c>
      <c r="D3101" s="2" t="s">
        <v>5</v>
      </c>
    </row>
    <row r="3102" spans="1:4" x14ac:dyDescent="0.35">
      <c r="A3102" s="5" t="str">
        <f t="shared" si="1578"/>
        <v>Agency</v>
      </c>
      <c r="B3102" s="6" t="str">
        <f t="shared" si="1599"/>
        <v>Income ratio from personal sales (Leader above UM) (num)</v>
      </c>
      <c r="C3102" s="4" t="str">
        <f>CHOOSE(2, "5462030031", "Jul 26")</f>
        <v>Jul 26</v>
      </c>
      <c r="D3102" s="2" t="s">
        <v>5</v>
      </c>
    </row>
    <row r="3103" spans="1:4" x14ac:dyDescent="0.35">
      <c r="A3103" s="5" t="str">
        <f t="shared" si="1578"/>
        <v>Agency</v>
      </c>
      <c r="B3103" s="3" t="str">
        <f t="shared" ref="B3103:B3104" si="1600">CHOOSE(2, "1395000000656", "Income ratio from personal sales (Leader above UM) (den)")</f>
        <v>Income ratio from personal sales (Leader above UM) (den)</v>
      </c>
      <c r="C3103" s="4" t="str">
        <f>CHOOSE(2, "5461730030", "Jun 26")</f>
        <v>Jun 26</v>
      </c>
      <c r="D3103" s="2" t="s">
        <v>5</v>
      </c>
    </row>
    <row r="3104" spans="1:4" x14ac:dyDescent="0.35">
      <c r="A3104" s="5" t="str">
        <f t="shared" si="1578"/>
        <v>Agency</v>
      </c>
      <c r="B3104" s="6" t="str">
        <f t="shared" si="1600"/>
        <v>Income ratio from personal sales (Leader above UM) (den)</v>
      </c>
      <c r="C3104" s="4" t="str">
        <f>CHOOSE(2, "5462030031", "Jul 26")</f>
        <v>Jul 26</v>
      </c>
      <c r="D3104" s="2" t="s">
        <v>5</v>
      </c>
    </row>
    <row r="3105" spans="1:4" x14ac:dyDescent="0.35">
      <c r="A3105" s="5" t="str">
        <f t="shared" si="1578"/>
        <v>Agency</v>
      </c>
      <c r="B3105" s="3" t="str">
        <f t="shared" ref="B3105:B3106" si="1601">CHOOSE(2, "1395000000655", "Total agent earnings")</f>
        <v>Total agent earnings</v>
      </c>
      <c r="C3105" s="4" t="str">
        <f>CHOOSE(2, "5461730030", "Jun 26")</f>
        <v>Jun 26</v>
      </c>
      <c r="D3105" s="2" t="s">
        <v>5</v>
      </c>
    </row>
    <row r="3106" spans="1:4" x14ac:dyDescent="0.35">
      <c r="A3106" s="5" t="str">
        <f t="shared" si="1578"/>
        <v>Agency</v>
      </c>
      <c r="B3106" s="6" t="str">
        <f t="shared" si="1601"/>
        <v>Total agent earnings</v>
      </c>
      <c r="C3106" s="4" t="str">
        <f>CHOOSE(2, "5462030031", "Jul 26")</f>
        <v>Jul 26</v>
      </c>
      <c r="D3106" s="2" t="s">
        <v>5</v>
      </c>
    </row>
    <row r="3107" spans="1:4" x14ac:dyDescent="0.35">
      <c r="A3107" s="5" t="str">
        <f t="shared" si="1578"/>
        <v>Agency</v>
      </c>
      <c r="B3107" s="3" t="str">
        <f t="shared" ref="B3107:B3108" si="1602">CHOOSE(2, "1395000000654", "Total agent earnings in FA or equivalent")</f>
        <v>Total agent earnings in FA or equivalent</v>
      </c>
      <c r="C3107" s="4" t="str">
        <f>CHOOSE(2, "5461730030", "Jun 26")</f>
        <v>Jun 26</v>
      </c>
      <c r="D3107" s="2" t="s">
        <v>5</v>
      </c>
    </row>
    <row r="3108" spans="1:4" x14ac:dyDescent="0.35">
      <c r="A3108" s="5" t="str">
        <f t="shared" si="1578"/>
        <v>Agency</v>
      </c>
      <c r="B3108" s="6" t="str">
        <f t="shared" si="1602"/>
        <v>Total agent earnings in FA or equivalent</v>
      </c>
      <c r="C3108" s="4" t="str">
        <f>CHOOSE(2, "5462030031", "Jul 26")</f>
        <v>Jul 26</v>
      </c>
      <c r="D3108" s="2" t="s">
        <v>5</v>
      </c>
    </row>
    <row r="3109" spans="1:4" x14ac:dyDescent="0.35">
      <c r="A3109" s="5" t="str">
        <f t="shared" si="1578"/>
        <v>Agency</v>
      </c>
      <c r="B3109" s="3" t="str">
        <f t="shared" ref="B3109:B3110" si="1603">CHOOSE(2, "1395000000653", "Total agent earnings in UM")</f>
        <v>Total agent earnings in UM</v>
      </c>
      <c r="C3109" s="4" t="str">
        <f>CHOOSE(2, "5461730030", "Jun 26")</f>
        <v>Jun 26</v>
      </c>
      <c r="D3109" s="2" t="s">
        <v>5</v>
      </c>
    </row>
    <row r="3110" spans="1:4" x14ac:dyDescent="0.35">
      <c r="A3110" s="5" t="str">
        <f t="shared" si="1578"/>
        <v>Agency</v>
      </c>
      <c r="B3110" s="6" t="str">
        <f t="shared" si="1603"/>
        <v>Total agent earnings in UM</v>
      </c>
      <c r="C3110" s="4" t="str">
        <f>CHOOSE(2, "5462030031", "Jul 26")</f>
        <v>Jul 26</v>
      </c>
      <c r="D3110" s="2" t="s">
        <v>5</v>
      </c>
    </row>
    <row r="3111" spans="1:4" x14ac:dyDescent="0.35">
      <c r="A3111" s="5" t="str">
        <f t="shared" si="1578"/>
        <v>Agency</v>
      </c>
      <c r="B3111" s="3" t="str">
        <f t="shared" ref="B3111:B3112" si="1604">CHOOSE(2, "1395000000652", "Total agent earnings in Leaders above UM")</f>
        <v>Total agent earnings in Leaders above UM</v>
      </c>
      <c r="C3111" s="4" t="str">
        <f>CHOOSE(2, "5461730030", "Jun 26")</f>
        <v>Jun 26</v>
      </c>
      <c r="D3111" s="2" t="s">
        <v>5</v>
      </c>
    </row>
    <row r="3112" spans="1:4" x14ac:dyDescent="0.35">
      <c r="A3112" s="5" t="str">
        <f t="shared" si="1578"/>
        <v>Agency</v>
      </c>
      <c r="B3112" s="6" t="str">
        <f t="shared" si="1604"/>
        <v>Total agent earnings in Leaders above UM</v>
      </c>
      <c r="C3112" s="4" t="str">
        <f>CHOOSE(2, "5462030031", "Jul 26")</f>
        <v>Jul 26</v>
      </c>
      <c r="D3112" s="2" t="s">
        <v>5</v>
      </c>
    </row>
    <row r="3113" spans="1:4" x14ac:dyDescent="0.35">
      <c r="A3113" s="5" t="str">
        <f t="shared" si="1578"/>
        <v>Agency</v>
      </c>
      <c r="B3113" s="3" t="str">
        <f t="shared" ref="B3113:B3114" si="1605">CHOOSE(2, "1395000000651", "# of Newly Promoted UM")</f>
        <v># of Newly Promoted UM</v>
      </c>
      <c r="C3113" s="4" t="str">
        <f>CHOOSE(2, "5461730030", "Jun 26")</f>
        <v>Jun 26</v>
      </c>
      <c r="D3113" s="14">
        <v>13</v>
      </c>
    </row>
    <row r="3114" spans="1:4" x14ac:dyDescent="0.35">
      <c r="A3114" s="5" t="str">
        <f t="shared" si="1578"/>
        <v>Agency</v>
      </c>
      <c r="B3114" s="6" t="str">
        <f t="shared" si="1605"/>
        <v># of Newly Promoted UM</v>
      </c>
      <c r="C3114" s="4" t="str">
        <f>CHOOSE(2, "5462030031", "Jul 26")</f>
        <v>Jul 26</v>
      </c>
      <c r="D3114" s="14">
        <v>43</v>
      </c>
    </row>
    <row r="3115" spans="1:4" x14ac:dyDescent="0.35">
      <c r="A3115" s="5" t="str">
        <f t="shared" si="1578"/>
        <v>Agency</v>
      </c>
      <c r="B3115" s="3" t="str">
        <f t="shared" ref="B3115:B3116" si="1606">CHOOSE(2, "1395000000650", "# of Newly Promoted Leaders above UM")</f>
        <v># of Newly Promoted Leaders above UM</v>
      </c>
      <c r="C3115" s="4" t="str">
        <f>CHOOSE(2, "5461730030", "Jun 26")</f>
        <v>Jun 26</v>
      </c>
      <c r="D3115" s="14">
        <v>0</v>
      </c>
    </row>
    <row r="3116" spans="1:4" x14ac:dyDescent="0.35">
      <c r="A3116" s="5" t="str">
        <f t="shared" si="1578"/>
        <v>Agency</v>
      </c>
      <c r="B3116" s="6" t="str">
        <f t="shared" si="1606"/>
        <v># of Newly Promoted Leaders above UM</v>
      </c>
      <c r="C3116" s="4" t="str">
        <f>CHOOSE(2, "5462030031", "Jul 26")</f>
        <v>Jul 26</v>
      </c>
      <c r="D3116" s="14">
        <v>64</v>
      </c>
    </row>
    <row r="3117" spans="1:4" x14ac:dyDescent="0.35">
      <c r="A3117" s="5" t="str">
        <f t="shared" si="1578"/>
        <v>Agency</v>
      </c>
      <c r="B3117" s="3" t="str">
        <f t="shared" ref="B3117:B3118" si="1607">CHOOSE(2, "1395000000649", "# of Total Leader Promotions")</f>
        <v># of Total Leader Promotions</v>
      </c>
      <c r="C3117" s="4" t="str">
        <f>CHOOSE(2, "5461730030", "Jun 26")</f>
        <v>Jun 26</v>
      </c>
      <c r="D3117" s="14">
        <v>13</v>
      </c>
    </row>
    <row r="3118" spans="1:4" x14ac:dyDescent="0.35">
      <c r="A3118" s="5" t="str">
        <f t="shared" si="1578"/>
        <v>Agency</v>
      </c>
      <c r="B3118" s="6" t="str">
        <f t="shared" si="1607"/>
        <v># of Total Leader Promotions</v>
      </c>
      <c r="C3118" s="4" t="str">
        <f>CHOOSE(2, "5462030031", "Jul 26")</f>
        <v>Jul 26</v>
      </c>
      <c r="D3118" s="14">
        <v>107</v>
      </c>
    </row>
    <row r="3119" spans="1:4" x14ac:dyDescent="0.35">
      <c r="A3119" s="5" t="str">
        <f t="shared" si="1578"/>
        <v>Agency</v>
      </c>
      <c r="B3119" s="3" t="str">
        <f t="shared" ref="B3119:B3120" si="1608">CHOOSE(2, "1395000000648", "# of Newly Demoted UM")</f>
        <v># of Newly Demoted UM</v>
      </c>
      <c r="C3119" s="4" t="str">
        <f>CHOOSE(2, "5461730030", "Jun 26")</f>
        <v>Jun 26</v>
      </c>
      <c r="D3119" s="14">
        <v>0</v>
      </c>
    </row>
    <row r="3120" spans="1:4" x14ac:dyDescent="0.35">
      <c r="A3120" s="5" t="str">
        <f t="shared" si="1578"/>
        <v>Agency</v>
      </c>
      <c r="B3120" s="6" t="str">
        <f t="shared" si="1608"/>
        <v># of Newly Demoted UM</v>
      </c>
      <c r="C3120" s="4" t="str">
        <f>CHOOSE(2, "5462030031", "Jul 26")</f>
        <v>Jul 26</v>
      </c>
      <c r="D3120" s="14">
        <v>57</v>
      </c>
    </row>
    <row r="3121" spans="1:4" x14ac:dyDescent="0.35">
      <c r="A3121" s="5" t="str">
        <f t="shared" si="1578"/>
        <v>Agency</v>
      </c>
      <c r="B3121" s="3" t="str">
        <f t="shared" ref="B3121:B3122" si="1609">CHOOSE(2, "1395000000647", "# of Newly Demoted Leaders above UM")</f>
        <v># of Newly Demoted Leaders above UM</v>
      </c>
      <c r="C3121" s="4" t="str">
        <f>CHOOSE(2, "5461730030", "Jun 26")</f>
        <v>Jun 26</v>
      </c>
      <c r="D3121" s="14">
        <v>0</v>
      </c>
    </row>
    <row r="3122" spans="1:4" x14ac:dyDescent="0.35">
      <c r="A3122" s="5" t="str">
        <f t="shared" si="1578"/>
        <v>Agency</v>
      </c>
      <c r="B3122" s="6" t="str">
        <f t="shared" si="1609"/>
        <v># of Newly Demoted Leaders above UM</v>
      </c>
      <c r="C3122" s="4" t="str">
        <f>CHOOSE(2, "5462030031", "Jul 26")</f>
        <v>Jul 26</v>
      </c>
      <c r="D3122" s="14">
        <v>50</v>
      </c>
    </row>
    <row r="3123" spans="1:4" x14ac:dyDescent="0.35">
      <c r="A3123" s="5" t="str">
        <f t="shared" si="1578"/>
        <v>Agency</v>
      </c>
      <c r="B3123" s="3" t="str">
        <f t="shared" ref="B3123:B3124" si="1610">CHOOSE(2, "1395000000646", "# of Total Leader Demotions")</f>
        <v># of Total Leader Demotions</v>
      </c>
      <c r="C3123" s="4" t="str">
        <f>CHOOSE(2, "5461730030", "Jun 26")</f>
        <v>Jun 26</v>
      </c>
      <c r="D3123" s="14">
        <v>0</v>
      </c>
    </row>
    <row r="3124" spans="1:4" x14ac:dyDescent="0.35">
      <c r="A3124" s="5" t="str">
        <f t="shared" si="1578"/>
        <v>Agency</v>
      </c>
      <c r="B3124" s="6" t="str">
        <f t="shared" si="1610"/>
        <v># of Total Leader Demotions</v>
      </c>
      <c r="C3124" s="4" t="str">
        <f>CHOOSE(2, "5462030031", "Jul 26")</f>
        <v>Jul 26</v>
      </c>
      <c r="D3124" s="14">
        <v>107</v>
      </c>
    </row>
    <row r="3125" spans="1:4" x14ac:dyDescent="0.35">
      <c r="A3125" s="5" t="str">
        <f t="shared" ref="A3125:A3188" si="1611">CHOOSE(2, "1260000000010", "Agency")</f>
        <v>Agency</v>
      </c>
      <c r="B3125" s="3" t="str">
        <f t="shared" ref="B3125:B3126" si="1612">CHOOSE(2, "1395000000645", "# of agents meeting MOC")</f>
        <v># of agents meeting MOC</v>
      </c>
      <c r="C3125" s="4" t="str">
        <f>CHOOSE(2, "5461730030", "Jun 26")</f>
        <v>Jun 26</v>
      </c>
      <c r="D3125" s="14">
        <v>0</v>
      </c>
    </row>
    <row r="3126" spans="1:4" x14ac:dyDescent="0.35">
      <c r="A3126" s="5" t="str">
        <f t="shared" si="1611"/>
        <v>Agency</v>
      </c>
      <c r="B3126" s="6" t="str">
        <f t="shared" si="1612"/>
        <v># of agents meeting MOC</v>
      </c>
      <c r="C3126" s="4" t="str">
        <f>CHOOSE(2, "5462030031", "Jul 26")</f>
        <v>Jul 26</v>
      </c>
      <c r="D3126" s="14">
        <v>0</v>
      </c>
    </row>
    <row r="3127" spans="1:4" x14ac:dyDescent="0.35">
      <c r="A3127" s="5" t="str">
        <f t="shared" si="1611"/>
        <v>Agency</v>
      </c>
      <c r="B3127" s="3" t="str">
        <f t="shared" ref="B3127:B3128" si="1613">CHOOSE(2, "1395000000644", "# of agents meeting MOC in FA or equivalent")</f>
        <v># of agents meeting MOC in FA or equivalent</v>
      </c>
      <c r="C3127" s="4" t="str">
        <f>CHOOSE(2, "5461730030", "Jun 26")</f>
        <v>Jun 26</v>
      </c>
      <c r="D3127" s="2" t="s">
        <v>5</v>
      </c>
    </row>
    <row r="3128" spans="1:4" x14ac:dyDescent="0.35">
      <c r="A3128" s="5" t="str">
        <f t="shared" si="1611"/>
        <v>Agency</v>
      </c>
      <c r="B3128" s="6" t="str">
        <f t="shared" si="1613"/>
        <v># of agents meeting MOC in FA or equivalent</v>
      </c>
      <c r="C3128" s="4" t="str">
        <f>CHOOSE(2, "5462030031", "Jul 26")</f>
        <v>Jul 26</v>
      </c>
      <c r="D3128" s="2" t="s">
        <v>5</v>
      </c>
    </row>
    <row r="3129" spans="1:4" x14ac:dyDescent="0.35">
      <c r="A3129" s="5" t="str">
        <f t="shared" si="1611"/>
        <v>Agency</v>
      </c>
      <c r="B3129" s="3" t="str">
        <f t="shared" ref="B3129:B3130" si="1614">CHOOSE(2, "1395000000643", "# of agents meeting MOC in UM")</f>
        <v># of agents meeting MOC in UM</v>
      </c>
      <c r="C3129" s="4" t="str">
        <f>CHOOSE(2, "5461730030", "Jun 26")</f>
        <v>Jun 26</v>
      </c>
      <c r="D3129" s="2" t="s">
        <v>5</v>
      </c>
    </row>
    <row r="3130" spans="1:4" x14ac:dyDescent="0.35">
      <c r="A3130" s="5" t="str">
        <f t="shared" si="1611"/>
        <v>Agency</v>
      </c>
      <c r="B3130" s="6" t="str">
        <f t="shared" si="1614"/>
        <v># of agents meeting MOC in UM</v>
      </c>
      <c r="C3130" s="4" t="str">
        <f>CHOOSE(2, "5462030031", "Jul 26")</f>
        <v>Jul 26</v>
      </c>
      <c r="D3130" s="2" t="s">
        <v>5</v>
      </c>
    </row>
    <row r="3131" spans="1:4" x14ac:dyDescent="0.35">
      <c r="A3131" s="5" t="str">
        <f t="shared" si="1611"/>
        <v>Agency</v>
      </c>
      <c r="B3131" s="3" t="str">
        <f t="shared" ref="B3131:B3132" si="1615">CHOOSE(2, "1395000000642", "# of agents meeting MOC in Leaders above UM")</f>
        <v># of agents meeting MOC in Leaders above UM</v>
      </c>
      <c r="C3131" s="4" t="str">
        <f>CHOOSE(2, "5461730030", "Jun 26")</f>
        <v>Jun 26</v>
      </c>
      <c r="D3131" s="2" t="s">
        <v>5</v>
      </c>
    </row>
    <row r="3132" spans="1:4" x14ac:dyDescent="0.35">
      <c r="A3132" s="5" t="str">
        <f t="shared" si="1611"/>
        <v>Agency</v>
      </c>
      <c r="B3132" s="6" t="str">
        <f t="shared" si="1615"/>
        <v># of agents meeting MOC in Leaders above UM</v>
      </c>
      <c r="C3132" s="4" t="str">
        <f>CHOOSE(2, "5462030031", "Jul 26")</f>
        <v>Jul 26</v>
      </c>
      <c r="D3132" s="2" t="s">
        <v>5</v>
      </c>
    </row>
    <row r="3133" spans="1:4" x14ac:dyDescent="0.35">
      <c r="A3133" s="5" t="str">
        <f t="shared" si="1611"/>
        <v>Agency</v>
      </c>
      <c r="B3133" s="3" t="str">
        <f t="shared" ref="B3133:B3134" si="1616">CHOOSE(2, "1395000000641", "New Leaders 3M Activation Rate (by cohort)")</f>
        <v>New Leaders 3M Activation Rate (by cohort)</v>
      </c>
      <c r="C3133" s="4" t="str">
        <f>CHOOSE(2, "5461730030", "Jun 26")</f>
        <v>Jun 26</v>
      </c>
      <c r="D3133" s="14">
        <v>0</v>
      </c>
    </row>
    <row r="3134" spans="1:4" x14ac:dyDescent="0.35">
      <c r="A3134" s="5" t="str">
        <f t="shared" si="1611"/>
        <v>Agency</v>
      </c>
      <c r="B3134" s="6" t="str">
        <f t="shared" si="1616"/>
        <v>New Leaders 3M Activation Rate (by cohort)</v>
      </c>
      <c r="C3134" s="4" t="str">
        <f>CHOOSE(2, "5462030031", "Jul 26")</f>
        <v>Jul 26</v>
      </c>
      <c r="D3134" s="14">
        <v>0</v>
      </c>
    </row>
    <row r="3135" spans="1:4" x14ac:dyDescent="0.35">
      <c r="A3135" s="5" t="str">
        <f t="shared" si="1611"/>
        <v>Agency</v>
      </c>
      <c r="B3135" s="3" t="str">
        <f t="shared" ref="B3135:B3136" si="1617">CHOOSE(2, "1395000000640", "New Leaders 3M Activation Rate (by cohort) (numerator)")</f>
        <v>New Leaders 3M Activation Rate (by cohort) (numerator)</v>
      </c>
      <c r="C3135" s="4" t="str">
        <f>CHOOSE(2, "5461730030", "Jun 26")</f>
        <v>Jun 26</v>
      </c>
      <c r="D3135" s="14">
        <v>0</v>
      </c>
    </row>
    <row r="3136" spans="1:4" x14ac:dyDescent="0.35">
      <c r="A3136" s="5" t="str">
        <f t="shared" si="1611"/>
        <v>Agency</v>
      </c>
      <c r="B3136" s="6" t="str">
        <f t="shared" si="1617"/>
        <v>New Leaders 3M Activation Rate (by cohort) (numerator)</v>
      </c>
      <c r="C3136" s="4" t="str">
        <f>CHOOSE(2, "5462030031", "Jul 26")</f>
        <v>Jul 26</v>
      </c>
      <c r="D3136" s="14">
        <v>0</v>
      </c>
    </row>
    <row r="3137" spans="1:4" x14ac:dyDescent="0.35">
      <c r="A3137" s="5" t="str">
        <f t="shared" si="1611"/>
        <v>Agency</v>
      </c>
      <c r="B3137" s="3" t="str">
        <f t="shared" ref="B3137:B3138" si="1618">CHOOSE(2, "1395000000639", "New Leaders 3M Activation Rate (by cohort) (denominator)")</f>
        <v>New Leaders 3M Activation Rate (by cohort) (denominator)</v>
      </c>
      <c r="C3137" s="4" t="str">
        <f>CHOOSE(2, "5461730030", "Jun 26")</f>
        <v>Jun 26</v>
      </c>
      <c r="D3137" s="14">
        <v>0</v>
      </c>
    </row>
    <row r="3138" spans="1:4" x14ac:dyDescent="0.35">
      <c r="A3138" s="5" t="str">
        <f t="shared" si="1611"/>
        <v>Agency</v>
      </c>
      <c r="B3138" s="6" t="str">
        <f t="shared" si="1618"/>
        <v>New Leaders 3M Activation Rate (by cohort) (denominator)</v>
      </c>
      <c r="C3138" s="4" t="str">
        <f>CHOOSE(2, "5462030031", "Jul 26")</f>
        <v>Jul 26</v>
      </c>
      <c r="D3138" s="14">
        <v>0</v>
      </c>
    </row>
    <row r="3139" spans="1:4" x14ac:dyDescent="0.35">
      <c r="A3139" s="5" t="str">
        <f t="shared" si="1611"/>
        <v>Agency</v>
      </c>
      <c r="B3139" s="3" t="str">
        <f t="shared" ref="B3139:B3140" si="1619">CHOOSE(2, "1395000000638", "# of pro-rated MDRT agents (100%)")</f>
        <v># of pro-rated MDRT agents (100%)</v>
      </c>
      <c r="C3139" s="4" t="str">
        <f>CHOOSE(2, "5461730030", "Jun 26")</f>
        <v>Jun 26</v>
      </c>
      <c r="D3139" s="14">
        <v>1097</v>
      </c>
    </row>
    <row r="3140" spans="1:4" x14ac:dyDescent="0.35">
      <c r="A3140" s="5" t="str">
        <f t="shared" si="1611"/>
        <v>Agency</v>
      </c>
      <c r="B3140" s="6" t="str">
        <f t="shared" si="1619"/>
        <v># of pro-rated MDRT agents (100%)</v>
      </c>
      <c r="C3140" s="4" t="str">
        <f>CHOOSE(2, "5462030031", "Jul 26")</f>
        <v>Jul 26</v>
      </c>
      <c r="D3140" s="14">
        <v>987</v>
      </c>
    </row>
    <row r="3141" spans="1:4" x14ac:dyDescent="0.35">
      <c r="A3141" s="5" t="str">
        <f t="shared" si="1611"/>
        <v>Agency</v>
      </c>
      <c r="B3141" s="3" t="str">
        <f t="shared" ref="B3141:B3142" si="1620">CHOOSE(2, "1395000000637", "# of pro-rated MDRT agents (90%-99%)")</f>
        <v># of pro-rated MDRT agents (90%-99%)</v>
      </c>
      <c r="C3141" s="4" t="str">
        <f>CHOOSE(2, "5461730030", "Jun 26")</f>
        <v>Jun 26</v>
      </c>
      <c r="D3141" s="2" t="s">
        <v>5</v>
      </c>
    </row>
    <row r="3142" spans="1:4" x14ac:dyDescent="0.35">
      <c r="A3142" s="5" t="str">
        <f t="shared" si="1611"/>
        <v>Agency</v>
      </c>
      <c r="B3142" s="6" t="str">
        <f t="shared" si="1620"/>
        <v># of pro-rated MDRT agents (90%-99%)</v>
      </c>
      <c r="C3142" s="4" t="str">
        <f>CHOOSE(2, "5462030031", "Jul 26")</f>
        <v>Jul 26</v>
      </c>
      <c r="D3142" s="2" t="s">
        <v>5</v>
      </c>
    </row>
    <row r="3143" spans="1:4" x14ac:dyDescent="0.35">
      <c r="A3143" s="5" t="str">
        <f t="shared" si="1611"/>
        <v>Agency</v>
      </c>
      <c r="B3143" s="3" t="str">
        <f t="shared" ref="B3143:B3144" si="1621">CHOOSE(2, "1395000000636", "# of pro-rated MDRT agents (70%-90%)")</f>
        <v># of pro-rated MDRT agents (70%-90%)</v>
      </c>
      <c r="C3143" s="4" t="str">
        <f>CHOOSE(2, "5461730030", "Jun 26")</f>
        <v>Jun 26</v>
      </c>
      <c r="D3143" s="2" t="s">
        <v>5</v>
      </c>
    </row>
    <row r="3144" spans="1:4" x14ac:dyDescent="0.35">
      <c r="A3144" s="5" t="str">
        <f t="shared" si="1611"/>
        <v>Agency</v>
      </c>
      <c r="B3144" s="6" t="str">
        <f t="shared" si="1621"/>
        <v># of pro-rated MDRT agents (70%-90%)</v>
      </c>
      <c r="C3144" s="4" t="str">
        <f>CHOOSE(2, "5462030031", "Jul 26")</f>
        <v>Jul 26</v>
      </c>
      <c r="D3144" s="2" t="s">
        <v>5</v>
      </c>
    </row>
    <row r="3145" spans="1:4" x14ac:dyDescent="0.35">
      <c r="A3145" s="5" t="str">
        <f t="shared" si="1611"/>
        <v>Agency</v>
      </c>
      <c r="B3145" s="3" t="str">
        <f t="shared" ref="B3145:B3146" si="1622">CHOOSE(2, "1395000000635", "# of pro-rated MDRT agents (&lt;70%)")</f>
        <v># of pro-rated MDRT agents (&lt;70%)</v>
      </c>
      <c r="C3145" s="4" t="str">
        <f>CHOOSE(2, "5461730030", "Jun 26")</f>
        <v>Jun 26</v>
      </c>
      <c r="D3145" s="2" t="s">
        <v>5</v>
      </c>
    </row>
    <row r="3146" spans="1:4" x14ac:dyDescent="0.35">
      <c r="A3146" s="5" t="str">
        <f t="shared" si="1611"/>
        <v>Agency</v>
      </c>
      <c r="B3146" s="6" t="str">
        <f t="shared" si="1622"/>
        <v># of pro-rated MDRT agents (&lt;70%)</v>
      </c>
      <c r="C3146" s="4" t="str">
        <f>CHOOSE(2, "5462030031", "Jul 26")</f>
        <v>Jul 26</v>
      </c>
      <c r="D3146" s="2" t="s">
        <v>5</v>
      </c>
    </row>
    <row r="3147" spans="1:4" x14ac:dyDescent="0.35">
      <c r="A3147" s="5" t="str">
        <f t="shared" si="1611"/>
        <v>Agency</v>
      </c>
      <c r="B3147" s="3" t="str">
        <f t="shared" ref="B3147:B3148" si="1623">CHOOSE(2, "1395000000634", "# of pro-rated MDRT agents (50%-70%)")</f>
        <v># of pro-rated MDRT agents (50%-70%)</v>
      </c>
      <c r="C3147" s="4" t="str">
        <f>CHOOSE(2, "5461730030", "Jun 26")</f>
        <v>Jun 26</v>
      </c>
      <c r="D3147" s="2" t="s">
        <v>5</v>
      </c>
    </row>
    <row r="3148" spans="1:4" x14ac:dyDescent="0.35">
      <c r="A3148" s="5" t="str">
        <f t="shared" si="1611"/>
        <v>Agency</v>
      </c>
      <c r="B3148" s="6" t="str">
        <f t="shared" si="1623"/>
        <v># of pro-rated MDRT agents (50%-70%)</v>
      </c>
      <c r="C3148" s="4" t="str">
        <f>CHOOSE(2, "5462030031", "Jul 26")</f>
        <v>Jul 26</v>
      </c>
      <c r="D3148" s="2" t="s">
        <v>5</v>
      </c>
    </row>
    <row r="3149" spans="1:4" x14ac:dyDescent="0.35">
      <c r="A3149" s="5" t="str">
        <f t="shared" si="1611"/>
        <v>Agency</v>
      </c>
      <c r="B3149" s="3" t="str">
        <f t="shared" ref="B3149:B3150" si="1624">CHOOSE(2, "1395000000633", "# of pro-rated MDRT agents (&lt;50%)")</f>
        <v># of pro-rated MDRT agents (&lt;50%)</v>
      </c>
      <c r="C3149" s="4" t="str">
        <f>CHOOSE(2, "5461730030", "Jun 26")</f>
        <v>Jun 26</v>
      </c>
      <c r="D3149" s="2" t="s">
        <v>5</v>
      </c>
    </row>
    <row r="3150" spans="1:4" x14ac:dyDescent="0.35">
      <c r="A3150" s="5" t="str">
        <f t="shared" si="1611"/>
        <v>Agency</v>
      </c>
      <c r="B3150" s="6" t="str">
        <f t="shared" si="1624"/>
        <v># of pro-rated MDRT agents (&lt;50%)</v>
      </c>
      <c r="C3150" s="4" t="str">
        <f>CHOOSE(2, "5462030031", "Jul 26")</f>
        <v>Jul 26</v>
      </c>
      <c r="D3150" s="2" t="s">
        <v>5</v>
      </c>
    </row>
    <row r="3151" spans="1:4" x14ac:dyDescent="0.35">
      <c r="A3151" s="5" t="str">
        <f t="shared" si="1611"/>
        <v>Agency</v>
      </c>
      <c r="B3151" s="3" t="str">
        <f t="shared" ref="B3151:B3152" si="1625">CHOOSE(2, "1395000000632", "# of pro-rated MDRT agents (70-99%)")</f>
        <v># of pro-rated MDRT agents (70-99%)</v>
      </c>
      <c r="C3151" s="4" t="str">
        <f>CHOOSE(2, "5461730030", "Jun 26")</f>
        <v>Jun 26</v>
      </c>
      <c r="D3151" s="14">
        <v>322</v>
      </c>
    </row>
    <row r="3152" spans="1:4" x14ac:dyDescent="0.35">
      <c r="A3152" s="5" t="str">
        <f t="shared" si="1611"/>
        <v>Agency</v>
      </c>
      <c r="B3152" s="6" t="str">
        <f t="shared" si="1625"/>
        <v># of pro-rated MDRT agents (70-99%)</v>
      </c>
      <c r="C3152" s="4" t="str">
        <f>CHOOSE(2, "5462030031", "Jul 26")</f>
        <v>Jul 26</v>
      </c>
      <c r="D3152" s="14">
        <v>341</v>
      </c>
    </row>
    <row r="3153" spans="1:4" x14ac:dyDescent="0.35">
      <c r="A3153" s="5" t="str">
        <f t="shared" si="1611"/>
        <v>Agency</v>
      </c>
      <c r="B3153" s="3" t="str">
        <f t="shared" ref="B3153:B3154" si="1626">CHOOSE(2, "1395000000631", "# of pro-rated MDRT agents (50-69%)")</f>
        <v># of pro-rated MDRT agents (50-69%)</v>
      </c>
      <c r="C3153" s="4" t="str">
        <f>CHOOSE(2, "5461730030", "Jun 26")</f>
        <v>Jun 26</v>
      </c>
      <c r="D3153" s="14">
        <v>357</v>
      </c>
    </row>
    <row r="3154" spans="1:4" x14ac:dyDescent="0.35">
      <c r="A3154" s="5" t="str">
        <f t="shared" si="1611"/>
        <v>Agency</v>
      </c>
      <c r="B3154" s="6" t="str">
        <f t="shared" si="1626"/>
        <v># of pro-rated MDRT agents (50-69%)</v>
      </c>
      <c r="C3154" s="4" t="str">
        <f>CHOOSE(2, "5462030031", "Jul 26")</f>
        <v>Jul 26</v>
      </c>
      <c r="D3154" s="14">
        <v>335</v>
      </c>
    </row>
    <row r="3155" spans="1:4" x14ac:dyDescent="0.35">
      <c r="A3155" s="5" t="str">
        <f t="shared" si="1611"/>
        <v>Agency</v>
      </c>
      <c r="B3155" s="3" t="str">
        <f t="shared" ref="B3155:B3156" si="1627">CHOOSE(2, "1395000000630", "# of Top-tier agents")</f>
        <v># of Top-tier agents</v>
      </c>
      <c r="C3155" s="4" t="str">
        <f>CHOOSE(2, "5461730030", "Jun 26")</f>
        <v>Jun 26</v>
      </c>
      <c r="D3155" s="14">
        <v>1776</v>
      </c>
    </row>
    <row r="3156" spans="1:4" x14ac:dyDescent="0.35">
      <c r="A3156" s="5" t="str">
        <f t="shared" si="1611"/>
        <v>Agency</v>
      </c>
      <c r="B3156" s="6" t="str">
        <f t="shared" si="1627"/>
        <v># of Top-tier agents</v>
      </c>
      <c r="C3156" s="4" t="str">
        <f>CHOOSE(2, "5462030031", "Jul 26")</f>
        <v>Jul 26</v>
      </c>
      <c r="D3156" s="14">
        <v>1663</v>
      </c>
    </row>
    <row r="3157" spans="1:4" x14ac:dyDescent="0.35">
      <c r="A3157" s="5" t="str">
        <f t="shared" si="1611"/>
        <v>Agency</v>
      </c>
      <c r="B3157" s="3" t="str">
        <f t="shared" ref="B3157:B3158" si="1628">CHOOSE(2, "1395000000629", "$ APE from pro-rated MDRT agents (100%)")</f>
        <v>$ APE from pro-rated MDRT agents (100%)</v>
      </c>
      <c r="C3157" s="4" t="str">
        <f>CHOOSE(2, "5461730030", "Jun 26")</f>
        <v>Jun 26</v>
      </c>
      <c r="D3157" s="2" t="s">
        <v>5</v>
      </c>
    </row>
    <row r="3158" spans="1:4" x14ac:dyDescent="0.35">
      <c r="A3158" s="5" t="str">
        <f t="shared" si="1611"/>
        <v>Agency</v>
      </c>
      <c r="B3158" s="6" t="str">
        <f t="shared" si="1628"/>
        <v>$ APE from pro-rated MDRT agents (100%)</v>
      </c>
      <c r="C3158" s="4" t="str">
        <f>CHOOSE(2, "5462030031", "Jul 26")</f>
        <v>Jul 26</v>
      </c>
      <c r="D3158" s="2" t="s">
        <v>5</v>
      </c>
    </row>
    <row r="3159" spans="1:4" x14ac:dyDescent="0.35">
      <c r="A3159" s="5" t="str">
        <f t="shared" si="1611"/>
        <v>Agency</v>
      </c>
      <c r="B3159" s="3" t="str">
        <f t="shared" ref="B3159:B3160" si="1629">CHOOSE(2, "1395000000628", "$ APE from pro-rated MDRT agents (70-99%)")</f>
        <v>$ APE from pro-rated MDRT agents (70-99%)</v>
      </c>
      <c r="C3159" s="4" t="str">
        <f>CHOOSE(2, "5461730030", "Jun 26")</f>
        <v>Jun 26</v>
      </c>
      <c r="D3159" s="2" t="s">
        <v>5</v>
      </c>
    </row>
    <row r="3160" spans="1:4" x14ac:dyDescent="0.35">
      <c r="A3160" s="5" t="str">
        <f t="shared" si="1611"/>
        <v>Agency</v>
      </c>
      <c r="B3160" s="6" t="str">
        <f t="shared" si="1629"/>
        <v>$ APE from pro-rated MDRT agents (70-99%)</v>
      </c>
      <c r="C3160" s="4" t="str">
        <f>CHOOSE(2, "5462030031", "Jul 26")</f>
        <v>Jul 26</v>
      </c>
      <c r="D3160" s="2" t="s">
        <v>5</v>
      </c>
    </row>
    <row r="3161" spans="1:4" x14ac:dyDescent="0.35">
      <c r="A3161" s="5" t="str">
        <f t="shared" si="1611"/>
        <v>Agency</v>
      </c>
      <c r="B3161" s="3" t="str">
        <f t="shared" ref="B3161:B3162" si="1630">CHOOSE(2, "1395000000627", "$ APE from pro-rated MDRT agents (50-69%)")</f>
        <v>$ APE from pro-rated MDRT agents (50-69%)</v>
      </c>
      <c r="C3161" s="4" t="str">
        <f>CHOOSE(2, "5461730030", "Jun 26")</f>
        <v>Jun 26</v>
      </c>
      <c r="D3161" s="2" t="s">
        <v>5</v>
      </c>
    </row>
    <row r="3162" spans="1:4" x14ac:dyDescent="0.35">
      <c r="A3162" s="5" t="str">
        <f t="shared" si="1611"/>
        <v>Agency</v>
      </c>
      <c r="B3162" s="6" t="str">
        <f t="shared" si="1630"/>
        <v>$ APE from pro-rated MDRT agents (50-69%)</v>
      </c>
      <c r="C3162" s="4" t="str">
        <f>CHOOSE(2, "5462030031", "Jul 26")</f>
        <v>Jul 26</v>
      </c>
      <c r="D3162" s="2" t="s">
        <v>5</v>
      </c>
    </row>
    <row r="3163" spans="1:4" x14ac:dyDescent="0.35">
      <c r="A3163" s="5" t="str">
        <f t="shared" si="1611"/>
        <v>Agency</v>
      </c>
      <c r="B3163" s="3" t="str">
        <f t="shared" ref="B3163:B3164" si="1631">CHOOSE(2, "1395000000626", "$ APE from Top-tier agents")</f>
        <v>$ APE from Top-tier agents</v>
      </c>
      <c r="C3163" s="4" t="str">
        <f>CHOOSE(2, "5461730030", "Jun 26")</f>
        <v>Jun 26</v>
      </c>
      <c r="D3163" s="2" t="s">
        <v>5</v>
      </c>
    </row>
    <row r="3164" spans="1:4" x14ac:dyDescent="0.35">
      <c r="A3164" s="5" t="str">
        <f t="shared" si="1611"/>
        <v>Agency</v>
      </c>
      <c r="B3164" s="6" t="str">
        <f t="shared" si="1631"/>
        <v>$ APE from Top-tier agents</v>
      </c>
      <c r="C3164" s="4" t="str">
        <f>CHOOSE(2, "5462030031", "Jul 26")</f>
        <v>Jul 26</v>
      </c>
      <c r="D3164" s="2" t="s">
        <v>5</v>
      </c>
    </row>
    <row r="3165" spans="1:4" x14ac:dyDescent="0.35">
      <c r="A3165" s="5" t="str">
        <f t="shared" si="1611"/>
        <v>Agency</v>
      </c>
      <c r="B3165" s="3" t="str">
        <f t="shared" ref="B3165:B3166" si="1632">CHOOSE(2, "1395000000625", "# of MDRT qualifiers - YTD")</f>
        <v># of MDRT qualifiers - YTD</v>
      </c>
      <c r="C3165" s="4" t="str">
        <f>CHOOSE(2, "5461730030", "Jun 26")</f>
        <v>Jun 26</v>
      </c>
      <c r="D3165" s="14">
        <v>526</v>
      </c>
    </row>
    <row r="3166" spans="1:4" x14ac:dyDescent="0.35">
      <c r="A3166" s="5" t="str">
        <f t="shared" si="1611"/>
        <v>Agency</v>
      </c>
      <c r="B3166" s="6" t="str">
        <f t="shared" si="1632"/>
        <v># of MDRT qualifiers - YTD</v>
      </c>
      <c r="C3166" s="4" t="str">
        <f>CHOOSE(2, "5462030031", "Jul 26")</f>
        <v>Jul 26</v>
      </c>
      <c r="D3166" s="14">
        <v>555</v>
      </c>
    </row>
    <row r="3167" spans="1:4" x14ac:dyDescent="0.35">
      <c r="A3167" s="5" t="str">
        <f t="shared" si="1611"/>
        <v>Agency</v>
      </c>
      <c r="B3167" s="3" t="str">
        <f t="shared" ref="B3167:B3168" si="1633">CHOOSE(2, "1395000000624", "# of MDRT COT qualifiers - YTD")</f>
        <v># of MDRT COT qualifiers - YTD</v>
      </c>
      <c r="C3167" s="4" t="str">
        <f>CHOOSE(2, "5461730030", "Jun 26")</f>
        <v>Jun 26</v>
      </c>
      <c r="D3167" s="2" t="s">
        <v>5</v>
      </c>
    </row>
    <row r="3168" spans="1:4" x14ac:dyDescent="0.35">
      <c r="A3168" s="5" t="str">
        <f t="shared" si="1611"/>
        <v>Agency</v>
      </c>
      <c r="B3168" s="6" t="str">
        <f t="shared" si="1633"/>
        <v># of MDRT COT qualifiers - YTD</v>
      </c>
      <c r="C3168" s="4" t="str">
        <f>CHOOSE(2, "5462030031", "Jul 26")</f>
        <v>Jul 26</v>
      </c>
      <c r="D3168" s="2" t="s">
        <v>5</v>
      </c>
    </row>
    <row r="3169" spans="1:4" x14ac:dyDescent="0.35">
      <c r="A3169" s="5" t="str">
        <f t="shared" si="1611"/>
        <v>Agency</v>
      </c>
      <c r="B3169" s="3" t="str">
        <f t="shared" ref="B3169:B3170" si="1634">CHOOSE(2, "1395000000623", "# of MDRT TOT qualifiers - YTD")</f>
        <v># of MDRT TOT qualifiers - YTD</v>
      </c>
      <c r="C3169" s="4" t="str">
        <f>CHOOSE(2, "5461730030", "Jun 26")</f>
        <v>Jun 26</v>
      </c>
      <c r="D3169" s="2" t="s">
        <v>5</v>
      </c>
    </row>
    <row r="3170" spans="1:4" x14ac:dyDescent="0.35">
      <c r="A3170" s="5" t="str">
        <f t="shared" si="1611"/>
        <v>Agency</v>
      </c>
      <c r="B3170" s="6" t="str">
        <f t="shared" si="1634"/>
        <v># of MDRT TOT qualifiers - YTD</v>
      </c>
      <c r="C3170" s="4" t="str">
        <f>CHOOSE(2, "5462030031", "Jul 26")</f>
        <v>Jul 26</v>
      </c>
      <c r="D3170" s="2" t="s">
        <v>5</v>
      </c>
    </row>
    <row r="3171" spans="1:4" x14ac:dyDescent="0.35">
      <c r="A3171" s="5" t="str">
        <f t="shared" si="1611"/>
        <v>Agency</v>
      </c>
      <c r="B3171" s="3" t="str">
        <f t="shared" ref="B3171:B3172" si="1635">CHOOSE(2, "1395000000622", "Manulife Pro Qualifiers - Total")</f>
        <v>Manulife Pro Qualifiers - Total</v>
      </c>
      <c r="C3171" s="4" t="str">
        <f>CHOOSE(2, "5461730030", "Jun 26")</f>
        <v>Jun 26</v>
      </c>
      <c r="D3171" s="2" t="s">
        <v>5</v>
      </c>
    </row>
    <row r="3172" spans="1:4" x14ac:dyDescent="0.35">
      <c r="A3172" s="5" t="str">
        <f t="shared" si="1611"/>
        <v>Agency</v>
      </c>
      <c r="B3172" s="6" t="str">
        <f t="shared" si="1635"/>
        <v>Manulife Pro Qualifiers - Total</v>
      </c>
      <c r="C3172" s="4" t="str">
        <f>CHOOSE(2, "5462030031", "Jul 26")</f>
        <v>Jul 26</v>
      </c>
      <c r="D3172" s="2" t="s">
        <v>5</v>
      </c>
    </row>
    <row r="3173" spans="1:4" x14ac:dyDescent="0.35">
      <c r="A3173" s="5" t="str">
        <f t="shared" si="1611"/>
        <v>Agency</v>
      </c>
      <c r="B3173" s="3" t="str">
        <f t="shared" ref="B3173:B3174" si="1636">CHOOSE(2, "1395000000621", "Manulife Pro Qualifiers - Silver")</f>
        <v>Manulife Pro Qualifiers - Silver</v>
      </c>
      <c r="C3173" s="4" t="str">
        <f>CHOOSE(2, "5461730030", "Jun 26")</f>
        <v>Jun 26</v>
      </c>
      <c r="D3173" s="2" t="s">
        <v>5</v>
      </c>
    </row>
    <row r="3174" spans="1:4" x14ac:dyDescent="0.35">
      <c r="A3174" s="5" t="str">
        <f t="shared" si="1611"/>
        <v>Agency</v>
      </c>
      <c r="B3174" s="6" t="str">
        <f t="shared" si="1636"/>
        <v>Manulife Pro Qualifiers - Silver</v>
      </c>
      <c r="C3174" s="4" t="str">
        <f>CHOOSE(2, "5462030031", "Jul 26")</f>
        <v>Jul 26</v>
      </c>
      <c r="D3174" s="2" t="s">
        <v>5</v>
      </c>
    </row>
    <row r="3175" spans="1:4" x14ac:dyDescent="0.35">
      <c r="A3175" s="5" t="str">
        <f t="shared" si="1611"/>
        <v>Agency</v>
      </c>
      <c r="B3175" s="3" t="str">
        <f t="shared" ref="B3175:B3176" si="1637">CHOOSE(2, "1395000000620", "Manulife Pro Qualifiers - Gold")</f>
        <v>Manulife Pro Qualifiers - Gold</v>
      </c>
      <c r="C3175" s="4" t="str">
        <f>CHOOSE(2, "5461730030", "Jun 26")</f>
        <v>Jun 26</v>
      </c>
      <c r="D3175" s="2" t="s">
        <v>5</v>
      </c>
    </row>
    <row r="3176" spans="1:4" x14ac:dyDescent="0.35">
      <c r="A3176" s="5" t="str">
        <f t="shared" si="1611"/>
        <v>Agency</v>
      </c>
      <c r="B3176" s="6" t="str">
        <f t="shared" si="1637"/>
        <v>Manulife Pro Qualifiers - Gold</v>
      </c>
      <c r="C3176" s="4" t="str">
        <f>CHOOSE(2, "5462030031", "Jul 26")</f>
        <v>Jul 26</v>
      </c>
      <c r="D3176" s="2" t="s">
        <v>5</v>
      </c>
    </row>
    <row r="3177" spans="1:4" x14ac:dyDescent="0.35">
      <c r="A3177" s="5" t="str">
        <f t="shared" si="1611"/>
        <v>Agency</v>
      </c>
      <c r="B3177" s="3" t="str">
        <f t="shared" ref="B3177:B3178" si="1638">CHOOSE(2, "1395000000619", "Manulife Pro Qualifiers  - Platinum")</f>
        <v>Manulife Pro Qualifiers  - Platinum</v>
      </c>
      <c r="C3177" s="4" t="str">
        <f>CHOOSE(2, "5461730030", "Jun 26")</f>
        <v>Jun 26</v>
      </c>
      <c r="D3177" s="2" t="s">
        <v>5</v>
      </c>
    </row>
    <row r="3178" spans="1:4" x14ac:dyDescent="0.35">
      <c r="A3178" s="5" t="str">
        <f t="shared" si="1611"/>
        <v>Agency</v>
      </c>
      <c r="B3178" s="6" t="str">
        <f t="shared" si="1638"/>
        <v>Manulife Pro Qualifiers  - Platinum</v>
      </c>
      <c r="C3178" s="4" t="str">
        <f>CHOOSE(2, "5462030031", "Jul 26")</f>
        <v>Jul 26</v>
      </c>
      <c r="D3178" s="2" t="s">
        <v>5</v>
      </c>
    </row>
    <row r="3179" spans="1:4" x14ac:dyDescent="0.35">
      <c r="A3179" s="5" t="str">
        <f t="shared" si="1611"/>
        <v>Agency</v>
      </c>
      <c r="B3179" s="3" t="str">
        <f t="shared" ref="B3179:B3180" si="1639">CHOOSE(2, "1395000000618", "$ APE from Manulife Pro - Total")</f>
        <v>$ APE from Manulife Pro - Total</v>
      </c>
      <c r="C3179" s="4" t="str">
        <f>CHOOSE(2, "5461730030", "Jun 26")</f>
        <v>Jun 26</v>
      </c>
      <c r="D3179" s="2" t="s">
        <v>5</v>
      </c>
    </row>
    <row r="3180" spans="1:4" x14ac:dyDescent="0.35">
      <c r="A3180" s="5" t="str">
        <f t="shared" si="1611"/>
        <v>Agency</v>
      </c>
      <c r="B3180" s="6" t="str">
        <f t="shared" si="1639"/>
        <v>$ APE from Manulife Pro - Total</v>
      </c>
      <c r="C3180" s="4" t="str">
        <f>CHOOSE(2, "5462030031", "Jul 26")</f>
        <v>Jul 26</v>
      </c>
      <c r="D3180" s="2" t="s">
        <v>5</v>
      </c>
    </row>
    <row r="3181" spans="1:4" x14ac:dyDescent="0.35">
      <c r="A3181" s="5" t="str">
        <f t="shared" si="1611"/>
        <v>Agency</v>
      </c>
      <c r="B3181" s="3" t="str">
        <f t="shared" ref="B3181:B3182" si="1640">CHOOSE(2, "1395000000617", "$ APE from Manulife Pro - Silver")</f>
        <v>$ APE from Manulife Pro - Silver</v>
      </c>
      <c r="C3181" s="4" t="str">
        <f>CHOOSE(2, "5461730030", "Jun 26")</f>
        <v>Jun 26</v>
      </c>
      <c r="D3181" s="2" t="s">
        <v>5</v>
      </c>
    </row>
    <row r="3182" spans="1:4" x14ac:dyDescent="0.35">
      <c r="A3182" s="5" t="str">
        <f t="shared" si="1611"/>
        <v>Agency</v>
      </c>
      <c r="B3182" s="6" t="str">
        <f t="shared" si="1640"/>
        <v>$ APE from Manulife Pro - Silver</v>
      </c>
      <c r="C3182" s="4" t="str">
        <f>CHOOSE(2, "5462030031", "Jul 26")</f>
        <v>Jul 26</v>
      </c>
      <c r="D3182" s="2" t="s">
        <v>5</v>
      </c>
    </row>
    <row r="3183" spans="1:4" x14ac:dyDescent="0.35">
      <c r="A3183" s="5" t="str">
        <f t="shared" si="1611"/>
        <v>Agency</v>
      </c>
      <c r="B3183" s="3" t="str">
        <f t="shared" ref="B3183:B3184" si="1641">CHOOSE(2, "1395000000616", "$ APE from Manulife Pro - Gold")</f>
        <v>$ APE from Manulife Pro - Gold</v>
      </c>
      <c r="C3183" s="4" t="str">
        <f>CHOOSE(2, "5461730030", "Jun 26")</f>
        <v>Jun 26</v>
      </c>
      <c r="D3183" s="2" t="s">
        <v>5</v>
      </c>
    </row>
    <row r="3184" spans="1:4" x14ac:dyDescent="0.35">
      <c r="A3184" s="5" t="str">
        <f t="shared" si="1611"/>
        <v>Agency</v>
      </c>
      <c r="B3184" s="6" t="str">
        <f t="shared" si="1641"/>
        <v>$ APE from Manulife Pro - Gold</v>
      </c>
      <c r="C3184" s="4" t="str">
        <f>CHOOSE(2, "5462030031", "Jul 26")</f>
        <v>Jul 26</v>
      </c>
      <c r="D3184" s="2" t="s">
        <v>5</v>
      </c>
    </row>
    <row r="3185" spans="1:4" x14ac:dyDescent="0.35">
      <c r="A3185" s="5" t="str">
        <f t="shared" si="1611"/>
        <v>Agency</v>
      </c>
      <c r="B3185" s="3" t="str">
        <f t="shared" ref="B3185:B3186" si="1642">CHOOSE(2, "1395000000615", "$ APE from Manulife Pro  - Platinum")</f>
        <v>$ APE from Manulife Pro  - Platinum</v>
      </c>
      <c r="C3185" s="4" t="str">
        <f>CHOOSE(2, "5461730030", "Jun 26")</f>
        <v>Jun 26</v>
      </c>
      <c r="D3185" s="2" t="s">
        <v>5</v>
      </c>
    </row>
    <row r="3186" spans="1:4" x14ac:dyDescent="0.35">
      <c r="A3186" s="5" t="str">
        <f t="shared" si="1611"/>
        <v>Agency</v>
      </c>
      <c r="B3186" s="6" t="str">
        <f t="shared" si="1642"/>
        <v>$ APE from Manulife Pro  - Platinum</v>
      </c>
      <c r="C3186" s="4" t="str">
        <f>CHOOSE(2, "5462030031", "Jul 26")</f>
        <v>Jul 26</v>
      </c>
      <c r="D3186" s="2" t="s">
        <v>5</v>
      </c>
    </row>
    <row r="3187" spans="1:4" x14ac:dyDescent="0.35">
      <c r="A3187" s="5" t="str">
        <f t="shared" si="1611"/>
        <v>Agency</v>
      </c>
      <c r="B3187" s="3" t="str">
        <f t="shared" ref="B3187:B3188" si="1643">CHOOSE(2, "1395000000614", "Issued APE")</f>
        <v>Issued APE</v>
      </c>
      <c r="C3187" s="4" t="str">
        <f>CHOOSE(2, "5461730030", "Jun 26")</f>
        <v>Jun 26</v>
      </c>
      <c r="D3187" s="14">
        <v>38271453.795239389</v>
      </c>
    </row>
    <row r="3188" spans="1:4" x14ac:dyDescent="0.35">
      <c r="A3188" s="5" t="str">
        <f t="shared" si="1611"/>
        <v>Agency</v>
      </c>
      <c r="B3188" s="6" t="str">
        <f t="shared" si="1643"/>
        <v>Issued APE</v>
      </c>
      <c r="C3188" s="4" t="str">
        <f>CHOOSE(2, "5462030031", "Jul 26")</f>
        <v>Jul 26</v>
      </c>
      <c r="D3188" s="14">
        <v>17454646.815873642</v>
      </c>
    </row>
    <row r="3189" spans="1:4" x14ac:dyDescent="0.35">
      <c r="A3189" s="5" t="str">
        <f t="shared" ref="A3189:A3252" si="1644">CHOOSE(2, "1260000000010", "Agency")</f>
        <v>Agency</v>
      </c>
      <c r="B3189" s="3" t="str">
        <f t="shared" ref="B3189:B3190" si="1645">CHOOSE(2, "1395000000613", "Post-MI APE")</f>
        <v>Post-MI APE</v>
      </c>
      <c r="C3189" s="4" t="str">
        <f>CHOOSE(2, "5461730030", "Jun 26")</f>
        <v>Jun 26</v>
      </c>
      <c r="D3189" s="14">
        <v>19518441.435763117</v>
      </c>
    </row>
    <row r="3190" spans="1:4" x14ac:dyDescent="0.35">
      <c r="A3190" s="5" t="str">
        <f t="shared" si="1644"/>
        <v>Agency</v>
      </c>
      <c r="B3190" s="6" t="str">
        <f t="shared" si="1645"/>
        <v>Post-MI APE</v>
      </c>
      <c r="C3190" s="4" t="str">
        <f>CHOOSE(2, "5462030031", "Jul 26")</f>
        <v>Jul 26</v>
      </c>
      <c r="D3190" s="14">
        <v>8901869.8759192191</v>
      </c>
    </row>
    <row r="3191" spans="1:4" x14ac:dyDescent="0.35">
      <c r="A3191" s="5" t="str">
        <f t="shared" si="1644"/>
        <v>Agency</v>
      </c>
      <c r="B3191" s="3" t="str">
        <f t="shared" ref="B3191:B3192" si="1646">CHOOSE(2, "1395000000610", "Pre-gap NBV")</f>
        <v>Pre-gap NBV</v>
      </c>
      <c r="C3191" s="4" t="str">
        <f>CHOOSE(2, "5461730030", "Jun 26")</f>
        <v>Jun 26</v>
      </c>
      <c r="D3191" s="14">
        <v>8834287.2827707697</v>
      </c>
    </row>
    <row r="3192" spans="1:4" x14ac:dyDescent="0.35">
      <c r="A3192" s="5" t="str">
        <f t="shared" si="1644"/>
        <v>Agency</v>
      </c>
      <c r="B3192" s="6" t="str">
        <f t="shared" si="1646"/>
        <v>Pre-gap NBV</v>
      </c>
      <c r="C3192" s="4" t="str">
        <f>CHOOSE(2, "5462030031", "Jul 26")</f>
        <v>Jul 26</v>
      </c>
      <c r="D3192" s="14">
        <v>4351464.9178151898</v>
      </c>
    </row>
    <row r="3193" spans="1:4" x14ac:dyDescent="0.35">
      <c r="A3193" s="5" t="str">
        <f t="shared" si="1644"/>
        <v>Agency</v>
      </c>
      <c r="B3193" s="3" t="str">
        <f t="shared" ref="B3193:B3194" si="1647">CHOOSE(2, "1395000000609", "Pre-gap NBV Margin %")</f>
        <v>Pre-gap NBV Margin %</v>
      </c>
      <c r="C3193" s="4" t="str">
        <f>CHOOSE(2, "5461730030", "Jun 26")</f>
        <v>Jun 26</v>
      </c>
      <c r="D3193" s="14">
        <v>0.45261233136084023</v>
      </c>
    </row>
    <row r="3194" spans="1:4" x14ac:dyDescent="0.35">
      <c r="A3194" s="5" t="str">
        <f t="shared" si="1644"/>
        <v>Agency</v>
      </c>
      <c r="B3194" s="6" t="str">
        <f t="shared" si="1647"/>
        <v>Pre-gap NBV Margin %</v>
      </c>
      <c r="C3194" s="4" t="str">
        <f>CHOOSE(2, "5462030031", "Jul 26")</f>
        <v>Jul 26</v>
      </c>
      <c r="D3194" s="14">
        <v>0.48882594089433956</v>
      </c>
    </row>
    <row r="3195" spans="1:4" x14ac:dyDescent="0.35">
      <c r="A3195" s="5" t="str">
        <f t="shared" si="1644"/>
        <v>Agency</v>
      </c>
      <c r="B3195" s="3" t="str">
        <f t="shared" ref="B3195:B3196" si="1648">CHOOSE(2, "1395000000608", "Post-gap NBV")</f>
        <v>Post-gap NBV</v>
      </c>
      <c r="C3195" s="4" t="str">
        <f>CHOOSE(2, "5461730030", "Jun 26")</f>
        <v>Jun 26</v>
      </c>
      <c r="D3195" s="14">
        <v>8834287.2827707697</v>
      </c>
    </row>
    <row r="3196" spans="1:4" x14ac:dyDescent="0.35">
      <c r="A3196" s="5" t="str">
        <f t="shared" si="1644"/>
        <v>Agency</v>
      </c>
      <c r="B3196" s="6" t="str">
        <f t="shared" si="1648"/>
        <v>Post-gap NBV</v>
      </c>
      <c r="C3196" s="4" t="str">
        <f>CHOOSE(2, "5462030031", "Jul 26")</f>
        <v>Jul 26</v>
      </c>
      <c r="D3196" s="14">
        <v>4351464.9178151898</v>
      </c>
    </row>
    <row r="3197" spans="1:4" x14ac:dyDescent="0.35">
      <c r="A3197" s="5" t="str">
        <f t="shared" si="1644"/>
        <v>Agency</v>
      </c>
      <c r="B3197" s="3" t="str">
        <f t="shared" ref="B3197:B3198" si="1649">CHOOSE(2, "1395000000607", "Post-gap NBV Margin %")</f>
        <v>Post-gap NBV Margin %</v>
      </c>
      <c r="C3197" s="4" t="str">
        <f>CHOOSE(2, "5461730030", "Jun 26")</f>
        <v>Jun 26</v>
      </c>
      <c r="D3197" s="14">
        <v>0.45261233136084023</v>
      </c>
    </row>
    <row r="3198" spans="1:4" x14ac:dyDescent="0.35">
      <c r="A3198" s="5" t="str">
        <f t="shared" si="1644"/>
        <v>Agency</v>
      </c>
      <c r="B3198" s="6" t="str">
        <f t="shared" si="1649"/>
        <v>Post-gap NBV Margin %</v>
      </c>
      <c r="C3198" s="4" t="str">
        <f>CHOOSE(2, "5462030031", "Jul 26")</f>
        <v>Jul 26</v>
      </c>
      <c r="D3198" s="14">
        <v>0.48882594089433956</v>
      </c>
    </row>
    <row r="3199" spans="1:4" x14ac:dyDescent="0.35">
      <c r="A3199" s="5" t="str">
        <f t="shared" si="1644"/>
        <v>Agency</v>
      </c>
      <c r="B3199" s="3" t="str">
        <f t="shared" ref="B3199:B3200" si="1650">CHOOSE(2, "1395000000606", "NB CSM")</f>
        <v>NB CSM</v>
      </c>
      <c r="C3199" s="4" t="str">
        <f>CHOOSE(2, "5461730030", "Jun 26")</f>
        <v>Jun 26</v>
      </c>
      <c r="D3199" s="14">
        <v>12016900.3806873</v>
      </c>
    </row>
    <row r="3200" spans="1:4" x14ac:dyDescent="0.35">
      <c r="A3200" s="5" t="str">
        <f t="shared" si="1644"/>
        <v>Agency</v>
      </c>
      <c r="B3200" s="6" t="str">
        <f t="shared" si="1650"/>
        <v>NB CSM</v>
      </c>
      <c r="C3200" s="4" t="str">
        <f>CHOOSE(2, "5462030031", "Jul 26")</f>
        <v>Jul 26</v>
      </c>
      <c r="D3200" s="14">
        <v>6348244.0967890099</v>
      </c>
    </row>
    <row r="3201" spans="1:4" x14ac:dyDescent="0.35">
      <c r="A3201" s="5" t="str">
        <f t="shared" si="1644"/>
        <v>Agency</v>
      </c>
      <c r="B3201" s="3" t="str">
        <f t="shared" ref="B3201:B3202" si="1651">CHOOSE(2, "1395000000605", "NB CSM Margin %")</f>
        <v>NB CSM Margin %</v>
      </c>
      <c r="C3201" s="4" t="str">
        <f>CHOOSE(2, "5461730030", "Jun 26")</f>
        <v>Jun 26</v>
      </c>
      <c r="D3201" s="14">
        <v>0.61566905432669716</v>
      </c>
    </row>
    <row r="3202" spans="1:4" x14ac:dyDescent="0.35">
      <c r="A3202" s="5" t="str">
        <f t="shared" si="1644"/>
        <v>Agency</v>
      </c>
      <c r="B3202" s="6" t="str">
        <f t="shared" si="1651"/>
        <v>NB CSM Margin %</v>
      </c>
      <c r="C3202" s="4" t="str">
        <f>CHOOSE(2, "5462030031", "Jul 26")</f>
        <v>Jul 26</v>
      </c>
      <c r="D3202" s="14">
        <v>0.71313602482124372</v>
      </c>
    </row>
    <row r="3203" spans="1:4" x14ac:dyDescent="0.35">
      <c r="A3203" s="5" t="str">
        <f t="shared" si="1644"/>
        <v>Agency</v>
      </c>
      <c r="B3203" s="3" t="str">
        <f t="shared" ref="B3203:B3204" si="1652">CHOOSE(2, "1395000000604", "PRE")</f>
        <v>PRE</v>
      </c>
      <c r="C3203" s="4" t="str">
        <f>CHOOSE(2, "5461730030", "Jun 26")</f>
        <v>Jun 26</v>
      </c>
      <c r="D3203" s="14">
        <v>1229303.4446296035</v>
      </c>
    </row>
    <row r="3204" spans="1:4" x14ac:dyDescent="0.35">
      <c r="A3204" s="5" t="str">
        <f t="shared" si="1644"/>
        <v>Agency</v>
      </c>
      <c r="B3204" s="6" t="str">
        <f t="shared" si="1652"/>
        <v>PRE</v>
      </c>
      <c r="C3204" s="4" t="str">
        <f>CHOOSE(2, "5462030031", "Jul 26")</f>
        <v>Jul 26</v>
      </c>
      <c r="D3204" s="14">
        <v>1809534.6704947767</v>
      </c>
    </row>
    <row r="3205" spans="1:4" x14ac:dyDescent="0.35">
      <c r="A3205" s="5" t="str">
        <f t="shared" si="1644"/>
        <v>Agency</v>
      </c>
      <c r="B3205" s="3" t="str">
        <f t="shared" ref="B3205:B3206" si="1653">CHOOSE(2, "1395000000603", "ContEx")</f>
        <v>ContEx</v>
      </c>
      <c r="C3205" s="4" t="str">
        <f>CHOOSE(2, "5461730030", "Jun 26")</f>
        <v>Jun 26</v>
      </c>
      <c r="D3205" s="14">
        <v>0</v>
      </c>
    </row>
    <row r="3206" spans="1:4" x14ac:dyDescent="0.35">
      <c r="A3206" s="5" t="str">
        <f t="shared" si="1644"/>
        <v>Agency</v>
      </c>
      <c r="B3206" s="6" t="str">
        <f t="shared" si="1653"/>
        <v>ContEx</v>
      </c>
      <c r="C3206" s="4" t="str">
        <f>CHOOSE(2, "5462030031", "Jul 26")</f>
        <v>Jul 26</v>
      </c>
      <c r="D3206" s="14">
        <v>0</v>
      </c>
    </row>
    <row r="3207" spans="1:4" x14ac:dyDescent="0.35">
      <c r="A3207" s="5" t="str">
        <f t="shared" si="1644"/>
        <v>Agency</v>
      </c>
      <c r="B3207" s="3" t="str">
        <f t="shared" ref="B3207:B3208" si="1654">CHOOSE(2, "1395000000602", "% of 6-90 agents")</f>
        <v>% of 6-90 agents</v>
      </c>
      <c r="C3207" s="4" t="str">
        <f>CHOOSE(2, "5461730030", "Jun 26")</f>
        <v>Jun 26</v>
      </c>
      <c r="D3207" s="14">
        <v>0.13471502590673576</v>
      </c>
    </row>
    <row r="3208" spans="1:4" x14ac:dyDescent="0.35">
      <c r="A3208" s="5" t="str">
        <f t="shared" si="1644"/>
        <v>Agency</v>
      </c>
      <c r="B3208" s="6" t="str">
        <f t="shared" si="1654"/>
        <v>% of 6-90 agents</v>
      </c>
      <c r="C3208" s="4" t="str">
        <f>CHOOSE(2, "5462030031", "Jul 26")</f>
        <v>Jul 26</v>
      </c>
      <c r="D3208" s="14">
        <v>0.12</v>
      </c>
    </row>
    <row r="3209" spans="1:4" x14ac:dyDescent="0.35">
      <c r="A3209" s="5" t="str">
        <f t="shared" si="1644"/>
        <v>Agency</v>
      </c>
      <c r="B3209" s="3" t="str">
        <f t="shared" ref="B3209:B3210" si="1655">CHOOSE(2, "1395000000601", "New Recruits 3M Activation Rate")</f>
        <v>New Recruits 3M Activation Rate</v>
      </c>
      <c r="C3209" s="4" t="str">
        <f>CHOOSE(2, "5461730030", "Jun 26")</f>
        <v>Jun 26</v>
      </c>
      <c r="D3209" s="14">
        <v>0.72</v>
      </c>
    </row>
    <row r="3210" spans="1:4" x14ac:dyDescent="0.35">
      <c r="A3210" s="5" t="str">
        <f t="shared" si="1644"/>
        <v>Agency</v>
      </c>
      <c r="B3210" s="6" t="str">
        <f t="shared" si="1655"/>
        <v>New Recruits 3M Activation Rate</v>
      </c>
      <c r="C3210" s="4" t="str">
        <f>CHOOSE(2, "5462030031", "Jul 26")</f>
        <v>Jul 26</v>
      </c>
      <c r="D3210" s="14">
        <v>0.69706840390879476</v>
      </c>
    </row>
    <row r="3211" spans="1:4" x14ac:dyDescent="0.35">
      <c r="A3211" s="5" t="str">
        <f t="shared" si="1644"/>
        <v>Agency</v>
      </c>
      <c r="B3211" s="3" t="str">
        <f t="shared" ref="B3211:B3212" si="1656">CHOOSE(2, "1395000000600", "No. of Recruits from leaders")</f>
        <v>No. of Recruits from leaders</v>
      </c>
      <c r="C3211" s="4" t="str">
        <f>CHOOSE(2, "5461730030", "Jun 26")</f>
        <v>Jun 26</v>
      </c>
      <c r="D3211" s="2" t="s">
        <v>5</v>
      </c>
    </row>
    <row r="3212" spans="1:4" x14ac:dyDescent="0.35">
      <c r="A3212" s="5" t="str">
        <f t="shared" si="1644"/>
        <v>Agency</v>
      </c>
      <c r="B3212" s="6" t="str">
        <f t="shared" si="1656"/>
        <v>No. of Recruits from leaders</v>
      </c>
      <c r="C3212" s="4" t="str">
        <f>CHOOSE(2, "5462030031", "Jul 26")</f>
        <v>Jul 26</v>
      </c>
      <c r="D3212" s="2" t="s">
        <v>5</v>
      </c>
    </row>
    <row r="3213" spans="1:4" x14ac:dyDescent="0.35">
      <c r="A3213" s="5" t="str">
        <f t="shared" si="1644"/>
        <v>Agency</v>
      </c>
      <c r="B3213" s="3" t="str">
        <f t="shared" ref="B3213:B3214" si="1657">CHOOSE(2, "1395000000599", "No. of Recruits per Active Recruiting Leader per month")</f>
        <v>No. of Recruits per Active Recruiting Leader per month</v>
      </c>
      <c r="C3213" s="4" t="str">
        <f>CHOOSE(2, "5461730030", "Jun 26")</f>
        <v>Jun 26</v>
      </c>
      <c r="D3213" s="14">
        <v>0</v>
      </c>
    </row>
    <row r="3214" spans="1:4" x14ac:dyDescent="0.35">
      <c r="A3214" s="5" t="str">
        <f t="shared" si="1644"/>
        <v>Agency</v>
      </c>
      <c r="B3214" s="6" t="str">
        <f t="shared" si="1657"/>
        <v>No. of Recruits per Active Recruiting Leader per month</v>
      </c>
      <c r="C3214" s="4" t="str">
        <f>CHOOSE(2, "5462030031", "Jul 26")</f>
        <v>Jul 26</v>
      </c>
      <c r="D3214" s="14">
        <v>0</v>
      </c>
    </row>
    <row r="3215" spans="1:4" x14ac:dyDescent="0.35">
      <c r="A3215" s="5" t="str">
        <f t="shared" si="1644"/>
        <v>Agency</v>
      </c>
      <c r="B3215" s="3" t="str">
        <f t="shared" ref="B3215:B3216" si="1658">CHOOSE(2, "1395000000598", "PRE as % of APE")</f>
        <v>PRE as % of APE</v>
      </c>
      <c r="C3215" s="4" t="str">
        <f>CHOOSE(2, "5461730030", "Jun 26")</f>
        <v>Jun 26</v>
      </c>
      <c r="D3215" s="14">
        <v>3.2120636211173073E-2</v>
      </c>
    </row>
    <row r="3216" spans="1:4" x14ac:dyDescent="0.35">
      <c r="A3216" s="5" t="str">
        <f t="shared" si="1644"/>
        <v>Agency</v>
      </c>
      <c r="B3216" s="6" t="str">
        <f t="shared" si="1658"/>
        <v>PRE as % of APE</v>
      </c>
      <c r="C3216" s="4" t="str">
        <f>CHOOSE(2, "5462030031", "Jul 26")</f>
        <v>Jul 26</v>
      </c>
      <c r="D3216" s="14">
        <v>0.10367065513174095</v>
      </c>
    </row>
    <row r="3217" spans="1:4" x14ac:dyDescent="0.35">
      <c r="A3217" s="5" t="str">
        <f t="shared" si="1644"/>
        <v>Agency</v>
      </c>
      <c r="B3217" s="3" t="str">
        <f t="shared" ref="B3217:B3218" si="1659">CHOOSE(2, "1395000000597", "ContEx as % of APE")</f>
        <v>ContEx as % of APE</v>
      </c>
      <c r="C3217" s="4" t="str">
        <f>CHOOSE(2, "5461730030", "Jun 26")</f>
        <v>Jun 26</v>
      </c>
      <c r="D3217" s="14">
        <v>0</v>
      </c>
    </row>
    <row r="3218" spans="1:4" x14ac:dyDescent="0.35">
      <c r="A3218" s="5" t="str">
        <f t="shared" si="1644"/>
        <v>Agency</v>
      </c>
      <c r="B3218" s="6" t="str">
        <f t="shared" si="1659"/>
        <v>ContEx as % of APE</v>
      </c>
      <c r="C3218" s="4" t="str">
        <f>CHOOSE(2, "5462030031", "Jul 26")</f>
        <v>Jul 26</v>
      </c>
      <c r="D3218" s="14">
        <v>0</v>
      </c>
    </row>
    <row r="3219" spans="1:4" x14ac:dyDescent="0.35">
      <c r="A3219" s="5" t="str">
        <f t="shared" si="1644"/>
        <v>Agency</v>
      </c>
      <c r="B3219" s="3" t="str">
        <f t="shared" ref="B3219:B3220" si="1660">CHOOSE(2, "1395000000596", "% of 1-Month Active Agents")</f>
        <v>% of 1-Month Active Agents</v>
      </c>
      <c r="C3219" s="4" t="str">
        <f>CHOOSE(2, "5461730030", "Jun 26")</f>
        <v>Jun 26</v>
      </c>
      <c r="D3219" s="14">
        <v>0.60720480320213477</v>
      </c>
    </row>
    <row r="3220" spans="1:4" x14ac:dyDescent="0.35">
      <c r="A3220" s="5" t="str">
        <f t="shared" si="1644"/>
        <v>Agency</v>
      </c>
      <c r="B3220" s="6" t="str">
        <f t="shared" si="1660"/>
        <v>% of 1-Month Active Agents</v>
      </c>
      <c r="C3220" s="4" t="str">
        <f>CHOOSE(2, "5462030031", "Jul 26")</f>
        <v>Jul 26</v>
      </c>
      <c r="D3220" s="14">
        <v>0.47760786455488802</v>
      </c>
    </row>
    <row r="3221" spans="1:4" x14ac:dyDescent="0.35">
      <c r="A3221" s="5" t="str">
        <f t="shared" si="1644"/>
        <v>Agency</v>
      </c>
      <c r="B3221" s="3" t="str">
        <f t="shared" ref="B3221:B3222" si="1661">CHOOSE(2, "1395000000595", "% of 3-Month Active Agents")</f>
        <v>% of 3-Month Active Agents</v>
      </c>
      <c r="C3221" s="4" t="str">
        <f>CHOOSE(2, "5461730030", "Jun 26")</f>
        <v>Jun 26</v>
      </c>
      <c r="D3221" s="14">
        <v>0</v>
      </c>
    </row>
    <row r="3222" spans="1:4" x14ac:dyDescent="0.35">
      <c r="A3222" s="5" t="str">
        <f t="shared" si="1644"/>
        <v>Agency</v>
      </c>
      <c r="B3222" s="6" t="str">
        <f t="shared" si="1661"/>
        <v>% of 3-Month Active Agents</v>
      </c>
      <c r="C3222" s="4" t="str">
        <f>CHOOSE(2, "5462030031", "Jul 26")</f>
        <v>Jul 26</v>
      </c>
      <c r="D3222" s="14">
        <v>0</v>
      </c>
    </row>
    <row r="3223" spans="1:4" x14ac:dyDescent="0.35">
      <c r="A3223" s="5" t="str">
        <f t="shared" si="1644"/>
        <v>Agency</v>
      </c>
      <c r="B3223" s="3" t="str">
        <f t="shared" ref="B3223:B3224" si="1662">CHOOSE(2, "1395000000594", "Active agents per active leader")</f>
        <v>Active agents per active leader</v>
      </c>
      <c r="C3223" s="4" t="str">
        <f>CHOOSE(2, "5461730030", "Jun 26")</f>
        <v>Jun 26</v>
      </c>
      <c r="D3223" s="14">
        <v>25.283333333333335</v>
      </c>
    </row>
    <row r="3224" spans="1:4" x14ac:dyDescent="0.35">
      <c r="A3224" s="5" t="str">
        <f t="shared" si="1644"/>
        <v>Agency</v>
      </c>
      <c r="B3224" s="6" t="str">
        <f t="shared" si="1662"/>
        <v>Active agents per active leader</v>
      </c>
      <c r="C3224" s="4" t="str">
        <f>CHOOSE(2, "5462030031", "Jul 26")</f>
        <v>Jul 26</v>
      </c>
      <c r="D3224" s="14">
        <v>26.907692307692308</v>
      </c>
    </row>
    <row r="3225" spans="1:4" x14ac:dyDescent="0.35">
      <c r="A3225" s="5" t="str">
        <f t="shared" si="1644"/>
        <v>Agency</v>
      </c>
      <c r="B3225" s="3" t="str">
        <f t="shared" ref="B3225:B3226" si="1663">CHOOSE(2, "1395000000593", "Avg. Case count per 1-Month Active Agent")</f>
        <v>Avg. Case count per 1-Month Active Agent</v>
      </c>
      <c r="C3225" s="4" t="str">
        <f>CHOOSE(2, "5461730030", "Jun 26")</f>
        <v>Jun 26</v>
      </c>
      <c r="D3225" s="14">
        <v>1.5390024170511976</v>
      </c>
    </row>
    <row r="3226" spans="1:4" x14ac:dyDescent="0.35">
      <c r="A3226" s="5" t="str">
        <f t="shared" si="1644"/>
        <v>Agency</v>
      </c>
      <c r="B3226" s="6" t="str">
        <f t="shared" si="1663"/>
        <v>Avg. Case count per 1-Month Active Agent</v>
      </c>
      <c r="C3226" s="4" t="str">
        <f>CHOOSE(2, "5462030031", "Jul 26")</f>
        <v>Jul 26</v>
      </c>
      <c r="D3226" s="14">
        <v>1.0220125786163523</v>
      </c>
    </row>
    <row r="3227" spans="1:4" x14ac:dyDescent="0.35">
      <c r="A3227" s="5" t="str">
        <f t="shared" si="1644"/>
        <v>Agency</v>
      </c>
      <c r="B3227" s="3" t="str">
        <f t="shared" ref="B3227:B3228" si="1664">CHOOSE(2, "1395000000592", "Avg. Case size")</f>
        <v>Avg. Case size</v>
      </c>
      <c r="C3227" s="4" t="str">
        <f>CHOOSE(2, "5461730030", "Jun 26")</f>
        <v>Jun 26</v>
      </c>
      <c r="D3227" s="14">
        <v>5464.2281261049957</v>
      </c>
    </row>
    <row r="3228" spans="1:4" x14ac:dyDescent="0.35">
      <c r="A3228" s="5" t="str">
        <f t="shared" si="1644"/>
        <v>Agency</v>
      </c>
      <c r="B3228" s="6" t="str">
        <f t="shared" si="1664"/>
        <v>Avg. Case size</v>
      </c>
      <c r="C3228" s="4" t="str">
        <f>CHOOSE(2, "5462030031", "Jul 26")</f>
        <v>Jul 26</v>
      </c>
      <c r="D3228" s="14">
        <v>4882.4186897548643</v>
      </c>
    </row>
    <row r="3229" spans="1:4" x14ac:dyDescent="0.35">
      <c r="A3229" s="5" t="str">
        <f t="shared" si="1644"/>
        <v>Agency</v>
      </c>
      <c r="B3229" s="3" t="str">
        <f t="shared" ref="B3229:B3230" si="1665">CHOOSE(2, "1395000000591", "APE per 1-Month Active Agent")</f>
        <v>APE per 1-Month Active Agent</v>
      </c>
      <c r="C3229" s="4" t="str">
        <f>CHOOSE(2, "5461730030", "Jun 26")</f>
        <v>Jun 26</v>
      </c>
      <c r="D3229" s="14">
        <v>8409.4602933947244</v>
      </c>
    </row>
    <row r="3230" spans="1:4" x14ac:dyDescent="0.35">
      <c r="A3230" s="5" t="str">
        <f t="shared" si="1644"/>
        <v>Agency</v>
      </c>
      <c r="B3230" s="6" t="str">
        <f t="shared" si="1665"/>
        <v>APE per 1-Month Active Agent</v>
      </c>
      <c r="C3230" s="4" t="str">
        <f>CHOOSE(2, "5462030031", "Jul 26")</f>
        <v>Jul 26</v>
      </c>
      <c r="D3230" s="14">
        <v>4989.8933150010407</v>
      </c>
    </row>
    <row r="3231" spans="1:4" x14ac:dyDescent="0.35">
      <c r="A3231" s="5" t="str">
        <f t="shared" si="1644"/>
        <v>Agency</v>
      </c>
      <c r="B3231" s="3" t="str">
        <f t="shared" ref="B3231:B3232" si="1666">CHOOSE(2, "1395000000590", "% Conversion of Proposals to cases")</f>
        <v>% Conversion of Proposals to cases</v>
      </c>
      <c r="C3231" s="4" t="str">
        <f>CHOOSE(2, "5461730030", "Jun 26")</f>
        <v>Jun 26</v>
      </c>
      <c r="D3231" s="14">
        <v>0</v>
      </c>
    </row>
    <row r="3232" spans="1:4" x14ac:dyDescent="0.35">
      <c r="A3232" s="5" t="str">
        <f t="shared" si="1644"/>
        <v>Agency</v>
      </c>
      <c r="B3232" s="6" t="str">
        <f t="shared" si="1666"/>
        <v>% Conversion of Proposals to cases</v>
      </c>
      <c r="C3232" s="4" t="str">
        <f>CHOOSE(2, "5462030031", "Jul 26")</f>
        <v>Jul 26</v>
      </c>
      <c r="D3232" s="14">
        <v>0</v>
      </c>
    </row>
    <row r="3233" spans="1:4" x14ac:dyDescent="0.35">
      <c r="A3233" s="5" t="str">
        <f t="shared" si="1644"/>
        <v>Agency</v>
      </c>
      <c r="B3233" s="3" t="str">
        <f t="shared" ref="B3233:B3234" si="1667">CHOOSE(2, "1395000000588", "% APE from Agents in X tenure")</f>
        <v>% APE from Agents in X tenure</v>
      </c>
      <c r="C3233" s="4" t="str">
        <f>CHOOSE(2, "5461730030", "Jun 26")</f>
        <v>Jun 26</v>
      </c>
      <c r="D3233" s="14">
        <v>1</v>
      </c>
    </row>
    <row r="3234" spans="1:4" x14ac:dyDescent="0.35">
      <c r="A3234" s="5" t="str">
        <f t="shared" si="1644"/>
        <v>Agency</v>
      </c>
      <c r="B3234" s="6" t="str">
        <f t="shared" si="1667"/>
        <v>% APE from Agents in X tenure</v>
      </c>
      <c r="C3234" s="4" t="str">
        <f>CHOOSE(2, "5462030031", "Jul 26")</f>
        <v>Jul 26</v>
      </c>
      <c r="D3234" s="14">
        <v>1</v>
      </c>
    </row>
    <row r="3235" spans="1:4" x14ac:dyDescent="0.35">
      <c r="A3235" s="5" t="str">
        <f t="shared" si="1644"/>
        <v>Agency</v>
      </c>
      <c r="B3235" s="3" t="str">
        <f t="shared" ref="B3235:B3236" si="1668">CHOOSE(2, "1395000000587", "% APE from Agents in X tenure in 0-1M")</f>
        <v>% APE from Agents in X tenure in 0-1M</v>
      </c>
      <c r="C3235" s="4" t="str">
        <f>CHOOSE(2, "5461730030", "Jun 26")</f>
        <v>Jun 26</v>
      </c>
      <c r="D3235" s="14">
        <v>0.1</v>
      </c>
    </row>
    <row r="3236" spans="1:4" x14ac:dyDescent="0.35">
      <c r="A3236" s="5" t="str">
        <f t="shared" si="1644"/>
        <v>Agency</v>
      </c>
      <c r="B3236" s="6" t="str">
        <f t="shared" si="1668"/>
        <v>% APE from Agents in X tenure in 0-1M</v>
      </c>
      <c r="C3236" s="4" t="str">
        <f>CHOOSE(2, "5462030031", "Jul 26")</f>
        <v>Jul 26</v>
      </c>
      <c r="D3236" s="14">
        <v>0.1</v>
      </c>
    </row>
    <row r="3237" spans="1:4" x14ac:dyDescent="0.35">
      <c r="A3237" s="5" t="str">
        <f t="shared" si="1644"/>
        <v>Agency</v>
      </c>
      <c r="B3237" s="3" t="str">
        <f t="shared" ref="B3237:B3238" si="1669">CHOOSE(2, "1395000000586", "% APE from Agents in X tenure in 2-3M")</f>
        <v>% APE from Agents in X tenure in 2-3M</v>
      </c>
      <c r="C3237" s="4" t="str">
        <f>CHOOSE(2, "5461730030", "Jun 26")</f>
        <v>Jun 26</v>
      </c>
      <c r="D3237" s="14">
        <v>0.2</v>
      </c>
    </row>
    <row r="3238" spans="1:4" x14ac:dyDescent="0.35">
      <c r="A3238" s="5" t="str">
        <f t="shared" si="1644"/>
        <v>Agency</v>
      </c>
      <c r="B3238" s="6" t="str">
        <f t="shared" si="1669"/>
        <v>% APE from Agents in X tenure in 2-3M</v>
      </c>
      <c r="C3238" s="4" t="str">
        <f>CHOOSE(2, "5462030031", "Jul 26")</f>
        <v>Jul 26</v>
      </c>
      <c r="D3238" s="14">
        <v>0.2</v>
      </c>
    </row>
    <row r="3239" spans="1:4" x14ac:dyDescent="0.35">
      <c r="A3239" s="5" t="str">
        <f t="shared" si="1644"/>
        <v>Agency</v>
      </c>
      <c r="B3239" s="3" t="str">
        <f t="shared" ref="B3239:B3240" si="1670">CHOOSE(2, "1395000000585", "% APE from Agents in X tenure in 4-12M")</f>
        <v>% APE from Agents in X tenure in 4-12M</v>
      </c>
      <c r="C3239" s="4" t="str">
        <f>CHOOSE(2, "5461730030", "Jun 26")</f>
        <v>Jun 26</v>
      </c>
      <c r="D3239" s="14">
        <v>0.3</v>
      </c>
    </row>
    <row r="3240" spans="1:4" x14ac:dyDescent="0.35">
      <c r="A3240" s="5" t="str">
        <f t="shared" si="1644"/>
        <v>Agency</v>
      </c>
      <c r="B3240" s="6" t="str">
        <f t="shared" si="1670"/>
        <v>% APE from Agents in X tenure in 4-12M</v>
      </c>
      <c r="C3240" s="4" t="str">
        <f>CHOOSE(2, "5462030031", "Jul 26")</f>
        <v>Jul 26</v>
      </c>
      <c r="D3240" s="14">
        <v>0.3</v>
      </c>
    </row>
    <row r="3241" spans="1:4" x14ac:dyDescent="0.35">
      <c r="A3241" s="5" t="str">
        <f t="shared" si="1644"/>
        <v>Agency</v>
      </c>
      <c r="B3241" s="3" t="str">
        <f t="shared" ref="B3241:B3242" si="1671">CHOOSE(2, "1395000000584", "% APE from Agents in X tenure 13+M")</f>
        <v>% APE from Agents in X tenure 13+M</v>
      </c>
      <c r="C3241" s="4" t="str">
        <f>CHOOSE(2, "5461730030", "Jun 26")</f>
        <v>Jun 26</v>
      </c>
      <c r="D3241" s="14">
        <v>0.4</v>
      </c>
    </row>
    <row r="3242" spans="1:4" x14ac:dyDescent="0.35">
      <c r="A3242" s="5" t="str">
        <f t="shared" si="1644"/>
        <v>Agency</v>
      </c>
      <c r="B3242" s="6" t="str">
        <f t="shared" si="1671"/>
        <v>% APE from Agents in X tenure 13+M</v>
      </c>
      <c r="C3242" s="4" t="str">
        <f>CHOOSE(2, "5462030031", "Jul 26")</f>
        <v>Jul 26</v>
      </c>
      <c r="D3242" s="14">
        <v>0.4</v>
      </c>
    </row>
    <row r="3243" spans="1:4" x14ac:dyDescent="0.35">
      <c r="A3243" s="5" t="str">
        <f t="shared" si="1644"/>
        <v>Agency</v>
      </c>
      <c r="B3243" s="3" t="str">
        <f t="shared" ref="B3243:B3244" si="1672">CHOOSE(2, "1395000000583", "% APE from pro-rated MDRT agents (100%)")</f>
        <v>% APE from pro-rated MDRT agents (100%)</v>
      </c>
      <c r="C3243" s="4" t="str">
        <f>CHOOSE(2, "5461730030", "Jun 26")</f>
        <v>Jun 26</v>
      </c>
      <c r="D3243" s="14">
        <v>0</v>
      </c>
    </row>
    <row r="3244" spans="1:4" x14ac:dyDescent="0.35">
      <c r="A3244" s="5" t="str">
        <f t="shared" si="1644"/>
        <v>Agency</v>
      </c>
      <c r="B3244" s="6" t="str">
        <f t="shared" si="1672"/>
        <v>% APE from pro-rated MDRT agents (100%)</v>
      </c>
      <c r="C3244" s="4" t="str">
        <f>CHOOSE(2, "5462030031", "Jul 26")</f>
        <v>Jul 26</v>
      </c>
      <c r="D3244" s="14">
        <v>0</v>
      </c>
    </row>
    <row r="3245" spans="1:4" x14ac:dyDescent="0.35">
      <c r="A3245" s="5" t="str">
        <f t="shared" si="1644"/>
        <v>Agency</v>
      </c>
      <c r="B3245" s="3" t="str">
        <f t="shared" ref="B3245:B3246" si="1673">CHOOSE(2, "1395000000582", "% APE from pro-rated MDRT agents (70-99%)")</f>
        <v>% APE from pro-rated MDRT agents (70-99%)</v>
      </c>
      <c r="C3245" s="4" t="str">
        <f>CHOOSE(2, "5461730030", "Jun 26")</f>
        <v>Jun 26</v>
      </c>
      <c r="D3245" s="14">
        <v>0</v>
      </c>
    </row>
    <row r="3246" spans="1:4" x14ac:dyDescent="0.35">
      <c r="A3246" s="5" t="str">
        <f t="shared" si="1644"/>
        <v>Agency</v>
      </c>
      <c r="B3246" s="6" t="str">
        <f t="shared" si="1673"/>
        <v>% APE from pro-rated MDRT agents (70-99%)</v>
      </c>
      <c r="C3246" s="4" t="str">
        <f>CHOOSE(2, "5462030031", "Jul 26")</f>
        <v>Jul 26</v>
      </c>
      <c r="D3246" s="14">
        <v>0</v>
      </c>
    </row>
    <row r="3247" spans="1:4" x14ac:dyDescent="0.35">
      <c r="A3247" s="5" t="str">
        <f t="shared" si="1644"/>
        <v>Agency</v>
      </c>
      <c r="B3247" s="3" t="str">
        <f t="shared" ref="B3247:B3248" si="1674">CHOOSE(2, "1395000000581", "% APE from pro-rated MDRT agents (50-69%)")</f>
        <v>% APE from pro-rated MDRT agents (50-69%)</v>
      </c>
      <c r="C3247" s="4" t="str">
        <f>CHOOSE(2, "5461730030", "Jun 26")</f>
        <v>Jun 26</v>
      </c>
      <c r="D3247" s="14">
        <v>0</v>
      </c>
    </row>
    <row r="3248" spans="1:4" x14ac:dyDescent="0.35">
      <c r="A3248" s="5" t="str">
        <f t="shared" si="1644"/>
        <v>Agency</v>
      </c>
      <c r="B3248" s="6" t="str">
        <f t="shared" si="1674"/>
        <v>% APE from pro-rated MDRT agents (50-69%)</v>
      </c>
      <c r="C3248" s="4" t="str">
        <f>CHOOSE(2, "5462030031", "Jul 26")</f>
        <v>Jul 26</v>
      </c>
      <c r="D3248" s="14">
        <v>0</v>
      </c>
    </row>
    <row r="3249" spans="1:4" x14ac:dyDescent="0.35">
      <c r="A3249" s="5" t="str">
        <f t="shared" si="1644"/>
        <v>Agency</v>
      </c>
      <c r="B3249" s="3" t="str">
        <f t="shared" ref="B3249:B3250" si="1675">CHOOSE(2, "1395000000580", "% APE from Top-tier agents")</f>
        <v>% APE from Top-tier agents</v>
      </c>
      <c r="C3249" s="4" t="str">
        <f>CHOOSE(2, "5461730030", "Jun 26")</f>
        <v>Jun 26</v>
      </c>
      <c r="D3249" s="14">
        <v>0</v>
      </c>
    </row>
    <row r="3250" spans="1:4" x14ac:dyDescent="0.35">
      <c r="A3250" s="5" t="str">
        <f t="shared" si="1644"/>
        <v>Agency</v>
      </c>
      <c r="B3250" s="6" t="str">
        <f t="shared" si="1675"/>
        <v>% APE from Top-tier agents</v>
      </c>
      <c r="C3250" s="4" t="str">
        <f>CHOOSE(2, "5462030031", "Jul 26")</f>
        <v>Jul 26</v>
      </c>
      <c r="D3250" s="14">
        <v>0</v>
      </c>
    </row>
    <row r="3251" spans="1:4" x14ac:dyDescent="0.35">
      <c r="A3251" s="5" t="str">
        <f t="shared" si="1644"/>
        <v>Agency</v>
      </c>
      <c r="B3251" s="3" t="str">
        <f t="shared" ref="B3251:B3252" si="1676">CHOOSE(2, "1395000000579", "% of Active Recruiting Leaders")</f>
        <v>% of Active Recruiting Leaders</v>
      </c>
      <c r="C3251" s="4" t="str">
        <f>CHOOSE(2, "5461730030", "Jun 26")</f>
        <v>Jun 26</v>
      </c>
      <c r="D3251" s="14">
        <v>0.14274385408406026</v>
      </c>
    </row>
    <row r="3252" spans="1:4" x14ac:dyDescent="0.35">
      <c r="A3252" s="5" t="str">
        <f t="shared" si="1644"/>
        <v>Agency</v>
      </c>
      <c r="B3252" s="6" t="str">
        <f t="shared" si="1676"/>
        <v>% of Active Recruiting Leaders</v>
      </c>
      <c r="C3252" s="4" t="str">
        <f>CHOOSE(2, "5462030031", "Jul 26")</f>
        <v>Jul 26</v>
      </c>
      <c r="D3252" s="14">
        <v>0.1043338683788122</v>
      </c>
    </row>
    <row r="3253" spans="1:4" x14ac:dyDescent="0.35">
      <c r="A3253" s="5" t="str">
        <f t="shared" ref="A3253:A3316" si="1677">CHOOSE(2, "1260000000010", "Agency")</f>
        <v>Agency</v>
      </c>
      <c r="B3253" s="3" t="str">
        <f t="shared" ref="B3253:B3254" si="1678">CHOOSE(2, "1395000000578", "% of leaders with &gt;1 YTD recruit")</f>
        <v>% of leaders with &gt;1 YTD recruit</v>
      </c>
      <c r="C3253" s="4" t="str">
        <f>CHOOSE(2, "5461730030", "Jun 26")</f>
        <v>Jun 26</v>
      </c>
      <c r="D3253" s="14">
        <v>0.48850118953211735</v>
      </c>
    </row>
    <row r="3254" spans="1:4" x14ac:dyDescent="0.35">
      <c r="A3254" s="5" t="str">
        <f t="shared" si="1677"/>
        <v>Agency</v>
      </c>
      <c r="B3254" s="6" t="str">
        <f t="shared" si="1678"/>
        <v>% of leaders with &gt;1 YTD recruit</v>
      </c>
      <c r="C3254" s="4" t="str">
        <f>CHOOSE(2, "5462030031", "Jul 26")</f>
        <v>Jul 26</v>
      </c>
      <c r="D3254" s="14">
        <v>0.557784911717496</v>
      </c>
    </row>
    <row r="3255" spans="1:4" x14ac:dyDescent="0.35">
      <c r="A3255" s="5" t="str">
        <f t="shared" si="1677"/>
        <v>Agency</v>
      </c>
      <c r="B3255" s="3" t="str">
        <f t="shared" ref="B3255:B3256" si="1679">CHOOSE(2, "1395000000577", "% of 1-Month Active Top-tier agents")</f>
        <v>% of 1-Month Active Top-tier agents</v>
      </c>
      <c r="C3255" s="4" t="str">
        <f>CHOOSE(2, "5461730030", "Jun 26")</f>
        <v>Jun 26</v>
      </c>
      <c r="D3255" s="14">
        <v>0</v>
      </c>
    </row>
    <row r="3256" spans="1:4" x14ac:dyDescent="0.35">
      <c r="A3256" s="5" t="str">
        <f t="shared" si="1677"/>
        <v>Agency</v>
      </c>
      <c r="B3256" s="6" t="str">
        <f t="shared" si="1679"/>
        <v>% of 1-Month Active Top-tier agents</v>
      </c>
      <c r="C3256" s="4" t="str">
        <f>CHOOSE(2, "5462030031", "Jul 26")</f>
        <v>Jul 26</v>
      </c>
      <c r="D3256" s="14">
        <v>0</v>
      </c>
    </row>
    <row r="3257" spans="1:4" x14ac:dyDescent="0.35">
      <c r="A3257" s="5" t="str">
        <f t="shared" si="1677"/>
        <v>Agency</v>
      </c>
      <c r="B3257" s="3" t="str">
        <f t="shared" ref="B3257:B3258" si="1680">CHOOSE(2, "1395000000576", "% APE from Manulife Pro - Total")</f>
        <v>% APE from Manulife Pro - Total</v>
      </c>
      <c r="C3257" s="4" t="str">
        <f>CHOOSE(2, "5461730030", "Jun 26")</f>
        <v>Jun 26</v>
      </c>
      <c r="D3257" s="14">
        <v>0</v>
      </c>
    </row>
    <row r="3258" spans="1:4" x14ac:dyDescent="0.35">
      <c r="A3258" s="5" t="str">
        <f t="shared" si="1677"/>
        <v>Agency</v>
      </c>
      <c r="B3258" s="6" t="str">
        <f t="shared" si="1680"/>
        <v>% APE from Manulife Pro - Total</v>
      </c>
      <c r="C3258" s="4" t="str">
        <f>CHOOSE(2, "5462030031", "Jul 26")</f>
        <v>Jul 26</v>
      </c>
      <c r="D3258" s="14">
        <v>0</v>
      </c>
    </row>
    <row r="3259" spans="1:4" x14ac:dyDescent="0.35">
      <c r="A3259" s="5" t="str">
        <f t="shared" si="1677"/>
        <v>Agency</v>
      </c>
      <c r="B3259" s="3" t="str">
        <f t="shared" ref="B3259:B3260" si="1681">CHOOSE(2, "1395000000575", "% of 1-Month Active Agents Manulife Pro Qualifiers - Total")</f>
        <v>% of 1-Month Active Agents Manulife Pro Qualifiers - Total</v>
      </c>
      <c r="C3259" s="4" t="str">
        <f>CHOOSE(2, "5461730030", "Jun 26")</f>
        <v>Jun 26</v>
      </c>
      <c r="D3259" s="14">
        <v>0</v>
      </c>
    </row>
    <row r="3260" spans="1:4" x14ac:dyDescent="0.35">
      <c r="A3260" s="5" t="str">
        <f t="shared" si="1677"/>
        <v>Agency</v>
      </c>
      <c r="B3260" s="6" t="str">
        <f t="shared" si="1681"/>
        <v>% of 1-Month Active Agents Manulife Pro Qualifiers - Total</v>
      </c>
      <c r="C3260" s="4" t="str">
        <f>CHOOSE(2, "5462030031", "Jul 26")</f>
        <v>Jul 26</v>
      </c>
      <c r="D3260" s="14">
        <v>0</v>
      </c>
    </row>
    <row r="3261" spans="1:4" x14ac:dyDescent="0.35">
      <c r="A3261" s="5" t="str">
        <f t="shared" si="1677"/>
        <v>Agency</v>
      </c>
      <c r="B3261" s="3" t="str">
        <f t="shared" ref="B3261:B3262" si="1682">CHOOSE(2, "1395000000574", "% of Newly Demoted UM")</f>
        <v>% of Newly Demoted UM</v>
      </c>
      <c r="C3261" s="4" t="str">
        <f>CHOOSE(2, "5461730030", "Jun 26")</f>
        <v>Jun 26</v>
      </c>
      <c r="D3261" s="14">
        <v>0</v>
      </c>
    </row>
    <row r="3262" spans="1:4" x14ac:dyDescent="0.35">
      <c r="A3262" s="5" t="str">
        <f t="shared" si="1677"/>
        <v>Agency</v>
      </c>
      <c r="B3262" s="6" t="str">
        <f t="shared" si="1682"/>
        <v>% of Newly Demoted UM</v>
      </c>
      <c r="C3262" s="4" t="str">
        <f>CHOOSE(2, "5462030031", "Jul 26")</f>
        <v>Jul 26</v>
      </c>
      <c r="D3262" s="14">
        <v>0</v>
      </c>
    </row>
    <row r="3263" spans="1:4" x14ac:dyDescent="0.35">
      <c r="A3263" s="5" t="str">
        <f t="shared" si="1677"/>
        <v>Agency</v>
      </c>
      <c r="B3263" s="3" t="str">
        <f t="shared" ref="B3263:B3264" si="1683">CHOOSE(2, "1395000000573", "% of Newly Demoted Leaders above UM")</f>
        <v>% of Newly Demoted Leaders above UM</v>
      </c>
      <c r="C3263" s="4" t="str">
        <f>CHOOSE(2, "5461730030", "Jun 26")</f>
        <v>Jun 26</v>
      </c>
      <c r="D3263" s="14">
        <v>0</v>
      </c>
    </row>
    <row r="3264" spans="1:4" x14ac:dyDescent="0.35">
      <c r="A3264" s="5" t="str">
        <f t="shared" si="1677"/>
        <v>Agency</v>
      </c>
      <c r="B3264" s="6" t="str">
        <f t="shared" si="1683"/>
        <v>% of Newly Demoted Leaders above UM</v>
      </c>
      <c r="C3264" s="4" t="str">
        <f>CHOOSE(2, "5462030031", "Jul 26")</f>
        <v>Jul 26</v>
      </c>
      <c r="D3264" s="14">
        <v>0</v>
      </c>
    </row>
    <row r="3265" spans="1:4" x14ac:dyDescent="0.35">
      <c r="A3265" s="5" t="str">
        <f t="shared" si="1677"/>
        <v>Agency</v>
      </c>
      <c r="B3265" s="3" t="str">
        <f t="shared" ref="B3265:B3266" si="1684">CHOOSE(2, "1395000000572", "Avg. Earning per agent")</f>
        <v>Avg. Earning per agent</v>
      </c>
      <c r="C3265" s="4" t="str">
        <f>CHOOSE(2, "5461730030", "Jun 26")</f>
        <v>Jun 26</v>
      </c>
      <c r="D3265" s="14">
        <v>0</v>
      </c>
    </row>
    <row r="3266" spans="1:4" x14ac:dyDescent="0.35">
      <c r="A3266" s="5" t="str">
        <f t="shared" si="1677"/>
        <v>Agency</v>
      </c>
      <c r="B3266" s="6" t="str">
        <f t="shared" si="1684"/>
        <v>Avg. Earning per agent</v>
      </c>
      <c r="C3266" s="4" t="str">
        <f>CHOOSE(2, "5462030031", "Jul 26")</f>
        <v>Jul 26</v>
      </c>
      <c r="D3266" s="14">
        <v>0</v>
      </c>
    </row>
    <row r="3267" spans="1:4" x14ac:dyDescent="0.35">
      <c r="A3267" s="5" t="str">
        <f t="shared" si="1677"/>
        <v>Agency</v>
      </c>
      <c r="B3267" s="3" t="str">
        <f t="shared" ref="B3267:B3268" si="1685">CHOOSE(2, "1395000000571", "Avg. Earning per agent in FA or equivalent")</f>
        <v>Avg. Earning per agent in FA or equivalent</v>
      </c>
      <c r="C3267" s="4" t="str">
        <f>CHOOSE(2, "5461730030", "Jun 26")</f>
        <v>Jun 26</v>
      </c>
      <c r="D3267" s="14">
        <v>0</v>
      </c>
    </row>
    <row r="3268" spans="1:4" x14ac:dyDescent="0.35">
      <c r="A3268" s="5" t="str">
        <f t="shared" si="1677"/>
        <v>Agency</v>
      </c>
      <c r="B3268" s="6" t="str">
        <f t="shared" si="1685"/>
        <v>Avg. Earning per agent in FA or equivalent</v>
      </c>
      <c r="C3268" s="4" t="str">
        <f>CHOOSE(2, "5462030031", "Jul 26")</f>
        <v>Jul 26</v>
      </c>
      <c r="D3268" s="14">
        <v>0</v>
      </c>
    </row>
    <row r="3269" spans="1:4" x14ac:dyDescent="0.35">
      <c r="A3269" s="5" t="str">
        <f t="shared" si="1677"/>
        <v>Agency</v>
      </c>
      <c r="B3269" s="3" t="str">
        <f t="shared" ref="B3269:B3270" si="1686">CHOOSE(2, "1395000000570", "Avg. Earning per agent in UM")</f>
        <v>Avg. Earning per agent in UM</v>
      </c>
      <c r="C3269" s="4" t="str">
        <f>CHOOSE(2, "5461730030", "Jun 26")</f>
        <v>Jun 26</v>
      </c>
      <c r="D3269" s="14">
        <v>0</v>
      </c>
    </row>
    <row r="3270" spans="1:4" x14ac:dyDescent="0.35">
      <c r="A3270" s="5" t="str">
        <f t="shared" si="1677"/>
        <v>Agency</v>
      </c>
      <c r="B3270" s="6" t="str">
        <f t="shared" si="1686"/>
        <v>Avg. Earning per agent in UM</v>
      </c>
      <c r="C3270" s="4" t="str">
        <f>CHOOSE(2, "5462030031", "Jul 26")</f>
        <v>Jul 26</v>
      </c>
      <c r="D3270" s="14">
        <v>0</v>
      </c>
    </row>
    <row r="3271" spans="1:4" x14ac:dyDescent="0.35">
      <c r="A3271" s="5" t="str">
        <f t="shared" si="1677"/>
        <v>Agency</v>
      </c>
      <c r="B3271" s="3" t="str">
        <f t="shared" ref="B3271:B3272" si="1687">CHOOSE(2, "1395000000569", "Avg. Earning per agent in Leaders above UM")</f>
        <v>Avg. Earning per agent in Leaders above UM</v>
      </c>
      <c r="C3271" s="4" t="str">
        <f>CHOOSE(2, "5461730030", "Jun 26")</f>
        <v>Jun 26</v>
      </c>
      <c r="D3271" s="14">
        <v>0</v>
      </c>
    </row>
    <row r="3272" spans="1:4" x14ac:dyDescent="0.35">
      <c r="A3272" s="5" t="str">
        <f t="shared" si="1677"/>
        <v>Agency</v>
      </c>
      <c r="B3272" s="6" t="str">
        <f t="shared" si="1687"/>
        <v>Avg. Earning per agent in Leaders above UM</v>
      </c>
      <c r="C3272" s="4" t="str">
        <f>CHOOSE(2, "5462030031", "Jul 26")</f>
        <v>Jul 26</v>
      </c>
      <c r="D3272" s="14">
        <v>0</v>
      </c>
    </row>
    <row r="3273" spans="1:4" x14ac:dyDescent="0.35">
      <c r="A3273" s="5" t="str">
        <f t="shared" si="1677"/>
        <v>Agency</v>
      </c>
      <c r="B3273" s="3" t="str">
        <f t="shared" ref="B3273:B3274" si="1688">CHOOSE(2, "1395000000568", "% of 1-Month Active Agents 0-1M")</f>
        <v>% of 1-Month Active Agents 0-1M</v>
      </c>
      <c r="C3273" s="4" t="str">
        <f>CHOOSE(2, "5461730030", "Jun 26")</f>
        <v>Jun 26</v>
      </c>
      <c r="D3273" s="14">
        <v>0</v>
      </c>
    </row>
    <row r="3274" spans="1:4" x14ac:dyDescent="0.35">
      <c r="A3274" s="5" t="str">
        <f t="shared" si="1677"/>
        <v>Agency</v>
      </c>
      <c r="B3274" s="6" t="str">
        <f t="shared" si="1688"/>
        <v>% of 1-Month Active Agents 0-1M</v>
      </c>
      <c r="C3274" s="4" t="str">
        <f>CHOOSE(2, "5462030031", "Jul 26")</f>
        <v>Jul 26</v>
      </c>
      <c r="D3274" s="14">
        <v>0</v>
      </c>
    </row>
    <row r="3275" spans="1:4" x14ac:dyDescent="0.35">
      <c r="A3275" s="5" t="str">
        <f t="shared" si="1677"/>
        <v>Agency</v>
      </c>
      <c r="B3275" s="3" t="str">
        <f t="shared" ref="B3275:B3276" si="1689">CHOOSE(2, "1395000000567", "% of 1-Month Active Agents in 2-3M")</f>
        <v>% of 1-Month Active Agents in 2-3M</v>
      </c>
      <c r="C3275" s="4" t="str">
        <f>CHOOSE(2, "5461730030", "Jun 26")</f>
        <v>Jun 26</v>
      </c>
      <c r="D3275" s="14">
        <v>0</v>
      </c>
    </row>
    <row r="3276" spans="1:4" x14ac:dyDescent="0.35">
      <c r="A3276" s="5" t="str">
        <f t="shared" si="1677"/>
        <v>Agency</v>
      </c>
      <c r="B3276" s="6" t="str">
        <f t="shared" si="1689"/>
        <v>% of 1-Month Active Agents in 2-3M</v>
      </c>
      <c r="C3276" s="4" t="str">
        <f>CHOOSE(2, "5462030031", "Jul 26")</f>
        <v>Jul 26</v>
      </c>
      <c r="D3276" s="14">
        <v>0</v>
      </c>
    </row>
    <row r="3277" spans="1:4" x14ac:dyDescent="0.35">
      <c r="A3277" s="5" t="str">
        <f t="shared" si="1677"/>
        <v>Agency</v>
      </c>
      <c r="B3277" s="3" t="str">
        <f t="shared" ref="B3277:B3278" si="1690">CHOOSE(2, "1395000000566", "% of 1-Month Active Agents 4-12M")</f>
        <v>% of 1-Month Active Agents 4-12M</v>
      </c>
      <c r="C3277" s="4" t="str">
        <f>CHOOSE(2, "5461730030", "Jun 26")</f>
        <v>Jun 26</v>
      </c>
      <c r="D3277" s="14">
        <v>0</v>
      </c>
    </row>
    <row r="3278" spans="1:4" x14ac:dyDescent="0.35">
      <c r="A3278" s="5" t="str">
        <f t="shared" si="1677"/>
        <v>Agency</v>
      </c>
      <c r="B3278" s="6" t="str">
        <f t="shared" si="1690"/>
        <v>% of 1-Month Active Agents 4-12M</v>
      </c>
      <c r="C3278" s="4" t="str">
        <f>CHOOSE(2, "5462030031", "Jul 26")</f>
        <v>Jul 26</v>
      </c>
      <c r="D3278" s="14">
        <v>0</v>
      </c>
    </row>
    <row r="3279" spans="1:4" x14ac:dyDescent="0.35">
      <c r="A3279" s="5" t="str">
        <f t="shared" si="1677"/>
        <v>Agency</v>
      </c>
      <c r="B3279" s="3" t="str">
        <f t="shared" ref="B3279:B3280" si="1691">CHOOSE(2, "1395000000565", "% of 1-Month Active Agents 13+M")</f>
        <v>% of 1-Month Active Agents 13+M</v>
      </c>
      <c r="C3279" s="4" t="str">
        <f>CHOOSE(2, "5461730030", "Jun 26")</f>
        <v>Jun 26</v>
      </c>
      <c r="D3279" s="14">
        <v>0</v>
      </c>
    </row>
    <row r="3280" spans="1:4" x14ac:dyDescent="0.35">
      <c r="A3280" s="5" t="str">
        <f t="shared" si="1677"/>
        <v>Agency</v>
      </c>
      <c r="B3280" s="6" t="str">
        <f t="shared" si="1691"/>
        <v>% of 1-Month Active Agents 13+M</v>
      </c>
      <c r="C3280" s="4" t="str">
        <f>CHOOSE(2, "5462030031", "Jul 26")</f>
        <v>Jul 26</v>
      </c>
      <c r="D3280" s="14">
        <v>0</v>
      </c>
    </row>
    <row r="3281" spans="1:4" x14ac:dyDescent="0.35">
      <c r="A3281" s="5" t="str">
        <f t="shared" si="1677"/>
        <v>Agency</v>
      </c>
      <c r="B3281" s="3" t="str">
        <f t="shared" ref="B3281:B3282" si="1692">CHOOSE(2, "1395000000564", "% of 3-Month Active Agents 0-1M")</f>
        <v>% of 3-Month Active Agents 0-1M</v>
      </c>
      <c r="C3281" s="4" t="str">
        <f>CHOOSE(2, "5461730030", "Jun 26")</f>
        <v>Jun 26</v>
      </c>
      <c r="D3281" s="14">
        <v>0</v>
      </c>
    </row>
    <row r="3282" spans="1:4" x14ac:dyDescent="0.35">
      <c r="A3282" s="5" t="str">
        <f t="shared" si="1677"/>
        <v>Agency</v>
      </c>
      <c r="B3282" s="6" t="str">
        <f t="shared" si="1692"/>
        <v>% of 3-Month Active Agents 0-1M</v>
      </c>
      <c r="C3282" s="4" t="str">
        <f>CHOOSE(2, "5462030031", "Jul 26")</f>
        <v>Jul 26</v>
      </c>
      <c r="D3282" s="14">
        <v>0</v>
      </c>
    </row>
    <row r="3283" spans="1:4" x14ac:dyDescent="0.35">
      <c r="A3283" s="5" t="str">
        <f t="shared" si="1677"/>
        <v>Agency</v>
      </c>
      <c r="B3283" s="3" t="str">
        <f t="shared" ref="B3283:B3284" si="1693">CHOOSE(2, "1395000000563", "% of 3-Month Active Agents in 2-3M")</f>
        <v>% of 3-Month Active Agents in 2-3M</v>
      </c>
      <c r="C3283" s="4" t="str">
        <f>CHOOSE(2, "5461730030", "Jun 26")</f>
        <v>Jun 26</v>
      </c>
      <c r="D3283" s="14">
        <v>0</v>
      </c>
    </row>
    <row r="3284" spans="1:4" x14ac:dyDescent="0.35">
      <c r="A3284" s="5" t="str">
        <f t="shared" si="1677"/>
        <v>Agency</v>
      </c>
      <c r="B3284" s="6" t="str">
        <f t="shared" si="1693"/>
        <v>% of 3-Month Active Agents in 2-3M</v>
      </c>
      <c r="C3284" s="4" t="str">
        <f>CHOOSE(2, "5462030031", "Jul 26")</f>
        <v>Jul 26</v>
      </c>
      <c r="D3284" s="14">
        <v>0</v>
      </c>
    </row>
    <row r="3285" spans="1:4" x14ac:dyDescent="0.35">
      <c r="A3285" s="5" t="str">
        <f t="shared" si="1677"/>
        <v>Agency</v>
      </c>
      <c r="B3285" s="3" t="str">
        <f t="shared" ref="B3285:B3286" si="1694">CHOOSE(2, "1395000000562", "% of 3-Month Active Agents 4-12M")</f>
        <v>% of 3-Month Active Agents 4-12M</v>
      </c>
      <c r="C3285" s="4" t="str">
        <f>CHOOSE(2, "5461730030", "Jun 26")</f>
        <v>Jun 26</v>
      </c>
      <c r="D3285" s="14">
        <v>0</v>
      </c>
    </row>
    <row r="3286" spans="1:4" x14ac:dyDescent="0.35">
      <c r="A3286" s="5" t="str">
        <f t="shared" si="1677"/>
        <v>Agency</v>
      </c>
      <c r="B3286" s="6" t="str">
        <f t="shared" si="1694"/>
        <v>% of 3-Month Active Agents 4-12M</v>
      </c>
      <c r="C3286" s="4" t="str">
        <f>CHOOSE(2, "5462030031", "Jul 26")</f>
        <v>Jul 26</v>
      </c>
      <c r="D3286" s="14">
        <v>0</v>
      </c>
    </row>
    <row r="3287" spans="1:4" x14ac:dyDescent="0.35">
      <c r="A3287" s="5" t="str">
        <f t="shared" si="1677"/>
        <v>Agency</v>
      </c>
      <c r="B3287" s="3" t="str">
        <f t="shared" ref="B3287:B3288" si="1695">CHOOSE(2, "1395000000561", "% of 3-Month Active Agents 13+M")</f>
        <v>% of 3-Month Active Agents 13+M</v>
      </c>
      <c r="C3287" s="4" t="str">
        <f>CHOOSE(2, "5461730030", "Jun 26")</f>
        <v>Jun 26</v>
      </c>
      <c r="D3287" s="14">
        <v>0</v>
      </c>
    </row>
    <row r="3288" spans="1:4" x14ac:dyDescent="0.35">
      <c r="A3288" s="5" t="str">
        <f t="shared" si="1677"/>
        <v>Agency</v>
      </c>
      <c r="B3288" s="6" t="str">
        <f t="shared" si="1695"/>
        <v>% of 3-Month Active Agents 13+M</v>
      </c>
      <c r="C3288" s="4" t="str">
        <f>CHOOSE(2, "5462030031", "Jul 26")</f>
        <v>Jul 26</v>
      </c>
      <c r="D3288" s="14">
        <v>0</v>
      </c>
    </row>
    <row r="3289" spans="1:4" x14ac:dyDescent="0.35">
      <c r="A3289" s="5" t="str">
        <f t="shared" si="1677"/>
        <v>Agency</v>
      </c>
      <c r="B3289" s="3" t="str">
        <f t="shared" ref="B3289:B3290" si="1696">CHOOSE(2, "1395000000560", "Avg. Case count per 1-Month Active Agent 0-1M")</f>
        <v>Avg. Case count per 1-Month Active Agent 0-1M</v>
      </c>
      <c r="C3289" s="4" t="str">
        <f>CHOOSE(2, "5461730030", "Jun 26")</f>
        <v>Jun 26</v>
      </c>
      <c r="D3289" s="14">
        <v>0</v>
      </c>
    </row>
    <row r="3290" spans="1:4" x14ac:dyDescent="0.35">
      <c r="A3290" s="5" t="str">
        <f t="shared" si="1677"/>
        <v>Agency</v>
      </c>
      <c r="B3290" s="6" t="str">
        <f t="shared" si="1696"/>
        <v>Avg. Case count per 1-Month Active Agent 0-1M</v>
      </c>
      <c r="C3290" s="4" t="str">
        <f>CHOOSE(2, "5462030031", "Jul 26")</f>
        <v>Jul 26</v>
      </c>
      <c r="D3290" s="14">
        <v>0</v>
      </c>
    </row>
    <row r="3291" spans="1:4" x14ac:dyDescent="0.35">
      <c r="A3291" s="5" t="str">
        <f t="shared" si="1677"/>
        <v>Agency</v>
      </c>
      <c r="B3291" s="3" t="str">
        <f t="shared" ref="B3291:B3292" si="1697">CHOOSE(2, "1395000000559", "Avg. Case count per 1-Month Active Agent in 2-3M")</f>
        <v>Avg. Case count per 1-Month Active Agent in 2-3M</v>
      </c>
      <c r="C3291" s="4" t="str">
        <f>CHOOSE(2, "5461730030", "Jun 26")</f>
        <v>Jun 26</v>
      </c>
      <c r="D3291" s="14">
        <v>0</v>
      </c>
    </row>
    <row r="3292" spans="1:4" x14ac:dyDescent="0.35">
      <c r="A3292" s="5" t="str">
        <f t="shared" si="1677"/>
        <v>Agency</v>
      </c>
      <c r="B3292" s="6" t="str">
        <f t="shared" si="1697"/>
        <v>Avg. Case count per 1-Month Active Agent in 2-3M</v>
      </c>
      <c r="C3292" s="4" t="str">
        <f>CHOOSE(2, "5462030031", "Jul 26")</f>
        <v>Jul 26</v>
      </c>
      <c r="D3292" s="14">
        <v>0</v>
      </c>
    </row>
    <row r="3293" spans="1:4" x14ac:dyDescent="0.35">
      <c r="A3293" s="5" t="str">
        <f t="shared" si="1677"/>
        <v>Agency</v>
      </c>
      <c r="B3293" s="3" t="str">
        <f t="shared" ref="B3293:B3294" si="1698">CHOOSE(2, "1395000000558", "Avg. Case count per 1-Month Active Agent 4-12M")</f>
        <v>Avg. Case count per 1-Month Active Agent 4-12M</v>
      </c>
      <c r="C3293" s="4" t="str">
        <f>CHOOSE(2, "5461730030", "Jun 26")</f>
        <v>Jun 26</v>
      </c>
      <c r="D3293" s="14">
        <v>0</v>
      </c>
    </row>
    <row r="3294" spans="1:4" x14ac:dyDescent="0.35">
      <c r="A3294" s="5" t="str">
        <f t="shared" si="1677"/>
        <v>Agency</v>
      </c>
      <c r="B3294" s="6" t="str">
        <f t="shared" si="1698"/>
        <v>Avg. Case count per 1-Month Active Agent 4-12M</v>
      </c>
      <c r="C3294" s="4" t="str">
        <f>CHOOSE(2, "5462030031", "Jul 26")</f>
        <v>Jul 26</v>
      </c>
      <c r="D3294" s="14">
        <v>0</v>
      </c>
    </row>
    <row r="3295" spans="1:4" x14ac:dyDescent="0.35">
      <c r="A3295" s="5" t="str">
        <f t="shared" si="1677"/>
        <v>Agency</v>
      </c>
      <c r="B3295" s="3" t="str">
        <f t="shared" ref="B3295:B3296" si="1699">CHOOSE(2, "1395000000557", "Avg. Case count per 1-Month Active Agent 13+M")</f>
        <v>Avg. Case count per 1-Month Active Agent 13+M</v>
      </c>
      <c r="C3295" s="4" t="str">
        <f>CHOOSE(2, "5461730030", "Jun 26")</f>
        <v>Jun 26</v>
      </c>
      <c r="D3295" s="14">
        <v>2.3939307185800174</v>
      </c>
    </row>
    <row r="3296" spans="1:4" x14ac:dyDescent="0.35">
      <c r="A3296" s="5" t="str">
        <f t="shared" si="1677"/>
        <v>Agency</v>
      </c>
      <c r="B3296" s="6" t="str">
        <f t="shared" si="1699"/>
        <v>Avg. Case count per 1-Month Active Agent 13+M</v>
      </c>
      <c r="C3296" s="4" t="str">
        <f>CHOOSE(2, "5462030031", "Jul 26")</f>
        <v>Jul 26</v>
      </c>
      <c r="D3296" s="14">
        <v>1.9836899333567168</v>
      </c>
    </row>
    <row r="3297" spans="1:4" x14ac:dyDescent="0.35">
      <c r="A3297" s="5" t="str">
        <f t="shared" si="1677"/>
        <v>Agency</v>
      </c>
      <c r="B3297" s="3" t="str">
        <f t="shared" ref="B3297:B3298" si="1700">CHOOSE(2, "1395000000556", "Avg. Case size 0-1M")</f>
        <v>Avg. Case size 0-1M</v>
      </c>
      <c r="C3297" s="4" t="str">
        <f>CHOOSE(2, "5461730030", "Jun 26")</f>
        <v>Jun 26</v>
      </c>
      <c r="D3297" s="14">
        <v>0</v>
      </c>
    </row>
    <row r="3298" spans="1:4" x14ac:dyDescent="0.35">
      <c r="A3298" s="5" t="str">
        <f t="shared" si="1677"/>
        <v>Agency</v>
      </c>
      <c r="B3298" s="6" t="str">
        <f t="shared" si="1700"/>
        <v>Avg. Case size 0-1M</v>
      </c>
      <c r="C3298" s="4" t="str">
        <f>CHOOSE(2, "5462030031", "Jul 26")</f>
        <v>Jul 26</v>
      </c>
      <c r="D3298" s="14">
        <v>0</v>
      </c>
    </row>
    <row r="3299" spans="1:4" x14ac:dyDescent="0.35">
      <c r="A3299" s="5" t="str">
        <f t="shared" si="1677"/>
        <v>Agency</v>
      </c>
      <c r="B3299" s="3" t="str">
        <f t="shared" ref="B3299:B3300" si="1701">CHOOSE(2, "1395000000555", "Avg. Case size in 2-3M")</f>
        <v>Avg. Case size in 2-3M</v>
      </c>
      <c r="C3299" s="4" t="str">
        <f>CHOOSE(2, "5461730030", "Jun 26")</f>
        <v>Jun 26</v>
      </c>
      <c r="D3299" s="14">
        <v>0</v>
      </c>
    </row>
    <row r="3300" spans="1:4" x14ac:dyDescent="0.35">
      <c r="A3300" s="5" t="str">
        <f t="shared" si="1677"/>
        <v>Agency</v>
      </c>
      <c r="B3300" s="6" t="str">
        <f t="shared" si="1701"/>
        <v>Avg. Case size in 2-3M</v>
      </c>
      <c r="C3300" s="4" t="str">
        <f>CHOOSE(2, "5462030031", "Jul 26")</f>
        <v>Jul 26</v>
      </c>
      <c r="D3300" s="14">
        <v>0</v>
      </c>
    </row>
    <row r="3301" spans="1:4" x14ac:dyDescent="0.35">
      <c r="A3301" s="5" t="str">
        <f t="shared" si="1677"/>
        <v>Agency</v>
      </c>
      <c r="B3301" s="3" t="str">
        <f t="shared" ref="B3301:B3302" si="1702">CHOOSE(2, "1395000000554", "Avg. Case size 4-12M")</f>
        <v>Avg. Case size 4-12M</v>
      </c>
      <c r="C3301" s="4" t="str">
        <f>CHOOSE(2, "5461730030", "Jun 26")</f>
        <v>Jun 26</v>
      </c>
      <c r="D3301" s="14">
        <v>0</v>
      </c>
    </row>
    <row r="3302" spans="1:4" x14ac:dyDescent="0.35">
      <c r="A3302" s="5" t="str">
        <f t="shared" si="1677"/>
        <v>Agency</v>
      </c>
      <c r="B3302" s="6" t="str">
        <f t="shared" si="1702"/>
        <v>Avg. Case size 4-12M</v>
      </c>
      <c r="C3302" s="4" t="str">
        <f>CHOOSE(2, "5462030031", "Jul 26")</f>
        <v>Jul 26</v>
      </c>
      <c r="D3302" s="14">
        <v>0</v>
      </c>
    </row>
    <row r="3303" spans="1:4" x14ac:dyDescent="0.35">
      <c r="A3303" s="5" t="str">
        <f t="shared" si="1677"/>
        <v>Agency</v>
      </c>
      <c r="B3303" s="3" t="str">
        <f t="shared" ref="B3303:B3304" si="1703">CHOOSE(2, "1395000000553", "Avg. Case size 13+M")</f>
        <v>Avg. Case size 13+M</v>
      </c>
      <c r="C3303" s="4" t="str">
        <f>CHOOSE(2, "5461730030", "Jun 26")</f>
        <v>Jun 26</v>
      </c>
      <c r="D3303" s="14">
        <v>1830.7320638717717</v>
      </c>
    </row>
    <row r="3304" spans="1:4" x14ac:dyDescent="0.35">
      <c r="A3304" s="5" t="str">
        <f t="shared" si="1677"/>
        <v>Agency</v>
      </c>
      <c r="B3304" s="6" t="str">
        <f t="shared" si="1703"/>
        <v>Avg. Case size 13+M</v>
      </c>
      <c r="C3304" s="4" t="str">
        <f>CHOOSE(2, "5462030031", "Jul 26")</f>
        <v>Jul 26</v>
      </c>
      <c r="D3304" s="14">
        <v>1234.5254577578387</v>
      </c>
    </row>
    <row r="3305" spans="1:4" x14ac:dyDescent="0.35">
      <c r="A3305" s="5" t="str">
        <f t="shared" si="1677"/>
        <v>Agency</v>
      </c>
      <c r="B3305" s="3" t="str">
        <f t="shared" ref="B3305:B3306" si="1704">CHOOSE(2, "1395000000552", "Avg. Case size UM")</f>
        <v>Avg. Case size UM</v>
      </c>
      <c r="C3305" s="4" t="str">
        <f>CHOOSE(2, "5461730030", "Jun 26")</f>
        <v>Jun 26</v>
      </c>
      <c r="D3305" s="14">
        <v>0</v>
      </c>
    </row>
    <row r="3306" spans="1:4" x14ac:dyDescent="0.35">
      <c r="A3306" s="5" t="str">
        <f t="shared" si="1677"/>
        <v>Agency</v>
      </c>
      <c r="B3306" s="6" t="str">
        <f t="shared" si="1704"/>
        <v>Avg. Case size UM</v>
      </c>
      <c r="C3306" s="4" t="str">
        <f>CHOOSE(2, "5462030031", "Jul 26")</f>
        <v>Jul 26</v>
      </c>
      <c r="D3306" s="14">
        <v>0</v>
      </c>
    </row>
    <row r="3307" spans="1:4" x14ac:dyDescent="0.35">
      <c r="A3307" s="5" t="str">
        <f t="shared" si="1677"/>
        <v>Agency</v>
      </c>
      <c r="B3307" s="3" t="str">
        <f t="shared" ref="B3307:B3308" si="1705">CHOOSE(2, "1395000000551", "Avg. Case size Leaders above UM")</f>
        <v>Avg. Case size Leaders above UM</v>
      </c>
      <c r="C3307" s="4" t="str">
        <f>CHOOSE(2, "5461730030", "Jun 26")</f>
        <v>Jun 26</v>
      </c>
      <c r="D3307" s="14">
        <v>0</v>
      </c>
    </row>
    <row r="3308" spans="1:4" x14ac:dyDescent="0.35">
      <c r="A3308" s="5" t="str">
        <f t="shared" si="1677"/>
        <v>Agency</v>
      </c>
      <c r="B3308" s="6" t="str">
        <f t="shared" si="1705"/>
        <v>Avg. Case size Leaders above UM</v>
      </c>
      <c r="C3308" s="4" t="str">
        <f>CHOOSE(2, "5462030031", "Jul 26")</f>
        <v>Jul 26</v>
      </c>
      <c r="D3308" s="14">
        <v>0</v>
      </c>
    </row>
    <row r="3309" spans="1:4" x14ac:dyDescent="0.35">
      <c r="A3309" s="5" t="str">
        <f t="shared" si="1677"/>
        <v>Agency</v>
      </c>
      <c r="B3309" s="3" t="str">
        <f t="shared" ref="B3309:B3310" si="1706">CHOOSE(2, "1395000000550", "Avg. Case size Top-tier agents")</f>
        <v>Avg. Case size Top-tier agents</v>
      </c>
      <c r="C3309" s="4" t="str">
        <f>CHOOSE(2, "5461730030", "Jun 26")</f>
        <v>Jun 26</v>
      </c>
      <c r="D3309" s="14">
        <v>0</v>
      </c>
    </row>
    <row r="3310" spans="1:4" x14ac:dyDescent="0.35">
      <c r="A3310" s="5" t="str">
        <f t="shared" si="1677"/>
        <v>Agency</v>
      </c>
      <c r="B3310" s="6" t="str">
        <f t="shared" si="1706"/>
        <v>Avg. Case size Top-tier agents</v>
      </c>
      <c r="C3310" s="4" t="str">
        <f>CHOOSE(2, "5462030031", "Jul 26")</f>
        <v>Jul 26</v>
      </c>
      <c r="D3310" s="14">
        <v>0</v>
      </c>
    </row>
    <row r="3311" spans="1:4" x14ac:dyDescent="0.35">
      <c r="A3311" s="5" t="str">
        <f t="shared" si="1677"/>
        <v>Agency</v>
      </c>
      <c r="B3311" s="3" t="str">
        <f t="shared" ref="B3311:B3312" si="1707">CHOOSE(2, "1395000000549", "Avg. Case size Manulife Pro Qualifiers - Total")</f>
        <v>Avg. Case size Manulife Pro Qualifiers - Total</v>
      </c>
      <c r="C3311" s="4" t="str">
        <f>CHOOSE(2, "5461730030", "Jun 26")</f>
        <v>Jun 26</v>
      </c>
      <c r="D3311" s="14">
        <v>0</v>
      </c>
    </row>
    <row r="3312" spans="1:4" x14ac:dyDescent="0.35">
      <c r="A3312" s="5" t="str">
        <f t="shared" si="1677"/>
        <v>Agency</v>
      </c>
      <c r="B3312" s="6" t="str">
        <f t="shared" si="1707"/>
        <v>Avg. Case size Manulife Pro Qualifiers - Total</v>
      </c>
      <c r="C3312" s="4" t="str">
        <f>CHOOSE(2, "5462030031", "Jul 26")</f>
        <v>Jul 26</v>
      </c>
      <c r="D3312" s="14">
        <v>0</v>
      </c>
    </row>
    <row r="3313" spans="1:4" x14ac:dyDescent="0.35">
      <c r="A3313" s="5" t="str">
        <f t="shared" si="1677"/>
        <v>Agency</v>
      </c>
      <c r="B3313" s="3" t="str">
        <f t="shared" ref="B3313:B3314" si="1708">CHOOSE(2, "1395000000548", "Avg. Case size FA or equivalent")</f>
        <v>Avg. Case size FA or equivalent</v>
      </c>
      <c r="C3313" s="4" t="str">
        <f>CHOOSE(2, "5461730030", "Jun 26")</f>
        <v>Jun 26</v>
      </c>
      <c r="D3313" s="14">
        <v>0</v>
      </c>
    </row>
    <row r="3314" spans="1:4" x14ac:dyDescent="0.35">
      <c r="A3314" s="5" t="str">
        <f t="shared" si="1677"/>
        <v>Agency</v>
      </c>
      <c r="B3314" s="6" t="str">
        <f t="shared" si="1708"/>
        <v>Avg. Case size FA or equivalent</v>
      </c>
      <c r="C3314" s="4" t="str">
        <f>CHOOSE(2, "5462030031", "Jul 26")</f>
        <v>Jul 26</v>
      </c>
      <c r="D3314" s="14">
        <v>0</v>
      </c>
    </row>
    <row r="3315" spans="1:4" x14ac:dyDescent="0.35">
      <c r="A3315" s="5" t="str">
        <f t="shared" si="1677"/>
        <v>Agency</v>
      </c>
      <c r="B3315" s="3" t="str">
        <f t="shared" ref="B3315:B3316" si="1709">CHOOSE(2, "1395000000547", "Avg. Case size pro-rated MDRT agents (&gt;100%)")</f>
        <v>Avg. Case size pro-rated MDRT agents (&gt;100%)</v>
      </c>
      <c r="C3315" s="4" t="str">
        <f>CHOOSE(2, "5461730030", "Jun 26")</f>
        <v>Jun 26</v>
      </c>
      <c r="D3315" s="14">
        <v>0</v>
      </c>
    </row>
    <row r="3316" spans="1:4" x14ac:dyDescent="0.35">
      <c r="A3316" s="5" t="str">
        <f t="shared" si="1677"/>
        <v>Agency</v>
      </c>
      <c r="B3316" s="6" t="str">
        <f t="shared" si="1709"/>
        <v>Avg. Case size pro-rated MDRT agents (&gt;100%)</v>
      </c>
      <c r="C3316" s="4" t="str">
        <f>CHOOSE(2, "5462030031", "Jul 26")</f>
        <v>Jul 26</v>
      </c>
      <c r="D3316" s="14">
        <v>0</v>
      </c>
    </row>
    <row r="3317" spans="1:4" x14ac:dyDescent="0.35">
      <c r="A3317" s="5" t="str">
        <f t="shared" ref="A3317:A3350" si="1710">CHOOSE(2, "1260000000010", "Agency")</f>
        <v>Agency</v>
      </c>
      <c r="B3317" s="3" t="str">
        <f t="shared" ref="B3317:B3318" si="1711">CHOOSE(2, "1395000000546", "Avg. Case size pro-rated MDRT agents (70-99%)")</f>
        <v>Avg. Case size pro-rated MDRT agents (70-99%)</v>
      </c>
      <c r="C3317" s="4" t="str">
        <f>CHOOSE(2, "5461730030", "Jun 26")</f>
        <v>Jun 26</v>
      </c>
      <c r="D3317" s="14">
        <v>0</v>
      </c>
    </row>
    <row r="3318" spans="1:4" x14ac:dyDescent="0.35">
      <c r="A3318" s="5" t="str">
        <f t="shared" si="1710"/>
        <v>Agency</v>
      </c>
      <c r="B3318" s="6" t="str">
        <f t="shared" si="1711"/>
        <v>Avg. Case size pro-rated MDRT agents (70-99%)</v>
      </c>
      <c r="C3318" s="4" t="str">
        <f>CHOOSE(2, "5462030031", "Jul 26")</f>
        <v>Jul 26</v>
      </c>
      <c r="D3318" s="14">
        <v>0</v>
      </c>
    </row>
    <row r="3319" spans="1:4" x14ac:dyDescent="0.35">
      <c r="A3319" s="5" t="str">
        <f t="shared" si="1710"/>
        <v>Agency</v>
      </c>
      <c r="B3319" s="3" t="str">
        <f t="shared" ref="B3319:B3320" si="1712">CHOOSE(2, "1395000000545", "Avg. Case size pro-rated MDRT agents (50-69%)")</f>
        <v>Avg. Case size pro-rated MDRT agents (50-69%)</v>
      </c>
      <c r="C3319" s="4" t="str">
        <f>CHOOSE(2, "5461730030", "Jun 26")</f>
        <v>Jun 26</v>
      </c>
      <c r="D3319" s="14">
        <v>0</v>
      </c>
    </row>
    <row r="3320" spans="1:4" x14ac:dyDescent="0.35">
      <c r="A3320" s="5" t="str">
        <f t="shared" si="1710"/>
        <v>Agency</v>
      </c>
      <c r="B3320" s="6" t="str">
        <f t="shared" si="1712"/>
        <v>Avg. Case size pro-rated MDRT agents (50-69%)</v>
      </c>
      <c r="C3320" s="4" t="str">
        <f>CHOOSE(2, "5462030031", "Jul 26")</f>
        <v>Jul 26</v>
      </c>
      <c r="D3320" s="14">
        <v>0</v>
      </c>
    </row>
    <row r="3321" spans="1:4" x14ac:dyDescent="0.35">
      <c r="A3321" s="5" t="str">
        <f t="shared" si="1710"/>
        <v>Agency</v>
      </c>
      <c r="B3321" s="3" t="str">
        <f t="shared" ref="B3321:B3322" si="1713">CHOOSE(2, "1395000000544", "% of 1-Month Active Agents UM")</f>
        <v>% of 1-Month Active Agents UM</v>
      </c>
      <c r="C3321" s="4" t="str">
        <f>CHOOSE(2, "5461730030", "Jun 26")</f>
        <v>Jun 26</v>
      </c>
      <c r="D3321" s="14">
        <v>0</v>
      </c>
    </row>
    <row r="3322" spans="1:4" x14ac:dyDescent="0.35">
      <c r="A3322" s="5" t="str">
        <f t="shared" si="1710"/>
        <v>Agency</v>
      </c>
      <c r="B3322" s="6" t="str">
        <f t="shared" si="1713"/>
        <v>% of 1-Month Active Agents UM</v>
      </c>
      <c r="C3322" s="4" t="str">
        <f>CHOOSE(2, "5462030031", "Jul 26")</f>
        <v>Jul 26</v>
      </c>
      <c r="D3322" s="14">
        <v>0</v>
      </c>
    </row>
    <row r="3323" spans="1:4" x14ac:dyDescent="0.35">
      <c r="A3323" s="5" t="str">
        <f t="shared" si="1710"/>
        <v>Agency</v>
      </c>
      <c r="B3323" s="3" t="str">
        <f t="shared" ref="B3323:B3324" si="1714">CHOOSE(2, "1395000000543", "% of 1-Month Active Agents Leaders above UM")</f>
        <v>% of 1-Month Active Agents Leaders above UM</v>
      </c>
      <c r="C3323" s="4" t="str">
        <f>CHOOSE(2, "5461730030", "Jun 26")</f>
        <v>Jun 26</v>
      </c>
      <c r="D3323" s="14">
        <v>0</v>
      </c>
    </row>
    <row r="3324" spans="1:4" x14ac:dyDescent="0.35">
      <c r="A3324" s="5" t="str">
        <f t="shared" si="1710"/>
        <v>Agency</v>
      </c>
      <c r="B3324" s="6" t="str">
        <f t="shared" si="1714"/>
        <v>% of 1-Month Active Agents Leaders above UM</v>
      </c>
      <c r="C3324" s="4" t="str">
        <f>CHOOSE(2, "5462030031", "Jul 26")</f>
        <v>Jul 26</v>
      </c>
      <c r="D3324" s="14">
        <v>0</v>
      </c>
    </row>
    <row r="3325" spans="1:4" x14ac:dyDescent="0.35">
      <c r="A3325" s="5" t="str">
        <f t="shared" si="1710"/>
        <v>Agency</v>
      </c>
      <c r="B3325" s="3" t="str">
        <f t="shared" ref="B3325:B3326" si="1715">CHOOSE(2, "1395000000542", "% of 1-Month Active Agents Top-tier agents")</f>
        <v>% of 1-Month Active Agents Top-tier agents</v>
      </c>
      <c r="C3325" s="4" t="str">
        <f>CHOOSE(2, "5461730030", "Jun 26")</f>
        <v>Jun 26</v>
      </c>
      <c r="D3325" s="14">
        <v>0</v>
      </c>
    </row>
    <row r="3326" spans="1:4" x14ac:dyDescent="0.35">
      <c r="A3326" s="5" t="str">
        <f t="shared" si="1710"/>
        <v>Agency</v>
      </c>
      <c r="B3326" s="6" t="str">
        <f t="shared" si="1715"/>
        <v>% of 1-Month Active Agents Top-tier agents</v>
      </c>
      <c r="C3326" s="4" t="str">
        <f>CHOOSE(2, "5462030031", "Jul 26")</f>
        <v>Jul 26</v>
      </c>
      <c r="D3326" s="14">
        <v>0</v>
      </c>
    </row>
    <row r="3327" spans="1:4" x14ac:dyDescent="0.35">
      <c r="A3327" s="5" t="str">
        <f t="shared" si="1710"/>
        <v>Agency</v>
      </c>
      <c r="B3327" s="3" t="str">
        <f t="shared" ref="B3327:B3328" si="1716">CHOOSE(2, "1395000000541", "% of 1-Month Active Agents FA or equivalent")</f>
        <v>% of 1-Month Active Agents FA or equivalent</v>
      </c>
      <c r="C3327" s="4" t="str">
        <f>CHOOSE(2, "5461730030", "Jun 26")</f>
        <v>Jun 26</v>
      </c>
      <c r="D3327" s="14">
        <v>0</v>
      </c>
    </row>
    <row r="3328" spans="1:4" x14ac:dyDescent="0.35">
      <c r="A3328" s="5" t="str">
        <f t="shared" si="1710"/>
        <v>Agency</v>
      </c>
      <c r="B3328" s="6" t="str">
        <f t="shared" si="1716"/>
        <v>% of 1-Month Active Agents FA or equivalent</v>
      </c>
      <c r="C3328" s="4" t="str">
        <f>CHOOSE(2, "5462030031", "Jul 26")</f>
        <v>Jul 26</v>
      </c>
      <c r="D3328" s="14">
        <v>0</v>
      </c>
    </row>
    <row r="3329" spans="1:4" x14ac:dyDescent="0.35">
      <c r="A3329" s="5" t="str">
        <f t="shared" si="1710"/>
        <v>Agency</v>
      </c>
      <c r="B3329" s="3" t="str">
        <f t="shared" ref="B3329:B3330" si="1717">CHOOSE(2, "1395000000540", "% of 1-Month Active Agents pro-rated MDRT agents (&gt;100%)")</f>
        <v>% of 1-Month Active Agents pro-rated MDRT agents (&gt;100%)</v>
      </c>
      <c r="C3329" s="4" t="str">
        <f>CHOOSE(2, "5461730030", "Jun 26")</f>
        <v>Jun 26</v>
      </c>
      <c r="D3329" s="14">
        <v>0</v>
      </c>
    </row>
    <row r="3330" spans="1:4" x14ac:dyDescent="0.35">
      <c r="A3330" s="5" t="str">
        <f t="shared" si="1710"/>
        <v>Agency</v>
      </c>
      <c r="B3330" s="6" t="str">
        <f t="shared" si="1717"/>
        <v>% of 1-Month Active Agents pro-rated MDRT agents (&gt;100%)</v>
      </c>
      <c r="C3330" s="4" t="str">
        <f>CHOOSE(2, "5462030031", "Jul 26")</f>
        <v>Jul 26</v>
      </c>
      <c r="D3330" s="14">
        <v>0</v>
      </c>
    </row>
    <row r="3331" spans="1:4" x14ac:dyDescent="0.35">
      <c r="A3331" s="5" t="str">
        <f t="shared" si="1710"/>
        <v>Agency</v>
      </c>
      <c r="B3331" s="3" t="str">
        <f t="shared" ref="B3331:B3332" si="1718">CHOOSE(2, "1395000000539", "% of 1-Month Active Agents pro-rated MDRT agents (70-99%)")</f>
        <v>% of 1-Month Active Agents pro-rated MDRT agents (70-99%)</v>
      </c>
      <c r="C3331" s="4" t="str">
        <f>CHOOSE(2, "5461730030", "Jun 26")</f>
        <v>Jun 26</v>
      </c>
      <c r="D3331" s="14">
        <v>0</v>
      </c>
    </row>
    <row r="3332" spans="1:4" x14ac:dyDescent="0.35">
      <c r="A3332" s="5" t="str">
        <f t="shared" si="1710"/>
        <v>Agency</v>
      </c>
      <c r="B3332" s="6" t="str">
        <f t="shared" si="1718"/>
        <v>% of 1-Month Active Agents pro-rated MDRT agents (70-99%)</v>
      </c>
      <c r="C3332" s="4" t="str">
        <f>CHOOSE(2, "5462030031", "Jul 26")</f>
        <v>Jul 26</v>
      </c>
      <c r="D3332" s="14">
        <v>0</v>
      </c>
    </row>
    <row r="3333" spans="1:4" x14ac:dyDescent="0.35">
      <c r="A3333" s="5" t="str">
        <f t="shared" si="1710"/>
        <v>Agency</v>
      </c>
      <c r="B3333" s="3" t="str">
        <f t="shared" ref="B3333:B3334" si="1719">CHOOSE(2, "1395000000538", "% of 1-Month Active Agents pro-rated MDRT agents (50-69%)")</f>
        <v>% of 1-Month Active Agents pro-rated MDRT agents (50-69%)</v>
      </c>
      <c r="C3333" s="4" t="str">
        <f>CHOOSE(2, "5461730030", "Jun 26")</f>
        <v>Jun 26</v>
      </c>
      <c r="D3333" s="14">
        <v>0</v>
      </c>
    </row>
    <row r="3334" spans="1:4" x14ac:dyDescent="0.35">
      <c r="A3334" s="5" t="str">
        <f t="shared" si="1710"/>
        <v>Agency</v>
      </c>
      <c r="B3334" s="6" t="str">
        <f t="shared" si="1719"/>
        <v>% of 1-Month Active Agents pro-rated MDRT agents (50-69%)</v>
      </c>
      <c r="C3334" s="4" t="str">
        <f>CHOOSE(2, "5462030031", "Jul 26")</f>
        <v>Jul 26</v>
      </c>
      <c r="D3334" s="14">
        <v>0</v>
      </c>
    </row>
    <row r="3335" spans="1:4" x14ac:dyDescent="0.35">
      <c r="A3335" s="5" t="str">
        <f t="shared" si="1710"/>
        <v>Agency</v>
      </c>
      <c r="B3335" s="3" t="str">
        <f t="shared" ref="B3335:B3336" si="1720">CHOOSE(2, "1395000000537", "Avg. Case count per 1-Month Active Agent UM")</f>
        <v>Avg. Case count per 1-Month Active Agent UM</v>
      </c>
      <c r="C3335" s="4" t="str">
        <f>CHOOSE(2, "5461730030", "Jun 26")</f>
        <v>Jun 26</v>
      </c>
      <c r="D3335" s="14">
        <v>0</v>
      </c>
    </row>
    <row r="3336" spans="1:4" x14ac:dyDescent="0.35">
      <c r="A3336" s="5" t="str">
        <f t="shared" si="1710"/>
        <v>Agency</v>
      </c>
      <c r="B3336" s="6" t="str">
        <f t="shared" si="1720"/>
        <v>Avg. Case count per 1-Month Active Agent UM</v>
      </c>
      <c r="C3336" s="4" t="str">
        <f>CHOOSE(2, "5462030031", "Jul 26")</f>
        <v>Jul 26</v>
      </c>
      <c r="D3336" s="14">
        <v>0</v>
      </c>
    </row>
    <row r="3337" spans="1:4" x14ac:dyDescent="0.35">
      <c r="A3337" s="5" t="str">
        <f t="shared" si="1710"/>
        <v>Agency</v>
      </c>
      <c r="B3337" s="3" t="str">
        <f t="shared" ref="B3337:B3338" si="1721">CHOOSE(2, "1395000000536", "Avg. Case count per 1-Month Active Agent Leaders above UM")</f>
        <v>Avg. Case count per 1-Month Active Agent Leaders above UM</v>
      </c>
      <c r="C3337" s="4" t="str">
        <f>CHOOSE(2, "5461730030", "Jun 26")</f>
        <v>Jun 26</v>
      </c>
      <c r="D3337" s="14">
        <v>0</v>
      </c>
    </row>
    <row r="3338" spans="1:4" x14ac:dyDescent="0.35">
      <c r="A3338" s="5" t="str">
        <f t="shared" si="1710"/>
        <v>Agency</v>
      </c>
      <c r="B3338" s="6" t="str">
        <f t="shared" si="1721"/>
        <v>Avg. Case count per 1-Month Active Agent Leaders above UM</v>
      </c>
      <c r="C3338" s="4" t="str">
        <f>CHOOSE(2, "5462030031", "Jul 26")</f>
        <v>Jul 26</v>
      </c>
      <c r="D3338" s="14">
        <v>0</v>
      </c>
    </row>
    <row r="3339" spans="1:4" x14ac:dyDescent="0.35">
      <c r="A3339" s="5" t="str">
        <f t="shared" si="1710"/>
        <v>Agency</v>
      </c>
      <c r="B3339" s="3" t="str">
        <f t="shared" ref="B3339:B3340" si="1722">CHOOSE(2, "1395000000535", "Avg. Case count per 1-Month Active Agent Top-tier agents")</f>
        <v>Avg. Case count per 1-Month Active Agent Top-tier agents</v>
      </c>
      <c r="C3339" s="4" t="str">
        <f>CHOOSE(2, "5461730030", "Jun 26")</f>
        <v>Jun 26</v>
      </c>
      <c r="D3339" s="14">
        <v>0</v>
      </c>
    </row>
    <row r="3340" spans="1:4" x14ac:dyDescent="0.35">
      <c r="A3340" s="5" t="str">
        <f t="shared" si="1710"/>
        <v>Agency</v>
      </c>
      <c r="B3340" s="6" t="str">
        <f t="shared" si="1722"/>
        <v>Avg. Case count per 1-Month Active Agent Top-tier agents</v>
      </c>
      <c r="C3340" s="4" t="str">
        <f>CHOOSE(2, "5462030031", "Jul 26")</f>
        <v>Jul 26</v>
      </c>
      <c r="D3340" s="14">
        <v>0</v>
      </c>
    </row>
    <row r="3341" spans="1:4" x14ac:dyDescent="0.35">
      <c r="A3341" s="5" t="str">
        <f t="shared" si="1710"/>
        <v>Agency</v>
      </c>
      <c r="B3341" s="3" t="str">
        <f t="shared" ref="B3341:B3342" si="1723">CHOOSE(2, "1395000000534", "Avg. Case count per 1-Month Manulife Pro Qualifiers - Total")</f>
        <v>Avg. Case count per 1-Month Manulife Pro Qualifiers - Total</v>
      </c>
      <c r="C3341" s="4" t="str">
        <f>CHOOSE(2, "5461730030", "Jun 26")</f>
        <v>Jun 26</v>
      </c>
      <c r="D3341" s="14">
        <v>0</v>
      </c>
    </row>
    <row r="3342" spans="1:4" x14ac:dyDescent="0.35">
      <c r="A3342" s="5" t="str">
        <f t="shared" si="1710"/>
        <v>Agency</v>
      </c>
      <c r="B3342" s="6" t="str">
        <f t="shared" si="1723"/>
        <v>Avg. Case count per 1-Month Manulife Pro Qualifiers - Total</v>
      </c>
      <c r="C3342" s="4" t="str">
        <f>CHOOSE(2, "5462030031", "Jul 26")</f>
        <v>Jul 26</v>
      </c>
      <c r="D3342" s="14">
        <v>0</v>
      </c>
    </row>
    <row r="3343" spans="1:4" x14ac:dyDescent="0.35">
      <c r="A3343" s="5" t="str">
        <f t="shared" si="1710"/>
        <v>Agency</v>
      </c>
      <c r="B3343" s="3" t="str">
        <f t="shared" ref="B3343:B3344" si="1724">CHOOSE(2, "1395000000533", "Avg. Case count per 1-Month Active Agent FA or equivalent")</f>
        <v>Avg. Case count per 1-Month Active Agent FA or equivalent</v>
      </c>
      <c r="C3343" s="4" t="str">
        <f>CHOOSE(2, "5461730030", "Jun 26")</f>
        <v>Jun 26</v>
      </c>
      <c r="D3343" s="14">
        <v>0</v>
      </c>
    </row>
    <row r="3344" spans="1:4" x14ac:dyDescent="0.35">
      <c r="A3344" s="5" t="str">
        <f t="shared" si="1710"/>
        <v>Agency</v>
      </c>
      <c r="B3344" s="6" t="str">
        <f t="shared" si="1724"/>
        <v>Avg. Case count per 1-Month Active Agent FA or equivalent</v>
      </c>
      <c r="C3344" s="4" t="str">
        <f>CHOOSE(2, "5462030031", "Jul 26")</f>
        <v>Jul 26</v>
      </c>
      <c r="D3344" s="14">
        <v>0</v>
      </c>
    </row>
    <row r="3345" spans="1:4" x14ac:dyDescent="0.35">
      <c r="A3345" s="5" t="str">
        <f t="shared" si="1710"/>
        <v>Agency</v>
      </c>
      <c r="B3345" s="3" t="str">
        <f t="shared" ref="B3345:B3346" si="1725">CHOOSE(2, "1395000000532", "Avg. Case count per 1-Month pro-rated MDRT agents (&gt;100%)")</f>
        <v>Avg. Case count per 1-Month pro-rated MDRT agents (&gt;100%)</v>
      </c>
      <c r="C3345" s="4" t="str">
        <f>CHOOSE(2, "5461730030", "Jun 26")</f>
        <v>Jun 26</v>
      </c>
      <c r="D3345" s="14">
        <v>0</v>
      </c>
    </row>
    <row r="3346" spans="1:4" x14ac:dyDescent="0.35">
      <c r="A3346" s="5" t="str">
        <f t="shared" si="1710"/>
        <v>Agency</v>
      </c>
      <c r="B3346" s="6" t="str">
        <f t="shared" si="1725"/>
        <v>Avg. Case count per 1-Month pro-rated MDRT agents (&gt;100%)</v>
      </c>
      <c r="C3346" s="4" t="str">
        <f>CHOOSE(2, "5462030031", "Jul 26")</f>
        <v>Jul 26</v>
      </c>
      <c r="D3346" s="14">
        <v>0</v>
      </c>
    </row>
    <row r="3347" spans="1:4" x14ac:dyDescent="0.35">
      <c r="A3347" s="5" t="str">
        <f t="shared" si="1710"/>
        <v>Agency</v>
      </c>
      <c r="B3347" s="3" t="str">
        <f t="shared" ref="B3347:B3348" si="1726">CHOOSE(2, "1395000000531", "Avg. Case count per 1-Month pro-rated MDRT agents (70-99%)")</f>
        <v>Avg. Case count per 1-Month pro-rated MDRT agents (70-99%)</v>
      </c>
      <c r="C3347" s="4" t="str">
        <f>CHOOSE(2, "5461730030", "Jun 26")</f>
        <v>Jun 26</v>
      </c>
      <c r="D3347" s="14">
        <v>0</v>
      </c>
    </row>
    <row r="3348" spans="1:4" x14ac:dyDescent="0.35">
      <c r="A3348" s="5" t="str">
        <f t="shared" si="1710"/>
        <v>Agency</v>
      </c>
      <c r="B3348" s="6" t="str">
        <f t="shared" si="1726"/>
        <v>Avg. Case count per 1-Month pro-rated MDRT agents (70-99%)</v>
      </c>
      <c r="C3348" s="4" t="str">
        <f>CHOOSE(2, "5462030031", "Jul 26")</f>
        <v>Jul 26</v>
      </c>
      <c r="D3348" s="14">
        <v>0</v>
      </c>
    </row>
    <row r="3349" spans="1:4" x14ac:dyDescent="0.35">
      <c r="A3349" s="5" t="str">
        <f t="shared" si="1710"/>
        <v>Agency</v>
      </c>
      <c r="B3349" s="3" t="str">
        <f t="shared" ref="B3349:B3350" si="1727">CHOOSE(2, "1395000000530", "Avg. Case count per 1-Month pro-rated MDRT agents (50-69%)")</f>
        <v>Avg. Case count per 1-Month pro-rated MDRT agents (50-69%)</v>
      </c>
      <c r="C3349" s="4" t="str">
        <f>CHOOSE(2, "5461730030", "Jun 26")</f>
        <v>Jun 26</v>
      </c>
      <c r="D3349" s="14">
        <v>0</v>
      </c>
    </row>
    <row r="3350" spans="1:4" x14ac:dyDescent="0.35">
      <c r="A3350" s="6" t="str">
        <f t="shared" si="1710"/>
        <v>Agency</v>
      </c>
      <c r="B3350" s="6" t="str">
        <f t="shared" si="1727"/>
        <v>Avg. Case count per 1-Month pro-rated MDRT agents (50-69%)</v>
      </c>
      <c r="C3350" s="4" t="str">
        <f>CHOOSE(2, "5462030031", "Jul 26")</f>
        <v>Jul 26</v>
      </c>
      <c r="D3350" s="14">
        <v>0</v>
      </c>
    </row>
    <row r="3351" spans="1:4" x14ac:dyDescent="0.35">
      <c r="A3351" s="7" t="str">
        <f t="shared" ref="A3351:A3414" si="1728">CHOOSE(2, "204000000004", "China")</f>
        <v>China</v>
      </c>
      <c r="B3351" s="3" t="str">
        <f t="shared" ref="B3351:B3352" si="1729">CHOOSE(2, "1395000000741", "Submitted APE")</f>
        <v>Submitted APE</v>
      </c>
      <c r="C3351" s="4" t="str">
        <f>CHOOSE(2, "5461730030", "Jun 26")</f>
        <v>Jun 26</v>
      </c>
      <c r="D3351" s="14">
        <v>54418840.008519188</v>
      </c>
    </row>
    <row r="3352" spans="1:4" x14ac:dyDescent="0.35">
      <c r="A3352" s="8" t="str">
        <f t="shared" si="1728"/>
        <v>China</v>
      </c>
      <c r="B3352" s="6" t="str">
        <f t="shared" si="1729"/>
        <v>Submitted APE</v>
      </c>
      <c r="C3352" s="4" t="str">
        <f>CHOOSE(2, "5462030031", "Jul 26")</f>
        <v>Jul 26</v>
      </c>
      <c r="D3352" s="14">
        <v>8869210.0411208607</v>
      </c>
    </row>
    <row r="3353" spans="1:4" x14ac:dyDescent="0.35">
      <c r="A3353" s="8" t="str">
        <f t="shared" si="1728"/>
        <v>China</v>
      </c>
      <c r="B3353" s="3" t="str">
        <f t="shared" ref="B3353:B3354" si="1730">CHOOSE(2, "1395000000740", "# of 1-Month Active Agents")</f>
        <v># of 1-Month Active Agents</v>
      </c>
      <c r="C3353" s="4" t="str">
        <f>CHOOSE(2, "5461730030", "Jun 26")</f>
        <v>Jun 26</v>
      </c>
      <c r="D3353" s="14">
        <v>4551</v>
      </c>
    </row>
    <row r="3354" spans="1:4" x14ac:dyDescent="0.35">
      <c r="A3354" s="8" t="str">
        <f t="shared" si="1728"/>
        <v>China</v>
      </c>
      <c r="B3354" s="6" t="str">
        <f t="shared" si="1730"/>
        <v># of 1-Month Active Agents</v>
      </c>
      <c r="C3354" s="4" t="str">
        <f>CHOOSE(2, "5462030031", "Jul 26")</f>
        <v>Jul 26</v>
      </c>
      <c r="D3354" s="14">
        <v>3498</v>
      </c>
    </row>
    <row r="3355" spans="1:4" x14ac:dyDescent="0.35">
      <c r="A3355" s="8" t="str">
        <f t="shared" si="1728"/>
        <v>China</v>
      </c>
      <c r="B3355" s="3" t="str">
        <f t="shared" ref="B3355:B3356" si="1731">CHOOSE(2, "1395000000739", "# of 1-Month Active Agents in 0-1M")</f>
        <v># of 1-Month Active Agents in 0-1M</v>
      </c>
      <c r="C3355" s="4" t="str">
        <f>CHOOSE(2, "5461730030", "Jun 26")</f>
        <v>Jun 26</v>
      </c>
      <c r="D3355" s="14">
        <v>292</v>
      </c>
    </row>
    <row r="3356" spans="1:4" x14ac:dyDescent="0.35">
      <c r="A3356" s="8" t="str">
        <f t="shared" si="1728"/>
        <v>China</v>
      </c>
      <c r="B3356" s="6" t="str">
        <f t="shared" si="1731"/>
        <v># of 1-Month Active Agents in 0-1M</v>
      </c>
      <c r="C3356" s="4" t="str">
        <f>CHOOSE(2, "5462030031", "Jul 26")</f>
        <v>Jul 26</v>
      </c>
      <c r="D3356" s="14">
        <v>116</v>
      </c>
    </row>
    <row r="3357" spans="1:4" x14ac:dyDescent="0.35">
      <c r="A3357" s="8" t="str">
        <f t="shared" si="1728"/>
        <v>China</v>
      </c>
      <c r="B3357" s="3" t="str">
        <f t="shared" ref="B3357:B3358" si="1732">CHOOSE(2, "1395000000738", "# of 1-Month Active Agents in 2-3M")</f>
        <v># of 1-Month Active Agents in 2-3M</v>
      </c>
      <c r="C3357" s="4" t="str">
        <f>CHOOSE(2, "5461730030", "Jun 26")</f>
        <v>Jun 26</v>
      </c>
      <c r="D3357" s="14">
        <v>264</v>
      </c>
    </row>
    <row r="3358" spans="1:4" x14ac:dyDescent="0.35">
      <c r="A3358" s="8" t="str">
        <f t="shared" si="1728"/>
        <v>China</v>
      </c>
      <c r="B3358" s="6" t="str">
        <f t="shared" si="1732"/>
        <v># of 1-Month Active Agents in 2-3M</v>
      </c>
      <c r="C3358" s="4" t="str">
        <f>CHOOSE(2, "5462030031", "Jul 26")</f>
        <v>Jul 26</v>
      </c>
      <c r="D3358" s="14">
        <v>214</v>
      </c>
    </row>
    <row r="3359" spans="1:4" x14ac:dyDescent="0.35">
      <c r="A3359" s="8" t="str">
        <f t="shared" si="1728"/>
        <v>China</v>
      </c>
      <c r="B3359" s="3" t="str">
        <f t="shared" ref="B3359:B3360" si="1733">CHOOSE(2, "1395000000737", "# of 1-Month Active Agents in 4-12M")</f>
        <v># of 1-Month Active Agents in 4-12M</v>
      </c>
      <c r="C3359" s="4" t="str">
        <f>CHOOSE(2, "5461730030", "Jun 26")</f>
        <v>Jun 26</v>
      </c>
      <c r="D3359" s="14">
        <v>502</v>
      </c>
    </row>
    <row r="3360" spans="1:4" x14ac:dyDescent="0.35">
      <c r="A3360" s="8" t="str">
        <f t="shared" si="1728"/>
        <v>China</v>
      </c>
      <c r="B3360" s="6" t="str">
        <f t="shared" si="1733"/>
        <v># of 1-Month Active Agents in 4-12M</v>
      </c>
      <c r="C3360" s="4" t="str">
        <f>CHOOSE(2, "5462030031", "Jul 26")</f>
        <v>Jul 26</v>
      </c>
      <c r="D3360" s="14">
        <v>317</v>
      </c>
    </row>
    <row r="3361" spans="1:4" x14ac:dyDescent="0.35">
      <c r="A3361" s="8" t="str">
        <f t="shared" si="1728"/>
        <v>China</v>
      </c>
      <c r="B3361" s="3" t="str">
        <f t="shared" ref="B3361:B3362" si="1734">CHOOSE(2, "1395000000736", "# of 1-Month Active Agents 13+M")</f>
        <v># of 1-Month Active Agents 13+M</v>
      </c>
      <c r="C3361" s="4" t="str">
        <f>CHOOSE(2, "5461730030", "Jun 26")</f>
        <v>Jun 26</v>
      </c>
      <c r="D3361" s="14">
        <v>3493</v>
      </c>
    </row>
    <row r="3362" spans="1:4" x14ac:dyDescent="0.35">
      <c r="A3362" s="8" t="str">
        <f t="shared" si="1728"/>
        <v>China</v>
      </c>
      <c r="B3362" s="6" t="str">
        <f t="shared" si="1734"/>
        <v># of 1-Month Active Agents 13+M</v>
      </c>
      <c r="C3362" s="4" t="str">
        <f>CHOOSE(2, "5462030031", "Jul 26")</f>
        <v>Jul 26</v>
      </c>
      <c r="D3362" s="14">
        <v>2851</v>
      </c>
    </row>
    <row r="3363" spans="1:4" x14ac:dyDescent="0.35">
      <c r="A3363" s="8" t="str">
        <f t="shared" si="1728"/>
        <v>China</v>
      </c>
      <c r="B3363" s="3" t="str">
        <f t="shared" ref="B3363:B3364" si="1735">CHOOSE(2, "1395000000735", "# of 1-Month Active Agents in FA or equivalent")</f>
        <v># of 1-Month Active Agents in FA or equivalent</v>
      </c>
      <c r="C3363" s="4" t="str">
        <f>CHOOSE(2, "5461730030", "Jun 26")</f>
        <v>Jun 26</v>
      </c>
      <c r="D3363" s="2" t="s">
        <v>5</v>
      </c>
    </row>
    <row r="3364" spans="1:4" x14ac:dyDescent="0.35">
      <c r="A3364" s="8" t="str">
        <f t="shared" si="1728"/>
        <v>China</v>
      </c>
      <c r="B3364" s="6" t="str">
        <f t="shared" si="1735"/>
        <v># of 1-Month Active Agents in FA or equivalent</v>
      </c>
      <c r="C3364" s="4" t="str">
        <f>CHOOSE(2, "5462030031", "Jul 26")</f>
        <v>Jul 26</v>
      </c>
      <c r="D3364" s="2" t="s">
        <v>5</v>
      </c>
    </row>
    <row r="3365" spans="1:4" x14ac:dyDescent="0.35">
      <c r="A3365" s="8" t="str">
        <f t="shared" si="1728"/>
        <v>China</v>
      </c>
      <c r="B3365" s="3" t="str">
        <f t="shared" ref="B3365:B3366" si="1736">CHOOSE(2, "1395000000734", "# of 1-Month Active Agents in UM")</f>
        <v># of 1-Month Active Agents in UM</v>
      </c>
      <c r="C3365" s="4" t="str">
        <f>CHOOSE(2, "5461730030", "Jun 26")</f>
        <v>Jun 26</v>
      </c>
      <c r="D3365" s="2" t="s">
        <v>5</v>
      </c>
    </row>
    <row r="3366" spans="1:4" x14ac:dyDescent="0.35">
      <c r="A3366" s="8" t="str">
        <f t="shared" si="1728"/>
        <v>China</v>
      </c>
      <c r="B3366" s="6" t="str">
        <f t="shared" si="1736"/>
        <v># of 1-Month Active Agents in UM</v>
      </c>
      <c r="C3366" s="4" t="str">
        <f>CHOOSE(2, "5462030031", "Jul 26")</f>
        <v>Jul 26</v>
      </c>
      <c r="D3366" s="2" t="s">
        <v>5</v>
      </c>
    </row>
    <row r="3367" spans="1:4" x14ac:dyDescent="0.35">
      <c r="A3367" s="8" t="str">
        <f t="shared" si="1728"/>
        <v>China</v>
      </c>
      <c r="B3367" s="3" t="str">
        <f t="shared" ref="B3367:B3368" si="1737">CHOOSE(2, "1395000000733", "# of 1-Month Active Agents in Leaders above UM")</f>
        <v># of 1-Month Active Agents in Leaders above UM</v>
      </c>
      <c r="C3367" s="4" t="str">
        <f>CHOOSE(2, "5461730030", "Jun 26")</f>
        <v>Jun 26</v>
      </c>
      <c r="D3367" s="2" t="s">
        <v>5</v>
      </c>
    </row>
    <row r="3368" spans="1:4" x14ac:dyDescent="0.35">
      <c r="A3368" s="8" t="str">
        <f t="shared" si="1728"/>
        <v>China</v>
      </c>
      <c r="B3368" s="6" t="str">
        <f t="shared" si="1737"/>
        <v># of 1-Month Active Agents in Leaders above UM</v>
      </c>
      <c r="C3368" s="4" t="str">
        <f>CHOOSE(2, "5462030031", "Jul 26")</f>
        <v>Jul 26</v>
      </c>
      <c r="D3368" s="2" t="s">
        <v>5</v>
      </c>
    </row>
    <row r="3369" spans="1:4" x14ac:dyDescent="0.35">
      <c r="A3369" s="8" t="str">
        <f t="shared" si="1728"/>
        <v>China</v>
      </c>
      <c r="B3369" s="3" t="str">
        <f t="shared" ref="B3369:B3370" si="1738">CHOOSE(2, "1395000000732", "# of 1-Month Active Top-tier Agents")</f>
        <v># of 1-Month Active Top-tier Agents</v>
      </c>
      <c r="C3369" s="4" t="str">
        <f>CHOOSE(2, "5461730030", "Jun 26")</f>
        <v>Jun 26</v>
      </c>
      <c r="D3369" s="2" t="s">
        <v>5</v>
      </c>
    </row>
    <row r="3370" spans="1:4" x14ac:dyDescent="0.35">
      <c r="A3370" s="8" t="str">
        <f t="shared" si="1728"/>
        <v>China</v>
      </c>
      <c r="B3370" s="6" t="str">
        <f t="shared" si="1738"/>
        <v># of 1-Month Active Top-tier Agents</v>
      </c>
      <c r="C3370" s="4" t="str">
        <f>CHOOSE(2, "5462030031", "Jul 26")</f>
        <v>Jul 26</v>
      </c>
      <c r="D3370" s="2" t="s">
        <v>5</v>
      </c>
    </row>
    <row r="3371" spans="1:4" x14ac:dyDescent="0.35">
      <c r="A3371" s="8" t="str">
        <f t="shared" si="1728"/>
        <v>China</v>
      </c>
      <c r="B3371" s="3" t="str">
        <f t="shared" ref="B3371:B3372" si="1739">CHOOSE(2, "1395000000731", "# of 1-Month Active Agents in pro-rated MDRT agents (&gt;100%)")</f>
        <v># of 1-Month Active Agents in pro-rated MDRT agents (&gt;100%)</v>
      </c>
      <c r="C3371" s="4" t="str">
        <f>CHOOSE(2, "5461730030", "Jun 26")</f>
        <v>Jun 26</v>
      </c>
      <c r="D3371" s="2" t="s">
        <v>5</v>
      </c>
    </row>
    <row r="3372" spans="1:4" x14ac:dyDescent="0.35">
      <c r="A3372" s="8" t="str">
        <f t="shared" si="1728"/>
        <v>China</v>
      </c>
      <c r="B3372" s="6" t="str">
        <f t="shared" si="1739"/>
        <v># of 1-Month Active Agents in pro-rated MDRT agents (&gt;100%)</v>
      </c>
      <c r="C3372" s="4" t="str">
        <f>CHOOSE(2, "5462030031", "Jul 26")</f>
        <v>Jul 26</v>
      </c>
      <c r="D3372" s="2" t="s">
        <v>5</v>
      </c>
    </row>
    <row r="3373" spans="1:4" x14ac:dyDescent="0.35">
      <c r="A3373" s="8" t="str">
        <f t="shared" si="1728"/>
        <v>China</v>
      </c>
      <c r="B3373" s="3" t="str">
        <f t="shared" ref="B3373:B3374" si="1740">CHOOSE(2, "1395000000730", "# of 1-Month Active Agents in pro-rated MDRT agents (70-99%)")</f>
        <v># of 1-Month Active Agents in pro-rated MDRT agents (70-99%)</v>
      </c>
      <c r="C3373" s="4" t="str">
        <f>CHOOSE(2, "5461730030", "Jun 26")</f>
        <v>Jun 26</v>
      </c>
      <c r="D3373" s="2" t="s">
        <v>5</v>
      </c>
    </row>
    <row r="3374" spans="1:4" x14ac:dyDescent="0.35">
      <c r="A3374" s="8" t="str">
        <f t="shared" si="1728"/>
        <v>China</v>
      </c>
      <c r="B3374" s="6" t="str">
        <f t="shared" si="1740"/>
        <v># of 1-Month Active Agents in pro-rated MDRT agents (70-99%)</v>
      </c>
      <c r="C3374" s="4" t="str">
        <f>CHOOSE(2, "5462030031", "Jul 26")</f>
        <v>Jul 26</v>
      </c>
      <c r="D3374" s="2" t="s">
        <v>5</v>
      </c>
    </row>
    <row r="3375" spans="1:4" x14ac:dyDescent="0.35">
      <c r="A3375" s="8" t="str">
        <f t="shared" si="1728"/>
        <v>China</v>
      </c>
      <c r="B3375" s="3" t="str">
        <f t="shared" ref="B3375:B3376" si="1741">CHOOSE(2, "1395000000729", "# of 1-Month Active Agents in pro-rated MDRT agents (50-69%)")</f>
        <v># of 1-Month Active Agents in pro-rated MDRT agents (50-69%)</v>
      </c>
      <c r="C3375" s="4" t="str">
        <f>CHOOSE(2, "5461730030", "Jun 26")</f>
        <v>Jun 26</v>
      </c>
      <c r="D3375" s="2" t="s">
        <v>5</v>
      </c>
    </row>
    <row r="3376" spans="1:4" x14ac:dyDescent="0.35">
      <c r="A3376" s="8" t="str">
        <f t="shared" si="1728"/>
        <v>China</v>
      </c>
      <c r="B3376" s="6" t="str">
        <f t="shared" si="1741"/>
        <v># of 1-Month Active Agents in pro-rated MDRT agents (50-69%)</v>
      </c>
      <c r="C3376" s="4" t="str">
        <f>CHOOSE(2, "5462030031", "Jul 26")</f>
        <v>Jul 26</v>
      </c>
      <c r="D3376" s="2" t="s">
        <v>5</v>
      </c>
    </row>
    <row r="3377" spans="1:4" x14ac:dyDescent="0.35">
      <c r="A3377" s="8" t="str">
        <f t="shared" si="1728"/>
        <v>China</v>
      </c>
      <c r="B3377" s="3" t="str">
        <f t="shared" ref="B3377:B3378" si="1742">CHOOSE(2, "1395000000728", "# of 1-Month Active Agents in Manulife Pro Qualifiers -Total")</f>
        <v># of 1-Month Active Agents in Manulife Pro Qualifiers -Total</v>
      </c>
      <c r="C3377" s="4" t="str">
        <f>CHOOSE(2, "5461730030", "Jun 26")</f>
        <v>Jun 26</v>
      </c>
      <c r="D3377" s="2" t="s">
        <v>5</v>
      </c>
    </row>
    <row r="3378" spans="1:4" x14ac:dyDescent="0.35">
      <c r="A3378" s="8" t="str">
        <f t="shared" si="1728"/>
        <v>China</v>
      </c>
      <c r="B3378" s="6" t="str">
        <f t="shared" si="1742"/>
        <v># of 1-Month Active Agents in Manulife Pro Qualifiers -Total</v>
      </c>
      <c r="C3378" s="4" t="str">
        <f>CHOOSE(2, "5462030031", "Jul 26")</f>
        <v>Jul 26</v>
      </c>
      <c r="D3378" s="2" t="s">
        <v>5</v>
      </c>
    </row>
    <row r="3379" spans="1:4" x14ac:dyDescent="0.35">
      <c r="A3379" s="8" t="str">
        <f t="shared" si="1728"/>
        <v>China</v>
      </c>
      <c r="B3379" s="3" t="str">
        <f t="shared" ref="B3379:B3380" si="1743">CHOOSE(2, "1395000000727", "# of 3-Month Active Agents")</f>
        <v># of 3-Month Active Agents</v>
      </c>
      <c r="C3379" s="4" t="str">
        <f>CHOOSE(2, "5461730030", "Jun 26")</f>
        <v>Jun 26</v>
      </c>
      <c r="D3379" s="2" t="s">
        <v>5</v>
      </c>
    </row>
    <row r="3380" spans="1:4" x14ac:dyDescent="0.35">
      <c r="A3380" s="8" t="str">
        <f t="shared" si="1728"/>
        <v>China</v>
      </c>
      <c r="B3380" s="6" t="str">
        <f t="shared" si="1743"/>
        <v># of 3-Month Active Agents</v>
      </c>
      <c r="C3380" s="4" t="str">
        <f>CHOOSE(2, "5462030031", "Jul 26")</f>
        <v>Jul 26</v>
      </c>
      <c r="D3380" s="2" t="s">
        <v>5</v>
      </c>
    </row>
    <row r="3381" spans="1:4" x14ac:dyDescent="0.35">
      <c r="A3381" s="8" t="str">
        <f t="shared" si="1728"/>
        <v>China</v>
      </c>
      <c r="B3381" s="3" t="str">
        <f t="shared" ref="B3381:B3382" si="1744">CHOOSE(2, "1395000000726", "# of 3-Month Active Agents in 0-1M")</f>
        <v># of 3-Month Active Agents in 0-1M</v>
      </c>
      <c r="C3381" s="4" t="str">
        <f>CHOOSE(2, "5461730030", "Jun 26")</f>
        <v>Jun 26</v>
      </c>
      <c r="D3381" s="2" t="s">
        <v>5</v>
      </c>
    </row>
    <row r="3382" spans="1:4" x14ac:dyDescent="0.35">
      <c r="A3382" s="8" t="str">
        <f t="shared" si="1728"/>
        <v>China</v>
      </c>
      <c r="B3382" s="6" t="str">
        <f t="shared" si="1744"/>
        <v># of 3-Month Active Agents in 0-1M</v>
      </c>
      <c r="C3382" s="4" t="str">
        <f>CHOOSE(2, "5462030031", "Jul 26")</f>
        <v>Jul 26</v>
      </c>
      <c r="D3382" s="2" t="s">
        <v>5</v>
      </c>
    </row>
    <row r="3383" spans="1:4" x14ac:dyDescent="0.35">
      <c r="A3383" s="8" t="str">
        <f t="shared" si="1728"/>
        <v>China</v>
      </c>
      <c r="B3383" s="3" t="str">
        <f t="shared" ref="B3383:B3384" si="1745">CHOOSE(2, "1395000000725", "# of 3-Month Active Agents in 2-3M")</f>
        <v># of 3-Month Active Agents in 2-3M</v>
      </c>
      <c r="C3383" s="4" t="str">
        <f>CHOOSE(2, "5461730030", "Jun 26")</f>
        <v>Jun 26</v>
      </c>
      <c r="D3383" s="2" t="s">
        <v>5</v>
      </c>
    </row>
    <row r="3384" spans="1:4" x14ac:dyDescent="0.35">
      <c r="A3384" s="8" t="str">
        <f t="shared" si="1728"/>
        <v>China</v>
      </c>
      <c r="B3384" s="6" t="str">
        <f t="shared" si="1745"/>
        <v># of 3-Month Active Agents in 2-3M</v>
      </c>
      <c r="C3384" s="4" t="str">
        <f>CHOOSE(2, "5462030031", "Jul 26")</f>
        <v>Jul 26</v>
      </c>
      <c r="D3384" s="2" t="s">
        <v>5</v>
      </c>
    </row>
    <row r="3385" spans="1:4" x14ac:dyDescent="0.35">
      <c r="A3385" s="8" t="str">
        <f t="shared" si="1728"/>
        <v>China</v>
      </c>
      <c r="B3385" s="3" t="str">
        <f t="shared" ref="B3385:B3386" si="1746">CHOOSE(2, "1395000000724", "# of 3-Month Active Agents in 4-12M")</f>
        <v># of 3-Month Active Agents in 4-12M</v>
      </c>
      <c r="C3385" s="4" t="str">
        <f>CHOOSE(2, "5461730030", "Jun 26")</f>
        <v>Jun 26</v>
      </c>
      <c r="D3385" s="2" t="s">
        <v>5</v>
      </c>
    </row>
    <row r="3386" spans="1:4" x14ac:dyDescent="0.35">
      <c r="A3386" s="8" t="str">
        <f t="shared" si="1728"/>
        <v>China</v>
      </c>
      <c r="B3386" s="6" t="str">
        <f t="shared" si="1746"/>
        <v># of 3-Month Active Agents in 4-12M</v>
      </c>
      <c r="C3386" s="4" t="str">
        <f>CHOOSE(2, "5462030031", "Jul 26")</f>
        <v>Jul 26</v>
      </c>
      <c r="D3386" s="2" t="s">
        <v>5</v>
      </c>
    </row>
    <row r="3387" spans="1:4" x14ac:dyDescent="0.35">
      <c r="A3387" s="8" t="str">
        <f t="shared" si="1728"/>
        <v>China</v>
      </c>
      <c r="B3387" s="3" t="str">
        <f t="shared" ref="B3387:B3388" si="1747">CHOOSE(2, "1395000000723", "# of 3-Month Active Agents 13+M")</f>
        <v># of 3-Month Active Agents 13+M</v>
      </c>
      <c r="C3387" s="4" t="str">
        <f>CHOOSE(2, "5461730030", "Jun 26")</f>
        <v>Jun 26</v>
      </c>
      <c r="D3387" s="2" t="s">
        <v>5</v>
      </c>
    </row>
    <row r="3388" spans="1:4" x14ac:dyDescent="0.35">
      <c r="A3388" s="8" t="str">
        <f t="shared" si="1728"/>
        <v>China</v>
      </c>
      <c r="B3388" s="6" t="str">
        <f t="shared" si="1747"/>
        <v># of 3-Month Active Agents 13+M</v>
      </c>
      <c r="C3388" s="4" t="str">
        <f>CHOOSE(2, "5462030031", "Jul 26")</f>
        <v>Jul 26</v>
      </c>
      <c r="D3388" s="2" t="s">
        <v>5</v>
      </c>
    </row>
    <row r="3389" spans="1:4" x14ac:dyDescent="0.35">
      <c r="A3389" s="8" t="str">
        <f t="shared" si="1728"/>
        <v>China</v>
      </c>
      <c r="B3389" s="3" t="str">
        <f t="shared" ref="B3389:B3390" si="1748">CHOOSE(2, "1395000000722", "# of 3-Month Active Agents in UM")</f>
        <v># of 3-Month Active Agents in UM</v>
      </c>
      <c r="C3389" s="4" t="str">
        <f>CHOOSE(2, "5461730030", "Jun 26")</f>
        <v>Jun 26</v>
      </c>
      <c r="D3389" s="2" t="s">
        <v>5</v>
      </c>
    </row>
    <row r="3390" spans="1:4" x14ac:dyDescent="0.35">
      <c r="A3390" s="8" t="str">
        <f t="shared" si="1728"/>
        <v>China</v>
      </c>
      <c r="B3390" s="6" t="str">
        <f t="shared" si="1748"/>
        <v># of 3-Month Active Agents in UM</v>
      </c>
      <c r="C3390" s="4" t="str">
        <f>CHOOSE(2, "5462030031", "Jul 26")</f>
        <v>Jul 26</v>
      </c>
      <c r="D3390" s="2" t="s">
        <v>5</v>
      </c>
    </row>
    <row r="3391" spans="1:4" x14ac:dyDescent="0.35">
      <c r="A3391" s="8" t="str">
        <f t="shared" si="1728"/>
        <v>China</v>
      </c>
      <c r="B3391" s="3" t="str">
        <f t="shared" ref="B3391:B3392" si="1749">CHOOSE(2, "1395000000721", "# of 3-Month Active Agents in Leaders above UM")</f>
        <v># of 3-Month Active Agents in Leaders above UM</v>
      </c>
      <c r="C3391" s="4" t="str">
        <f>CHOOSE(2, "5461730030", "Jun 26")</f>
        <v>Jun 26</v>
      </c>
      <c r="D3391" s="2" t="s">
        <v>5</v>
      </c>
    </row>
    <row r="3392" spans="1:4" x14ac:dyDescent="0.35">
      <c r="A3392" s="8" t="str">
        <f t="shared" si="1728"/>
        <v>China</v>
      </c>
      <c r="B3392" s="6" t="str">
        <f t="shared" si="1749"/>
        <v># of 3-Month Active Agents in Leaders above UM</v>
      </c>
      <c r="C3392" s="4" t="str">
        <f>CHOOSE(2, "5462030031", "Jul 26")</f>
        <v>Jul 26</v>
      </c>
      <c r="D3392" s="2" t="s">
        <v>5</v>
      </c>
    </row>
    <row r="3393" spans="1:4" x14ac:dyDescent="0.35">
      <c r="A3393" s="8" t="str">
        <f t="shared" si="1728"/>
        <v>China</v>
      </c>
      <c r="B3393" s="3" t="str">
        <f t="shared" ref="B3393:B3394" si="1750">CHOOSE(2, "1395000000720", "# of 3-Month Active Agents in FA or equivalent")</f>
        <v># of 3-Month Active Agents in FA or equivalent</v>
      </c>
      <c r="C3393" s="4" t="str">
        <f>CHOOSE(2, "5461730030", "Jun 26")</f>
        <v>Jun 26</v>
      </c>
      <c r="D3393" s="2" t="s">
        <v>5</v>
      </c>
    </row>
    <row r="3394" spans="1:4" x14ac:dyDescent="0.35">
      <c r="A3394" s="8" t="str">
        <f t="shared" si="1728"/>
        <v>China</v>
      </c>
      <c r="B3394" s="6" t="str">
        <f t="shared" si="1750"/>
        <v># of 3-Month Active Agents in FA or equivalent</v>
      </c>
      <c r="C3394" s="4" t="str">
        <f>CHOOSE(2, "5462030031", "Jul 26")</f>
        <v>Jul 26</v>
      </c>
      <c r="D3394" s="2" t="s">
        <v>5</v>
      </c>
    </row>
    <row r="3395" spans="1:4" x14ac:dyDescent="0.35">
      <c r="A3395" s="8" t="str">
        <f t="shared" si="1728"/>
        <v>China</v>
      </c>
      <c r="B3395" s="3" t="str">
        <f t="shared" ref="B3395:B3396" si="1751">CHOOSE(2, "1395000000719", "Net Case Count - Agency")</f>
        <v>Net Case Count - Agency</v>
      </c>
      <c r="C3395" s="4" t="str">
        <f>CHOOSE(2, "5461730030", "Jun 26")</f>
        <v>Jun 26</v>
      </c>
      <c r="D3395" s="14">
        <v>7004</v>
      </c>
    </row>
    <row r="3396" spans="1:4" x14ac:dyDescent="0.35">
      <c r="A3396" s="8" t="str">
        <f t="shared" si="1728"/>
        <v>China</v>
      </c>
      <c r="B3396" s="6" t="str">
        <f t="shared" si="1751"/>
        <v>Net Case Count - Agency</v>
      </c>
      <c r="C3396" s="4" t="str">
        <f>CHOOSE(2, "5462030031", "Jul 26")</f>
        <v>Jul 26</v>
      </c>
      <c r="D3396" s="14">
        <v>3575</v>
      </c>
    </row>
    <row r="3397" spans="1:4" x14ac:dyDescent="0.35">
      <c r="A3397" s="8" t="str">
        <f t="shared" si="1728"/>
        <v>China</v>
      </c>
      <c r="B3397" s="3" t="str">
        <f t="shared" ref="B3397:B3398" si="1752">CHOOSE(2, "1395000000718", "Net Case Count - Agency in 0-1M")</f>
        <v>Net Case Count - Agency in 0-1M</v>
      </c>
      <c r="C3397" s="4" t="str">
        <f>CHOOSE(2, "5461730030", "Jun 26")</f>
        <v>Jun 26</v>
      </c>
      <c r="D3397" s="2" t="s">
        <v>5</v>
      </c>
    </row>
    <row r="3398" spans="1:4" x14ac:dyDescent="0.35">
      <c r="A3398" s="8" t="str">
        <f t="shared" si="1728"/>
        <v>China</v>
      </c>
      <c r="B3398" s="6" t="str">
        <f t="shared" si="1752"/>
        <v>Net Case Count - Agency in 0-1M</v>
      </c>
      <c r="C3398" s="4" t="str">
        <f>CHOOSE(2, "5462030031", "Jul 26")</f>
        <v>Jul 26</v>
      </c>
      <c r="D3398" s="2" t="s">
        <v>5</v>
      </c>
    </row>
    <row r="3399" spans="1:4" x14ac:dyDescent="0.35">
      <c r="A3399" s="8" t="str">
        <f t="shared" si="1728"/>
        <v>China</v>
      </c>
      <c r="B3399" s="3" t="str">
        <f t="shared" ref="B3399:B3400" si="1753">CHOOSE(2, "1395000000717", "Net Case Count - Agency in 2-3M")</f>
        <v>Net Case Count - Agency in 2-3M</v>
      </c>
      <c r="C3399" s="4" t="str">
        <f>CHOOSE(2, "5461730030", "Jun 26")</f>
        <v>Jun 26</v>
      </c>
      <c r="D3399" s="2" t="s">
        <v>5</v>
      </c>
    </row>
    <row r="3400" spans="1:4" x14ac:dyDescent="0.35">
      <c r="A3400" s="8" t="str">
        <f t="shared" si="1728"/>
        <v>China</v>
      </c>
      <c r="B3400" s="6" t="str">
        <f t="shared" si="1753"/>
        <v>Net Case Count - Agency in 2-3M</v>
      </c>
      <c r="C3400" s="4" t="str">
        <f>CHOOSE(2, "5462030031", "Jul 26")</f>
        <v>Jul 26</v>
      </c>
      <c r="D3400" s="2" t="s">
        <v>5</v>
      </c>
    </row>
    <row r="3401" spans="1:4" x14ac:dyDescent="0.35">
      <c r="A3401" s="8" t="str">
        <f t="shared" si="1728"/>
        <v>China</v>
      </c>
      <c r="B3401" s="3" t="str">
        <f t="shared" ref="B3401:B3402" si="1754">CHOOSE(2, "1395000000716", "Net Case Count - Agency in 4-12M")</f>
        <v>Net Case Count - Agency in 4-12M</v>
      </c>
      <c r="C3401" s="4" t="str">
        <f>CHOOSE(2, "5461730030", "Jun 26")</f>
        <v>Jun 26</v>
      </c>
      <c r="D3401" s="2" t="s">
        <v>5</v>
      </c>
    </row>
    <row r="3402" spans="1:4" x14ac:dyDescent="0.35">
      <c r="A3402" s="8" t="str">
        <f t="shared" si="1728"/>
        <v>China</v>
      </c>
      <c r="B3402" s="6" t="str">
        <f t="shared" si="1754"/>
        <v>Net Case Count - Agency in 4-12M</v>
      </c>
      <c r="C3402" s="4" t="str">
        <f>CHOOSE(2, "5462030031", "Jul 26")</f>
        <v>Jul 26</v>
      </c>
      <c r="D3402" s="2" t="s">
        <v>5</v>
      </c>
    </row>
    <row r="3403" spans="1:4" x14ac:dyDescent="0.35">
      <c r="A3403" s="8" t="str">
        <f t="shared" si="1728"/>
        <v>China</v>
      </c>
      <c r="B3403" s="3" t="str">
        <f t="shared" ref="B3403:B3404" si="1755">CHOOSE(2, "1395000000715", "Net Case Count - Agency 13+M")</f>
        <v>Net Case Count - Agency 13+M</v>
      </c>
      <c r="C3403" s="4" t="str">
        <f>CHOOSE(2, "5461730030", "Jun 26")</f>
        <v>Jun 26</v>
      </c>
      <c r="D3403" s="14">
        <v>8362</v>
      </c>
    </row>
    <row r="3404" spans="1:4" x14ac:dyDescent="0.35">
      <c r="A3404" s="8" t="str">
        <f t="shared" si="1728"/>
        <v>China</v>
      </c>
      <c r="B3404" s="6" t="str">
        <f t="shared" si="1755"/>
        <v>Net Case Count - Agency 13+M</v>
      </c>
      <c r="C3404" s="4" t="str">
        <f>CHOOSE(2, "5462030031", "Jul 26")</f>
        <v>Jul 26</v>
      </c>
      <c r="D3404" s="14">
        <v>5655.5</v>
      </c>
    </row>
    <row r="3405" spans="1:4" x14ac:dyDescent="0.35">
      <c r="A3405" s="8" t="str">
        <f t="shared" si="1728"/>
        <v>China</v>
      </c>
      <c r="B3405" s="3" t="str">
        <f t="shared" ref="B3405:B3406" si="1756">CHOOSE(2, "1395000000714", "Net Case Count - Agency in FA or equivalent")</f>
        <v>Net Case Count - Agency in FA or equivalent</v>
      </c>
      <c r="C3405" s="4" t="str">
        <f>CHOOSE(2, "5461730030", "Jun 26")</f>
        <v>Jun 26</v>
      </c>
      <c r="D3405" s="2" t="s">
        <v>5</v>
      </c>
    </row>
    <row r="3406" spans="1:4" x14ac:dyDescent="0.35">
      <c r="A3406" s="8" t="str">
        <f t="shared" si="1728"/>
        <v>China</v>
      </c>
      <c r="B3406" s="6" t="str">
        <f t="shared" si="1756"/>
        <v>Net Case Count - Agency in FA or equivalent</v>
      </c>
      <c r="C3406" s="4" t="str">
        <f>CHOOSE(2, "5462030031", "Jul 26")</f>
        <v>Jul 26</v>
      </c>
      <c r="D3406" s="2" t="s">
        <v>5</v>
      </c>
    </row>
    <row r="3407" spans="1:4" x14ac:dyDescent="0.35">
      <c r="A3407" s="8" t="str">
        <f t="shared" si="1728"/>
        <v>China</v>
      </c>
      <c r="B3407" s="3" t="str">
        <f t="shared" ref="B3407:B3408" si="1757">CHOOSE(2, "1395000000713", "Net Case Count - Agency in UM")</f>
        <v>Net Case Count - Agency in UM</v>
      </c>
      <c r="C3407" s="4" t="str">
        <f>CHOOSE(2, "5461730030", "Jun 26")</f>
        <v>Jun 26</v>
      </c>
      <c r="D3407" s="2" t="s">
        <v>5</v>
      </c>
    </row>
    <row r="3408" spans="1:4" x14ac:dyDescent="0.35">
      <c r="A3408" s="8" t="str">
        <f t="shared" si="1728"/>
        <v>China</v>
      </c>
      <c r="B3408" s="6" t="str">
        <f t="shared" si="1757"/>
        <v>Net Case Count - Agency in UM</v>
      </c>
      <c r="C3408" s="4" t="str">
        <f>CHOOSE(2, "5462030031", "Jul 26")</f>
        <v>Jul 26</v>
      </c>
      <c r="D3408" s="2" t="s">
        <v>5</v>
      </c>
    </row>
    <row r="3409" spans="1:4" x14ac:dyDescent="0.35">
      <c r="A3409" s="8" t="str">
        <f t="shared" si="1728"/>
        <v>China</v>
      </c>
      <c r="B3409" s="3" t="str">
        <f t="shared" ref="B3409:B3410" si="1758">CHOOSE(2, "1395000000712", "Net Case Count - Agency in Leaders above UM")</f>
        <v>Net Case Count - Agency in Leaders above UM</v>
      </c>
      <c r="C3409" s="4" t="str">
        <f>CHOOSE(2, "5461730030", "Jun 26")</f>
        <v>Jun 26</v>
      </c>
      <c r="D3409" s="2" t="s">
        <v>5</v>
      </c>
    </row>
    <row r="3410" spans="1:4" x14ac:dyDescent="0.35">
      <c r="A3410" s="8" t="str">
        <f t="shared" si="1728"/>
        <v>China</v>
      </c>
      <c r="B3410" s="6" t="str">
        <f t="shared" si="1758"/>
        <v>Net Case Count - Agency in Leaders above UM</v>
      </c>
      <c r="C3410" s="4" t="str">
        <f>CHOOSE(2, "5462030031", "Jul 26")</f>
        <v>Jul 26</v>
      </c>
      <c r="D3410" s="2" t="s">
        <v>5</v>
      </c>
    </row>
    <row r="3411" spans="1:4" x14ac:dyDescent="0.35">
      <c r="A3411" s="8" t="str">
        <f t="shared" si="1728"/>
        <v>China</v>
      </c>
      <c r="B3411" s="3" t="str">
        <f t="shared" ref="B3411:B3412" si="1759">CHOOSE(2, "1395000000711", "Net Case Count - Agency in Top-tier Agents")</f>
        <v>Net Case Count - Agency in Top-tier Agents</v>
      </c>
      <c r="C3411" s="4" t="str">
        <f>CHOOSE(2, "5461730030", "Jun 26")</f>
        <v>Jun 26</v>
      </c>
      <c r="D3411" s="2" t="s">
        <v>5</v>
      </c>
    </row>
    <row r="3412" spans="1:4" x14ac:dyDescent="0.35">
      <c r="A3412" s="8" t="str">
        <f t="shared" si="1728"/>
        <v>China</v>
      </c>
      <c r="B3412" s="6" t="str">
        <f t="shared" si="1759"/>
        <v>Net Case Count - Agency in Top-tier Agents</v>
      </c>
      <c r="C3412" s="4" t="str">
        <f>CHOOSE(2, "5462030031", "Jul 26")</f>
        <v>Jul 26</v>
      </c>
      <c r="D3412" s="2" t="s">
        <v>5</v>
      </c>
    </row>
    <row r="3413" spans="1:4" x14ac:dyDescent="0.35">
      <c r="A3413" s="8" t="str">
        <f t="shared" si="1728"/>
        <v>China</v>
      </c>
      <c r="B3413" s="3" t="str">
        <f t="shared" ref="B3413:B3414" si="1760">CHOOSE(2, "1395000000710", "Net Case Count - Agency in pro-rated MDRT agents (&gt;100%)")</f>
        <v>Net Case Count - Agency in pro-rated MDRT agents (&gt;100%)</v>
      </c>
      <c r="C3413" s="4" t="str">
        <f>CHOOSE(2, "5461730030", "Jun 26")</f>
        <v>Jun 26</v>
      </c>
      <c r="D3413" s="2" t="s">
        <v>5</v>
      </c>
    </row>
    <row r="3414" spans="1:4" x14ac:dyDescent="0.35">
      <c r="A3414" s="8" t="str">
        <f t="shared" si="1728"/>
        <v>China</v>
      </c>
      <c r="B3414" s="6" t="str">
        <f t="shared" si="1760"/>
        <v>Net Case Count - Agency in pro-rated MDRT agents (&gt;100%)</v>
      </c>
      <c r="C3414" s="4" t="str">
        <f>CHOOSE(2, "5462030031", "Jul 26")</f>
        <v>Jul 26</v>
      </c>
      <c r="D3414" s="2" t="s">
        <v>5</v>
      </c>
    </row>
    <row r="3415" spans="1:4" x14ac:dyDescent="0.35">
      <c r="A3415" s="8" t="str">
        <f t="shared" ref="A3415:A3478" si="1761">CHOOSE(2, "204000000004", "China")</f>
        <v>China</v>
      </c>
      <c r="B3415" s="3" t="str">
        <f t="shared" ref="B3415:B3416" si="1762">CHOOSE(2, "1395000000709", "Net Case Count - Agency in pro-rated MDRT agents (70-99%)")</f>
        <v>Net Case Count - Agency in pro-rated MDRT agents (70-99%)</v>
      </c>
      <c r="C3415" s="4" t="str">
        <f>CHOOSE(2, "5461730030", "Jun 26")</f>
        <v>Jun 26</v>
      </c>
      <c r="D3415" s="2" t="s">
        <v>5</v>
      </c>
    </row>
    <row r="3416" spans="1:4" x14ac:dyDescent="0.35">
      <c r="A3416" s="8" t="str">
        <f t="shared" si="1761"/>
        <v>China</v>
      </c>
      <c r="B3416" s="6" t="str">
        <f t="shared" si="1762"/>
        <v>Net Case Count - Agency in pro-rated MDRT agents (70-99%)</v>
      </c>
      <c r="C3416" s="4" t="str">
        <f>CHOOSE(2, "5462030031", "Jul 26")</f>
        <v>Jul 26</v>
      </c>
      <c r="D3416" s="2" t="s">
        <v>5</v>
      </c>
    </row>
    <row r="3417" spans="1:4" x14ac:dyDescent="0.35">
      <c r="A3417" s="8" t="str">
        <f t="shared" si="1761"/>
        <v>China</v>
      </c>
      <c r="B3417" s="3" t="str">
        <f t="shared" ref="B3417:B3418" si="1763">CHOOSE(2, "1395000000708", "Net Case Count - Agency in pro-rated MDRT agents (50-69%)")</f>
        <v>Net Case Count - Agency in pro-rated MDRT agents (50-69%)</v>
      </c>
      <c r="C3417" s="4" t="str">
        <f>CHOOSE(2, "5461730030", "Jun 26")</f>
        <v>Jun 26</v>
      </c>
      <c r="D3417" s="2" t="s">
        <v>5</v>
      </c>
    </row>
    <row r="3418" spans="1:4" x14ac:dyDescent="0.35">
      <c r="A3418" s="8" t="str">
        <f t="shared" si="1761"/>
        <v>China</v>
      </c>
      <c r="B3418" s="6" t="str">
        <f t="shared" si="1763"/>
        <v>Net Case Count - Agency in pro-rated MDRT agents (50-69%)</v>
      </c>
      <c r="C3418" s="4" t="str">
        <f>CHOOSE(2, "5462030031", "Jul 26")</f>
        <v>Jul 26</v>
      </c>
      <c r="D3418" s="2" t="s">
        <v>5</v>
      </c>
    </row>
    <row r="3419" spans="1:4" x14ac:dyDescent="0.35">
      <c r="A3419" s="8" t="str">
        <f t="shared" si="1761"/>
        <v>China</v>
      </c>
      <c r="B3419" s="3" t="str">
        <f t="shared" ref="B3419:B3420" si="1764">CHOOSE(2, "1395000000707", "Net Case Count - Agency in Manulife Pro Qualifiers - Total")</f>
        <v>Net Case Count - Agency in Manulife Pro Qualifiers - Total</v>
      </c>
      <c r="C3419" s="4" t="str">
        <f>CHOOSE(2, "5461730030", "Jun 26")</f>
        <v>Jun 26</v>
      </c>
      <c r="D3419" s="2" t="s">
        <v>5</v>
      </c>
    </row>
    <row r="3420" spans="1:4" x14ac:dyDescent="0.35">
      <c r="A3420" s="8" t="str">
        <f t="shared" si="1761"/>
        <v>China</v>
      </c>
      <c r="B3420" s="6" t="str">
        <f t="shared" si="1764"/>
        <v>Net Case Count - Agency in Manulife Pro Qualifiers - Total</v>
      </c>
      <c r="C3420" s="4" t="str">
        <f>CHOOSE(2, "5462030031", "Jul 26")</f>
        <v>Jul 26</v>
      </c>
      <c r="D3420" s="2" t="s">
        <v>5</v>
      </c>
    </row>
    <row r="3421" spans="1:4" x14ac:dyDescent="0.35">
      <c r="A3421" s="8" t="str">
        <f t="shared" si="1761"/>
        <v>China</v>
      </c>
      <c r="B3421" s="3" t="str">
        <f t="shared" ref="B3421:B3422" si="1765">CHOOSE(2, "1395000000706", "No. of Sales Proposal Generated")</f>
        <v>No. of Sales Proposal Generated</v>
      </c>
      <c r="C3421" s="4" t="str">
        <f>CHOOSE(2, "5461730030", "Jun 26")</f>
        <v>Jun 26</v>
      </c>
      <c r="D3421" s="2" t="s">
        <v>5</v>
      </c>
    </row>
    <row r="3422" spans="1:4" x14ac:dyDescent="0.35">
      <c r="A3422" s="8" t="str">
        <f t="shared" si="1761"/>
        <v>China</v>
      </c>
      <c r="B3422" s="6" t="str">
        <f t="shared" si="1765"/>
        <v>No. of Sales Proposal Generated</v>
      </c>
      <c r="C3422" s="4" t="str">
        <f>CHOOSE(2, "5462030031", "Jul 26")</f>
        <v>Jul 26</v>
      </c>
      <c r="D3422" s="2" t="s">
        <v>5</v>
      </c>
    </row>
    <row r="3423" spans="1:4" x14ac:dyDescent="0.35">
      <c r="A3423" s="8" t="str">
        <f t="shared" si="1761"/>
        <v>China</v>
      </c>
      <c r="B3423" s="3" t="str">
        <f t="shared" ref="B3423:B3424" si="1766">CHOOSE(2, "1395000000705", "$ APE from Agents in X tenure")</f>
        <v>$ APE from Agents in X tenure</v>
      </c>
      <c r="C3423" s="4" t="str">
        <f>CHOOSE(2, "5461730030", "Jun 26")</f>
        <v>Jun 26</v>
      </c>
      <c r="D3423" s="14">
        <v>38271453.795239389</v>
      </c>
    </row>
    <row r="3424" spans="1:4" x14ac:dyDescent="0.35">
      <c r="A3424" s="8" t="str">
        <f t="shared" si="1761"/>
        <v>China</v>
      </c>
      <c r="B3424" s="6" t="str">
        <f t="shared" si="1766"/>
        <v>$ APE from Agents in X tenure</v>
      </c>
      <c r="C3424" s="4" t="str">
        <f>CHOOSE(2, "5462030031", "Jul 26")</f>
        <v>Jul 26</v>
      </c>
      <c r="D3424" s="14">
        <v>17454646.815873642</v>
      </c>
    </row>
    <row r="3425" spans="1:4" x14ac:dyDescent="0.35">
      <c r="A3425" s="8" t="str">
        <f t="shared" si="1761"/>
        <v>China</v>
      </c>
      <c r="B3425" s="3" t="str">
        <f t="shared" ref="B3425:B3426" si="1767">CHOOSE(2, "1395000000704", "$ APE from Agents in X tenure in 0-1M")</f>
        <v>$ APE from Agents in X tenure in 0-1M</v>
      </c>
      <c r="C3425" s="4" t="str">
        <f>CHOOSE(2, "5461730030", "Jun 26")</f>
        <v>Jun 26</v>
      </c>
      <c r="D3425" s="14">
        <v>3827145.379523939</v>
      </c>
    </row>
    <row r="3426" spans="1:4" x14ac:dyDescent="0.35">
      <c r="A3426" s="8" t="str">
        <f t="shared" si="1761"/>
        <v>China</v>
      </c>
      <c r="B3426" s="6" t="str">
        <f t="shared" si="1767"/>
        <v>$ APE from Agents in X tenure in 0-1M</v>
      </c>
      <c r="C3426" s="4" t="str">
        <f>CHOOSE(2, "5462030031", "Jul 26")</f>
        <v>Jul 26</v>
      </c>
      <c r="D3426" s="14">
        <v>1745464.6815873643</v>
      </c>
    </row>
    <row r="3427" spans="1:4" x14ac:dyDescent="0.35">
      <c r="A3427" s="8" t="str">
        <f t="shared" si="1761"/>
        <v>China</v>
      </c>
      <c r="B3427" s="3" t="str">
        <f t="shared" ref="B3427:B3428" si="1768">CHOOSE(2, "1395000000703", "$ APE from Agents in X tenure in 2-3M")</f>
        <v>$ APE from Agents in X tenure in 2-3M</v>
      </c>
      <c r="C3427" s="4" t="str">
        <f>CHOOSE(2, "5461730030", "Jun 26")</f>
        <v>Jun 26</v>
      </c>
      <c r="D3427" s="14">
        <v>7654290.759047878</v>
      </c>
    </row>
    <row r="3428" spans="1:4" x14ac:dyDescent="0.35">
      <c r="A3428" s="8" t="str">
        <f t="shared" si="1761"/>
        <v>China</v>
      </c>
      <c r="B3428" s="6" t="str">
        <f t="shared" si="1768"/>
        <v>$ APE from Agents in X tenure in 2-3M</v>
      </c>
      <c r="C3428" s="4" t="str">
        <f>CHOOSE(2, "5462030031", "Jul 26")</f>
        <v>Jul 26</v>
      </c>
      <c r="D3428" s="14">
        <v>3490929.3631747286</v>
      </c>
    </row>
    <row r="3429" spans="1:4" x14ac:dyDescent="0.35">
      <c r="A3429" s="8" t="str">
        <f t="shared" si="1761"/>
        <v>China</v>
      </c>
      <c r="B3429" s="3" t="str">
        <f t="shared" ref="B3429:B3430" si="1769">CHOOSE(2, "1395000000702", "$ APE from Agents in X tenure in 4-12M")</f>
        <v>$ APE from Agents in X tenure in 4-12M</v>
      </c>
      <c r="C3429" s="4" t="str">
        <f>CHOOSE(2, "5461730030", "Jun 26")</f>
        <v>Jun 26</v>
      </c>
      <c r="D3429" s="14">
        <v>11481436.138571816</v>
      </c>
    </row>
    <row r="3430" spans="1:4" x14ac:dyDescent="0.35">
      <c r="A3430" s="8" t="str">
        <f t="shared" si="1761"/>
        <v>China</v>
      </c>
      <c r="B3430" s="6" t="str">
        <f t="shared" si="1769"/>
        <v>$ APE from Agents in X tenure in 4-12M</v>
      </c>
      <c r="C3430" s="4" t="str">
        <f>CHOOSE(2, "5462030031", "Jul 26")</f>
        <v>Jul 26</v>
      </c>
      <c r="D3430" s="14">
        <v>5236394.0447620926</v>
      </c>
    </row>
    <row r="3431" spans="1:4" x14ac:dyDescent="0.35">
      <c r="A3431" s="8" t="str">
        <f t="shared" si="1761"/>
        <v>China</v>
      </c>
      <c r="B3431" s="3" t="str">
        <f t="shared" ref="B3431:B3432" si="1770">CHOOSE(2, "1395000000701", "$ APE from Agents in X tenure 13+M")</f>
        <v>$ APE from Agents in X tenure 13+M</v>
      </c>
      <c r="C3431" s="4" t="str">
        <f>CHOOSE(2, "5461730030", "Jun 26")</f>
        <v>Jun 26</v>
      </c>
      <c r="D3431" s="14">
        <v>15308581.518095756</v>
      </c>
    </row>
    <row r="3432" spans="1:4" x14ac:dyDescent="0.35">
      <c r="A3432" s="8" t="str">
        <f t="shared" si="1761"/>
        <v>China</v>
      </c>
      <c r="B3432" s="6" t="str">
        <f t="shared" si="1770"/>
        <v>$ APE from Agents in X tenure 13+M</v>
      </c>
      <c r="C3432" s="4" t="str">
        <f>CHOOSE(2, "5462030031", "Jul 26")</f>
        <v>Jul 26</v>
      </c>
      <c r="D3432" s="14">
        <v>6981858.7263494572</v>
      </c>
    </row>
    <row r="3433" spans="1:4" x14ac:dyDescent="0.35">
      <c r="A3433" s="8" t="str">
        <f t="shared" si="1761"/>
        <v>China</v>
      </c>
      <c r="B3433" s="3" t="str">
        <f t="shared" ref="B3433:B3434" si="1771">CHOOSE(2, "1395000000700", "Total agent headcount (end of period)")</f>
        <v>Total agent headcount (end of period)</v>
      </c>
      <c r="C3433" s="4" t="str">
        <f>CHOOSE(2, "5461730030", "Jun 26")</f>
        <v>Jun 26</v>
      </c>
      <c r="D3433" s="14">
        <v>7495</v>
      </c>
    </row>
    <row r="3434" spans="1:4" x14ac:dyDescent="0.35">
      <c r="A3434" s="8" t="str">
        <f t="shared" si="1761"/>
        <v>China</v>
      </c>
      <c r="B3434" s="6" t="str">
        <f t="shared" si="1771"/>
        <v>Total agent headcount (end of period)</v>
      </c>
      <c r="C3434" s="4" t="str">
        <f>CHOOSE(2, "5462030031", "Jul 26")</f>
        <v>Jul 26</v>
      </c>
      <c r="D3434" s="14">
        <v>7324</v>
      </c>
    </row>
    <row r="3435" spans="1:4" x14ac:dyDescent="0.35">
      <c r="A3435" s="8" t="str">
        <f t="shared" si="1761"/>
        <v>China</v>
      </c>
      <c r="B3435" s="3" t="str">
        <f t="shared" ref="B3435:B3436" si="1772">CHOOSE(2, "1395000000699", "Total agent headcount (end of period) in 0-1M")</f>
        <v>Total agent headcount (end of period) in 0-1M</v>
      </c>
      <c r="C3435" s="4" t="str">
        <f>CHOOSE(2, "5461730030", "Jun 26")</f>
        <v>Jun 26</v>
      </c>
      <c r="D3435" s="2" t="s">
        <v>5</v>
      </c>
    </row>
    <row r="3436" spans="1:4" x14ac:dyDescent="0.35">
      <c r="A3436" s="8" t="str">
        <f t="shared" si="1761"/>
        <v>China</v>
      </c>
      <c r="B3436" s="6" t="str">
        <f t="shared" si="1772"/>
        <v>Total agent headcount (end of period) in 0-1M</v>
      </c>
      <c r="C3436" s="4" t="str">
        <f>CHOOSE(2, "5462030031", "Jul 26")</f>
        <v>Jul 26</v>
      </c>
      <c r="D3436" s="2" t="s">
        <v>5</v>
      </c>
    </row>
    <row r="3437" spans="1:4" x14ac:dyDescent="0.35">
      <c r="A3437" s="8" t="str">
        <f t="shared" si="1761"/>
        <v>China</v>
      </c>
      <c r="B3437" s="3" t="str">
        <f t="shared" ref="B3437:B3438" si="1773">CHOOSE(2, "1395000000698", "Total agent headcount (end of period) in 2-3M")</f>
        <v>Total agent headcount (end of period) in 2-3M</v>
      </c>
      <c r="C3437" s="4" t="str">
        <f>CHOOSE(2, "5461730030", "Jun 26")</f>
        <v>Jun 26</v>
      </c>
      <c r="D3437" s="2" t="s">
        <v>5</v>
      </c>
    </row>
    <row r="3438" spans="1:4" x14ac:dyDescent="0.35">
      <c r="A3438" s="8" t="str">
        <f t="shared" si="1761"/>
        <v>China</v>
      </c>
      <c r="B3438" s="6" t="str">
        <f t="shared" si="1773"/>
        <v>Total agent headcount (end of period) in 2-3M</v>
      </c>
      <c r="C3438" s="4" t="str">
        <f>CHOOSE(2, "5462030031", "Jul 26")</f>
        <v>Jul 26</v>
      </c>
      <c r="D3438" s="2" t="s">
        <v>5</v>
      </c>
    </row>
    <row r="3439" spans="1:4" x14ac:dyDescent="0.35">
      <c r="A3439" s="8" t="str">
        <f t="shared" si="1761"/>
        <v>China</v>
      </c>
      <c r="B3439" s="3" t="str">
        <f t="shared" ref="B3439:B3440" si="1774">CHOOSE(2, "1395000000697", "Total agent headcount (end of period) in 4-12M")</f>
        <v>Total agent headcount (end of period) in 4-12M</v>
      </c>
      <c r="C3439" s="4" t="str">
        <f>CHOOSE(2, "5461730030", "Jun 26")</f>
        <v>Jun 26</v>
      </c>
      <c r="D3439" s="2" t="s">
        <v>5</v>
      </c>
    </row>
    <row r="3440" spans="1:4" x14ac:dyDescent="0.35">
      <c r="A3440" s="8" t="str">
        <f t="shared" si="1761"/>
        <v>China</v>
      </c>
      <c r="B3440" s="6" t="str">
        <f t="shared" si="1774"/>
        <v>Total agent headcount (end of period) in 4-12M</v>
      </c>
      <c r="C3440" s="4" t="str">
        <f>CHOOSE(2, "5462030031", "Jul 26")</f>
        <v>Jul 26</v>
      </c>
      <c r="D3440" s="2" t="s">
        <v>5</v>
      </c>
    </row>
    <row r="3441" spans="1:4" x14ac:dyDescent="0.35">
      <c r="A3441" s="8" t="str">
        <f t="shared" si="1761"/>
        <v>China</v>
      </c>
      <c r="B3441" s="3" t="str">
        <f t="shared" ref="B3441:B3442" si="1775">CHOOSE(2, "1395000000696", "Total agent headcount (end of period) 13+M")</f>
        <v>Total agent headcount (end of period) 13+M</v>
      </c>
      <c r="C3441" s="4" t="str">
        <f>CHOOSE(2, "5461730030", "Jun 26")</f>
        <v>Jun 26</v>
      </c>
      <c r="D3441" s="2" t="s">
        <v>5</v>
      </c>
    </row>
    <row r="3442" spans="1:4" x14ac:dyDescent="0.35">
      <c r="A3442" s="8" t="str">
        <f t="shared" si="1761"/>
        <v>China</v>
      </c>
      <c r="B3442" s="6" t="str">
        <f t="shared" si="1775"/>
        <v>Total agent headcount (end of period) 13+M</v>
      </c>
      <c r="C3442" s="4" t="str">
        <f>CHOOSE(2, "5462030031", "Jul 26")</f>
        <v>Jul 26</v>
      </c>
      <c r="D3442" s="2" t="s">
        <v>5</v>
      </c>
    </row>
    <row r="3443" spans="1:4" x14ac:dyDescent="0.35">
      <c r="A3443" s="8" t="str">
        <f t="shared" si="1761"/>
        <v>China</v>
      </c>
      <c r="B3443" s="3" t="str">
        <f t="shared" ref="B3443:B3444" si="1776">CHOOSE(2, "1395000000695", "Total agent headcount (end of period) in FA or equivalent")</f>
        <v>Total agent headcount (end of period) in FA or equivalent</v>
      </c>
      <c r="C3443" s="4" t="str">
        <f>CHOOSE(2, "5461730030", "Jun 26")</f>
        <v>Jun 26</v>
      </c>
      <c r="D3443" s="2" t="s">
        <v>5</v>
      </c>
    </row>
    <row r="3444" spans="1:4" x14ac:dyDescent="0.35">
      <c r="A3444" s="8" t="str">
        <f t="shared" si="1761"/>
        <v>China</v>
      </c>
      <c r="B3444" s="6" t="str">
        <f t="shared" si="1776"/>
        <v>Total agent headcount (end of period) in FA or equivalent</v>
      </c>
      <c r="C3444" s="4" t="str">
        <f>CHOOSE(2, "5462030031", "Jul 26")</f>
        <v>Jul 26</v>
      </c>
      <c r="D3444" s="2" t="s">
        <v>5</v>
      </c>
    </row>
    <row r="3445" spans="1:4" x14ac:dyDescent="0.35">
      <c r="A3445" s="8" t="str">
        <f t="shared" si="1761"/>
        <v>China</v>
      </c>
      <c r="B3445" s="3" t="str">
        <f t="shared" ref="B3445:B3446" si="1777">CHOOSE(2, "1395000000694", "Total agent headcount (end of period) in UM")</f>
        <v>Total agent headcount (end of period) in UM</v>
      </c>
      <c r="C3445" s="4" t="str">
        <f>CHOOSE(2, "5461730030", "Jun 26")</f>
        <v>Jun 26</v>
      </c>
      <c r="D3445" s="2" t="s">
        <v>5</v>
      </c>
    </row>
    <row r="3446" spans="1:4" x14ac:dyDescent="0.35">
      <c r="A3446" s="8" t="str">
        <f t="shared" si="1761"/>
        <v>China</v>
      </c>
      <c r="B3446" s="6" t="str">
        <f t="shared" si="1777"/>
        <v>Total agent headcount (end of period) in UM</v>
      </c>
      <c r="C3446" s="4" t="str">
        <f>CHOOSE(2, "5462030031", "Jul 26")</f>
        <v>Jul 26</v>
      </c>
      <c r="D3446" s="2" t="s">
        <v>5</v>
      </c>
    </row>
    <row r="3447" spans="1:4" x14ac:dyDescent="0.35">
      <c r="A3447" s="8" t="str">
        <f t="shared" si="1761"/>
        <v>China</v>
      </c>
      <c r="B3447" s="3" t="str">
        <f t="shared" ref="B3447:B3448" si="1778">CHOOSE(2, "1395000000693", "Total agent headcount (end of period) in Leaders above UM")</f>
        <v>Total agent headcount (end of period) in Leaders above UM</v>
      </c>
      <c r="C3447" s="4" t="str">
        <f>CHOOSE(2, "5461730030", "Jun 26")</f>
        <v>Jun 26</v>
      </c>
      <c r="D3447" s="2" t="s">
        <v>5</v>
      </c>
    </row>
    <row r="3448" spans="1:4" x14ac:dyDescent="0.35">
      <c r="A3448" s="8" t="str">
        <f t="shared" si="1761"/>
        <v>China</v>
      </c>
      <c r="B3448" s="6" t="str">
        <f t="shared" si="1778"/>
        <v>Total agent headcount (end of period) in Leaders above UM</v>
      </c>
      <c r="C3448" s="4" t="str">
        <f>CHOOSE(2, "5462030031", "Jul 26")</f>
        <v>Jul 26</v>
      </c>
      <c r="D3448" s="2" t="s">
        <v>5</v>
      </c>
    </row>
    <row r="3449" spans="1:4" x14ac:dyDescent="0.35">
      <c r="A3449" s="8" t="str">
        <f t="shared" si="1761"/>
        <v>China</v>
      </c>
      <c r="B3449" s="3" t="str">
        <f t="shared" ref="B3449:B3450" si="1779">CHOOSE(2, "1395000000692", "Total agent headcount (end of period) in Top-tier agents")</f>
        <v>Total agent headcount (end of period) in Top-tier agents</v>
      </c>
      <c r="C3449" s="4" t="str">
        <f>CHOOSE(2, "5461730030", "Jun 26")</f>
        <v>Jun 26</v>
      </c>
      <c r="D3449" s="14">
        <v>1776</v>
      </c>
    </row>
    <row r="3450" spans="1:4" x14ac:dyDescent="0.35">
      <c r="A3450" s="8" t="str">
        <f t="shared" si="1761"/>
        <v>China</v>
      </c>
      <c r="B3450" s="6" t="str">
        <f t="shared" si="1779"/>
        <v>Total agent headcount (end of period) in Top-tier agents</v>
      </c>
      <c r="C3450" s="4" t="str">
        <f>CHOOSE(2, "5462030031", "Jul 26")</f>
        <v>Jul 26</v>
      </c>
      <c r="D3450" s="14">
        <v>1663</v>
      </c>
    </row>
    <row r="3451" spans="1:4" x14ac:dyDescent="0.35">
      <c r="A3451" s="8" t="str">
        <f t="shared" si="1761"/>
        <v>China</v>
      </c>
      <c r="B3451" s="3" t="str">
        <f t="shared" ref="B3451:B3452" si="1780">CHOOSE(2, "1395000000691", "Total agent headcount  in pro-rated MDRT agents (&gt;100%)")</f>
        <v>Total agent headcount  in pro-rated MDRT agents (&gt;100%)</v>
      </c>
      <c r="C3451" s="4" t="str">
        <f>CHOOSE(2, "5461730030", "Jun 26")</f>
        <v>Jun 26</v>
      </c>
      <c r="D3451" s="14">
        <v>1097</v>
      </c>
    </row>
    <row r="3452" spans="1:4" x14ac:dyDescent="0.35">
      <c r="A3452" s="8" t="str">
        <f t="shared" si="1761"/>
        <v>China</v>
      </c>
      <c r="B3452" s="6" t="str">
        <f t="shared" si="1780"/>
        <v>Total agent headcount  in pro-rated MDRT agents (&gt;100%)</v>
      </c>
      <c r="C3452" s="4" t="str">
        <f>CHOOSE(2, "5462030031", "Jul 26")</f>
        <v>Jul 26</v>
      </c>
      <c r="D3452" s="14">
        <v>987</v>
      </c>
    </row>
    <row r="3453" spans="1:4" x14ac:dyDescent="0.35">
      <c r="A3453" s="8" t="str">
        <f t="shared" si="1761"/>
        <v>China</v>
      </c>
      <c r="B3453" s="3" t="str">
        <f t="shared" ref="B3453:B3454" si="1781">CHOOSE(2, "1395000000690", "Total agent headcount  in pro-rated MDRT agents (70-99%)")</f>
        <v>Total agent headcount  in pro-rated MDRT agents (70-99%)</v>
      </c>
      <c r="C3453" s="4" t="str">
        <f>CHOOSE(2, "5461730030", "Jun 26")</f>
        <v>Jun 26</v>
      </c>
      <c r="D3453" s="14">
        <v>322</v>
      </c>
    </row>
    <row r="3454" spans="1:4" x14ac:dyDescent="0.35">
      <c r="A3454" s="8" t="str">
        <f t="shared" si="1761"/>
        <v>China</v>
      </c>
      <c r="B3454" s="6" t="str">
        <f t="shared" si="1781"/>
        <v>Total agent headcount  in pro-rated MDRT agents (70-99%)</v>
      </c>
      <c r="C3454" s="4" t="str">
        <f>CHOOSE(2, "5462030031", "Jul 26")</f>
        <v>Jul 26</v>
      </c>
      <c r="D3454" s="14">
        <v>341</v>
      </c>
    </row>
    <row r="3455" spans="1:4" x14ac:dyDescent="0.35">
      <c r="A3455" s="8" t="str">
        <f t="shared" si="1761"/>
        <v>China</v>
      </c>
      <c r="B3455" s="3" t="str">
        <f t="shared" ref="B3455:B3456" si="1782">CHOOSE(2, "1395000000689", "Total agent headcount  in pro-rated MDRT agents (50-69%)")</f>
        <v>Total agent headcount  in pro-rated MDRT agents (50-69%)</v>
      </c>
      <c r="C3455" s="4" t="str">
        <f>CHOOSE(2, "5461730030", "Jun 26")</f>
        <v>Jun 26</v>
      </c>
      <c r="D3455" s="14">
        <v>357</v>
      </c>
    </row>
    <row r="3456" spans="1:4" x14ac:dyDescent="0.35">
      <c r="A3456" s="8" t="str">
        <f t="shared" si="1761"/>
        <v>China</v>
      </c>
      <c r="B3456" s="6" t="str">
        <f t="shared" si="1782"/>
        <v>Total agent headcount  in pro-rated MDRT agents (50-69%)</v>
      </c>
      <c r="C3456" s="4" t="str">
        <f>CHOOSE(2, "5462030031", "Jul 26")</f>
        <v>Jul 26</v>
      </c>
      <c r="D3456" s="14">
        <v>335</v>
      </c>
    </row>
    <row r="3457" spans="1:4" x14ac:dyDescent="0.35">
      <c r="A3457" s="8" t="str">
        <f t="shared" si="1761"/>
        <v>China</v>
      </c>
      <c r="B3457" s="3" t="str">
        <f t="shared" ref="B3457:B3458" si="1783">CHOOSE(2, "1395000000688", "Total agent headcount  in Manulife Pro Qualifiers - Total")</f>
        <v>Total agent headcount  in Manulife Pro Qualifiers - Total</v>
      </c>
      <c r="C3457" s="4" t="str">
        <f>CHOOSE(2, "5461730030", "Jun 26")</f>
        <v>Jun 26</v>
      </c>
      <c r="D3457" s="2" t="s">
        <v>5</v>
      </c>
    </row>
    <row r="3458" spans="1:4" x14ac:dyDescent="0.35">
      <c r="A3458" s="8" t="str">
        <f t="shared" si="1761"/>
        <v>China</v>
      </c>
      <c r="B3458" s="6" t="str">
        <f t="shared" si="1783"/>
        <v>Total agent headcount  in Manulife Pro Qualifiers - Total</v>
      </c>
      <c r="C3458" s="4" t="str">
        <f>CHOOSE(2, "5462030031", "Jul 26")</f>
        <v>Jul 26</v>
      </c>
      <c r="D3458" s="2" t="s">
        <v>5</v>
      </c>
    </row>
    <row r="3459" spans="1:4" x14ac:dyDescent="0.35">
      <c r="A3459" s="8" t="str">
        <f t="shared" si="1761"/>
        <v>China</v>
      </c>
      <c r="B3459" s="3" t="str">
        <f t="shared" ref="B3459:B3460" si="1784">CHOOSE(2, "1395000000687", "New recruits")</f>
        <v>New recruits</v>
      </c>
      <c r="C3459" s="4" t="str">
        <f>CHOOSE(2, "5461730030", "Jun 26")</f>
        <v>Jun 26</v>
      </c>
      <c r="D3459" s="14">
        <v>378</v>
      </c>
    </row>
    <row r="3460" spans="1:4" x14ac:dyDescent="0.35">
      <c r="A3460" s="8" t="str">
        <f t="shared" si="1761"/>
        <v>China</v>
      </c>
      <c r="B3460" s="6" t="str">
        <f t="shared" si="1784"/>
        <v>New recruits</v>
      </c>
      <c r="C3460" s="4" t="str">
        <f>CHOOSE(2, "5462030031", "Jul 26")</f>
        <v>Jul 26</v>
      </c>
      <c r="D3460" s="14">
        <v>292</v>
      </c>
    </row>
    <row r="3461" spans="1:4" x14ac:dyDescent="0.35">
      <c r="A3461" s="8" t="str">
        <f t="shared" si="1761"/>
        <v>China</v>
      </c>
      <c r="B3461" s="3" t="str">
        <f t="shared" ref="B3461:B3462" si="1785">CHOOSE(2, "1395000000686", "New recruits - Leader level")</f>
        <v>New recruits - Leader level</v>
      </c>
      <c r="C3461" s="4" t="str">
        <f>CHOOSE(2, "5461730030", "Jun 26")</f>
        <v>Jun 26</v>
      </c>
      <c r="D3461" s="2" t="s">
        <v>5</v>
      </c>
    </row>
    <row r="3462" spans="1:4" x14ac:dyDescent="0.35">
      <c r="A3462" s="8" t="str">
        <f t="shared" si="1761"/>
        <v>China</v>
      </c>
      <c r="B3462" s="6" t="str">
        <f t="shared" si="1785"/>
        <v>New recruits - Leader level</v>
      </c>
      <c r="C3462" s="4" t="str">
        <f>CHOOSE(2, "5462030031", "Jul 26")</f>
        <v>Jul 26</v>
      </c>
      <c r="D3462" s="2" t="s">
        <v>5</v>
      </c>
    </row>
    <row r="3463" spans="1:4" x14ac:dyDescent="0.35">
      <c r="A3463" s="8" t="str">
        <f t="shared" si="1761"/>
        <v>China</v>
      </c>
      <c r="B3463" s="3" t="str">
        <f t="shared" ref="B3463:B3464" si="1786">CHOOSE(2, "1395000000685", "New recruits - FA or equivalent")</f>
        <v>New recruits - FA or equivalent</v>
      </c>
      <c r="C3463" s="4" t="str">
        <f>CHOOSE(2, "5461730030", "Jun 26")</f>
        <v>Jun 26</v>
      </c>
      <c r="D3463" s="2" t="s">
        <v>5</v>
      </c>
    </row>
    <row r="3464" spans="1:4" x14ac:dyDescent="0.35">
      <c r="A3464" s="8" t="str">
        <f t="shared" si="1761"/>
        <v>China</v>
      </c>
      <c r="B3464" s="6" t="str">
        <f t="shared" si="1786"/>
        <v>New recruits - FA or equivalent</v>
      </c>
      <c r="C3464" s="4" t="str">
        <f>CHOOSE(2, "5462030031", "Jul 26")</f>
        <v>Jul 26</v>
      </c>
      <c r="D3464" s="2" t="s">
        <v>5</v>
      </c>
    </row>
    <row r="3465" spans="1:4" x14ac:dyDescent="0.35">
      <c r="A3465" s="8" t="str">
        <f t="shared" si="1761"/>
        <v>China</v>
      </c>
      <c r="B3465" s="3" t="str">
        <f t="shared" ref="B3465:B3466" si="1787">CHOOSE(2, "1395000000684", "New recruits in UM")</f>
        <v>New recruits in UM</v>
      </c>
      <c r="C3465" s="4" t="str">
        <f>CHOOSE(2, "5461730030", "Jun 26")</f>
        <v>Jun 26</v>
      </c>
      <c r="D3465" s="2" t="s">
        <v>5</v>
      </c>
    </row>
    <row r="3466" spans="1:4" x14ac:dyDescent="0.35">
      <c r="A3466" s="8" t="str">
        <f t="shared" si="1761"/>
        <v>China</v>
      </c>
      <c r="B3466" s="6" t="str">
        <f t="shared" si="1787"/>
        <v>New recruits in UM</v>
      </c>
      <c r="C3466" s="4" t="str">
        <f>CHOOSE(2, "5462030031", "Jul 26")</f>
        <v>Jul 26</v>
      </c>
      <c r="D3466" s="2" t="s">
        <v>5</v>
      </c>
    </row>
    <row r="3467" spans="1:4" x14ac:dyDescent="0.35">
      <c r="A3467" s="8" t="str">
        <f t="shared" si="1761"/>
        <v>China</v>
      </c>
      <c r="B3467" s="3" t="str">
        <f t="shared" ref="B3467:B3468" si="1788">CHOOSE(2, "1395000000683", "New recruits in Leaders above UM")</f>
        <v>New recruits in Leaders above UM</v>
      </c>
      <c r="C3467" s="4" t="str">
        <f>CHOOSE(2, "5461730030", "Jun 26")</f>
        <v>Jun 26</v>
      </c>
      <c r="D3467" s="2" t="s">
        <v>5</v>
      </c>
    </row>
    <row r="3468" spans="1:4" x14ac:dyDescent="0.35">
      <c r="A3468" s="8" t="str">
        <f t="shared" si="1761"/>
        <v>China</v>
      </c>
      <c r="B3468" s="6" t="str">
        <f t="shared" si="1788"/>
        <v>New recruits in Leaders above UM</v>
      </c>
      <c r="C3468" s="4" t="str">
        <f>CHOOSE(2, "5462030031", "Jul 26")</f>
        <v>Jul 26</v>
      </c>
      <c r="D3468" s="2" t="s">
        <v>5</v>
      </c>
    </row>
    <row r="3469" spans="1:4" x14ac:dyDescent="0.35">
      <c r="A3469" s="8" t="str">
        <f t="shared" si="1761"/>
        <v>China</v>
      </c>
      <c r="B3469" s="3" t="str">
        <f t="shared" ref="B3469:B3470" si="1789">CHOOSE(2, "1395000000682", "# of 6-90 agents")</f>
        <v># of 6-90 agents</v>
      </c>
      <c r="C3469" s="4" t="str">
        <f>CHOOSE(2, "5461730030", "Jun 26")</f>
        <v>Jun 26</v>
      </c>
      <c r="D3469" s="14">
        <v>130</v>
      </c>
    </row>
    <row r="3470" spans="1:4" x14ac:dyDescent="0.35">
      <c r="A3470" s="8" t="str">
        <f t="shared" si="1761"/>
        <v>China</v>
      </c>
      <c r="B3470" s="6" t="str">
        <f t="shared" si="1789"/>
        <v># of 6-90 agents</v>
      </c>
      <c r="C3470" s="4" t="str">
        <f>CHOOSE(2, "5462030031", "Jul 26")</f>
        <v>Jul 26</v>
      </c>
      <c r="D3470" s="14">
        <v>114</v>
      </c>
    </row>
    <row r="3471" spans="1:4" x14ac:dyDescent="0.35">
      <c r="A3471" s="8" t="str">
        <f t="shared" si="1761"/>
        <v>China</v>
      </c>
      <c r="B3471" s="3" t="str">
        <f t="shared" ref="B3471:B3472" si="1790">CHOOSE(2, "1395000000681", "New Recruits 3M Activation #")</f>
        <v>New Recruits 3M Activation #</v>
      </c>
      <c r="C3471" s="4" t="str">
        <f>CHOOSE(2, "5461730030", "Jun 26")</f>
        <v>Jun 26</v>
      </c>
      <c r="D3471" s="14">
        <v>217.44</v>
      </c>
    </row>
    <row r="3472" spans="1:4" x14ac:dyDescent="0.35">
      <c r="A3472" s="8" t="str">
        <f t="shared" si="1761"/>
        <v>China</v>
      </c>
      <c r="B3472" s="6" t="str">
        <f t="shared" si="1790"/>
        <v>New Recruits 3M Activation #</v>
      </c>
      <c r="C3472" s="4" t="str">
        <f>CHOOSE(2, "5462030031", "Jul 26")</f>
        <v>Jul 26</v>
      </c>
      <c r="D3472" s="14">
        <v>214</v>
      </c>
    </row>
    <row r="3473" spans="1:4" x14ac:dyDescent="0.35">
      <c r="A3473" s="8" t="str">
        <f t="shared" si="1761"/>
        <v>China</v>
      </c>
      <c r="B3473" s="3" t="str">
        <f t="shared" ref="B3473:B3474" si="1791">CHOOSE(2, "1395000000680", "No of Terminations")</f>
        <v>No of Terminations</v>
      </c>
      <c r="C3473" s="4" t="str">
        <f>CHOOSE(2, "5461730030", "Jun 26")</f>
        <v>Jun 26</v>
      </c>
      <c r="D3473" s="14">
        <v>82</v>
      </c>
    </row>
    <row r="3474" spans="1:4" x14ac:dyDescent="0.35">
      <c r="A3474" s="8" t="str">
        <f t="shared" si="1761"/>
        <v>China</v>
      </c>
      <c r="B3474" s="6" t="str">
        <f t="shared" si="1791"/>
        <v>No of Terminations</v>
      </c>
      <c r="C3474" s="4" t="str">
        <f>CHOOSE(2, "5462030031", "Jul 26")</f>
        <v>Jul 26</v>
      </c>
      <c r="D3474" s="14">
        <v>463</v>
      </c>
    </row>
    <row r="3475" spans="1:4" x14ac:dyDescent="0.35">
      <c r="A3475" s="8" t="str">
        <f t="shared" si="1761"/>
        <v>China</v>
      </c>
      <c r="B3475" s="3" t="str">
        <f t="shared" ref="B3475:B3476" si="1792">CHOOSE(2, "1395000000679", "No of Terminations in FA or equivalent")</f>
        <v>No of Terminations in FA or equivalent</v>
      </c>
      <c r="C3475" s="4" t="str">
        <f>CHOOSE(2, "5461730030", "Jun 26")</f>
        <v>Jun 26</v>
      </c>
      <c r="D3475" s="2" t="s">
        <v>5</v>
      </c>
    </row>
    <row r="3476" spans="1:4" x14ac:dyDescent="0.35">
      <c r="A3476" s="8" t="str">
        <f t="shared" si="1761"/>
        <v>China</v>
      </c>
      <c r="B3476" s="6" t="str">
        <f t="shared" si="1792"/>
        <v>No of Terminations in FA or equivalent</v>
      </c>
      <c r="C3476" s="4" t="str">
        <f>CHOOSE(2, "5462030031", "Jul 26")</f>
        <v>Jul 26</v>
      </c>
      <c r="D3476" s="2" t="s">
        <v>5</v>
      </c>
    </row>
    <row r="3477" spans="1:4" x14ac:dyDescent="0.35">
      <c r="A3477" s="8" t="str">
        <f t="shared" si="1761"/>
        <v>China</v>
      </c>
      <c r="B3477" s="3" t="str">
        <f t="shared" ref="B3477:B3478" si="1793">CHOOSE(2, "1395000000678", "No of Terminations in UM")</f>
        <v>No of Terminations in UM</v>
      </c>
      <c r="C3477" s="4" t="str">
        <f>CHOOSE(2, "5461730030", "Jun 26")</f>
        <v>Jun 26</v>
      </c>
      <c r="D3477" s="2" t="s">
        <v>5</v>
      </c>
    </row>
    <row r="3478" spans="1:4" x14ac:dyDescent="0.35">
      <c r="A3478" s="8" t="str">
        <f t="shared" si="1761"/>
        <v>China</v>
      </c>
      <c r="B3478" s="6" t="str">
        <f t="shared" si="1793"/>
        <v>No of Terminations in UM</v>
      </c>
      <c r="C3478" s="4" t="str">
        <f>CHOOSE(2, "5462030031", "Jul 26")</f>
        <v>Jul 26</v>
      </c>
      <c r="D3478" s="2" t="s">
        <v>5</v>
      </c>
    </row>
    <row r="3479" spans="1:4" x14ac:dyDescent="0.35">
      <c r="A3479" s="8" t="str">
        <f t="shared" ref="A3479:A3542" si="1794">CHOOSE(2, "204000000004", "China")</f>
        <v>China</v>
      </c>
      <c r="B3479" s="3" t="str">
        <f t="shared" ref="B3479:B3480" si="1795">CHOOSE(2, "1395000000677", "No of Terminations in Leaders above UM")</f>
        <v>No of Terminations in Leaders above UM</v>
      </c>
      <c r="C3479" s="4" t="str">
        <f>CHOOSE(2, "5461730030", "Jun 26")</f>
        <v>Jun 26</v>
      </c>
      <c r="D3479" s="2" t="s">
        <v>5</v>
      </c>
    </row>
    <row r="3480" spans="1:4" x14ac:dyDescent="0.35">
      <c r="A3480" s="8" t="str">
        <f t="shared" si="1794"/>
        <v>China</v>
      </c>
      <c r="B3480" s="6" t="str">
        <f t="shared" si="1795"/>
        <v>No of Terminations in Leaders above UM</v>
      </c>
      <c r="C3480" s="4" t="str">
        <f>CHOOSE(2, "5462030031", "Jul 26")</f>
        <v>Jul 26</v>
      </c>
      <c r="D3480" s="2" t="s">
        <v>5</v>
      </c>
    </row>
    <row r="3481" spans="1:4" x14ac:dyDescent="0.35">
      <c r="A3481" s="8" t="str">
        <f t="shared" si="1794"/>
        <v>China</v>
      </c>
      <c r="B3481" s="3" t="str">
        <f t="shared" ref="B3481:B3482" si="1796">CHOOSE(2, "1395000000676", "No of Terminations in Top-tier Agents")</f>
        <v>No of Terminations in Top-tier Agents</v>
      </c>
      <c r="C3481" s="4" t="str">
        <f>CHOOSE(2, "5461730030", "Jun 26")</f>
        <v>Jun 26</v>
      </c>
      <c r="D3481" s="2" t="s">
        <v>5</v>
      </c>
    </row>
    <row r="3482" spans="1:4" x14ac:dyDescent="0.35">
      <c r="A3482" s="8" t="str">
        <f t="shared" si="1794"/>
        <v>China</v>
      </c>
      <c r="B3482" s="6" t="str">
        <f t="shared" si="1796"/>
        <v>No of Terminations in Top-tier Agents</v>
      </c>
      <c r="C3482" s="4" t="str">
        <f>CHOOSE(2, "5462030031", "Jul 26")</f>
        <v>Jul 26</v>
      </c>
      <c r="D3482" s="2" t="s">
        <v>5</v>
      </c>
    </row>
    <row r="3483" spans="1:4" x14ac:dyDescent="0.35">
      <c r="A3483" s="8" t="str">
        <f t="shared" si="1794"/>
        <v>China</v>
      </c>
      <c r="B3483" s="3" t="str">
        <f t="shared" ref="B3483:B3484" si="1797">CHOOSE(2, "1395000000675", "No of Terminations in pro-rated MDRT agents (&gt;100%)")</f>
        <v>No of Terminations in pro-rated MDRT agents (&gt;100%)</v>
      </c>
      <c r="C3483" s="4" t="str">
        <f>CHOOSE(2, "5461730030", "Jun 26")</f>
        <v>Jun 26</v>
      </c>
      <c r="D3483" s="2" t="s">
        <v>5</v>
      </c>
    </row>
    <row r="3484" spans="1:4" x14ac:dyDescent="0.35">
      <c r="A3484" s="8" t="str">
        <f t="shared" si="1794"/>
        <v>China</v>
      </c>
      <c r="B3484" s="6" t="str">
        <f t="shared" si="1797"/>
        <v>No of Terminations in pro-rated MDRT agents (&gt;100%)</v>
      </c>
      <c r="C3484" s="4" t="str">
        <f>CHOOSE(2, "5462030031", "Jul 26")</f>
        <v>Jul 26</v>
      </c>
      <c r="D3484" s="2" t="s">
        <v>5</v>
      </c>
    </row>
    <row r="3485" spans="1:4" x14ac:dyDescent="0.35">
      <c r="A3485" s="8" t="str">
        <f t="shared" si="1794"/>
        <v>China</v>
      </c>
      <c r="B3485" s="3" t="str">
        <f t="shared" ref="B3485:B3486" si="1798">CHOOSE(2, "1395000000674", "No of Terminations in pro-rated MDRT agents (70-99%)")</f>
        <v>No of Terminations in pro-rated MDRT agents (70-99%)</v>
      </c>
      <c r="C3485" s="4" t="str">
        <f>CHOOSE(2, "5461730030", "Jun 26")</f>
        <v>Jun 26</v>
      </c>
      <c r="D3485" s="2" t="s">
        <v>5</v>
      </c>
    </row>
    <row r="3486" spans="1:4" x14ac:dyDescent="0.35">
      <c r="A3486" s="8" t="str">
        <f t="shared" si="1794"/>
        <v>China</v>
      </c>
      <c r="B3486" s="6" t="str">
        <f t="shared" si="1798"/>
        <v>No of Terminations in pro-rated MDRT agents (70-99%)</v>
      </c>
      <c r="C3486" s="4" t="str">
        <f>CHOOSE(2, "5462030031", "Jul 26")</f>
        <v>Jul 26</v>
      </c>
      <c r="D3486" s="2" t="s">
        <v>5</v>
      </c>
    </row>
    <row r="3487" spans="1:4" x14ac:dyDescent="0.35">
      <c r="A3487" s="8" t="str">
        <f t="shared" si="1794"/>
        <v>China</v>
      </c>
      <c r="B3487" s="3" t="str">
        <f t="shared" ref="B3487:B3488" si="1799">CHOOSE(2, "1395000000673", "No of Terminations in pro-rated MDRT agents (50-69%)")</f>
        <v>No of Terminations in pro-rated MDRT agents (50-69%)</v>
      </c>
      <c r="C3487" s="4" t="str">
        <f>CHOOSE(2, "5461730030", "Jun 26")</f>
        <v>Jun 26</v>
      </c>
      <c r="D3487" s="2" t="s">
        <v>5</v>
      </c>
    </row>
    <row r="3488" spans="1:4" x14ac:dyDescent="0.35">
      <c r="A3488" s="8" t="str">
        <f t="shared" si="1794"/>
        <v>China</v>
      </c>
      <c r="B3488" s="6" t="str">
        <f t="shared" si="1799"/>
        <v>No of Terminations in pro-rated MDRT agents (50-69%)</v>
      </c>
      <c r="C3488" s="4" t="str">
        <f>CHOOSE(2, "5462030031", "Jul 26")</f>
        <v>Jul 26</v>
      </c>
      <c r="D3488" s="2" t="s">
        <v>5</v>
      </c>
    </row>
    <row r="3489" spans="1:4" x14ac:dyDescent="0.35">
      <c r="A3489" s="8" t="str">
        <f t="shared" si="1794"/>
        <v>China</v>
      </c>
      <c r="B3489" s="3" t="str">
        <f t="shared" ref="B3489:B3490" si="1800">CHOOSE(2, "1395000000672", "No of Terminations in Manulife Pro Qualifiers - Total")</f>
        <v>No of Terminations in Manulife Pro Qualifiers - Total</v>
      </c>
      <c r="C3489" s="4" t="str">
        <f>CHOOSE(2, "5461730030", "Jun 26")</f>
        <v>Jun 26</v>
      </c>
      <c r="D3489" s="2" t="s">
        <v>5</v>
      </c>
    </row>
    <row r="3490" spans="1:4" x14ac:dyDescent="0.35">
      <c r="A3490" s="8" t="str">
        <f t="shared" si="1794"/>
        <v>China</v>
      </c>
      <c r="B3490" s="6" t="str">
        <f t="shared" si="1800"/>
        <v>No of Terminations in Manulife Pro Qualifiers - Total</v>
      </c>
      <c r="C3490" s="4" t="str">
        <f>CHOOSE(2, "5462030031", "Jul 26")</f>
        <v>Jul 26</v>
      </c>
      <c r="D3490" s="2" t="s">
        <v>5</v>
      </c>
    </row>
    <row r="3491" spans="1:4" x14ac:dyDescent="0.35">
      <c r="A3491" s="8" t="str">
        <f t="shared" si="1794"/>
        <v>China</v>
      </c>
      <c r="B3491" s="3" t="str">
        <f t="shared" ref="B3491:B3492" si="1801">CHOOSE(2, "1395000000671", "First Year Agents Terminated without Sales")</f>
        <v>First Year Agents Terminated without Sales</v>
      </c>
      <c r="C3491" s="4" t="str">
        <f>CHOOSE(2, "5461730030", "Jun 26")</f>
        <v>Jun 26</v>
      </c>
      <c r="D3491" s="2" t="s">
        <v>5</v>
      </c>
    </row>
    <row r="3492" spans="1:4" x14ac:dyDescent="0.35">
      <c r="A3492" s="8" t="str">
        <f t="shared" si="1794"/>
        <v>China</v>
      </c>
      <c r="B3492" s="6" t="str">
        <f t="shared" si="1801"/>
        <v>First Year Agents Terminated without Sales</v>
      </c>
      <c r="C3492" s="4" t="str">
        <f>CHOOSE(2, "5462030031", "Jul 26")</f>
        <v>Jul 26</v>
      </c>
      <c r="D3492" s="2" t="s">
        <v>5</v>
      </c>
    </row>
    <row r="3493" spans="1:4" x14ac:dyDescent="0.35">
      <c r="A3493" s="8" t="str">
        <f t="shared" si="1794"/>
        <v>China</v>
      </c>
      <c r="B3493" s="3" t="str">
        <f t="shared" ref="B3493:B3494" si="1802">CHOOSE(2, "1395000000670", "6mth Agency Retention Ratio")</f>
        <v>6mth Agency Retention Ratio</v>
      </c>
      <c r="C3493" s="4" t="str">
        <f>CHOOSE(2, "5461730030", "Jun 26")</f>
        <v>Jun 26</v>
      </c>
      <c r="D3493" s="2" t="s">
        <v>5</v>
      </c>
    </row>
    <row r="3494" spans="1:4" x14ac:dyDescent="0.35">
      <c r="A3494" s="8" t="str">
        <f t="shared" si="1794"/>
        <v>China</v>
      </c>
      <c r="B3494" s="6" t="str">
        <f t="shared" si="1802"/>
        <v>6mth Agency Retention Ratio</v>
      </c>
      <c r="C3494" s="4" t="str">
        <f>CHOOSE(2, "5462030031", "Jul 26")</f>
        <v>Jul 26</v>
      </c>
      <c r="D3494" s="2" t="s">
        <v>5</v>
      </c>
    </row>
    <row r="3495" spans="1:4" x14ac:dyDescent="0.35">
      <c r="A3495" s="8" t="str">
        <f t="shared" si="1794"/>
        <v>China</v>
      </c>
      <c r="B3495" s="3" t="str">
        <f t="shared" ref="B3495:B3496" si="1803">CHOOSE(2, "1395000000669", "12mth Agency Retention Ratio")</f>
        <v>12mth Agency Retention Ratio</v>
      </c>
      <c r="C3495" s="4" t="str">
        <f>CHOOSE(2, "5461730030", "Jun 26")</f>
        <v>Jun 26</v>
      </c>
      <c r="D3495" s="2" t="s">
        <v>5</v>
      </c>
    </row>
    <row r="3496" spans="1:4" x14ac:dyDescent="0.35">
      <c r="A3496" s="8" t="str">
        <f t="shared" si="1794"/>
        <v>China</v>
      </c>
      <c r="B3496" s="6" t="str">
        <f t="shared" si="1803"/>
        <v>12mth Agency Retention Ratio</v>
      </c>
      <c r="C3496" s="4" t="str">
        <f>CHOOSE(2, "5462030031", "Jul 26")</f>
        <v>Jul 26</v>
      </c>
      <c r="D3496" s="2" t="s">
        <v>5</v>
      </c>
    </row>
    <row r="3497" spans="1:4" x14ac:dyDescent="0.35">
      <c r="A3497" s="8" t="str">
        <f t="shared" si="1794"/>
        <v>China</v>
      </c>
      <c r="B3497" s="3" t="str">
        <f t="shared" ref="B3497:B3498" si="1804">CHOOSE(2, "1395000000668", "24mth Agency Retention Ratio")</f>
        <v>24mth Agency Retention Ratio</v>
      </c>
      <c r="C3497" s="4" t="str">
        <f>CHOOSE(2, "5461730030", "Jun 26")</f>
        <v>Jun 26</v>
      </c>
      <c r="D3497" s="2" t="s">
        <v>5</v>
      </c>
    </row>
    <row r="3498" spans="1:4" x14ac:dyDescent="0.35">
      <c r="A3498" s="8" t="str">
        <f t="shared" si="1794"/>
        <v>China</v>
      </c>
      <c r="B3498" s="6" t="str">
        <f t="shared" si="1804"/>
        <v>24mth Agency Retention Ratio</v>
      </c>
      <c r="C3498" s="4" t="str">
        <f>CHOOSE(2, "5462030031", "Jul 26")</f>
        <v>Jul 26</v>
      </c>
      <c r="D3498" s="2" t="s">
        <v>5</v>
      </c>
    </row>
    <row r="3499" spans="1:4" x14ac:dyDescent="0.35">
      <c r="A3499" s="8" t="str">
        <f t="shared" si="1794"/>
        <v>China</v>
      </c>
      <c r="B3499" s="3" t="str">
        <f t="shared" ref="B3499:B3500" si="1805">CHOOSE(2, "1395000000667", "Total # of Leaders (end of period)")</f>
        <v>Total # of Leaders (end of period)</v>
      </c>
      <c r="C3499" s="4" t="str">
        <f>CHOOSE(2, "5461730030", "Jun 26")</f>
        <v>Jun 26</v>
      </c>
      <c r="D3499" s="14">
        <v>1261</v>
      </c>
    </row>
    <row r="3500" spans="1:4" x14ac:dyDescent="0.35">
      <c r="A3500" s="8" t="str">
        <f t="shared" si="1794"/>
        <v>China</v>
      </c>
      <c r="B3500" s="6" t="str">
        <f t="shared" si="1805"/>
        <v>Total # of Leaders (end of period)</v>
      </c>
      <c r="C3500" s="4" t="str">
        <f>CHOOSE(2, "5462030031", "Jul 26")</f>
        <v>Jul 26</v>
      </c>
      <c r="D3500" s="14">
        <v>1246</v>
      </c>
    </row>
    <row r="3501" spans="1:4" x14ac:dyDescent="0.35">
      <c r="A3501" s="8" t="str">
        <f t="shared" si="1794"/>
        <v>China</v>
      </c>
      <c r="B3501" s="3" t="str">
        <f t="shared" ref="B3501:B3502" si="1806">CHOOSE(2, "1395000000666", "Total # of Unit Managers")</f>
        <v>Total # of Unit Managers</v>
      </c>
      <c r="C3501" s="4" t="str">
        <f>CHOOSE(2, "5461730030", "Jun 26")</f>
        <v>Jun 26</v>
      </c>
      <c r="D3501" s="14">
        <v>657</v>
      </c>
    </row>
    <row r="3502" spans="1:4" x14ac:dyDescent="0.35">
      <c r="A3502" s="8" t="str">
        <f t="shared" si="1794"/>
        <v>China</v>
      </c>
      <c r="B3502" s="6" t="str">
        <f t="shared" si="1806"/>
        <v>Total # of Unit Managers</v>
      </c>
      <c r="C3502" s="4" t="str">
        <f>CHOOSE(2, "5462030031", "Jul 26")</f>
        <v>Jul 26</v>
      </c>
      <c r="D3502" s="14">
        <v>642</v>
      </c>
    </row>
    <row r="3503" spans="1:4" x14ac:dyDescent="0.35">
      <c r="A3503" s="8" t="str">
        <f t="shared" si="1794"/>
        <v>China</v>
      </c>
      <c r="B3503" s="3" t="str">
        <f t="shared" ref="B3503:B3504" si="1807">CHOOSE(2, "1395000000665", "Total # of Leaders above Unit Manager level")</f>
        <v>Total # of Leaders above Unit Manager level</v>
      </c>
      <c r="C3503" s="4" t="str">
        <f>CHOOSE(2, "5461730030", "Jun 26")</f>
        <v>Jun 26</v>
      </c>
      <c r="D3503" s="14">
        <v>604</v>
      </c>
    </row>
    <row r="3504" spans="1:4" x14ac:dyDescent="0.35">
      <c r="A3504" s="8" t="str">
        <f t="shared" si="1794"/>
        <v>China</v>
      </c>
      <c r="B3504" s="6" t="str">
        <f t="shared" si="1807"/>
        <v>Total # of Leaders above Unit Manager level</v>
      </c>
      <c r="C3504" s="4" t="str">
        <f>CHOOSE(2, "5462030031", "Jul 26")</f>
        <v>Jul 26</v>
      </c>
      <c r="D3504" s="14">
        <v>604</v>
      </c>
    </row>
    <row r="3505" spans="1:4" x14ac:dyDescent="0.35">
      <c r="A3505" s="8" t="str">
        <f t="shared" si="1794"/>
        <v>China</v>
      </c>
      <c r="B3505" s="3" t="str">
        <f t="shared" ref="B3505:B3506" si="1808">CHOOSE(2, "1395000000664", "Total # of Agents below Unit Manager level (end of period)")</f>
        <v>Total # of Agents below Unit Manager level (end of period)</v>
      </c>
      <c r="C3505" s="4" t="str">
        <f>CHOOSE(2, "5461730030", "Jun 26")</f>
        <v>Jun 26</v>
      </c>
      <c r="D3505" s="2" t="s">
        <v>5</v>
      </c>
    </row>
    <row r="3506" spans="1:4" x14ac:dyDescent="0.35">
      <c r="A3506" s="8" t="str">
        <f t="shared" si="1794"/>
        <v>China</v>
      </c>
      <c r="B3506" s="6" t="str">
        <f t="shared" si="1808"/>
        <v>Total # of Agents below Unit Manager level (end of period)</v>
      </c>
      <c r="C3506" s="4" t="str">
        <f>CHOOSE(2, "5462030031", "Jul 26")</f>
        <v>Jul 26</v>
      </c>
      <c r="D3506" s="2" t="s">
        <v>5</v>
      </c>
    </row>
    <row r="3507" spans="1:4" x14ac:dyDescent="0.35">
      <c r="A3507" s="8" t="str">
        <f t="shared" si="1794"/>
        <v>China</v>
      </c>
      <c r="B3507" s="3" t="str">
        <f t="shared" ref="B3507:B3508" si="1809">CHOOSE(2, "1395000000663", "# of Active Recruiting Leaders")</f>
        <v># of Active Recruiting Leaders</v>
      </c>
      <c r="C3507" s="4" t="str">
        <f>CHOOSE(2, "5461730030", "Jun 26")</f>
        <v>Jun 26</v>
      </c>
      <c r="D3507" s="14">
        <v>180</v>
      </c>
    </row>
    <row r="3508" spans="1:4" x14ac:dyDescent="0.35">
      <c r="A3508" s="8" t="str">
        <f t="shared" si="1794"/>
        <v>China</v>
      </c>
      <c r="B3508" s="6" t="str">
        <f t="shared" si="1809"/>
        <v># of Active Recruiting Leaders</v>
      </c>
      <c r="C3508" s="4" t="str">
        <f>CHOOSE(2, "5462030031", "Jul 26")</f>
        <v>Jul 26</v>
      </c>
      <c r="D3508" s="14">
        <v>130</v>
      </c>
    </row>
    <row r="3509" spans="1:4" x14ac:dyDescent="0.35">
      <c r="A3509" s="8" t="str">
        <f t="shared" si="1794"/>
        <v>China</v>
      </c>
      <c r="B3509" s="3" t="str">
        <f t="shared" ref="B3509:B3510" si="1810">CHOOSE(2, "1395000000662", "# of leaders with &gt;1 YTD recruit")</f>
        <v># of leaders with &gt;1 YTD recruit</v>
      </c>
      <c r="C3509" s="4" t="str">
        <f>CHOOSE(2, "5461730030", "Jun 26")</f>
        <v>Jun 26</v>
      </c>
      <c r="D3509" s="14">
        <v>616</v>
      </c>
    </row>
    <row r="3510" spans="1:4" x14ac:dyDescent="0.35">
      <c r="A3510" s="8" t="str">
        <f t="shared" si="1794"/>
        <v>China</v>
      </c>
      <c r="B3510" s="6" t="str">
        <f t="shared" si="1810"/>
        <v># of leaders with &gt;1 YTD recruit</v>
      </c>
      <c r="C3510" s="4" t="str">
        <f>CHOOSE(2, "5462030031", "Jul 26")</f>
        <v>Jul 26</v>
      </c>
      <c r="D3510" s="14">
        <v>695</v>
      </c>
    </row>
    <row r="3511" spans="1:4" x14ac:dyDescent="0.35">
      <c r="A3511" s="8" t="str">
        <f t="shared" si="1794"/>
        <v>China</v>
      </c>
      <c r="B3511" s="3" t="str">
        <f t="shared" ref="B3511:B3512" si="1811">CHOOSE(2, "1395000000661", "Income ratio from personal sales (UM)")</f>
        <v>Income ratio from personal sales (UM)</v>
      </c>
      <c r="C3511" s="4" t="str">
        <f>CHOOSE(2, "5461730030", "Jun 26")</f>
        <v>Jun 26</v>
      </c>
      <c r="D3511" s="2" t="s">
        <v>5</v>
      </c>
    </row>
    <row r="3512" spans="1:4" x14ac:dyDescent="0.35">
      <c r="A3512" s="8" t="str">
        <f t="shared" si="1794"/>
        <v>China</v>
      </c>
      <c r="B3512" s="6" t="str">
        <f t="shared" si="1811"/>
        <v>Income ratio from personal sales (UM)</v>
      </c>
      <c r="C3512" s="4" t="str">
        <f>CHOOSE(2, "5462030031", "Jul 26")</f>
        <v>Jul 26</v>
      </c>
      <c r="D3512" s="2" t="s">
        <v>5</v>
      </c>
    </row>
    <row r="3513" spans="1:4" x14ac:dyDescent="0.35">
      <c r="A3513" s="8" t="str">
        <f t="shared" si="1794"/>
        <v>China</v>
      </c>
      <c r="B3513" s="3" t="str">
        <f t="shared" ref="B3513:B3514" si="1812">CHOOSE(2, "1395000000660", "Income ratio from personal sales (UM) (numerator)")</f>
        <v>Income ratio from personal sales (UM) (numerator)</v>
      </c>
      <c r="C3513" s="4" t="str">
        <f>CHOOSE(2, "5461730030", "Jun 26")</f>
        <v>Jun 26</v>
      </c>
      <c r="D3513" s="2" t="s">
        <v>5</v>
      </c>
    </row>
    <row r="3514" spans="1:4" x14ac:dyDescent="0.35">
      <c r="A3514" s="8" t="str">
        <f t="shared" si="1794"/>
        <v>China</v>
      </c>
      <c r="B3514" s="6" t="str">
        <f t="shared" si="1812"/>
        <v>Income ratio from personal sales (UM) (numerator)</v>
      </c>
      <c r="C3514" s="4" t="str">
        <f>CHOOSE(2, "5462030031", "Jul 26")</f>
        <v>Jul 26</v>
      </c>
      <c r="D3514" s="2" t="s">
        <v>5</v>
      </c>
    </row>
    <row r="3515" spans="1:4" x14ac:dyDescent="0.35">
      <c r="A3515" s="8" t="str">
        <f t="shared" si="1794"/>
        <v>China</v>
      </c>
      <c r="B3515" s="3" t="str">
        <f t="shared" ref="B3515:B3516" si="1813">CHOOSE(2, "1395000000659", "Income ratio from personal sales (UM) (denominator)")</f>
        <v>Income ratio from personal sales (UM) (denominator)</v>
      </c>
      <c r="C3515" s="4" t="str">
        <f>CHOOSE(2, "5461730030", "Jun 26")</f>
        <v>Jun 26</v>
      </c>
      <c r="D3515" s="2" t="s">
        <v>5</v>
      </c>
    </row>
    <row r="3516" spans="1:4" x14ac:dyDescent="0.35">
      <c r="A3516" s="8" t="str">
        <f t="shared" si="1794"/>
        <v>China</v>
      </c>
      <c r="B3516" s="6" t="str">
        <f t="shared" si="1813"/>
        <v>Income ratio from personal sales (UM) (denominator)</v>
      </c>
      <c r="C3516" s="4" t="str">
        <f>CHOOSE(2, "5462030031", "Jul 26")</f>
        <v>Jul 26</v>
      </c>
      <c r="D3516" s="2" t="s">
        <v>5</v>
      </c>
    </row>
    <row r="3517" spans="1:4" x14ac:dyDescent="0.35">
      <c r="A3517" s="8" t="str">
        <f t="shared" si="1794"/>
        <v>China</v>
      </c>
      <c r="B3517" s="3" t="str">
        <f t="shared" ref="B3517:B3518" si="1814">CHOOSE(2, "1395000000658", "Income ratio from personal sales (Leader above UM)")</f>
        <v>Income ratio from personal sales (Leader above UM)</v>
      </c>
      <c r="C3517" s="4" t="str">
        <f>CHOOSE(2, "5461730030", "Jun 26")</f>
        <v>Jun 26</v>
      </c>
      <c r="D3517" s="2" t="s">
        <v>5</v>
      </c>
    </row>
    <row r="3518" spans="1:4" x14ac:dyDescent="0.35">
      <c r="A3518" s="8" t="str">
        <f t="shared" si="1794"/>
        <v>China</v>
      </c>
      <c r="B3518" s="6" t="str">
        <f t="shared" si="1814"/>
        <v>Income ratio from personal sales (Leader above UM)</v>
      </c>
      <c r="C3518" s="4" t="str">
        <f>CHOOSE(2, "5462030031", "Jul 26")</f>
        <v>Jul 26</v>
      </c>
      <c r="D3518" s="2" t="s">
        <v>5</v>
      </c>
    </row>
    <row r="3519" spans="1:4" x14ac:dyDescent="0.35">
      <c r="A3519" s="8" t="str">
        <f t="shared" si="1794"/>
        <v>China</v>
      </c>
      <c r="B3519" s="3" t="str">
        <f t="shared" ref="B3519:B3520" si="1815">CHOOSE(2, "1395000000657", "Income ratio from personal sales (Leader above UM) (num)")</f>
        <v>Income ratio from personal sales (Leader above UM) (num)</v>
      </c>
      <c r="C3519" s="4" t="str">
        <f>CHOOSE(2, "5461730030", "Jun 26")</f>
        <v>Jun 26</v>
      </c>
      <c r="D3519" s="2" t="s">
        <v>5</v>
      </c>
    </row>
    <row r="3520" spans="1:4" x14ac:dyDescent="0.35">
      <c r="A3520" s="8" t="str">
        <f t="shared" si="1794"/>
        <v>China</v>
      </c>
      <c r="B3520" s="6" t="str">
        <f t="shared" si="1815"/>
        <v>Income ratio from personal sales (Leader above UM) (num)</v>
      </c>
      <c r="C3520" s="4" t="str">
        <f>CHOOSE(2, "5462030031", "Jul 26")</f>
        <v>Jul 26</v>
      </c>
      <c r="D3520" s="2" t="s">
        <v>5</v>
      </c>
    </row>
    <row r="3521" spans="1:4" x14ac:dyDescent="0.35">
      <c r="A3521" s="8" t="str">
        <f t="shared" si="1794"/>
        <v>China</v>
      </c>
      <c r="B3521" s="3" t="str">
        <f t="shared" ref="B3521:B3522" si="1816">CHOOSE(2, "1395000000656", "Income ratio from personal sales (Leader above UM) (den)")</f>
        <v>Income ratio from personal sales (Leader above UM) (den)</v>
      </c>
      <c r="C3521" s="4" t="str">
        <f>CHOOSE(2, "5461730030", "Jun 26")</f>
        <v>Jun 26</v>
      </c>
      <c r="D3521" s="2" t="s">
        <v>5</v>
      </c>
    </row>
    <row r="3522" spans="1:4" x14ac:dyDescent="0.35">
      <c r="A3522" s="8" t="str">
        <f t="shared" si="1794"/>
        <v>China</v>
      </c>
      <c r="B3522" s="6" t="str">
        <f t="shared" si="1816"/>
        <v>Income ratio from personal sales (Leader above UM) (den)</v>
      </c>
      <c r="C3522" s="4" t="str">
        <f>CHOOSE(2, "5462030031", "Jul 26")</f>
        <v>Jul 26</v>
      </c>
      <c r="D3522" s="2" t="s">
        <v>5</v>
      </c>
    </row>
    <row r="3523" spans="1:4" x14ac:dyDescent="0.35">
      <c r="A3523" s="8" t="str">
        <f t="shared" si="1794"/>
        <v>China</v>
      </c>
      <c r="B3523" s="3" t="str">
        <f t="shared" ref="B3523:B3524" si="1817">CHOOSE(2, "1395000000655", "Total agent earnings")</f>
        <v>Total agent earnings</v>
      </c>
      <c r="C3523" s="4" t="str">
        <f>CHOOSE(2, "5461730030", "Jun 26")</f>
        <v>Jun 26</v>
      </c>
      <c r="D3523" s="2" t="s">
        <v>5</v>
      </c>
    </row>
    <row r="3524" spans="1:4" x14ac:dyDescent="0.35">
      <c r="A3524" s="8" t="str">
        <f t="shared" si="1794"/>
        <v>China</v>
      </c>
      <c r="B3524" s="6" t="str">
        <f t="shared" si="1817"/>
        <v>Total agent earnings</v>
      </c>
      <c r="C3524" s="4" t="str">
        <f>CHOOSE(2, "5462030031", "Jul 26")</f>
        <v>Jul 26</v>
      </c>
      <c r="D3524" s="2" t="s">
        <v>5</v>
      </c>
    </row>
    <row r="3525" spans="1:4" x14ac:dyDescent="0.35">
      <c r="A3525" s="8" t="str">
        <f t="shared" si="1794"/>
        <v>China</v>
      </c>
      <c r="B3525" s="3" t="str">
        <f t="shared" ref="B3525:B3526" si="1818">CHOOSE(2, "1395000000654", "Total agent earnings in FA or equivalent")</f>
        <v>Total agent earnings in FA or equivalent</v>
      </c>
      <c r="C3525" s="4" t="str">
        <f>CHOOSE(2, "5461730030", "Jun 26")</f>
        <v>Jun 26</v>
      </c>
      <c r="D3525" s="2" t="s">
        <v>5</v>
      </c>
    </row>
    <row r="3526" spans="1:4" x14ac:dyDescent="0.35">
      <c r="A3526" s="8" t="str">
        <f t="shared" si="1794"/>
        <v>China</v>
      </c>
      <c r="B3526" s="6" t="str">
        <f t="shared" si="1818"/>
        <v>Total agent earnings in FA or equivalent</v>
      </c>
      <c r="C3526" s="4" t="str">
        <f>CHOOSE(2, "5462030031", "Jul 26")</f>
        <v>Jul 26</v>
      </c>
      <c r="D3526" s="2" t="s">
        <v>5</v>
      </c>
    </row>
    <row r="3527" spans="1:4" x14ac:dyDescent="0.35">
      <c r="A3527" s="8" t="str">
        <f t="shared" si="1794"/>
        <v>China</v>
      </c>
      <c r="B3527" s="3" t="str">
        <f t="shared" ref="B3527:B3528" si="1819">CHOOSE(2, "1395000000653", "Total agent earnings in UM")</f>
        <v>Total agent earnings in UM</v>
      </c>
      <c r="C3527" s="4" t="str">
        <f>CHOOSE(2, "5461730030", "Jun 26")</f>
        <v>Jun 26</v>
      </c>
      <c r="D3527" s="2" t="s">
        <v>5</v>
      </c>
    </row>
    <row r="3528" spans="1:4" x14ac:dyDescent="0.35">
      <c r="A3528" s="8" t="str">
        <f t="shared" si="1794"/>
        <v>China</v>
      </c>
      <c r="B3528" s="6" t="str">
        <f t="shared" si="1819"/>
        <v>Total agent earnings in UM</v>
      </c>
      <c r="C3528" s="4" t="str">
        <f>CHOOSE(2, "5462030031", "Jul 26")</f>
        <v>Jul 26</v>
      </c>
      <c r="D3528" s="2" t="s">
        <v>5</v>
      </c>
    </row>
    <row r="3529" spans="1:4" x14ac:dyDescent="0.35">
      <c r="A3529" s="8" t="str">
        <f t="shared" si="1794"/>
        <v>China</v>
      </c>
      <c r="B3529" s="3" t="str">
        <f t="shared" ref="B3529:B3530" si="1820">CHOOSE(2, "1395000000652", "Total agent earnings in Leaders above UM")</f>
        <v>Total agent earnings in Leaders above UM</v>
      </c>
      <c r="C3529" s="4" t="str">
        <f>CHOOSE(2, "5461730030", "Jun 26")</f>
        <v>Jun 26</v>
      </c>
      <c r="D3529" s="2" t="s">
        <v>5</v>
      </c>
    </row>
    <row r="3530" spans="1:4" x14ac:dyDescent="0.35">
      <c r="A3530" s="8" t="str">
        <f t="shared" si="1794"/>
        <v>China</v>
      </c>
      <c r="B3530" s="6" t="str">
        <f t="shared" si="1820"/>
        <v>Total agent earnings in Leaders above UM</v>
      </c>
      <c r="C3530" s="4" t="str">
        <f>CHOOSE(2, "5462030031", "Jul 26")</f>
        <v>Jul 26</v>
      </c>
      <c r="D3530" s="2" t="s">
        <v>5</v>
      </c>
    </row>
    <row r="3531" spans="1:4" x14ac:dyDescent="0.35">
      <c r="A3531" s="8" t="str">
        <f t="shared" si="1794"/>
        <v>China</v>
      </c>
      <c r="B3531" s="3" t="str">
        <f t="shared" ref="B3531:B3532" si="1821">CHOOSE(2, "1395000000651", "# of Newly Promoted UM")</f>
        <v># of Newly Promoted UM</v>
      </c>
      <c r="C3531" s="4" t="str">
        <f>CHOOSE(2, "5461730030", "Jun 26")</f>
        <v>Jun 26</v>
      </c>
      <c r="D3531" s="14">
        <v>13</v>
      </c>
    </row>
    <row r="3532" spans="1:4" x14ac:dyDescent="0.35">
      <c r="A3532" s="8" t="str">
        <f t="shared" si="1794"/>
        <v>China</v>
      </c>
      <c r="B3532" s="6" t="str">
        <f t="shared" si="1821"/>
        <v># of Newly Promoted UM</v>
      </c>
      <c r="C3532" s="4" t="str">
        <f>CHOOSE(2, "5462030031", "Jul 26")</f>
        <v>Jul 26</v>
      </c>
      <c r="D3532" s="14">
        <v>43</v>
      </c>
    </row>
    <row r="3533" spans="1:4" x14ac:dyDescent="0.35">
      <c r="A3533" s="8" t="str">
        <f t="shared" si="1794"/>
        <v>China</v>
      </c>
      <c r="B3533" s="3" t="str">
        <f t="shared" ref="B3533:B3534" si="1822">CHOOSE(2, "1395000000650", "# of Newly Promoted Leaders above UM")</f>
        <v># of Newly Promoted Leaders above UM</v>
      </c>
      <c r="C3533" s="4" t="str">
        <f>CHOOSE(2, "5461730030", "Jun 26")</f>
        <v>Jun 26</v>
      </c>
      <c r="D3533" s="14">
        <v>0</v>
      </c>
    </row>
    <row r="3534" spans="1:4" x14ac:dyDescent="0.35">
      <c r="A3534" s="8" t="str">
        <f t="shared" si="1794"/>
        <v>China</v>
      </c>
      <c r="B3534" s="6" t="str">
        <f t="shared" si="1822"/>
        <v># of Newly Promoted Leaders above UM</v>
      </c>
      <c r="C3534" s="4" t="str">
        <f>CHOOSE(2, "5462030031", "Jul 26")</f>
        <v>Jul 26</v>
      </c>
      <c r="D3534" s="14">
        <v>64</v>
      </c>
    </row>
    <row r="3535" spans="1:4" x14ac:dyDescent="0.35">
      <c r="A3535" s="8" t="str">
        <f t="shared" si="1794"/>
        <v>China</v>
      </c>
      <c r="B3535" s="3" t="str">
        <f t="shared" ref="B3535:B3536" si="1823">CHOOSE(2, "1395000000649", "# of Total Leader Promotions")</f>
        <v># of Total Leader Promotions</v>
      </c>
      <c r="C3535" s="4" t="str">
        <f>CHOOSE(2, "5461730030", "Jun 26")</f>
        <v>Jun 26</v>
      </c>
      <c r="D3535" s="14">
        <v>13</v>
      </c>
    </row>
    <row r="3536" spans="1:4" x14ac:dyDescent="0.35">
      <c r="A3536" s="8" t="str">
        <f t="shared" si="1794"/>
        <v>China</v>
      </c>
      <c r="B3536" s="6" t="str">
        <f t="shared" si="1823"/>
        <v># of Total Leader Promotions</v>
      </c>
      <c r="C3536" s="4" t="str">
        <f>CHOOSE(2, "5462030031", "Jul 26")</f>
        <v>Jul 26</v>
      </c>
      <c r="D3536" s="14">
        <v>107</v>
      </c>
    </row>
    <row r="3537" spans="1:4" x14ac:dyDescent="0.35">
      <c r="A3537" s="8" t="str">
        <f t="shared" si="1794"/>
        <v>China</v>
      </c>
      <c r="B3537" s="3" t="str">
        <f t="shared" ref="B3537:B3538" si="1824">CHOOSE(2, "1395000000648", "# of Newly Demoted UM")</f>
        <v># of Newly Demoted UM</v>
      </c>
      <c r="C3537" s="4" t="str">
        <f>CHOOSE(2, "5461730030", "Jun 26")</f>
        <v>Jun 26</v>
      </c>
      <c r="D3537" s="14">
        <v>0</v>
      </c>
    </row>
    <row r="3538" spans="1:4" x14ac:dyDescent="0.35">
      <c r="A3538" s="8" t="str">
        <f t="shared" si="1794"/>
        <v>China</v>
      </c>
      <c r="B3538" s="6" t="str">
        <f t="shared" si="1824"/>
        <v># of Newly Demoted UM</v>
      </c>
      <c r="C3538" s="4" t="str">
        <f>CHOOSE(2, "5462030031", "Jul 26")</f>
        <v>Jul 26</v>
      </c>
      <c r="D3538" s="14">
        <v>57</v>
      </c>
    </row>
    <row r="3539" spans="1:4" x14ac:dyDescent="0.35">
      <c r="A3539" s="8" t="str">
        <f t="shared" si="1794"/>
        <v>China</v>
      </c>
      <c r="B3539" s="3" t="str">
        <f t="shared" ref="B3539:B3540" si="1825">CHOOSE(2, "1395000000647", "# of Newly Demoted Leaders above UM")</f>
        <v># of Newly Demoted Leaders above UM</v>
      </c>
      <c r="C3539" s="4" t="str">
        <f>CHOOSE(2, "5461730030", "Jun 26")</f>
        <v>Jun 26</v>
      </c>
      <c r="D3539" s="14">
        <v>0</v>
      </c>
    </row>
    <row r="3540" spans="1:4" x14ac:dyDescent="0.35">
      <c r="A3540" s="8" t="str">
        <f t="shared" si="1794"/>
        <v>China</v>
      </c>
      <c r="B3540" s="6" t="str">
        <f t="shared" si="1825"/>
        <v># of Newly Demoted Leaders above UM</v>
      </c>
      <c r="C3540" s="4" t="str">
        <f>CHOOSE(2, "5462030031", "Jul 26")</f>
        <v>Jul 26</v>
      </c>
      <c r="D3540" s="14">
        <v>50</v>
      </c>
    </row>
    <row r="3541" spans="1:4" x14ac:dyDescent="0.35">
      <c r="A3541" s="8" t="str">
        <f t="shared" si="1794"/>
        <v>China</v>
      </c>
      <c r="B3541" s="3" t="str">
        <f t="shared" ref="B3541:B3542" si="1826">CHOOSE(2, "1395000000646", "# of Total Leader Demotions")</f>
        <v># of Total Leader Demotions</v>
      </c>
      <c r="C3541" s="4" t="str">
        <f>CHOOSE(2, "5461730030", "Jun 26")</f>
        <v>Jun 26</v>
      </c>
      <c r="D3541" s="14">
        <v>0</v>
      </c>
    </row>
    <row r="3542" spans="1:4" x14ac:dyDescent="0.35">
      <c r="A3542" s="8" t="str">
        <f t="shared" si="1794"/>
        <v>China</v>
      </c>
      <c r="B3542" s="6" t="str">
        <f t="shared" si="1826"/>
        <v># of Total Leader Demotions</v>
      </c>
      <c r="C3542" s="4" t="str">
        <f>CHOOSE(2, "5462030031", "Jul 26")</f>
        <v>Jul 26</v>
      </c>
      <c r="D3542" s="14">
        <v>107</v>
      </c>
    </row>
    <row r="3543" spans="1:4" x14ac:dyDescent="0.35">
      <c r="A3543" s="8" t="str">
        <f t="shared" ref="A3543:A3606" si="1827">CHOOSE(2, "204000000004", "China")</f>
        <v>China</v>
      </c>
      <c r="B3543" s="3" t="str">
        <f t="shared" ref="B3543:B3544" si="1828">CHOOSE(2, "1395000000645", "# of agents meeting MOC")</f>
        <v># of agents meeting MOC</v>
      </c>
      <c r="C3543" s="4" t="str">
        <f>CHOOSE(2, "5461730030", "Jun 26")</f>
        <v>Jun 26</v>
      </c>
      <c r="D3543" s="14">
        <v>0</v>
      </c>
    </row>
    <row r="3544" spans="1:4" x14ac:dyDescent="0.35">
      <c r="A3544" s="8" t="str">
        <f t="shared" si="1827"/>
        <v>China</v>
      </c>
      <c r="B3544" s="6" t="str">
        <f t="shared" si="1828"/>
        <v># of agents meeting MOC</v>
      </c>
      <c r="C3544" s="4" t="str">
        <f>CHOOSE(2, "5462030031", "Jul 26")</f>
        <v>Jul 26</v>
      </c>
      <c r="D3544" s="14">
        <v>0</v>
      </c>
    </row>
    <row r="3545" spans="1:4" x14ac:dyDescent="0.35">
      <c r="A3545" s="8" t="str">
        <f t="shared" si="1827"/>
        <v>China</v>
      </c>
      <c r="B3545" s="3" t="str">
        <f t="shared" ref="B3545:B3546" si="1829">CHOOSE(2, "1395000000644", "# of agents meeting MOC in FA or equivalent")</f>
        <v># of agents meeting MOC in FA or equivalent</v>
      </c>
      <c r="C3545" s="4" t="str">
        <f>CHOOSE(2, "5461730030", "Jun 26")</f>
        <v>Jun 26</v>
      </c>
      <c r="D3545" s="2" t="s">
        <v>5</v>
      </c>
    </row>
    <row r="3546" spans="1:4" x14ac:dyDescent="0.35">
      <c r="A3546" s="8" t="str">
        <f t="shared" si="1827"/>
        <v>China</v>
      </c>
      <c r="B3546" s="6" t="str">
        <f t="shared" si="1829"/>
        <v># of agents meeting MOC in FA or equivalent</v>
      </c>
      <c r="C3546" s="4" t="str">
        <f>CHOOSE(2, "5462030031", "Jul 26")</f>
        <v>Jul 26</v>
      </c>
      <c r="D3546" s="2" t="s">
        <v>5</v>
      </c>
    </row>
    <row r="3547" spans="1:4" x14ac:dyDescent="0.35">
      <c r="A3547" s="8" t="str">
        <f t="shared" si="1827"/>
        <v>China</v>
      </c>
      <c r="B3547" s="3" t="str">
        <f t="shared" ref="B3547:B3548" si="1830">CHOOSE(2, "1395000000643", "# of agents meeting MOC in UM")</f>
        <v># of agents meeting MOC in UM</v>
      </c>
      <c r="C3547" s="4" t="str">
        <f>CHOOSE(2, "5461730030", "Jun 26")</f>
        <v>Jun 26</v>
      </c>
      <c r="D3547" s="2" t="s">
        <v>5</v>
      </c>
    </row>
    <row r="3548" spans="1:4" x14ac:dyDescent="0.35">
      <c r="A3548" s="8" t="str">
        <f t="shared" si="1827"/>
        <v>China</v>
      </c>
      <c r="B3548" s="6" t="str">
        <f t="shared" si="1830"/>
        <v># of agents meeting MOC in UM</v>
      </c>
      <c r="C3548" s="4" t="str">
        <f>CHOOSE(2, "5462030031", "Jul 26")</f>
        <v>Jul 26</v>
      </c>
      <c r="D3548" s="2" t="s">
        <v>5</v>
      </c>
    </row>
    <row r="3549" spans="1:4" x14ac:dyDescent="0.35">
      <c r="A3549" s="8" t="str">
        <f t="shared" si="1827"/>
        <v>China</v>
      </c>
      <c r="B3549" s="3" t="str">
        <f t="shared" ref="B3549:B3550" si="1831">CHOOSE(2, "1395000000642", "# of agents meeting MOC in Leaders above UM")</f>
        <v># of agents meeting MOC in Leaders above UM</v>
      </c>
      <c r="C3549" s="4" t="str">
        <f>CHOOSE(2, "5461730030", "Jun 26")</f>
        <v>Jun 26</v>
      </c>
      <c r="D3549" s="2" t="s">
        <v>5</v>
      </c>
    </row>
    <row r="3550" spans="1:4" x14ac:dyDescent="0.35">
      <c r="A3550" s="8" t="str">
        <f t="shared" si="1827"/>
        <v>China</v>
      </c>
      <c r="B3550" s="6" t="str">
        <f t="shared" si="1831"/>
        <v># of agents meeting MOC in Leaders above UM</v>
      </c>
      <c r="C3550" s="4" t="str">
        <f>CHOOSE(2, "5462030031", "Jul 26")</f>
        <v>Jul 26</v>
      </c>
      <c r="D3550" s="2" t="s">
        <v>5</v>
      </c>
    </row>
    <row r="3551" spans="1:4" x14ac:dyDescent="0.35">
      <c r="A3551" s="8" t="str">
        <f t="shared" si="1827"/>
        <v>China</v>
      </c>
      <c r="B3551" s="3" t="str">
        <f t="shared" ref="B3551:B3552" si="1832">CHOOSE(2, "1395000000641", "New Leaders 3M Activation Rate (by cohort)")</f>
        <v>New Leaders 3M Activation Rate (by cohort)</v>
      </c>
      <c r="C3551" s="4" t="str">
        <f>CHOOSE(2, "5461730030", "Jun 26")</f>
        <v>Jun 26</v>
      </c>
      <c r="D3551" s="14">
        <v>0</v>
      </c>
    </row>
    <row r="3552" spans="1:4" x14ac:dyDescent="0.35">
      <c r="A3552" s="8" t="str">
        <f t="shared" si="1827"/>
        <v>China</v>
      </c>
      <c r="B3552" s="6" t="str">
        <f t="shared" si="1832"/>
        <v>New Leaders 3M Activation Rate (by cohort)</v>
      </c>
      <c r="C3552" s="4" t="str">
        <f>CHOOSE(2, "5462030031", "Jul 26")</f>
        <v>Jul 26</v>
      </c>
      <c r="D3552" s="14">
        <v>0</v>
      </c>
    </row>
    <row r="3553" spans="1:4" x14ac:dyDescent="0.35">
      <c r="A3553" s="8" t="str">
        <f t="shared" si="1827"/>
        <v>China</v>
      </c>
      <c r="B3553" s="3" t="str">
        <f t="shared" ref="B3553:B3554" si="1833">CHOOSE(2, "1395000000640", "New Leaders 3M Activation Rate (by cohort) (numerator)")</f>
        <v>New Leaders 3M Activation Rate (by cohort) (numerator)</v>
      </c>
      <c r="C3553" s="4" t="str">
        <f>CHOOSE(2, "5461730030", "Jun 26")</f>
        <v>Jun 26</v>
      </c>
      <c r="D3553" s="14">
        <v>0</v>
      </c>
    </row>
    <row r="3554" spans="1:4" x14ac:dyDescent="0.35">
      <c r="A3554" s="8" t="str">
        <f t="shared" si="1827"/>
        <v>China</v>
      </c>
      <c r="B3554" s="6" t="str">
        <f t="shared" si="1833"/>
        <v>New Leaders 3M Activation Rate (by cohort) (numerator)</v>
      </c>
      <c r="C3554" s="4" t="str">
        <f>CHOOSE(2, "5462030031", "Jul 26")</f>
        <v>Jul 26</v>
      </c>
      <c r="D3554" s="14">
        <v>0</v>
      </c>
    </row>
    <row r="3555" spans="1:4" x14ac:dyDescent="0.35">
      <c r="A3555" s="8" t="str">
        <f t="shared" si="1827"/>
        <v>China</v>
      </c>
      <c r="B3555" s="3" t="str">
        <f t="shared" ref="B3555:B3556" si="1834">CHOOSE(2, "1395000000639", "New Leaders 3M Activation Rate (by cohort) (denominator)")</f>
        <v>New Leaders 3M Activation Rate (by cohort) (denominator)</v>
      </c>
      <c r="C3555" s="4" t="str">
        <f>CHOOSE(2, "5461730030", "Jun 26")</f>
        <v>Jun 26</v>
      </c>
      <c r="D3555" s="14">
        <v>0</v>
      </c>
    </row>
    <row r="3556" spans="1:4" x14ac:dyDescent="0.35">
      <c r="A3556" s="8" t="str">
        <f t="shared" si="1827"/>
        <v>China</v>
      </c>
      <c r="B3556" s="6" t="str">
        <f t="shared" si="1834"/>
        <v>New Leaders 3M Activation Rate (by cohort) (denominator)</v>
      </c>
      <c r="C3556" s="4" t="str">
        <f>CHOOSE(2, "5462030031", "Jul 26")</f>
        <v>Jul 26</v>
      </c>
      <c r="D3556" s="14">
        <v>0</v>
      </c>
    </row>
    <row r="3557" spans="1:4" x14ac:dyDescent="0.35">
      <c r="A3557" s="8" t="str">
        <f t="shared" si="1827"/>
        <v>China</v>
      </c>
      <c r="B3557" s="3" t="str">
        <f t="shared" ref="B3557:B3558" si="1835">CHOOSE(2, "1395000000638", "# of pro-rated MDRT agents (100%)")</f>
        <v># of pro-rated MDRT agents (100%)</v>
      </c>
      <c r="C3557" s="4" t="str">
        <f>CHOOSE(2, "5461730030", "Jun 26")</f>
        <v>Jun 26</v>
      </c>
      <c r="D3557" s="14">
        <v>1097</v>
      </c>
    </row>
    <row r="3558" spans="1:4" x14ac:dyDescent="0.35">
      <c r="A3558" s="8" t="str">
        <f t="shared" si="1827"/>
        <v>China</v>
      </c>
      <c r="B3558" s="6" t="str">
        <f t="shared" si="1835"/>
        <v># of pro-rated MDRT agents (100%)</v>
      </c>
      <c r="C3558" s="4" t="str">
        <f>CHOOSE(2, "5462030031", "Jul 26")</f>
        <v>Jul 26</v>
      </c>
      <c r="D3558" s="14">
        <v>987</v>
      </c>
    </row>
    <row r="3559" spans="1:4" x14ac:dyDescent="0.35">
      <c r="A3559" s="8" t="str">
        <f t="shared" si="1827"/>
        <v>China</v>
      </c>
      <c r="B3559" s="3" t="str">
        <f t="shared" ref="B3559:B3560" si="1836">CHOOSE(2, "1395000000637", "# of pro-rated MDRT agents (90%-99%)")</f>
        <v># of pro-rated MDRT agents (90%-99%)</v>
      </c>
      <c r="C3559" s="4" t="str">
        <f>CHOOSE(2, "5461730030", "Jun 26")</f>
        <v>Jun 26</v>
      </c>
      <c r="D3559" s="2" t="s">
        <v>5</v>
      </c>
    </row>
    <row r="3560" spans="1:4" x14ac:dyDescent="0.35">
      <c r="A3560" s="8" t="str">
        <f t="shared" si="1827"/>
        <v>China</v>
      </c>
      <c r="B3560" s="6" t="str">
        <f t="shared" si="1836"/>
        <v># of pro-rated MDRT agents (90%-99%)</v>
      </c>
      <c r="C3560" s="4" t="str">
        <f>CHOOSE(2, "5462030031", "Jul 26")</f>
        <v>Jul 26</v>
      </c>
      <c r="D3560" s="2" t="s">
        <v>5</v>
      </c>
    </row>
    <row r="3561" spans="1:4" x14ac:dyDescent="0.35">
      <c r="A3561" s="8" t="str">
        <f t="shared" si="1827"/>
        <v>China</v>
      </c>
      <c r="B3561" s="3" t="str">
        <f t="shared" ref="B3561:B3562" si="1837">CHOOSE(2, "1395000000636", "# of pro-rated MDRT agents (70%-90%)")</f>
        <v># of pro-rated MDRT agents (70%-90%)</v>
      </c>
      <c r="C3561" s="4" t="str">
        <f>CHOOSE(2, "5461730030", "Jun 26")</f>
        <v>Jun 26</v>
      </c>
      <c r="D3561" s="2" t="s">
        <v>5</v>
      </c>
    </row>
    <row r="3562" spans="1:4" x14ac:dyDescent="0.35">
      <c r="A3562" s="8" t="str">
        <f t="shared" si="1827"/>
        <v>China</v>
      </c>
      <c r="B3562" s="6" t="str">
        <f t="shared" si="1837"/>
        <v># of pro-rated MDRT agents (70%-90%)</v>
      </c>
      <c r="C3562" s="4" t="str">
        <f>CHOOSE(2, "5462030031", "Jul 26")</f>
        <v>Jul 26</v>
      </c>
      <c r="D3562" s="2" t="s">
        <v>5</v>
      </c>
    </row>
    <row r="3563" spans="1:4" x14ac:dyDescent="0.35">
      <c r="A3563" s="8" t="str">
        <f t="shared" si="1827"/>
        <v>China</v>
      </c>
      <c r="B3563" s="3" t="str">
        <f t="shared" ref="B3563:B3564" si="1838">CHOOSE(2, "1395000000635", "# of pro-rated MDRT agents (&lt;70%)")</f>
        <v># of pro-rated MDRT agents (&lt;70%)</v>
      </c>
      <c r="C3563" s="4" t="str">
        <f>CHOOSE(2, "5461730030", "Jun 26")</f>
        <v>Jun 26</v>
      </c>
      <c r="D3563" s="2" t="s">
        <v>5</v>
      </c>
    </row>
    <row r="3564" spans="1:4" x14ac:dyDescent="0.35">
      <c r="A3564" s="8" t="str">
        <f t="shared" si="1827"/>
        <v>China</v>
      </c>
      <c r="B3564" s="6" t="str">
        <f t="shared" si="1838"/>
        <v># of pro-rated MDRT agents (&lt;70%)</v>
      </c>
      <c r="C3564" s="4" t="str">
        <f>CHOOSE(2, "5462030031", "Jul 26")</f>
        <v>Jul 26</v>
      </c>
      <c r="D3564" s="2" t="s">
        <v>5</v>
      </c>
    </row>
    <row r="3565" spans="1:4" x14ac:dyDescent="0.35">
      <c r="A3565" s="8" t="str">
        <f t="shared" si="1827"/>
        <v>China</v>
      </c>
      <c r="B3565" s="3" t="str">
        <f t="shared" ref="B3565:B3566" si="1839">CHOOSE(2, "1395000000634", "# of pro-rated MDRT agents (50%-70%)")</f>
        <v># of pro-rated MDRT agents (50%-70%)</v>
      </c>
      <c r="C3565" s="4" t="str">
        <f>CHOOSE(2, "5461730030", "Jun 26")</f>
        <v>Jun 26</v>
      </c>
      <c r="D3565" s="2" t="s">
        <v>5</v>
      </c>
    </row>
    <row r="3566" spans="1:4" x14ac:dyDescent="0.35">
      <c r="A3566" s="8" t="str">
        <f t="shared" si="1827"/>
        <v>China</v>
      </c>
      <c r="B3566" s="6" t="str">
        <f t="shared" si="1839"/>
        <v># of pro-rated MDRT agents (50%-70%)</v>
      </c>
      <c r="C3566" s="4" t="str">
        <f>CHOOSE(2, "5462030031", "Jul 26")</f>
        <v>Jul 26</v>
      </c>
      <c r="D3566" s="2" t="s">
        <v>5</v>
      </c>
    </row>
    <row r="3567" spans="1:4" x14ac:dyDescent="0.35">
      <c r="A3567" s="8" t="str">
        <f t="shared" si="1827"/>
        <v>China</v>
      </c>
      <c r="B3567" s="3" t="str">
        <f t="shared" ref="B3567:B3568" si="1840">CHOOSE(2, "1395000000633", "# of pro-rated MDRT agents (&lt;50%)")</f>
        <v># of pro-rated MDRT agents (&lt;50%)</v>
      </c>
      <c r="C3567" s="4" t="str">
        <f>CHOOSE(2, "5461730030", "Jun 26")</f>
        <v>Jun 26</v>
      </c>
      <c r="D3567" s="2" t="s">
        <v>5</v>
      </c>
    </row>
    <row r="3568" spans="1:4" x14ac:dyDescent="0.35">
      <c r="A3568" s="8" t="str">
        <f t="shared" si="1827"/>
        <v>China</v>
      </c>
      <c r="B3568" s="6" t="str">
        <f t="shared" si="1840"/>
        <v># of pro-rated MDRT agents (&lt;50%)</v>
      </c>
      <c r="C3568" s="4" t="str">
        <f>CHOOSE(2, "5462030031", "Jul 26")</f>
        <v>Jul 26</v>
      </c>
      <c r="D3568" s="2" t="s">
        <v>5</v>
      </c>
    </row>
    <row r="3569" spans="1:4" x14ac:dyDescent="0.35">
      <c r="A3569" s="8" t="str">
        <f t="shared" si="1827"/>
        <v>China</v>
      </c>
      <c r="B3569" s="3" t="str">
        <f t="shared" ref="B3569:B3570" si="1841">CHOOSE(2, "1395000000632", "# of pro-rated MDRT agents (70-99%)")</f>
        <v># of pro-rated MDRT agents (70-99%)</v>
      </c>
      <c r="C3569" s="4" t="str">
        <f>CHOOSE(2, "5461730030", "Jun 26")</f>
        <v>Jun 26</v>
      </c>
      <c r="D3569" s="14">
        <v>322</v>
      </c>
    </row>
    <row r="3570" spans="1:4" x14ac:dyDescent="0.35">
      <c r="A3570" s="8" t="str">
        <f t="shared" si="1827"/>
        <v>China</v>
      </c>
      <c r="B3570" s="6" t="str">
        <f t="shared" si="1841"/>
        <v># of pro-rated MDRT agents (70-99%)</v>
      </c>
      <c r="C3570" s="4" t="str">
        <f>CHOOSE(2, "5462030031", "Jul 26")</f>
        <v>Jul 26</v>
      </c>
      <c r="D3570" s="14">
        <v>341</v>
      </c>
    </row>
    <row r="3571" spans="1:4" x14ac:dyDescent="0.35">
      <c r="A3571" s="8" t="str">
        <f t="shared" si="1827"/>
        <v>China</v>
      </c>
      <c r="B3571" s="3" t="str">
        <f t="shared" ref="B3571:B3572" si="1842">CHOOSE(2, "1395000000631", "# of pro-rated MDRT agents (50-69%)")</f>
        <v># of pro-rated MDRT agents (50-69%)</v>
      </c>
      <c r="C3571" s="4" t="str">
        <f>CHOOSE(2, "5461730030", "Jun 26")</f>
        <v>Jun 26</v>
      </c>
      <c r="D3571" s="14">
        <v>357</v>
      </c>
    </row>
    <row r="3572" spans="1:4" x14ac:dyDescent="0.35">
      <c r="A3572" s="8" t="str">
        <f t="shared" si="1827"/>
        <v>China</v>
      </c>
      <c r="B3572" s="6" t="str">
        <f t="shared" si="1842"/>
        <v># of pro-rated MDRT agents (50-69%)</v>
      </c>
      <c r="C3572" s="4" t="str">
        <f>CHOOSE(2, "5462030031", "Jul 26")</f>
        <v>Jul 26</v>
      </c>
      <c r="D3572" s="14">
        <v>335</v>
      </c>
    </row>
    <row r="3573" spans="1:4" x14ac:dyDescent="0.35">
      <c r="A3573" s="8" t="str">
        <f t="shared" si="1827"/>
        <v>China</v>
      </c>
      <c r="B3573" s="3" t="str">
        <f t="shared" ref="B3573:B3574" si="1843">CHOOSE(2, "1395000000630", "# of Top-tier agents")</f>
        <v># of Top-tier agents</v>
      </c>
      <c r="C3573" s="4" t="str">
        <f>CHOOSE(2, "5461730030", "Jun 26")</f>
        <v>Jun 26</v>
      </c>
      <c r="D3573" s="14">
        <v>1776</v>
      </c>
    </row>
    <row r="3574" spans="1:4" x14ac:dyDescent="0.35">
      <c r="A3574" s="8" t="str">
        <f t="shared" si="1827"/>
        <v>China</v>
      </c>
      <c r="B3574" s="6" t="str">
        <f t="shared" si="1843"/>
        <v># of Top-tier agents</v>
      </c>
      <c r="C3574" s="4" t="str">
        <f>CHOOSE(2, "5462030031", "Jul 26")</f>
        <v>Jul 26</v>
      </c>
      <c r="D3574" s="14">
        <v>1663</v>
      </c>
    </row>
    <row r="3575" spans="1:4" x14ac:dyDescent="0.35">
      <c r="A3575" s="8" t="str">
        <f t="shared" si="1827"/>
        <v>China</v>
      </c>
      <c r="B3575" s="3" t="str">
        <f t="shared" ref="B3575:B3576" si="1844">CHOOSE(2, "1395000000629", "$ APE from pro-rated MDRT agents (100%)")</f>
        <v>$ APE from pro-rated MDRT agents (100%)</v>
      </c>
      <c r="C3575" s="4" t="str">
        <f>CHOOSE(2, "5461730030", "Jun 26")</f>
        <v>Jun 26</v>
      </c>
      <c r="D3575" s="2" t="s">
        <v>5</v>
      </c>
    </row>
    <row r="3576" spans="1:4" x14ac:dyDescent="0.35">
      <c r="A3576" s="8" t="str">
        <f t="shared" si="1827"/>
        <v>China</v>
      </c>
      <c r="B3576" s="6" t="str">
        <f t="shared" si="1844"/>
        <v>$ APE from pro-rated MDRT agents (100%)</v>
      </c>
      <c r="C3576" s="4" t="str">
        <f>CHOOSE(2, "5462030031", "Jul 26")</f>
        <v>Jul 26</v>
      </c>
      <c r="D3576" s="2" t="s">
        <v>5</v>
      </c>
    </row>
    <row r="3577" spans="1:4" x14ac:dyDescent="0.35">
      <c r="A3577" s="8" t="str">
        <f t="shared" si="1827"/>
        <v>China</v>
      </c>
      <c r="B3577" s="3" t="str">
        <f t="shared" ref="B3577:B3578" si="1845">CHOOSE(2, "1395000000628", "$ APE from pro-rated MDRT agents (70-99%)")</f>
        <v>$ APE from pro-rated MDRT agents (70-99%)</v>
      </c>
      <c r="C3577" s="4" t="str">
        <f>CHOOSE(2, "5461730030", "Jun 26")</f>
        <v>Jun 26</v>
      </c>
      <c r="D3577" s="2" t="s">
        <v>5</v>
      </c>
    </row>
    <row r="3578" spans="1:4" x14ac:dyDescent="0.35">
      <c r="A3578" s="8" t="str">
        <f t="shared" si="1827"/>
        <v>China</v>
      </c>
      <c r="B3578" s="6" t="str">
        <f t="shared" si="1845"/>
        <v>$ APE from pro-rated MDRT agents (70-99%)</v>
      </c>
      <c r="C3578" s="4" t="str">
        <f>CHOOSE(2, "5462030031", "Jul 26")</f>
        <v>Jul 26</v>
      </c>
      <c r="D3578" s="2" t="s">
        <v>5</v>
      </c>
    </row>
    <row r="3579" spans="1:4" x14ac:dyDescent="0.35">
      <c r="A3579" s="8" t="str">
        <f t="shared" si="1827"/>
        <v>China</v>
      </c>
      <c r="B3579" s="3" t="str">
        <f t="shared" ref="B3579:B3580" si="1846">CHOOSE(2, "1395000000627", "$ APE from pro-rated MDRT agents (50-69%)")</f>
        <v>$ APE from pro-rated MDRT agents (50-69%)</v>
      </c>
      <c r="C3579" s="4" t="str">
        <f>CHOOSE(2, "5461730030", "Jun 26")</f>
        <v>Jun 26</v>
      </c>
      <c r="D3579" s="2" t="s">
        <v>5</v>
      </c>
    </row>
    <row r="3580" spans="1:4" x14ac:dyDescent="0.35">
      <c r="A3580" s="8" t="str">
        <f t="shared" si="1827"/>
        <v>China</v>
      </c>
      <c r="B3580" s="6" t="str">
        <f t="shared" si="1846"/>
        <v>$ APE from pro-rated MDRT agents (50-69%)</v>
      </c>
      <c r="C3580" s="4" t="str">
        <f>CHOOSE(2, "5462030031", "Jul 26")</f>
        <v>Jul 26</v>
      </c>
      <c r="D3580" s="2" t="s">
        <v>5</v>
      </c>
    </row>
    <row r="3581" spans="1:4" x14ac:dyDescent="0.35">
      <c r="A3581" s="8" t="str">
        <f t="shared" si="1827"/>
        <v>China</v>
      </c>
      <c r="B3581" s="3" t="str">
        <f t="shared" ref="B3581:B3582" si="1847">CHOOSE(2, "1395000000626", "$ APE from Top-tier agents")</f>
        <v>$ APE from Top-tier agents</v>
      </c>
      <c r="C3581" s="4" t="str">
        <f>CHOOSE(2, "5461730030", "Jun 26")</f>
        <v>Jun 26</v>
      </c>
      <c r="D3581" s="2" t="s">
        <v>5</v>
      </c>
    </row>
    <row r="3582" spans="1:4" x14ac:dyDescent="0.35">
      <c r="A3582" s="8" t="str">
        <f t="shared" si="1827"/>
        <v>China</v>
      </c>
      <c r="B3582" s="6" t="str">
        <f t="shared" si="1847"/>
        <v>$ APE from Top-tier agents</v>
      </c>
      <c r="C3582" s="4" t="str">
        <f>CHOOSE(2, "5462030031", "Jul 26")</f>
        <v>Jul 26</v>
      </c>
      <c r="D3582" s="2" t="s">
        <v>5</v>
      </c>
    </row>
    <row r="3583" spans="1:4" x14ac:dyDescent="0.35">
      <c r="A3583" s="8" t="str">
        <f t="shared" si="1827"/>
        <v>China</v>
      </c>
      <c r="B3583" s="3" t="str">
        <f t="shared" ref="B3583:B3584" si="1848">CHOOSE(2, "1395000000625", "# of MDRT qualifiers - YTD")</f>
        <v># of MDRT qualifiers - YTD</v>
      </c>
      <c r="C3583" s="4" t="str">
        <f>CHOOSE(2, "5461730030", "Jun 26")</f>
        <v>Jun 26</v>
      </c>
      <c r="D3583" s="14">
        <v>526</v>
      </c>
    </row>
    <row r="3584" spans="1:4" x14ac:dyDescent="0.35">
      <c r="A3584" s="8" t="str">
        <f t="shared" si="1827"/>
        <v>China</v>
      </c>
      <c r="B3584" s="6" t="str">
        <f t="shared" si="1848"/>
        <v># of MDRT qualifiers - YTD</v>
      </c>
      <c r="C3584" s="4" t="str">
        <f>CHOOSE(2, "5462030031", "Jul 26")</f>
        <v>Jul 26</v>
      </c>
      <c r="D3584" s="14">
        <v>555</v>
      </c>
    </row>
    <row r="3585" spans="1:4" x14ac:dyDescent="0.35">
      <c r="A3585" s="8" t="str">
        <f t="shared" si="1827"/>
        <v>China</v>
      </c>
      <c r="B3585" s="3" t="str">
        <f t="shared" ref="B3585:B3586" si="1849">CHOOSE(2, "1395000000624", "# of MDRT COT qualifiers - YTD")</f>
        <v># of MDRT COT qualifiers - YTD</v>
      </c>
      <c r="C3585" s="4" t="str">
        <f>CHOOSE(2, "5461730030", "Jun 26")</f>
        <v>Jun 26</v>
      </c>
      <c r="D3585" s="2" t="s">
        <v>5</v>
      </c>
    </row>
    <row r="3586" spans="1:4" x14ac:dyDescent="0.35">
      <c r="A3586" s="8" t="str">
        <f t="shared" si="1827"/>
        <v>China</v>
      </c>
      <c r="B3586" s="6" t="str">
        <f t="shared" si="1849"/>
        <v># of MDRT COT qualifiers - YTD</v>
      </c>
      <c r="C3586" s="4" t="str">
        <f>CHOOSE(2, "5462030031", "Jul 26")</f>
        <v>Jul 26</v>
      </c>
      <c r="D3586" s="2" t="s">
        <v>5</v>
      </c>
    </row>
    <row r="3587" spans="1:4" x14ac:dyDescent="0.35">
      <c r="A3587" s="8" t="str">
        <f t="shared" si="1827"/>
        <v>China</v>
      </c>
      <c r="B3587" s="3" t="str">
        <f t="shared" ref="B3587:B3588" si="1850">CHOOSE(2, "1395000000623", "# of MDRT TOT qualifiers - YTD")</f>
        <v># of MDRT TOT qualifiers - YTD</v>
      </c>
      <c r="C3587" s="4" t="str">
        <f>CHOOSE(2, "5461730030", "Jun 26")</f>
        <v>Jun 26</v>
      </c>
      <c r="D3587" s="2" t="s">
        <v>5</v>
      </c>
    </row>
    <row r="3588" spans="1:4" x14ac:dyDescent="0.35">
      <c r="A3588" s="8" t="str">
        <f t="shared" si="1827"/>
        <v>China</v>
      </c>
      <c r="B3588" s="6" t="str">
        <f t="shared" si="1850"/>
        <v># of MDRT TOT qualifiers - YTD</v>
      </c>
      <c r="C3588" s="4" t="str">
        <f>CHOOSE(2, "5462030031", "Jul 26")</f>
        <v>Jul 26</v>
      </c>
      <c r="D3588" s="2" t="s">
        <v>5</v>
      </c>
    </row>
    <row r="3589" spans="1:4" x14ac:dyDescent="0.35">
      <c r="A3589" s="8" t="str">
        <f t="shared" si="1827"/>
        <v>China</v>
      </c>
      <c r="B3589" s="3" t="str">
        <f t="shared" ref="B3589:B3590" si="1851">CHOOSE(2, "1395000000622", "Manulife Pro Qualifiers - Total")</f>
        <v>Manulife Pro Qualifiers - Total</v>
      </c>
      <c r="C3589" s="4" t="str">
        <f>CHOOSE(2, "5461730030", "Jun 26")</f>
        <v>Jun 26</v>
      </c>
      <c r="D3589" s="2" t="s">
        <v>5</v>
      </c>
    </row>
    <row r="3590" spans="1:4" x14ac:dyDescent="0.35">
      <c r="A3590" s="8" t="str">
        <f t="shared" si="1827"/>
        <v>China</v>
      </c>
      <c r="B3590" s="6" t="str">
        <f t="shared" si="1851"/>
        <v>Manulife Pro Qualifiers - Total</v>
      </c>
      <c r="C3590" s="4" t="str">
        <f>CHOOSE(2, "5462030031", "Jul 26")</f>
        <v>Jul 26</v>
      </c>
      <c r="D3590" s="2" t="s">
        <v>5</v>
      </c>
    </row>
    <row r="3591" spans="1:4" x14ac:dyDescent="0.35">
      <c r="A3591" s="8" t="str">
        <f t="shared" si="1827"/>
        <v>China</v>
      </c>
      <c r="B3591" s="3" t="str">
        <f t="shared" ref="B3591:B3592" si="1852">CHOOSE(2, "1395000000621", "Manulife Pro Qualifiers - Silver")</f>
        <v>Manulife Pro Qualifiers - Silver</v>
      </c>
      <c r="C3591" s="4" t="str">
        <f>CHOOSE(2, "5461730030", "Jun 26")</f>
        <v>Jun 26</v>
      </c>
      <c r="D3591" s="2" t="s">
        <v>5</v>
      </c>
    </row>
    <row r="3592" spans="1:4" x14ac:dyDescent="0.35">
      <c r="A3592" s="8" t="str">
        <f t="shared" si="1827"/>
        <v>China</v>
      </c>
      <c r="B3592" s="6" t="str">
        <f t="shared" si="1852"/>
        <v>Manulife Pro Qualifiers - Silver</v>
      </c>
      <c r="C3592" s="4" t="str">
        <f>CHOOSE(2, "5462030031", "Jul 26")</f>
        <v>Jul 26</v>
      </c>
      <c r="D3592" s="2" t="s">
        <v>5</v>
      </c>
    </row>
    <row r="3593" spans="1:4" x14ac:dyDescent="0.35">
      <c r="A3593" s="8" t="str">
        <f t="shared" si="1827"/>
        <v>China</v>
      </c>
      <c r="B3593" s="3" t="str">
        <f t="shared" ref="B3593:B3594" si="1853">CHOOSE(2, "1395000000620", "Manulife Pro Qualifiers - Gold")</f>
        <v>Manulife Pro Qualifiers - Gold</v>
      </c>
      <c r="C3593" s="4" t="str">
        <f>CHOOSE(2, "5461730030", "Jun 26")</f>
        <v>Jun 26</v>
      </c>
      <c r="D3593" s="2" t="s">
        <v>5</v>
      </c>
    </row>
    <row r="3594" spans="1:4" x14ac:dyDescent="0.35">
      <c r="A3594" s="8" t="str">
        <f t="shared" si="1827"/>
        <v>China</v>
      </c>
      <c r="B3594" s="6" t="str">
        <f t="shared" si="1853"/>
        <v>Manulife Pro Qualifiers - Gold</v>
      </c>
      <c r="C3594" s="4" t="str">
        <f>CHOOSE(2, "5462030031", "Jul 26")</f>
        <v>Jul 26</v>
      </c>
      <c r="D3594" s="2" t="s">
        <v>5</v>
      </c>
    </row>
    <row r="3595" spans="1:4" x14ac:dyDescent="0.35">
      <c r="A3595" s="8" t="str">
        <f t="shared" si="1827"/>
        <v>China</v>
      </c>
      <c r="B3595" s="3" t="str">
        <f t="shared" ref="B3595:B3596" si="1854">CHOOSE(2, "1395000000619", "Manulife Pro Qualifiers  - Platinum")</f>
        <v>Manulife Pro Qualifiers  - Platinum</v>
      </c>
      <c r="C3595" s="4" t="str">
        <f>CHOOSE(2, "5461730030", "Jun 26")</f>
        <v>Jun 26</v>
      </c>
      <c r="D3595" s="2" t="s">
        <v>5</v>
      </c>
    </row>
    <row r="3596" spans="1:4" x14ac:dyDescent="0.35">
      <c r="A3596" s="8" t="str">
        <f t="shared" si="1827"/>
        <v>China</v>
      </c>
      <c r="B3596" s="6" t="str">
        <f t="shared" si="1854"/>
        <v>Manulife Pro Qualifiers  - Platinum</v>
      </c>
      <c r="C3596" s="4" t="str">
        <f>CHOOSE(2, "5462030031", "Jul 26")</f>
        <v>Jul 26</v>
      </c>
      <c r="D3596" s="2" t="s">
        <v>5</v>
      </c>
    </row>
    <row r="3597" spans="1:4" x14ac:dyDescent="0.35">
      <c r="A3597" s="8" t="str">
        <f t="shared" si="1827"/>
        <v>China</v>
      </c>
      <c r="B3597" s="3" t="str">
        <f t="shared" ref="B3597:B3598" si="1855">CHOOSE(2, "1395000000618", "$ APE from Manulife Pro - Total")</f>
        <v>$ APE from Manulife Pro - Total</v>
      </c>
      <c r="C3597" s="4" t="str">
        <f>CHOOSE(2, "5461730030", "Jun 26")</f>
        <v>Jun 26</v>
      </c>
      <c r="D3597" s="2" t="s">
        <v>5</v>
      </c>
    </row>
    <row r="3598" spans="1:4" x14ac:dyDescent="0.35">
      <c r="A3598" s="8" t="str">
        <f t="shared" si="1827"/>
        <v>China</v>
      </c>
      <c r="B3598" s="6" t="str">
        <f t="shared" si="1855"/>
        <v>$ APE from Manulife Pro - Total</v>
      </c>
      <c r="C3598" s="4" t="str">
        <f>CHOOSE(2, "5462030031", "Jul 26")</f>
        <v>Jul 26</v>
      </c>
      <c r="D3598" s="2" t="s">
        <v>5</v>
      </c>
    </row>
    <row r="3599" spans="1:4" x14ac:dyDescent="0.35">
      <c r="A3599" s="8" t="str">
        <f t="shared" si="1827"/>
        <v>China</v>
      </c>
      <c r="B3599" s="3" t="str">
        <f t="shared" ref="B3599:B3600" si="1856">CHOOSE(2, "1395000000617", "$ APE from Manulife Pro - Silver")</f>
        <v>$ APE from Manulife Pro - Silver</v>
      </c>
      <c r="C3599" s="4" t="str">
        <f>CHOOSE(2, "5461730030", "Jun 26")</f>
        <v>Jun 26</v>
      </c>
      <c r="D3599" s="2" t="s">
        <v>5</v>
      </c>
    </row>
    <row r="3600" spans="1:4" x14ac:dyDescent="0.35">
      <c r="A3600" s="8" t="str">
        <f t="shared" si="1827"/>
        <v>China</v>
      </c>
      <c r="B3600" s="6" t="str">
        <f t="shared" si="1856"/>
        <v>$ APE from Manulife Pro - Silver</v>
      </c>
      <c r="C3600" s="4" t="str">
        <f>CHOOSE(2, "5462030031", "Jul 26")</f>
        <v>Jul 26</v>
      </c>
      <c r="D3600" s="2" t="s">
        <v>5</v>
      </c>
    </row>
    <row r="3601" spans="1:4" x14ac:dyDescent="0.35">
      <c r="A3601" s="8" t="str">
        <f t="shared" si="1827"/>
        <v>China</v>
      </c>
      <c r="B3601" s="3" t="str">
        <f t="shared" ref="B3601:B3602" si="1857">CHOOSE(2, "1395000000616", "$ APE from Manulife Pro - Gold")</f>
        <v>$ APE from Manulife Pro - Gold</v>
      </c>
      <c r="C3601" s="4" t="str">
        <f>CHOOSE(2, "5461730030", "Jun 26")</f>
        <v>Jun 26</v>
      </c>
      <c r="D3601" s="2" t="s">
        <v>5</v>
      </c>
    </row>
    <row r="3602" spans="1:4" x14ac:dyDescent="0.35">
      <c r="A3602" s="8" t="str">
        <f t="shared" si="1827"/>
        <v>China</v>
      </c>
      <c r="B3602" s="6" t="str">
        <f t="shared" si="1857"/>
        <v>$ APE from Manulife Pro - Gold</v>
      </c>
      <c r="C3602" s="4" t="str">
        <f>CHOOSE(2, "5462030031", "Jul 26")</f>
        <v>Jul 26</v>
      </c>
      <c r="D3602" s="2" t="s">
        <v>5</v>
      </c>
    </row>
    <row r="3603" spans="1:4" x14ac:dyDescent="0.35">
      <c r="A3603" s="8" t="str">
        <f t="shared" si="1827"/>
        <v>China</v>
      </c>
      <c r="B3603" s="3" t="str">
        <f t="shared" ref="B3603:B3604" si="1858">CHOOSE(2, "1395000000615", "$ APE from Manulife Pro  - Platinum")</f>
        <v>$ APE from Manulife Pro  - Platinum</v>
      </c>
      <c r="C3603" s="4" t="str">
        <f>CHOOSE(2, "5461730030", "Jun 26")</f>
        <v>Jun 26</v>
      </c>
      <c r="D3603" s="2" t="s">
        <v>5</v>
      </c>
    </row>
    <row r="3604" spans="1:4" x14ac:dyDescent="0.35">
      <c r="A3604" s="8" t="str">
        <f t="shared" si="1827"/>
        <v>China</v>
      </c>
      <c r="B3604" s="6" t="str">
        <f t="shared" si="1858"/>
        <v>$ APE from Manulife Pro  - Platinum</v>
      </c>
      <c r="C3604" s="4" t="str">
        <f>CHOOSE(2, "5462030031", "Jul 26")</f>
        <v>Jul 26</v>
      </c>
      <c r="D3604" s="2" t="s">
        <v>5</v>
      </c>
    </row>
    <row r="3605" spans="1:4" x14ac:dyDescent="0.35">
      <c r="A3605" s="8" t="str">
        <f t="shared" si="1827"/>
        <v>China</v>
      </c>
      <c r="B3605" s="3" t="str">
        <f t="shared" ref="B3605:B3606" si="1859">CHOOSE(2, "1395000000614", "Issued APE")</f>
        <v>Issued APE</v>
      </c>
      <c r="C3605" s="4" t="str">
        <f>CHOOSE(2, "5461730030", "Jun 26")</f>
        <v>Jun 26</v>
      </c>
      <c r="D3605" s="14">
        <v>38271453.795239389</v>
      </c>
    </row>
    <row r="3606" spans="1:4" x14ac:dyDescent="0.35">
      <c r="A3606" s="8" t="str">
        <f t="shared" si="1827"/>
        <v>China</v>
      </c>
      <c r="B3606" s="6" t="str">
        <f t="shared" si="1859"/>
        <v>Issued APE</v>
      </c>
      <c r="C3606" s="4" t="str">
        <f>CHOOSE(2, "5462030031", "Jul 26")</f>
        <v>Jul 26</v>
      </c>
      <c r="D3606" s="14">
        <v>17454646.815873642</v>
      </c>
    </row>
    <row r="3607" spans="1:4" x14ac:dyDescent="0.35">
      <c r="A3607" s="8" t="str">
        <f t="shared" ref="A3607:A3670" si="1860">CHOOSE(2, "204000000004", "China")</f>
        <v>China</v>
      </c>
      <c r="B3607" s="3" t="str">
        <f t="shared" ref="B3607:B3608" si="1861">CHOOSE(2, "1395000000613", "Post-MI APE")</f>
        <v>Post-MI APE</v>
      </c>
      <c r="C3607" s="4" t="str">
        <f>CHOOSE(2, "5461730030", "Jun 26")</f>
        <v>Jun 26</v>
      </c>
      <c r="D3607" s="14">
        <v>19518441.435763117</v>
      </c>
    </row>
    <row r="3608" spans="1:4" x14ac:dyDescent="0.35">
      <c r="A3608" s="8" t="str">
        <f t="shared" si="1860"/>
        <v>China</v>
      </c>
      <c r="B3608" s="6" t="str">
        <f t="shared" si="1861"/>
        <v>Post-MI APE</v>
      </c>
      <c r="C3608" s="4" t="str">
        <f>CHOOSE(2, "5462030031", "Jul 26")</f>
        <v>Jul 26</v>
      </c>
      <c r="D3608" s="14">
        <v>8901869.8759192191</v>
      </c>
    </row>
    <row r="3609" spans="1:4" x14ac:dyDescent="0.35">
      <c r="A3609" s="8" t="str">
        <f t="shared" si="1860"/>
        <v>China</v>
      </c>
      <c r="B3609" s="3" t="str">
        <f t="shared" ref="B3609:B3610" si="1862">CHOOSE(2, "1395000000610", "Pre-gap NBV")</f>
        <v>Pre-gap NBV</v>
      </c>
      <c r="C3609" s="4" t="str">
        <f>CHOOSE(2, "5461730030", "Jun 26")</f>
        <v>Jun 26</v>
      </c>
      <c r="D3609" s="14">
        <v>8834287.2827707697</v>
      </c>
    </row>
    <row r="3610" spans="1:4" x14ac:dyDescent="0.35">
      <c r="A3610" s="8" t="str">
        <f t="shared" si="1860"/>
        <v>China</v>
      </c>
      <c r="B3610" s="6" t="str">
        <f t="shared" si="1862"/>
        <v>Pre-gap NBV</v>
      </c>
      <c r="C3610" s="4" t="str">
        <f>CHOOSE(2, "5462030031", "Jul 26")</f>
        <v>Jul 26</v>
      </c>
      <c r="D3610" s="14">
        <v>4351464.9178151898</v>
      </c>
    </row>
    <row r="3611" spans="1:4" x14ac:dyDescent="0.35">
      <c r="A3611" s="8" t="str">
        <f t="shared" si="1860"/>
        <v>China</v>
      </c>
      <c r="B3611" s="3" t="str">
        <f t="shared" ref="B3611:B3612" si="1863">CHOOSE(2, "1395000000609", "Pre-gap NBV Margin %")</f>
        <v>Pre-gap NBV Margin %</v>
      </c>
      <c r="C3611" s="4" t="str">
        <f>CHOOSE(2, "5461730030", "Jun 26")</f>
        <v>Jun 26</v>
      </c>
      <c r="D3611" s="14">
        <v>0.45261233136084023</v>
      </c>
    </row>
    <row r="3612" spans="1:4" x14ac:dyDescent="0.35">
      <c r="A3612" s="8" t="str">
        <f t="shared" si="1860"/>
        <v>China</v>
      </c>
      <c r="B3612" s="6" t="str">
        <f t="shared" si="1863"/>
        <v>Pre-gap NBV Margin %</v>
      </c>
      <c r="C3612" s="4" t="str">
        <f>CHOOSE(2, "5462030031", "Jul 26")</f>
        <v>Jul 26</v>
      </c>
      <c r="D3612" s="14">
        <v>0.48882594089433956</v>
      </c>
    </row>
    <row r="3613" spans="1:4" x14ac:dyDescent="0.35">
      <c r="A3613" s="8" t="str">
        <f t="shared" si="1860"/>
        <v>China</v>
      </c>
      <c r="B3613" s="3" t="str">
        <f t="shared" ref="B3613:B3614" si="1864">CHOOSE(2, "1395000000608", "Post-gap NBV")</f>
        <v>Post-gap NBV</v>
      </c>
      <c r="C3613" s="4" t="str">
        <f>CHOOSE(2, "5461730030", "Jun 26")</f>
        <v>Jun 26</v>
      </c>
      <c r="D3613" s="14">
        <v>8834287.2827707697</v>
      </c>
    </row>
    <row r="3614" spans="1:4" x14ac:dyDescent="0.35">
      <c r="A3614" s="8" t="str">
        <f t="shared" si="1860"/>
        <v>China</v>
      </c>
      <c r="B3614" s="6" t="str">
        <f t="shared" si="1864"/>
        <v>Post-gap NBV</v>
      </c>
      <c r="C3614" s="4" t="str">
        <f>CHOOSE(2, "5462030031", "Jul 26")</f>
        <v>Jul 26</v>
      </c>
      <c r="D3614" s="14">
        <v>4351464.9178151898</v>
      </c>
    </row>
    <row r="3615" spans="1:4" x14ac:dyDescent="0.35">
      <c r="A3615" s="8" t="str">
        <f t="shared" si="1860"/>
        <v>China</v>
      </c>
      <c r="B3615" s="3" t="str">
        <f t="shared" ref="B3615:B3616" si="1865">CHOOSE(2, "1395000000607", "Post-gap NBV Margin %")</f>
        <v>Post-gap NBV Margin %</v>
      </c>
      <c r="C3615" s="4" t="str">
        <f>CHOOSE(2, "5461730030", "Jun 26")</f>
        <v>Jun 26</v>
      </c>
      <c r="D3615" s="14">
        <v>0.45261233136084023</v>
      </c>
    </row>
    <row r="3616" spans="1:4" x14ac:dyDescent="0.35">
      <c r="A3616" s="8" t="str">
        <f t="shared" si="1860"/>
        <v>China</v>
      </c>
      <c r="B3616" s="6" t="str">
        <f t="shared" si="1865"/>
        <v>Post-gap NBV Margin %</v>
      </c>
      <c r="C3616" s="4" t="str">
        <f>CHOOSE(2, "5462030031", "Jul 26")</f>
        <v>Jul 26</v>
      </c>
      <c r="D3616" s="14">
        <v>0.48882594089433956</v>
      </c>
    </row>
    <row r="3617" spans="1:4" x14ac:dyDescent="0.35">
      <c r="A3617" s="8" t="str">
        <f t="shared" si="1860"/>
        <v>China</v>
      </c>
      <c r="B3617" s="3" t="str">
        <f t="shared" ref="B3617:B3618" si="1866">CHOOSE(2, "1395000000606", "NB CSM")</f>
        <v>NB CSM</v>
      </c>
      <c r="C3617" s="4" t="str">
        <f>CHOOSE(2, "5461730030", "Jun 26")</f>
        <v>Jun 26</v>
      </c>
      <c r="D3617" s="14">
        <v>12016900.3806873</v>
      </c>
    </row>
    <row r="3618" spans="1:4" x14ac:dyDescent="0.35">
      <c r="A3618" s="8" t="str">
        <f t="shared" si="1860"/>
        <v>China</v>
      </c>
      <c r="B3618" s="6" t="str">
        <f t="shared" si="1866"/>
        <v>NB CSM</v>
      </c>
      <c r="C3618" s="4" t="str">
        <f>CHOOSE(2, "5462030031", "Jul 26")</f>
        <v>Jul 26</v>
      </c>
      <c r="D3618" s="14">
        <v>6348244.0967890099</v>
      </c>
    </row>
    <row r="3619" spans="1:4" x14ac:dyDescent="0.35">
      <c r="A3619" s="8" t="str">
        <f t="shared" si="1860"/>
        <v>China</v>
      </c>
      <c r="B3619" s="3" t="str">
        <f t="shared" ref="B3619:B3620" si="1867">CHOOSE(2, "1395000000605", "NB CSM Margin %")</f>
        <v>NB CSM Margin %</v>
      </c>
      <c r="C3619" s="4" t="str">
        <f>CHOOSE(2, "5461730030", "Jun 26")</f>
        <v>Jun 26</v>
      </c>
      <c r="D3619" s="14">
        <v>0.61566905432669716</v>
      </c>
    </row>
    <row r="3620" spans="1:4" x14ac:dyDescent="0.35">
      <c r="A3620" s="8" t="str">
        <f t="shared" si="1860"/>
        <v>China</v>
      </c>
      <c r="B3620" s="6" t="str">
        <f t="shared" si="1867"/>
        <v>NB CSM Margin %</v>
      </c>
      <c r="C3620" s="4" t="str">
        <f>CHOOSE(2, "5462030031", "Jul 26")</f>
        <v>Jul 26</v>
      </c>
      <c r="D3620" s="14">
        <v>0.71313602482124372</v>
      </c>
    </row>
    <row r="3621" spans="1:4" x14ac:dyDescent="0.35">
      <c r="A3621" s="8" t="str">
        <f t="shared" si="1860"/>
        <v>China</v>
      </c>
      <c r="B3621" s="3" t="str">
        <f t="shared" ref="B3621:B3622" si="1868">CHOOSE(2, "1395000000604", "PRE")</f>
        <v>PRE</v>
      </c>
      <c r="C3621" s="4" t="str">
        <f>CHOOSE(2, "5461730030", "Jun 26")</f>
        <v>Jun 26</v>
      </c>
      <c r="D3621" s="14">
        <v>1229303.4446296035</v>
      </c>
    </row>
    <row r="3622" spans="1:4" x14ac:dyDescent="0.35">
      <c r="A3622" s="8" t="str">
        <f t="shared" si="1860"/>
        <v>China</v>
      </c>
      <c r="B3622" s="6" t="str">
        <f t="shared" si="1868"/>
        <v>PRE</v>
      </c>
      <c r="C3622" s="4" t="str">
        <f>CHOOSE(2, "5462030031", "Jul 26")</f>
        <v>Jul 26</v>
      </c>
      <c r="D3622" s="14">
        <v>1809534.6704947767</v>
      </c>
    </row>
    <row r="3623" spans="1:4" x14ac:dyDescent="0.35">
      <c r="A3623" s="8" t="str">
        <f t="shared" si="1860"/>
        <v>China</v>
      </c>
      <c r="B3623" s="3" t="str">
        <f t="shared" ref="B3623:B3624" si="1869">CHOOSE(2, "1395000000603", "ContEx")</f>
        <v>ContEx</v>
      </c>
      <c r="C3623" s="4" t="str">
        <f>CHOOSE(2, "5461730030", "Jun 26")</f>
        <v>Jun 26</v>
      </c>
      <c r="D3623" s="14">
        <v>0</v>
      </c>
    </row>
    <row r="3624" spans="1:4" x14ac:dyDescent="0.35">
      <c r="A3624" s="8" t="str">
        <f t="shared" si="1860"/>
        <v>China</v>
      </c>
      <c r="B3624" s="6" t="str">
        <f t="shared" si="1869"/>
        <v>ContEx</v>
      </c>
      <c r="C3624" s="4" t="str">
        <f>CHOOSE(2, "5462030031", "Jul 26")</f>
        <v>Jul 26</v>
      </c>
      <c r="D3624" s="14">
        <v>0</v>
      </c>
    </row>
    <row r="3625" spans="1:4" x14ac:dyDescent="0.35">
      <c r="A3625" s="8" t="str">
        <f t="shared" si="1860"/>
        <v>China</v>
      </c>
      <c r="B3625" s="3" t="str">
        <f t="shared" ref="B3625:B3626" si="1870">CHOOSE(2, "1395000000602", "% of 6-90 agents")</f>
        <v>% of 6-90 agents</v>
      </c>
      <c r="C3625" s="4" t="str">
        <f>CHOOSE(2, "5461730030", "Jun 26")</f>
        <v>Jun 26</v>
      </c>
      <c r="D3625" s="14">
        <v>0.13471502590673576</v>
      </c>
    </row>
    <row r="3626" spans="1:4" x14ac:dyDescent="0.35">
      <c r="A3626" s="8" t="str">
        <f t="shared" si="1860"/>
        <v>China</v>
      </c>
      <c r="B3626" s="6" t="str">
        <f t="shared" si="1870"/>
        <v>% of 6-90 agents</v>
      </c>
      <c r="C3626" s="4" t="str">
        <f>CHOOSE(2, "5462030031", "Jul 26")</f>
        <v>Jul 26</v>
      </c>
      <c r="D3626" s="14">
        <v>0.12</v>
      </c>
    </row>
    <row r="3627" spans="1:4" x14ac:dyDescent="0.35">
      <c r="A3627" s="8" t="str">
        <f t="shared" si="1860"/>
        <v>China</v>
      </c>
      <c r="B3627" s="3" t="str">
        <f t="shared" ref="B3627:B3628" si="1871">CHOOSE(2, "1395000000601", "New Recruits 3M Activation Rate")</f>
        <v>New Recruits 3M Activation Rate</v>
      </c>
      <c r="C3627" s="4" t="str">
        <f>CHOOSE(2, "5461730030", "Jun 26")</f>
        <v>Jun 26</v>
      </c>
      <c r="D3627" s="14">
        <v>0.72</v>
      </c>
    </row>
    <row r="3628" spans="1:4" x14ac:dyDescent="0.35">
      <c r="A3628" s="8" t="str">
        <f t="shared" si="1860"/>
        <v>China</v>
      </c>
      <c r="B3628" s="6" t="str">
        <f t="shared" si="1871"/>
        <v>New Recruits 3M Activation Rate</v>
      </c>
      <c r="C3628" s="4" t="str">
        <f>CHOOSE(2, "5462030031", "Jul 26")</f>
        <v>Jul 26</v>
      </c>
      <c r="D3628" s="14">
        <v>0.69706840390879476</v>
      </c>
    </row>
    <row r="3629" spans="1:4" x14ac:dyDescent="0.35">
      <c r="A3629" s="8" t="str">
        <f t="shared" si="1860"/>
        <v>China</v>
      </c>
      <c r="B3629" s="3" t="str">
        <f t="shared" ref="B3629:B3630" si="1872">CHOOSE(2, "1395000000600", "No. of Recruits from leaders")</f>
        <v>No. of Recruits from leaders</v>
      </c>
      <c r="C3629" s="4" t="str">
        <f>CHOOSE(2, "5461730030", "Jun 26")</f>
        <v>Jun 26</v>
      </c>
      <c r="D3629" s="2" t="s">
        <v>5</v>
      </c>
    </row>
    <row r="3630" spans="1:4" x14ac:dyDescent="0.35">
      <c r="A3630" s="8" t="str">
        <f t="shared" si="1860"/>
        <v>China</v>
      </c>
      <c r="B3630" s="6" t="str">
        <f t="shared" si="1872"/>
        <v>No. of Recruits from leaders</v>
      </c>
      <c r="C3630" s="4" t="str">
        <f>CHOOSE(2, "5462030031", "Jul 26")</f>
        <v>Jul 26</v>
      </c>
      <c r="D3630" s="2" t="s">
        <v>5</v>
      </c>
    </row>
    <row r="3631" spans="1:4" x14ac:dyDescent="0.35">
      <c r="A3631" s="8" t="str">
        <f t="shared" si="1860"/>
        <v>China</v>
      </c>
      <c r="B3631" s="3" t="str">
        <f t="shared" ref="B3631:B3632" si="1873">CHOOSE(2, "1395000000599", "No. of Recruits per Active Recruiting Leader per month")</f>
        <v>No. of Recruits per Active Recruiting Leader per month</v>
      </c>
      <c r="C3631" s="4" t="str">
        <f>CHOOSE(2, "5461730030", "Jun 26")</f>
        <v>Jun 26</v>
      </c>
      <c r="D3631" s="14">
        <v>0</v>
      </c>
    </row>
    <row r="3632" spans="1:4" x14ac:dyDescent="0.35">
      <c r="A3632" s="8" t="str">
        <f t="shared" si="1860"/>
        <v>China</v>
      </c>
      <c r="B3632" s="6" t="str">
        <f t="shared" si="1873"/>
        <v>No. of Recruits per Active Recruiting Leader per month</v>
      </c>
      <c r="C3632" s="4" t="str">
        <f>CHOOSE(2, "5462030031", "Jul 26")</f>
        <v>Jul 26</v>
      </c>
      <c r="D3632" s="14">
        <v>0</v>
      </c>
    </row>
    <row r="3633" spans="1:4" x14ac:dyDescent="0.35">
      <c r="A3633" s="8" t="str">
        <f t="shared" si="1860"/>
        <v>China</v>
      </c>
      <c r="B3633" s="3" t="str">
        <f t="shared" ref="B3633:B3634" si="1874">CHOOSE(2, "1395000000598", "PRE as % of APE")</f>
        <v>PRE as % of APE</v>
      </c>
      <c r="C3633" s="4" t="str">
        <f>CHOOSE(2, "5461730030", "Jun 26")</f>
        <v>Jun 26</v>
      </c>
      <c r="D3633" s="14">
        <v>3.2120636211173073E-2</v>
      </c>
    </row>
    <row r="3634" spans="1:4" x14ac:dyDescent="0.35">
      <c r="A3634" s="8" t="str">
        <f t="shared" si="1860"/>
        <v>China</v>
      </c>
      <c r="B3634" s="6" t="str">
        <f t="shared" si="1874"/>
        <v>PRE as % of APE</v>
      </c>
      <c r="C3634" s="4" t="str">
        <f>CHOOSE(2, "5462030031", "Jul 26")</f>
        <v>Jul 26</v>
      </c>
      <c r="D3634" s="14">
        <v>0.10367065513174095</v>
      </c>
    </row>
    <row r="3635" spans="1:4" x14ac:dyDescent="0.35">
      <c r="A3635" s="8" t="str">
        <f t="shared" si="1860"/>
        <v>China</v>
      </c>
      <c r="B3635" s="3" t="str">
        <f t="shared" ref="B3635:B3636" si="1875">CHOOSE(2, "1395000000597", "ContEx as % of APE")</f>
        <v>ContEx as % of APE</v>
      </c>
      <c r="C3635" s="4" t="str">
        <f>CHOOSE(2, "5461730030", "Jun 26")</f>
        <v>Jun 26</v>
      </c>
      <c r="D3635" s="14">
        <v>0</v>
      </c>
    </row>
    <row r="3636" spans="1:4" x14ac:dyDescent="0.35">
      <c r="A3636" s="8" t="str">
        <f t="shared" si="1860"/>
        <v>China</v>
      </c>
      <c r="B3636" s="6" t="str">
        <f t="shared" si="1875"/>
        <v>ContEx as % of APE</v>
      </c>
      <c r="C3636" s="4" t="str">
        <f>CHOOSE(2, "5462030031", "Jul 26")</f>
        <v>Jul 26</v>
      </c>
      <c r="D3636" s="14">
        <v>0</v>
      </c>
    </row>
    <row r="3637" spans="1:4" x14ac:dyDescent="0.35">
      <c r="A3637" s="8" t="str">
        <f t="shared" si="1860"/>
        <v>China</v>
      </c>
      <c r="B3637" s="3" t="str">
        <f t="shared" ref="B3637:B3638" si="1876">CHOOSE(2, "1395000000596", "% of 1-Month Active Agents")</f>
        <v>% of 1-Month Active Agents</v>
      </c>
      <c r="C3637" s="4" t="str">
        <f>CHOOSE(2, "5461730030", "Jun 26")</f>
        <v>Jun 26</v>
      </c>
      <c r="D3637" s="14">
        <v>0.60720480320213477</v>
      </c>
    </row>
    <row r="3638" spans="1:4" x14ac:dyDescent="0.35">
      <c r="A3638" s="8" t="str">
        <f t="shared" si="1860"/>
        <v>China</v>
      </c>
      <c r="B3638" s="6" t="str">
        <f t="shared" si="1876"/>
        <v>% of 1-Month Active Agents</v>
      </c>
      <c r="C3638" s="4" t="str">
        <f>CHOOSE(2, "5462030031", "Jul 26")</f>
        <v>Jul 26</v>
      </c>
      <c r="D3638" s="14">
        <v>0.47760786455488802</v>
      </c>
    </row>
    <row r="3639" spans="1:4" x14ac:dyDescent="0.35">
      <c r="A3639" s="8" t="str">
        <f t="shared" si="1860"/>
        <v>China</v>
      </c>
      <c r="B3639" s="3" t="str">
        <f t="shared" ref="B3639:B3640" si="1877">CHOOSE(2, "1395000000595", "% of 3-Month Active Agents")</f>
        <v>% of 3-Month Active Agents</v>
      </c>
      <c r="C3639" s="4" t="str">
        <f>CHOOSE(2, "5461730030", "Jun 26")</f>
        <v>Jun 26</v>
      </c>
      <c r="D3639" s="14">
        <v>0</v>
      </c>
    </row>
    <row r="3640" spans="1:4" x14ac:dyDescent="0.35">
      <c r="A3640" s="8" t="str">
        <f t="shared" si="1860"/>
        <v>China</v>
      </c>
      <c r="B3640" s="6" t="str">
        <f t="shared" si="1877"/>
        <v>% of 3-Month Active Agents</v>
      </c>
      <c r="C3640" s="4" t="str">
        <f>CHOOSE(2, "5462030031", "Jul 26")</f>
        <v>Jul 26</v>
      </c>
      <c r="D3640" s="14">
        <v>0</v>
      </c>
    </row>
    <row r="3641" spans="1:4" x14ac:dyDescent="0.35">
      <c r="A3641" s="8" t="str">
        <f t="shared" si="1860"/>
        <v>China</v>
      </c>
      <c r="B3641" s="3" t="str">
        <f t="shared" ref="B3641:B3642" si="1878">CHOOSE(2, "1395000000594", "Active agents per active leader")</f>
        <v>Active agents per active leader</v>
      </c>
      <c r="C3641" s="4" t="str">
        <f>CHOOSE(2, "5461730030", "Jun 26")</f>
        <v>Jun 26</v>
      </c>
      <c r="D3641" s="14">
        <v>25.283333333333335</v>
      </c>
    </row>
    <row r="3642" spans="1:4" x14ac:dyDescent="0.35">
      <c r="A3642" s="8" t="str">
        <f t="shared" si="1860"/>
        <v>China</v>
      </c>
      <c r="B3642" s="6" t="str">
        <f t="shared" si="1878"/>
        <v>Active agents per active leader</v>
      </c>
      <c r="C3642" s="4" t="str">
        <f>CHOOSE(2, "5462030031", "Jul 26")</f>
        <v>Jul 26</v>
      </c>
      <c r="D3642" s="14">
        <v>26.907692307692308</v>
      </c>
    </row>
    <row r="3643" spans="1:4" x14ac:dyDescent="0.35">
      <c r="A3643" s="8" t="str">
        <f t="shared" si="1860"/>
        <v>China</v>
      </c>
      <c r="B3643" s="3" t="str">
        <f t="shared" ref="B3643:B3644" si="1879">CHOOSE(2, "1395000000593", "Avg. Case count per 1-Month Active Agent")</f>
        <v>Avg. Case count per 1-Month Active Agent</v>
      </c>
      <c r="C3643" s="4" t="str">
        <f>CHOOSE(2, "5461730030", "Jun 26")</f>
        <v>Jun 26</v>
      </c>
      <c r="D3643" s="14">
        <v>1.5390024170511976</v>
      </c>
    </row>
    <row r="3644" spans="1:4" x14ac:dyDescent="0.35">
      <c r="A3644" s="8" t="str">
        <f t="shared" si="1860"/>
        <v>China</v>
      </c>
      <c r="B3644" s="6" t="str">
        <f t="shared" si="1879"/>
        <v>Avg. Case count per 1-Month Active Agent</v>
      </c>
      <c r="C3644" s="4" t="str">
        <f>CHOOSE(2, "5462030031", "Jul 26")</f>
        <v>Jul 26</v>
      </c>
      <c r="D3644" s="14">
        <v>1.0220125786163523</v>
      </c>
    </row>
    <row r="3645" spans="1:4" x14ac:dyDescent="0.35">
      <c r="A3645" s="8" t="str">
        <f t="shared" si="1860"/>
        <v>China</v>
      </c>
      <c r="B3645" s="3" t="str">
        <f t="shared" ref="B3645:B3646" si="1880">CHOOSE(2, "1395000000592", "Avg. Case size")</f>
        <v>Avg. Case size</v>
      </c>
      <c r="C3645" s="4" t="str">
        <f>CHOOSE(2, "5461730030", "Jun 26")</f>
        <v>Jun 26</v>
      </c>
      <c r="D3645" s="14">
        <v>5464.2281261049957</v>
      </c>
    </row>
    <row r="3646" spans="1:4" x14ac:dyDescent="0.35">
      <c r="A3646" s="8" t="str">
        <f t="shared" si="1860"/>
        <v>China</v>
      </c>
      <c r="B3646" s="6" t="str">
        <f t="shared" si="1880"/>
        <v>Avg. Case size</v>
      </c>
      <c r="C3646" s="4" t="str">
        <f>CHOOSE(2, "5462030031", "Jul 26")</f>
        <v>Jul 26</v>
      </c>
      <c r="D3646" s="14">
        <v>4882.4186897548643</v>
      </c>
    </row>
    <row r="3647" spans="1:4" x14ac:dyDescent="0.35">
      <c r="A3647" s="8" t="str">
        <f t="shared" si="1860"/>
        <v>China</v>
      </c>
      <c r="B3647" s="3" t="str">
        <f t="shared" ref="B3647:B3648" si="1881">CHOOSE(2, "1395000000591", "APE per 1-Month Active Agent")</f>
        <v>APE per 1-Month Active Agent</v>
      </c>
      <c r="C3647" s="4" t="str">
        <f>CHOOSE(2, "5461730030", "Jun 26")</f>
        <v>Jun 26</v>
      </c>
      <c r="D3647" s="14">
        <v>8409.4602933947244</v>
      </c>
    </row>
    <row r="3648" spans="1:4" x14ac:dyDescent="0.35">
      <c r="A3648" s="8" t="str">
        <f t="shared" si="1860"/>
        <v>China</v>
      </c>
      <c r="B3648" s="6" t="str">
        <f t="shared" si="1881"/>
        <v>APE per 1-Month Active Agent</v>
      </c>
      <c r="C3648" s="4" t="str">
        <f>CHOOSE(2, "5462030031", "Jul 26")</f>
        <v>Jul 26</v>
      </c>
      <c r="D3648" s="14">
        <v>4989.8933150010407</v>
      </c>
    </row>
    <row r="3649" spans="1:4" x14ac:dyDescent="0.35">
      <c r="A3649" s="8" t="str">
        <f t="shared" si="1860"/>
        <v>China</v>
      </c>
      <c r="B3649" s="3" t="str">
        <f t="shared" ref="B3649:B3650" si="1882">CHOOSE(2, "1395000000590", "% Conversion of Proposals to cases")</f>
        <v>% Conversion of Proposals to cases</v>
      </c>
      <c r="C3649" s="4" t="str">
        <f>CHOOSE(2, "5461730030", "Jun 26")</f>
        <v>Jun 26</v>
      </c>
      <c r="D3649" s="14">
        <v>0</v>
      </c>
    </row>
    <row r="3650" spans="1:4" x14ac:dyDescent="0.35">
      <c r="A3650" s="8" t="str">
        <f t="shared" si="1860"/>
        <v>China</v>
      </c>
      <c r="B3650" s="6" t="str">
        <f t="shared" si="1882"/>
        <v>% Conversion of Proposals to cases</v>
      </c>
      <c r="C3650" s="4" t="str">
        <f>CHOOSE(2, "5462030031", "Jul 26")</f>
        <v>Jul 26</v>
      </c>
      <c r="D3650" s="14">
        <v>0</v>
      </c>
    </row>
    <row r="3651" spans="1:4" x14ac:dyDescent="0.35">
      <c r="A3651" s="8" t="str">
        <f t="shared" si="1860"/>
        <v>China</v>
      </c>
      <c r="B3651" s="3" t="str">
        <f t="shared" ref="B3651:B3652" si="1883">CHOOSE(2, "1395000000588", "% APE from Agents in X tenure")</f>
        <v>% APE from Agents in X tenure</v>
      </c>
      <c r="C3651" s="4" t="str">
        <f>CHOOSE(2, "5461730030", "Jun 26")</f>
        <v>Jun 26</v>
      </c>
      <c r="D3651" s="14">
        <v>1</v>
      </c>
    </row>
    <row r="3652" spans="1:4" x14ac:dyDescent="0.35">
      <c r="A3652" s="8" t="str">
        <f t="shared" si="1860"/>
        <v>China</v>
      </c>
      <c r="B3652" s="6" t="str">
        <f t="shared" si="1883"/>
        <v>% APE from Agents in X tenure</v>
      </c>
      <c r="C3652" s="4" t="str">
        <f>CHOOSE(2, "5462030031", "Jul 26")</f>
        <v>Jul 26</v>
      </c>
      <c r="D3652" s="14">
        <v>1</v>
      </c>
    </row>
    <row r="3653" spans="1:4" x14ac:dyDescent="0.35">
      <c r="A3653" s="8" t="str">
        <f t="shared" si="1860"/>
        <v>China</v>
      </c>
      <c r="B3653" s="3" t="str">
        <f t="shared" ref="B3653:B3654" si="1884">CHOOSE(2, "1395000000587", "% APE from Agents in X tenure in 0-1M")</f>
        <v>% APE from Agents in X tenure in 0-1M</v>
      </c>
      <c r="C3653" s="4" t="str">
        <f>CHOOSE(2, "5461730030", "Jun 26")</f>
        <v>Jun 26</v>
      </c>
      <c r="D3653" s="14">
        <v>0.1</v>
      </c>
    </row>
    <row r="3654" spans="1:4" x14ac:dyDescent="0.35">
      <c r="A3654" s="8" t="str">
        <f t="shared" si="1860"/>
        <v>China</v>
      </c>
      <c r="B3654" s="6" t="str">
        <f t="shared" si="1884"/>
        <v>% APE from Agents in X tenure in 0-1M</v>
      </c>
      <c r="C3654" s="4" t="str">
        <f>CHOOSE(2, "5462030031", "Jul 26")</f>
        <v>Jul 26</v>
      </c>
      <c r="D3654" s="14">
        <v>0.1</v>
      </c>
    </row>
    <row r="3655" spans="1:4" x14ac:dyDescent="0.35">
      <c r="A3655" s="8" t="str">
        <f t="shared" si="1860"/>
        <v>China</v>
      </c>
      <c r="B3655" s="3" t="str">
        <f t="shared" ref="B3655:B3656" si="1885">CHOOSE(2, "1395000000586", "% APE from Agents in X tenure in 2-3M")</f>
        <v>% APE from Agents in X tenure in 2-3M</v>
      </c>
      <c r="C3655" s="4" t="str">
        <f>CHOOSE(2, "5461730030", "Jun 26")</f>
        <v>Jun 26</v>
      </c>
      <c r="D3655" s="14">
        <v>0.2</v>
      </c>
    </row>
    <row r="3656" spans="1:4" x14ac:dyDescent="0.35">
      <c r="A3656" s="8" t="str">
        <f t="shared" si="1860"/>
        <v>China</v>
      </c>
      <c r="B3656" s="6" t="str">
        <f t="shared" si="1885"/>
        <v>% APE from Agents in X tenure in 2-3M</v>
      </c>
      <c r="C3656" s="4" t="str">
        <f>CHOOSE(2, "5462030031", "Jul 26")</f>
        <v>Jul 26</v>
      </c>
      <c r="D3656" s="14">
        <v>0.2</v>
      </c>
    </row>
    <row r="3657" spans="1:4" x14ac:dyDescent="0.35">
      <c r="A3657" s="8" t="str">
        <f t="shared" si="1860"/>
        <v>China</v>
      </c>
      <c r="B3657" s="3" t="str">
        <f t="shared" ref="B3657:B3658" si="1886">CHOOSE(2, "1395000000585", "% APE from Agents in X tenure in 4-12M")</f>
        <v>% APE from Agents in X tenure in 4-12M</v>
      </c>
      <c r="C3657" s="4" t="str">
        <f>CHOOSE(2, "5461730030", "Jun 26")</f>
        <v>Jun 26</v>
      </c>
      <c r="D3657" s="14">
        <v>0.3</v>
      </c>
    </row>
    <row r="3658" spans="1:4" x14ac:dyDescent="0.35">
      <c r="A3658" s="8" t="str">
        <f t="shared" si="1860"/>
        <v>China</v>
      </c>
      <c r="B3658" s="6" t="str">
        <f t="shared" si="1886"/>
        <v>% APE from Agents in X tenure in 4-12M</v>
      </c>
      <c r="C3658" s="4" t="str">
        <f>CHOOSE(2, "5462030031", "Jul 26")</f>
        <v>Jul 26</v>
      </c>
      <c r="D3658" s="14">
        <v>0.3</v>
      </c>
    </row>
    <row r="3659" spans="1:4" x14ac:dyDescent="0.35">
      <c r="A3659" s="8" t="str">
        <f t="shared" si="1860"/>
        <v>China</v>
      </c>
      <c r="B3659" s="3" t="str">
        <f t="shared" ref="B3659:B3660" si="1887">CHOOSE(2, "1395000000584", "% APE from Agents in X tenure 13+M")</f>
        <v>% APE from Agents in X tenure 13+M</v>
      </c>
      <c r="C3659" s="4" t="str">
        <f>CHOOSE(2, "5461730030", "Jun 26")</f>
        <v>Jun 26</v>
      </c>
      <c r="D3659" s="14">
        <v>0.4</v>
      </c>
    </row>
    <row r="3660" spans="1:4" x14ac:dyDescent="0.35">
      <c r="A3660" s="8" t="str">
        <f t="shared" si="1860"/>
        <v>China</v>
      </c>
      <c r="B3660" s="6" t="str">
        <f t="shared" si="1887"/>
        <v>% APE from Agents in X tenure 13+M</v>
      </c>
      <c r="C3660" s="4" t="str">
        <f>CHOOSE(2, "5462030031", "Jul 26")</f>
        <v>Jul 26</v>
      </c>
      <c r="D3660" s="14">
        <v>0.4</v>
      </c>
    </row>
    <row r="3661" spans="1:4" x14ac:dyDescent="0.35">
      <c r="A3661" s="8" t="str">
        <f t="shared" si="1860"/>
        <v>China</v>
      </c>
      <c r="B3661" s="3" t="str">
        <f t="shared" ref="B3661:B3662" si="1888">CHOOSE(2, "1395000000583", "% APE from pro-rated MDRT agents (100%)")</f>
        <v>% APE from pro-rated MDRT agents (100%)</v>
      </c>
      <c r="C3661" s="4" t="str">
        <f>CHOOSE(2, "5461730030", "Jun 26")</f>
        <v>Jun 26</v>
      </c>
      <c r="D3661" s="14">
        <v>0</v>
      </c>
    </row>
    <row r="3662" spans="1:4" x14ac:dyDescent="0.35">
      <c r="A3662" s="8" t="str">
        <f t="shared" si="1860"/>
        <v>China</v>
      </c>
      <c r="B3662" s="6" t="str">
        <f t="shared" si="1888"/>
        <v>% APE from pro-rated MDRT agents (100%)</v>
      </c>
      <c r="C3662" s="4" t="str">
        <f>CHOOSE(2, "5462030031", "Jul 26")</f>
        <v>Jul 26</v>
      </c>
      <c r="D3662" s="14">
        <v>0</v>
      </c>
    </row>
    <row r="3663" spans="1:4" x14ac:dyDescent="0.35">
      <c r="A3663" s="8" t="str">
        <f t="shared" si="1860"/>
        <v>China</v>
      </c>
      <c r="B3663" s="3" t="str">
        <f t="shared" ref="B3663:B3664" si="1889">CHOOSE(2, "1395000000582", "% APE from pro-rated MDRT agents (70-99%)")</f>
        <v>% APE from pro-rated MDRT agents (70-99%)</v>
      </c>
      <c r="C3663" s="4" t="str">
        <f>CHOOSE(2, "5461730030", "Jun 26")</f>
        <v>Jun 26</v>
      </c>
      <c r="D3663" s="14">
        <v>0</v>
      </c>
    </row>
    <row r="3664" spans="1:4" x14ac:dyDescent="0.35">
      <c r="A3664" s="8" t="str">
        <f t="shared" si="1860"/>
        <v>China</v>
      </c>
      <c r="B3664" s="6" t="str">
        <f t="shared" si="1889"/>
        <v>% APE from pro-rated MDRT agents (70-99%)</v>
      </c>
      <c r="C3664" s="4" t="str">
        <f>CHOOSE(2, "5462030031", "Jul 26")</f>
        <v>Jul 26</v>
      </c>
      <c r="D3664" s="14">
        <v>0</v>
      </c>
    </row>
    <row r="3665" spans="1:4" x14ac:dyDescent="0.35">
      <c r="A3665" s="8" t="str">
        <f t="shared" si="1860"/>
        <v>China</v>
      </c>
      <c r="B3665" s="3" t="str">
        <f t="shared" ref="B3665:B3666" si="1890">CHOOSE(2, "1395000000581", "% APE from pro-rated MDRT agents (50-69%)")</f>
        <v>% APE from pro-rated MDRT agents (50-69%)</v>
      </c>
      <c r="C3665" s="4" t="str">
        <f>CHOOSE(2, "5461730030", "Jun 26")</f>
        <v>Jun 26</v>
      </c>
      <c r="D3665" s="14">
        <v>0</v>
      </c>
    </row>
    <row r="3666" spans="1:4" x14ac:dyDescent="0.35">
      <c r="A3666" s="8" t="str">
        <f t="shared" si="1860"/>
        <v>China</v>
      </c>
      <c r="B3666" s="6" t="str">
        <f t="shared" si="1890"/>
        <v>% APE from pro-rated MDRT agents (50-69%)</v>
      </c>
      <c r="C3666" s="4" t="str">
        <f>CHOOSE(2, "5462030031", "Jul 26")</f>
        <v>Jul 26</v>
      </c>
      <c r="D3666" s="14">
        <v>0</v>
      </c>
    </row>
    <row r="3667" spans="1:4" x14ac:dyDescent="0.35">
      <c r="A3667" s="8" t="str">
        <f t="shared" si="1860"/>
        <v>China</v>
      </c>
      <c r="B3667" s="3" t="str">
        <f t="shared" ref="B3667:B3668" si="1891">CHOOSE(2, "1395000000580", "% APE from Top-tier agents")</f>
        <v>% APE from Top-tier agents</v>
      </c>
      <c r="C3667" s="4" t="str">
        <f>CHOOSE(2, "5461730030", "Jun 26")</f>
        <v>Jun 26</v>
      </c>
      <c r="D3667" s="14">
        <v>0</v>
      </c>
    </row>
    <row r="3668" spans="1:4" x14ac:dyDescent="0.35">
      <c r="A3668" s="8" t="str">
        <f t="shared" si="1860"/>
        <v>China</v>
      </c>
      <c r="B3668" s="6" t="str">
        <f t="shared" si="1891"/>
        <v>% APE from Top-tier agents</v>
      </c>
      <c r="C3668" s="4" t="str">
        <f>CHOOSE(2, "5462030031", "Jul 26")</f>
        <v>Jul 26</v>
      </c>
      <c r="D3668" s="14">
        <v>0</v>
      </c>
    </row>
    <row r="3669" spans="1:4" x14ac:dyDescent="0.35">
      <c r="A3669" s="8" t="str">
        <f t="shared" si="1860"/>
        <v>China</v>
      </c>
      <c r="B3669" s="3" t="str">
        <f t="shared" ref="B3669:B3670" si="1892">CHOOSE(2, "1395000000579", "% of Active Recruiting Leaders")</f>
        <v>% of Active Recruiting Leaders</v>
      </c>
      <c r="C3669" s="4" t="str">
        <f>CHOOSE(2, "5461730030", "Jun 26")</f>
        <v>Jun 26</v>
      </c>
      <c r="D3669" s="14">
        <v>0.14274385408406026</v>
      </c>
    </row>
    <row r="3670" spans="1:4" x14ac:dyDescent="0.35">
      <c r="A3670" s="8" t="str">
        <f t="shared" si="1860"/>
        <v>China</v>
      </c>
      <c r="B3670" s="6" t="str">
        <f t="shared" si="1892"/>
        <v>% of Active Recruiting Leaders</v>
      </c>
      <c r="C3670" s="4" t="str">
        <f>CHOOSE(2, "5462030031", "Jul 26")</f>
        <v>Jul 26</v>
      </c>
      <c r="D3670" s="14">
        <v>0.1043338683788122</v>
      </c>
    </row>
    <row r="3671" spans="1:4" x14ac:dyDescent="0.35">
      <c r="A3671" s="8" t="str">
        <f t="shared" ref="A3671:A3734" si="1893">CHOOSE(2, "204000000004", "China")</f>
        <v>China</v>
      </c>
      <c r="B3671" s="3" t="str">
        <f t="shared" ref="B3671:B3672" si="1894">CHOOSE(2, "1395000000578", "% of leaders with &gt;1 YTD recruit")</f>
        <v>% of leaders with &gt;1 YTD recruit</v>
      </c>
      <c r="C3671" s="4" t="str">
        <f>CHOOSE(2, "5461730030", "Jun 26")</f>
        <v>Jun 26</v>
      </c>
      <c r="D3671" s="14">
        <v>0.48850118953211735</v>
      </c>
    </row>
    <row r="3672" spans="1:4" x14ac:dyDescent="0.35">
      <c r="A3672" s="8" t="str">
        <f t="shared" si="1893"/>
        <v>China</v>
      </c>
      <c r="B3672" s="6" t="str">
        <f t="shared" si="1894"/>
        <v>% of leaders with &gt;1 YTD recruit</v>
      </c>
      <c r="C3672" s="4" t="str">
        <f>CHOOSE(2, "5462030031", "Jul 26")</f>
        <v>Jul 26</v>
      </c>
      <c r="D3672" s="14">
        <v>0.557784911717496</v>
      </c>
    </row>
    <row r="3673" spans="1:4" x14ac:dyDescent="0.35">
      <c r="A3673" s="8" t="str">
        <f t="shared" si="1893"/>
        <v>China</v>
      </c>
      <c r="B3673" s="3" t="str">
        <f t="shared" ref="B3673:B3674" si="1895">CHOOSE(2, "1395000000577", "% of 1-Month Active Top-tier agents")</f>
        <v>% of 1-Month Active Top-tier agents</v>
      </c>
      <c r="C3673" s="4" t="str">
        <f>CHOOSE(2, "5461730030", "Jun 26")</f>
        <v>Jun 26</v>
      </c>
      <c r="D3673" s="14">
        <v>0</v>
      </c>
    </row>
    <row r="3674" spans="1:4" x14ac:dyDescent="0.35">
      <c r="A3674" s="8" t="str">
        <f t="shared" si="1893"/>
        <v>China</v>
      </c>
      <c r="B3674" s="6" t="str">
        <f t="shared" si="1895"/>
        <v>% of 1-Month Active Top-tier agents</v>
      </c>
      <c r="C3674" s="4" t="str">
        <f>CHOOSE(2, "5462030031", "Jul 26")</f>
        <v>Jul 26</v>
      </c>
      <c r="D3674" s="14">
        <v>0</v>
      </c>
    </row>
    <row r="3675" spans="1:4" x14ac:dyDescent="0.35">
      <c r="A3675" s="8" t="str">
        <f t="shared" si="1893"/>
        <v>China</v>
      </c>
      <c r="B3675" s="3" t="str">
        <f t="shared" ref="B3675:B3676" si="1896">CHOOSE(2, "1395000000576", "% APE from Manulife Pro - Total")</f>
        <v>% APE from Manulife Pro - Total</v>
      </c>
      <c r="C3675" s="4" t="str">
        <f>CHOOSE(2, "5461730030", "Jun 26")</f>
        <v>Jun 26</v>
      </c>
      <c r="D3675" s="14">
        <v>0</v>
      </c>
    </row>
    <row r="3676" spans="1:4" x14ac:dyDescent="0.35">
      <c r="A3676" s="8" t="str">
        <f t="shared" si="1893"/>
        <v>China</v>
      </c>
      <c r="B3676" s="6" t="str">
        <f t="shared" si="1896"/>
        <v>% APE from Manulife Pro - Total</v>
      </c>
      <c r="C3676" s="4" t="str">
        <f>CHOOSE(2, "5462030031", "Jul 26")</f>
        <v>Jul 26</v>
      </c>
      <c r="D3676" s="14">
        <v>0</v>
      </c>
    </row>
    <row r="3677" spans="1:4" x14ac:dyDescent="0.35">
      <c r="A3677" s="8" t="str">
        <f t="shared" si="1893"/>
        <v>China</v>
      </c>
      <c r="B3677" s="3" t="str">
        <f t="shared" ref="B3677:B3678" si="1897">CHOOSE(2, "1395000000575", "% of 1-Month Active Agents Manulife Pro Qualifiers - Total")</f>
        <v>% of 1-Month Active Agents Manulife Pro Qualifiers - Total</v>
      </c>
      <c r="C3677" s="4" t="str">
        <f>CHOOSE(2, "5461730030", "Jun 26")</f>
        <v>Jun 26</v>
      </c>
      <c r="D3677" s="14">
        <v>0</v>
      </c>
    </row>
    <row r="3678" spans="1:4" x14ac:dyDescent="0.35">
      <c r="A3678" s="8" t="str">
        <f t="shared" si="1893"/>
        <v>China</v>
      </c>
      <c r="B3678" s="6" t="str">
        <f t="shared" si="1897"/>
        <v>% of 1-Month Active Agents Manulife Pro Qualifiers - Total</v>
      </c>
      <c r="C3678" s="4" t="str">
        <f>CHOOSE(2, "5462030031", "Jul 26")</f>
        <v>Jul 26</v>
      </c>
      <c r="D3678" s="14">
        <v>0</v>
      </c>
    </row>
    <row r="3679" spans="1:4" x14ac:dyDescent="0.35">
      <c r="A3679" s="8" t="str">
        <f t="shared" si="1893"/>
        <v>China</v>
      </c>
      <c r="B3679" s="3" t="str">
        <f t="shared" ref="B3679:B3680" si="1898">CHOOSE(2, "1395000000574", "% of Newly Demoted UM")</f>
        <v>% of Newly Demoted UM</v>
      </c>
      <c r="C3679" s="4" t="str">
        <f>CHOOSE(2, "5461730030", "Jun 26")</f>
        <v>Jun 26</v>
      </c>
      <c r="D3679" s="14">
        <v>0</v>
      </c>
    </row>
    <row r="3680" spans="1:4" x14ac:dyDescent="0.35">
      <c r="A3680" s="8" t="str">
        <f t="shared" si="1893"/>
        <v>China</v>
      </c>
      <c r="B3680" s="6" t="str">
        <f t="shared" si="1898"/>
        <v>% of Newly Demoted UM</v>
      </c>
      <c r="C3680" s="4" t="str">
        <f>CHOOSE(2, "5462030031", "Jul 26")</f>
        <v>Jul 26</v>
      </c>
      <c r="D3680" s="14">
        <v>0</v>
      </c>
    </row>
    <row r="3681" spans="1:4" x14ac:dyDescent="0.35">
      <c r="A3681" s="8" t="str">
        <f t="shared" si="1893"/>
        <v>China</v>
      </c>
      <c r="B3681" s="3" t="str">
        <f t="shared" ref="B3681:B3682" si="1899">CHOOSE(2, "1395000000573", "% of Newly Demoted Leaders above UM")</f>
        <v>% of Newly Demoted Leaders above UM</v>
      </c>
      <c r="C3681" s="4" t="str">
        <f>CHOOSE(2, "5461730030", "Jun 26")</f>
        <v>Jun 26</v>
      </c>
      <c r="D3681" s="14">
        <v>0</v>
      </c>
    </row>
    <row r="3682" spans="1:4" x14ac:dyDescent="0.35">
      <c r="A3682" s="8" t="str">
        <f t="shared" si="1893"/>
        <v>China</v>
      </c>
      <c r="B3682" s="6" t="str">
        <f t="shared" si="1899"/>
        <v>% of Newly Demoted Leaders above UM</v>
      </c>
      <c r="C3682" s="4" t="str">
        <f>CHOOSE(2, "5462030031", "Jul 26")</f>
        <v>Jul 26</v>
      </c>
      <c r="D3682" s="14">
        <v>0</v>
      </c>
    </row>
    <row r="3683" spans="1:4" x14ac:dyDescent="0.35">
      <c r="A3683" s="8" t="str">
        <f t="shared" si="1893"/>
        <v>China</v>
      </c>
      <c r="B3683" s="3" t="str">
        <f t="shared" ref="B3683:B3684" si="1900">CHOOSE(2, "1395000000572", "Avg. Earning per agent")</f>
        <v>Avg. Earning per agent</v>
      </c>
      <c r="C3683" s="4" t="str">
        <f>CHOOSE(2, "5461730030", "Jun 26")</f>
        <v>Jun 26</v>
      </c>
      <c r="D3683" s="14">
        <v>0</v>
      </c>
    </row>
    <row r="3684" spans="1:4" x14ac:dyDescent="0.35">
      <c r="A3684" s="8" t="str">
        <f t="shared" si="1893"/>
        <v>China</v>
      </c>
      <c r="B3684" s="6" t="str">
        <f t="shared" si="1900"/>
        <v>Avg. Earning per agent</v>
      </c>
      <c r="C3684" s="4" t="str">
        <f>CHOOSE(2, "5462030031", "Jul 26")</f>
        <v>Jul 26</v>
      </c>
      <c r="D3684" s="14">
        <v>0</v>
      </c>
    </row>
    <row r="3685" spans="1:4" x14ac:dyDescent="0.35">
      <c r="A3685" s="8" t="str">
        <f t="shared" si="1893"/>
        <v>China</v>
      </c>
      <c r="B3685" s="3" t="str">
        <f t="shared" ref="B3685:B3686" si="1901">CHOOSE(2, "1395000000571", "Avg. Earning per agent in FA or equivalent")</f>
        <v>Avg. Earning per agent in FA or equivalent</v>
      </c>
      <c r="C3685" s="4" t="str">
        <f>CHOOSE(2, "5461730030", "Jun 26")</f>
        <v>Jun 26</v>
      </c>
      <c r="D3685" s="14">
        <v>0</v>
      </c>
    </row>
    <row r="3686" spans="1:4" x14ac:dyDescent="0.35">
      <c r="A3686" s="8" t="str">
        <f t="shared" si="1893"/>
        <v>China</v>
      </c>
      <c r="B3686" s="6" t="str">
        <f t="shared" si="1901"/>
        <v>Avg. Earning per agent in FA or equivalent</v>
      </c>
      <c r="C3686" s="4" t="str">
        <f>CHOOSE(2, "5462030031", "Jul 26")</f>
        <v>Jul 26</v>
      </c>
      <c r="D3686" s="14">
        <v>0</v>
      </c>
    </row>
    <row r="3687" spans="1:4" x14ac:dyDescent="0.35">
      <c r="A3687" s="8" t="str">
        <f t="shared" si="1893"/>
        <v>China</v>
      </c>
      <c r="B3687" s="3" t="str">
        <f t="shared" ref="B3687:B3688" si="1902">CHOOSE(2, "1395000000570", "Avg. Earning per agent in UM")</f>
        <v>Avg. Earning per agent in UM</v>
      </c>
      <c r="C3687" s="4" t="str">
        <f>CHOOSE(2, "5461730030", "Jun 26")</f>
        <v>Jun 26</v>
      </c>
      <c r="D3687" s="14">
        <v>0</v>
      </c>
    </row>
    <row r="3688" spans="1:4" x14ac:dyDescent="0.35">
      <c r="A3688" s="8" t="str">
        <f t="shared" si="1893"/>
        <v>China</v>
      </c>
      <c r="B3688" s="6" t="str">
        <f t="shared" si="1902"/>
        <v>Avg. Earning per agent in UM</v>
      </c>
      <c r="C3688" s="4" t="str">
        <f>CHOOSE(2, "5462030031", "Jul 26")</f>
        <v>Jul 26</v>
      </c>
      <c r="D3688" s="14">
        <v>0</v>
      </c>
    </row>
    <row r="3689" spans="1:4" x14ac:dyDescent="0.35">
      <c r="A3689" s="8" t="str">
        <f t="shared" si="1893"/>
        <v>China</v>
      </c>
      <c r="B3689" s="3" t="str">
        <f t="shared" ref="B3689:B3690" si="1903">CHOOSE(2, "1395000000569", "Avg. Earning per agent in Leaders above UM")</f>
        <v>Avg. Earning per agent in Leaders above UM</v>
      </c>
      <c r="C3689" s="4" t="str">
        <f>CHOOSE(2, "5461730030", "Jun 26")</f>
        <v>Jun 26</v>
      </c>
      <c r="D3689" s="14">
        <v>0</v>
      </c>
    </row>
    <row r="3690" spans="1:4" x14ac:dyDescent="0.35">
      <c r="A3690" s="8" t="str">
        <f t="shared" si="1893"/>
        <v>China</v>
      </c>
      <c r="B3690" s="6" t="str">
        <f t="shared" si="1903"/>
        <v>Avg. Earning per agent in Leaders above UM</v>
      </c>
      <c r="C3690" s="4" t="str">
        <f>CHOOSE(2, "5462030031", "Jul 26")</f>
        <v>Jul 26</v>
      </c>
      <c r="D3690" s="14">
        <v>0</v>
      </c>
    </row>
    <row r="3691" spans="1:4" x14ac:dyDescent="0.35">
      <c r="A3691" s="8" t="str">
        <f t="shared" si="1893"/>
        <v>China</v>
      </c>
      <c r="B3691" s="3" t="str">
        <f t="shared" ref="B3691:B3692" si="1904">CHOOSE(2, "1395000000568", "% of 1-Month Active Agents 0-1M")</f>
        <v>% of 1-Month Active Agents 0-1M</v>
      </c>
      <c r="C3691" s="4" t="str">
        <f>CHOOSE(2, "5461730030", "Jun 26")</f>
        <v>Jun 26</v>
      </c>
      <c r="D3691" s="14">
        <v>0</v>
      </c>
    </row>
    <row r="3692" spans="1:4" x14ac:dyDescent="0.35">
      <c r="A3692" s="8" t="str">
        <f t="shared" si="1893"/>
        <v>China</v>
      </c>
      <c r="B3692" s="6" t="str">
        <f t="shared" si="1904"/>
        <v>% of 1-Month Active Agents 0-1M</v>
      </c>
      <c r="C3692" s="4" t="str">
        <f>CHOOSE(2, "5462030031", "Jul 26")</f>
        <v>Jul 26</v>
      </c>
      <c r="D3692" s="14">
        <v>0</v>
      </c>
    </row>
    <row r="3693" spans="1:4" x14ac:dyDescent="0.35">
      <c r="A3693" s="8" t="str">
        <f t="shared" si="1893"/>
        <v>China</v>
      </c>
      <c r="B3693" s="3" t="str">
        <f t="shared" ref="B3693:B3694" si="1905">CHOOSE(2, "1395000000567", "% of 1-Month Active Agents in 2-3M")</f>
        <v>% of 1-Month Active Agents in 2-3M</v>
      </c>
      <c r="C3693" s="4" t="str">
        <f>CHOOSE(2, "5461730030", "Jun 26")</f>
        <v>Jun 26</v>
      </c>
      <c r="D3693" s="14">
        <v>0</v>
      </c>
    </row>
    <row r="3694" spans="1:4" x14ac:dyDescent="0.35">
      <c r="A3694" s="8" t="str">
        <f t="shared" si="1893"/>
        <v>China</v>
      </c>
      <c r="B3694" s="6" t="str">
        <f t="shared" si="1905"/>
        <v>% of 1-Month Active Agents in 2-3M</v>
      </c>
      <c r="C3694" s="4" t="str">
        <f>CHOOSE(2, "5462030031", "Jul 26")</f>
        <v>Jul 26</v>
      </c>
      <c r="D3694" s="14">
        <v>0</v>
      </c>
    </row>
    <row r="3695" spans="1:4" x14ac:dyDescent="0.35">
      <c r="A3695" s="8" t="str">
        <f t="shared" si="1893"/>
        <v>China</v>
      </c>
      <c r="B3695" s="3" t="str">
        <f t="shared" ref="B3695:B3696" si="1906">CHOOSE(2, "1395000000566", "% of 1-Month Active Agents 4-12M")</f>
        <v>% of 1-Month Active Agents 4-12M</v>
      </c>
      <c r="C3695" s="4" t="str">
        <f>CHOOSE(2, "5461730030", "Jun 26")</f>
        <v>Jun 26</v>
      </c>
      <c r="D3695" s="14">
        <v>0</v>
      </c>
    </row>
    <row r="3696" spans="1:4" x14ac:dyDescent="0.35">
      <c r="A3696" s="8" t="str">
        <f t="shared" si="1893"/>
        <v>China</v>
      </c>
      <c r="B3696" s="6" t="str">
        <f t="shared" si="1906"/>
        <v>% of 1-Month Active Agents 4-12M</v>
      </c>
      <c r="C3696" s="4" t="str">
        <f>CHOOSE(2, "5462030031", "Jul 26")</f>
        <v>Jul 26</v>
      </c>
      <c r="D3696" s="14">
        <v>0</v>
      </c>
    </row>
    <row r="3697" spans="1:4" x14ac:dyDescent="0.35">
      <c r="A3697" s="8" t="str">
        <f t="shared" si="1893"/>
        <v>China</v>
      </c>
      <c r="B3697" s="3" t="str">
        <f t="shared" ref="B3697:B3698" si="1907">CHOOSE(2, "1395000000565", "% of 1-Month Active Agents 13+M")</f>
        <v>% of 1-Month Active Agents 13+M</v>
      </c>
      <c r="C3697" s="4" t="str">
        <f>CHOOSE(2, "5461730030", "Jun 26")</f>
        <v>Jun 26</v>
      </c>
      <c r="D3697" s="14">
        <v>0</v>
      </c>
    </row>
    <row r="3698" spans="1:4" x14ac:dyDescent="0.35">
      <c r="A3698" s="8" t="str">
        <f t="shared" si="1893"/>
        <v>China</v>
      </c>
      <c r="B3698" s="6" t="str">
        <f t="shared" si="1907"/>
        <v>% of 1-Month Active Agents 13+M</v>
      </c>
      <c r="C3698" s="4" t="str">
        <f>CHOOSE(2, "5462030031", "Jul 26")</f>
        <v>Jul 26</v>
      </c>
      <c r="D3698" s="14">
        <v>0</v>
      </c>
    </row>
    <row r="3699" spans="1:4" x14ac:dyDescent="0.35">
      <c r="A3699" s="8" t="str">
        <f t="shared" si="1893"/>
        <v>China</v>
      </c>
      <c r="B3699" s="3" t="str">
        <f t="shared" ref="B3699:B3700" si="1908">CHOOSE(2, "1395000000564", "% of 3-Month Active Agents 0-1M")</f>
        <v>% of 3-Month Active Agents 0-1M</v>
      </c>
      <c r="C3699" s="4" t="str">
        <f>CHOOSE(2, "5461730030", "Jun 26")</f>
        <v>Jun 26</v>
      </c>
      <c r="D3699" s="14">
        <v>0</v>
      </c>
    </row>
    <row r="3700" spans="1:4" x14ac:dyDescent="0.35">
      <c r="A3700" s="8" t="str">
        <f t="shared" si="1893"/>
        <v>China</v>
      </c>
      <c r="B3700" s="6" t="str">
        <f t="shared" si="1908"/>
        <v>% of 3-Month Active Agents 0-1M</v>
      </c>
      <c r="C3700" s="4" t="str">
        <f>CHOOSE(2, "5462030031", "Jul 26")</f>
        <v>Jul 26</v>
      </c>
      <c r="D3700" s="14">
        <v>0</v>
      </c>
    </row>
    <row r="3701" spans="1:4" x14ac:dyDescent="0.35">
      <c r="A3701" s="8" t="str">
        <f t="shared" si="1893"/>
        <v>China</v>
      </c>
      <c r="B3701" s="3" t="str">
        <f t="shared" ref="B3701:B3702" si="1909">CHOOSE(2, "1395000000563", "% of 3-Month Active Agents in 2-3M")</f>
        <v>% of 3-Month Active Agents in 2-3M</v>
      </c>
      <c r="C3701" s="4" t="str">
        <f>CHOOSE(2, "5461730030", "Jun 26")</f>
        <v>Jun 26</v>
      </c>
      <c r="D3701" s="14">
        <v>0</v>
      </c>
    </row>
    <row r="3702" spans="1:4" x14ac:dyDescent="0.35">
      <c r="A3702" s="8" t="str">
        <f t="shared" si="1893"/>
        <v>China</v>
      </c>
      <c r="B3702" s="6" t="str">
        <f t="shared" si="1909"/>
        <v>% of 3-Month Active Agents in 2-3M</v>
      </c>
      <c r="C3702" s="4" t="str">
        <f>CHOOSE(2, "5462030031", "Jul 26")</f>
        <v>Jul 26</v>
      </c>
      <c r="D3702" s="14">
        <v>0</v>
      </c>
    </row>
    <row r="3703" spans="1:4" x14ac:dyDescent="0.35">
      <c r="A3703" s="8" t="str">
        <f t="shared" si="1893"/>
        <v>China</v>
      </c>
      <c r="B3703" s="3" t="str">
        <f t="shared" ref="B3703:B3704" si="1910">CHOOSE(2, "1395000000562", "% of 3-Month Active Agents 4-12M")</f>
        <v>% of 3-Month Active Agents 4-12M</v>
      </c>
      <c r="C3703" s="4" t="str">
        <f>CHOOSE(2, "5461730030", "Jun 26")</f>
        <v>Jun 26</v>
      </c>
      <c r="D3703" s="14">
        <v>0</v>
      </c>
    </row>
    <row r="3704" spans="1:4" x14ac:dyDescent="0.35">
      <c r="A3704" s="8" t="str">
        <f t="shared" si="1893"/>
        <v>China</v>
      </c>
      <c r="B3704" s="6" t="str">
        <f t="shared" si="1910"/>
        <v>% of 3-Month Active Agents 4-12M</v>
      </c>
      <c r="C3704" s="4" t="str">
        <f>CHOOSE(2, "5462030031", "Jul 26")</f>
        <v>Jul 26</v>
      </c>
      <c r="D3704" s="14">
        <v>0</v>
      </c>
    </row>
    <row r="3705" spans="1:4" x14ac:dyDescent="0.35">
      <c r="A3705" s="8" t="str">
        <f t="shared" si="1893"/>
        <v>China</v>
      </c>
      <c r="B3705" s="3" t="str">
        <f t="shared" ref="B3705:B3706" si="1911">CHOOSE(2, "1395000000561", "% of 3-Month Active Agents 13+M")</f>
        <v>% of 3-Month Active Agents 13+M</v>
      </c>
      <c r="C3705" s="4" t="str">
        <f>CHOOSE(2, "5461730030", "Jun 26")</f>
        <v>Jun 26</v>
      </c>
      <c r="D3705" s="14">
        <v>0</v>
      </c>
    </row>
    <row r="3706" spans="1:4" x14ac:dyDescent="0.35">
      <c r="A3706" s="8" t="str">
        <f t="shared" si="1893"/>
        <v>China</v>
      </c>
      <c r="B3706" s="6" t="str">
        <f t="shared" si="1911"/>
        <v>% of 3-Month Active Agents 13+M</v>
      </c>
      <c r="C3706" s="4" t="str">
        <f>CHOOSE(2, "5462030031", "Jul 26")</f>
        <v>Jul 26</v>
      </c>
      <c r="D3706" s="14">
        <v>0</v>
      </c>
    </row>
    <row r="3707" spans="1:4" x14ac:dyDescent="0.35">
      <c r="A3707" s="8" t="str">
        <f t="shared" si="1893"/>
        <v>China</v>
      </c>
      <c r="B3707" s="3" t="str">
        <f t="shared" ref="B3707:B3708" si="1912">CHOOSE(2, "1395000000560", "Avg. Case count per 1-Month Active Agent 0-1M")</f>
        <v>Avg. Case count per 1-Month Active Agent 0-1M</v>
      </c>
      <c r="C3707" s="4" t="str">
        <f>CHOOSE(2, "5461730030", "Jun 26")</f>
        <v>Jun 26</v>
      </c>
      <c r="D3707" s="14">
        <v>0</v>
      </c>
    </row>
    <row r="3708" spans="1:4" x14ac:dyDescent="0.35">
      <c r="A3708" s="8" t="str">
        <f t="shared" si="1893"/>
        <v>China</v>
      </c>
      <c r="B3708" s="6" t="str">
        <f t="shared" si="1912"/>
        <v>Avg. Case count per 1-Month Active Agent 0-1M</v>
      </c>
      <c r="C3708" s="4" t="str">
        <f>CHOOSE(2, "5462030031", "Jul 26")</f>
        <v>Jul 26</v>
      </c>
      <c r="D3708" s="14">
        <v>0</v>
      </c>
    </row>
    <row r="3709" spans="1:4" x14ac:dyDescent="0.35">
      <c r="A3709" s="8" t="str">
        <f t="shared" si="1893"/>
        <v>China</v>
      </c>
      <c r="B3709" s="3" t="str">
        <f t="shared" ref="B3709:B3710" si="1913">CHOOSE(2, "1395000000559", "Avg. Case count per 1-Month Active Agent in 2-3M")</f>
        <v>Avg. Case count per 1-Month Active Agent in 2-3M</v>
      </c>
      <c r="C3709" s="4" t="str">
        <f>CHOOSE(2, "5461730030", "Jun 26")</f>
        <v>Jun 26</v>
      </c>
      <c r="D3709" s="14">
        <v>0</v>
      </c>
    </row>
    <row r="3710" spans="1:4" x14ac:dyDescent="0.35">
      <c r="A3710" s="8" t="str">
        <f t="shared" si="1893"/>
        <v>China</v>
      </c>
      <c r="B3710" s="6" t="str">
        <f t="shared" si="1913"/>
        <v>Avg. Case count per 1-Month Active Agent in 2-3M</v>
      </c>
      <c r="C3710" s="4" t="str">
        <f>CHOOSE(2, "5462030031", "Jul 26")</f>
        <v>Jul 26</v>
      </c>
      <c r="D3710" s="14">
        <v>0</v>
      </c>
    </row>
    <row r="3711" spans="1:4" x14ac:dyDescent="0.35">
      <c r="A3711" s="8" t="str">
        <f t="shared" si="1893"/>
        <v>China</v>
      </c>
      <c r="B3711" s="3" t="str">
        <f t="shared" ref="B3711:B3712" si="1914">CHOOSE(2, "1395000000558", "Avg. Case count per 1-Month Active Agent 4-12M")</f>
        <v>Avg. Case count per 1-Month Active Agent 4-12M</v>
      </c>
      <c r="C3711" s="4" t="str">
        <f>CHOOSE(2, "5461730030", "Jun 26")</f>
        <v>Jun 26</v>
      </c>
      <c r="D3711" s="14">
        <v>0</v>
      </c>
    </row>
    <row r="3712" spans="1:4" x14ac:dyDescent="0.35">
      <c r="A3712" s="8" t="str">
        <f t="shared" si="1893"/>
        <v>China</v>
      </c>
      <c r="B3712" s="6" t="str">
        <f t="shared" si="1914"/>
        <v>Avg. Case count per 1-Month Active Agent 4-12M</v>
      </c>
      <c r="C3712" s="4" t="str">
        <f>CHOOSE(2, "5462030031", "Jul 26")</f>
        <v>Jul 26</v>
      </c>
      <c r="D3712" s="14">
        <v>0</v>
      </c>
    </row>
    <row r="3713" spans="1:4" x14ac:dyDescent="0.35">
      <c r="A3713" s="8" t="str">
        <f t="shared" si="1893"/>
        <v>China</v>
      </c>
      <c r="B3713" s="3" t="str">
        <f t="shared" ref="B3713:B3714" si="1915">CHOOSE(2, "1395000000557", "Avg. Case count per 1-Month Active Agent 13+M")</f>
        <v>Avg. Case count per 1-Month Active Agent 13+M</v>
      </c>
      <c r="C3713" s="4" t="str">
        <f>CHOOSE(2, "5461730030", "Jun 26")</f>
        <v>Jun 26</v>
      </c>
      <c r="D3713" s="14">
        <v>2.3939307185800174</v>
      </c>
    </row>
    <row r="3714" spans="1:4" x14ac:dyDescent="0.35">
      <c r="A3714" s="8" t="str">
        <f t="shared" si="1893"/>
        <v>China</v>
      </c>
      <c r="B3714" s="6" t="str">
        <f t="shared" si="1915"/>
        <v>Avg. Case count per 1-Month Active Agent 13+M</v>
      </c>
      <c r="C3714" s="4" t="str">
        <f>CHOOSE(2, "5462030031", "Jul 26")</f>
        <v>Jul 26</v>
      </c>
      <c r="D3714" s="14">
        <v>1.9836899333567168</v>
      </c>
    </row>
    <row r="3715" spans="1:4" x14ac:dyDescent="0.35">
      <c r="A3715" s="8" t="str">
        <f t="shared" si="1893"/>
        <v>China</v>
      </c>
      <c r="B3715" s="3" t="str">
        <f t="shared" ref="B3715:B3716" si="1916">CHOOSE(2, "1395000000556", "Avg. Case size 0-1M")</f>
        <v>Avg. Case size 0-1M</v>
      </c>
      <c r="C3715" s="4" t="str">
        <f>CHOOSE(2, "5461730030", "Jun 26")</f>
        <v>Jun 26</v>
      </c>
      <c r="D3715" s="14">
        <v>0</v>
      </c>
    </row>
    <row r="3716" spans="1:4" x14ac:dyDescent="0.35">
      <c r="A3716" s="8" t="str">
        <f t="shared" si="1893"/>
        <v>China</v>
      </c>
      <c r="B3716" s="6" t="str">
        <f t="shared" si="1916"/>
        <v>Avg. Case size 0-1M</v>
      </c>
      <c r="C3716" s="4" t="str">
        <f>CHOOSE(2, "5462030031", "Jul 26")</f>
        <v>Jul 26</v>
      </c>
      <c r="D3716" s="14">
        <v>0</v>
      </c>
    </row>
    <row r="3717" spans="1:4" x14ac:dyDescent="0.35">
      <c r="A3717" s="8" t="str">
        <f t="shared" si="1893"/>
        <v>China</v>
      </c>
      <c r="B3717" s="3" t="str">
        <f t="shared" ref="B3717:B3718" si="1917">CHOOSE(2, "1395000000555", "Avg. Case size in 2-3M")</f>
        <v>Avg. Case size in 2-3M</v>
      </c>
      <c r="C3717" s="4" t="str">
        <f>CHOOSE(2, "5461730030", "Jun 26")</f>
        <v>Jun 26</v>
      </c>
      <c r="D3717" s="14">
        <v>0</v>
      </c>
    </row>
    <row r="3718" spans="1:4" x14ac:dyDescent="0.35">
      <c r="A3718" s="8" t="str">
        <f t="shared" si="1893"/>
        <v>China</v>
      </c>
      <c r="B3718" s="6" t="str">
        <f t="shared" si="1917"/>
        <v>Avg. Case size in 2-3M</v>
      </c>
      <c r="C3718" s="4" t="str">
        <f>CHOOSE(2, "5462030031", "Jul 26")</f>
        <v>Jul 26</v>
      </c>
      <c r="D3718" s="14">
        <v>0</v>
      </c>
    </row>
    <row r="3719" spans="1:4" x14ac:dyDescent="0.35">
      <c r="A3719" s="8" t="str">
        <f t="shared" si="1893"/>
        <v>China</v>
      </c>
      <c r="B3719" s="3" t="str">
        <f t="shared" ref="B3719:B3720" si="1918">CHOOSE(2, "1395000000554", "Avg. Case size 4-12M")</f>
        <v>Avg. Case size 4-12M</v>
      </c>
      <c r="C3719" s="4" t="str">
        <f>CHOOSE(2, "5461730030", "Jun 26")</f>
        <v>Jun 26</v>
      </c>
      <c r="D3719" s="14">
        <v>0</v>
      </c>
    </row>
    <row r="3720" spans="1:4" x14ac:dyDescent="0.35">
      <c r="A3720" s="8" t="str">
        <f t="shared" si="1893"/>
        <v>China</v>
      </c>
      <c r="B3720" s="6" t="str">
        <f t="shared" si="1918"/>
        <v>Avg. Case size 4-12M</v>
      </c>
      <c r="C3720" s="4" t="str">
        <f>CHOOSE(2, "5462030031", "Jul 26")</f>
        <v>Jul 26</v>
      </c>
      <c r="D3720" s="14">
        <v>0</v>
      </c>
    </row>
    <row r="3721" spans="1:4" x14ac:dyDescent="0.35">
      <c r="A3721" s="8" t="str">
        <f t="shared" si="1893"/>
        <v>China</v>
      </c>
      <c r="B3721" s="3" t="str">
        <f t="shared" ref="B3721:B3722" si="1919">CHOOSE(2, "1395000000553", "Avg. Case size 13+M")</f>
        <v>Avg. Case size 13+M</v>
      </c>
      <c r="C3721" s="4" t="str">
        <f>CHOOSE(2, "5461730030", "Jun 26")</f>
        <v>Jun 26</v>
      </c>
      <c r="D3721" s="14">
        <v>1830.7320638717717</v>
      </c>
    </row>
    <row r="3722" spans="1:4" x14ac:dyDescent="0.35">
      <c r="A3722" s="8" t="str">
        <f t="shared" si="1893"/>
        <v>China</v>
      </c>
      <c r="B3722" s="6" t="str">
        <f t="shared" si="1919"/>
        <v>Avg. Case size 13+M</v>
      </c>
      <c r="C3722" s="4" t="str">
        <f>CHOOSE(2, "5462030031", "Jul 26")</f>
        <v>Jul 26</v>
      </c>
      <c r="D3722" s="14">
        <v>1234.5254577578387</v>
      </c>
    </row>
    <row r="3723" spans="1:4" x14ac:dyDescent="0.35">
      <c r="A3723" s="8" t="str">
        <f t="shared" si="1893"/>
        <v>China</v>
      </c>
      <c r="B3723" s="3" t="str">
        <f t="shared" ref="B3723:B3724" si="1920">CHOOSE(2, "1395000000552", "Avg. Case size UM")</f>
        <v>Avg. Case size UM</v>
      </c>
      <c r="C3723" s="4" t="str">
        <f>CHOOSE(2, "5461730030", "Jun 26")</f>
        <v>Jun 26</v>
      </c>
      <c r="D3723" s="14">
        <v>0</v>
      </c>
    </row>
    <row r="3724" spans="1:4" x14ac:dyDescent="0.35">
      <c r="A3724" s="8" t="str">
        <f t="shared" si="1893"/>
        <v>China</v>
      </c>
      <c r="B3724" s="6" t="str">
        <f t="shared" si="1920"/>
        <v>Avg. Case size UM</v>
      </c>
      <c r="C3724" s="4" t="str">
        <f>CHOOSE(2, "5462030031", "Jul 26")</f>
        <v>Jul 26</v>
      </c>
      <c r="D3724" s="14">
        <v>0</v>
      </c>
    </row>
    <row r="3725" spans="1:4" x14ac:dyDescent="0.35">
      <c r="A3725" s="8" t="str">
        <f t="shared" si="1893"/>
        <v>China</v>
      </c>
      <c r="B3725" s="3" t="str">
        <f t="shared" ref="B3725:B3726" si="1921">CHOOSE(2, "1395000000551", "Avg. Case size Leaders above UM")</f>
        <v>Avg. Case size Leaders above UM</v>
      </c>
      <c r="C3725" s="4" t="str">
        <f>CHOOSE(2, "5461730030", "Jun 26")</f>
        <v>Jun 26</v>
      </c>
      <c r="D3725" s="14">
        <v>0</v>
      </c>
    </row>
    <row r="3726" spans="1:4" x14ac:dyDescent="0.35">
      <c r="A3726" s="8" t="str">
        <f t="shared" si="1893"/>
        <v>China</v>
      </c>
      <c r="B3726" s="6" t="str">
        <f t="shared" si="1921"/>
        <v>Avg. Case size Leaders above UM</v>
      </c>
      <c r="C3726" s="4" t="str">
        <f>CHOOSE(2, "5462030031", "Jul 26")</f>
        <v>Jul 26</v>
      </c>
      <c r="D3726" s="14">
        <v>0</v>
      </c>
    </row>
    <row r="3727" spans="1:4" x14ac:dyDescent="0.35">
      <c r="A3727" s="8" t="str">
        <f t="shared" si="1893"/>
        <v>China</v>
      </c>
      <c r="B3727" s="3" t="str">
        <f t="shared" ref="B3727:B3728" si="1922">CHOOSE(2, "1395000000550", "Avg. Case size Top-tier agents")</f>
        <v>Avg. Case size Top-tier agents</v>
      </c>
      <c r="C3727" s="4" t="str">
        <f>CHOOSE(2, "5461730030", "Jun 26")</f>
        <v>Jun 26</v>
      </c>
      <c r="D3727" s="14">
        <v>0</v>
      </c>
    </row>
    <row r="3728" spans="1:4" x14ac:dyDescent="0.35">
      <c r="A3728" s="8" t="str">
        <f t="shared" si="1893"/>
        <v>China</v>
      </c>
      <c r="B3728" s="6" t="str">
        <f t="shared" si="1922"/>
        <v>Avg. Case size Top-tier agents</v>
      </c>
      <c r="C3728" s="4" t="str">
        <f>CHOOSE(2, "5462030031", "Jul 26")</f>
        <v>Jul 26</v>
      </c>
      <c r="D3728" s="14">
        <v>0</v>
      </c>
    </row>
    <row r="3729" spans="1:4" x14ac:dyDescent="0.35">
      <c r="A3729" s="8" t="str">
        <f t="shared" si="1893"/>
        <v>China</v>
      </c>
      <c r="B3729" s="3" t="str">
        <f t="shared" ref="B3729:B3730" si="1923">CHOOSE(2, "1395000000549", "Avg. Case size Manulife Pro Qualifiers - Total")</f>
        <v>Avg. Case size Manulife Pro Qualifiers - Total</v>
      </c>
      <c r="C3729" s="4" t="str">
        <f>CHOOSE(2, "5461730030", "Jun 26")</f>
        <v>Jun 26</v>
      </c>
      <c r="D3729" s="14">
        <v>0</v>
      </c>
    </row>
    <row r="3730" spans="1:4" x14ac:dyDescent="0.35">
      <c r="A3730" s="8" t="str">
        <f t="shared" si="1893"/>
        <v>China</v>
      </c>
      <c r="B3730" s="6" t="str">
        <f t="shared" si="1923"/>
        <v>Avg. Case size Manulife Pro Qualifiers - Total</v>
      </c>
      <c r="C3730" s="4" t="str">
        <f>CHOOSE(2, "5462030031", "Jul 26")</f>
        <v>Jul 26</v>
      </c>
      <c r="D3730" s="14">
        <v>0</v>
      </c>
    </row>
    <row r="3731" spans="1:4" x14ac:dyDescent="0.35">
      <c r="A3731" s="8" t="str">
        <f t="shared" si="1893"/>
        <v>China</v>
      </c>
      <c r="B3731" s="3" t="str">
        <f t="shared" ref="B3731:B3732" si="1924">CHOOSE(2, "1395000000548", "Avg. Case size FA or equivalent")</f>
        <v>Avg. Case size FA or equivalent</v>
      </c>
      <c r="C3731" s="4" t="str">
        <f>CHOOSE(2, "5461730030", "Jun 26")</f>
        <v>Jun 26</v>
      </c>
      <c r="D3731" s="14">
        <v>0</v>
      </c>
    </row>
    <row r="3732" spans="1:4" x14ac:dyDescent="0.35">
      <c r="A3732" s="8" t="str">
        <f t="shared" si="1893"/>
        <v>China</v>
      </c>
      <c r="B3732" s="6" t="str">
        <f t="shared" si="1924"/>
        <v>Avg. Case size FA or equivalent</v>
      </c>
      <c r="C3732" s="4" t="str">
        <f>CHOOSE(2, "5462030031", "Jul 26")</f>
        <v>Jul 26</v>
      </c>
      <c r="D3732" s="14">
        <v>0</v>
      </c>
    </row>
    <row r="3733" spans="1:4" x14ac:dyDescent="0.35">
      <c r="A3733" s="8" t="str">
        <f t="shared" si="1893"/>
        <v>China</v>
      </c>
      <c r="B3733" s="3" t="str">
        <f t="shared" ref="B3733:B3734" si="1925">CHOOSE(2, "1395000000547", "Avg. Case size pro-rated MDRT agents (&gt;100%)")</f>
        <v>Avg. Case size pro-rated MDRT agents (&gt;100%)</v>
      </c>
      <c r="C3733" s="4" t="str">
        <f>CHOOSE(2, "5461730030", "Jun 26")</f>
        <v>Jun 26</v>
      </c>
      <c r="D3733" s="14">
        <v>0</v>
      </c>
    </row>
    <row r="3734" spans="1:4" x14ac:dyDescent="0.35">
      <c r="A3734" s="8" t="str">
        <f t="shared" si="1893"/>
        <v>China</v>
      </c>
      <c r="B3734" s="6" t="str">
        <f t="shared" si="1925"/>
        <v>Avg. Case size pro-rated MDRT agents (&gt;100%)</v>
      </c>
      <c r="C3734" s="4" t="str">
        <f>CHOOSE(2, "5462030031", "Jul 26")</f>
        <v>Jul 26</v>
      </c>
      <c r="D3734" s="14">
        <v>0</v>
      </c>
    </row>
    <row r="3735" spans="1:4" x14ac:dyDescent="0.35">
      <c r="A3735" s="8" t="str">
        <f t="shared" ref="A3735:A3768" si="1926">CHOOSE(2, "204000000004", "China")</f>
        <v>China</v>
      </c>
      <c r="B3735" s="3" t="str">
        <f t="shared" ref="B3735:B3736" si="1927">CHOOSE(2, "1395000000546", "Avg. Case size pro-rated MDRT agents (70-99%)")</f>
        <v>Avg. Case size pro-rated MDRT agents (70-99%)</v>
      </c>
      <c r="C3735" s="4" t="str">
        <f>CHOOSE(2, "5461730030", "Jun 26")</f>
        <v>Jun 26</v>
      </c>
      <c r="D3735" s="14">
        <v>0</v>
      </c>
    </row>
    <row r="3736" spans="1:4" x14ac:dyDescent="0.35">
      <c r="A3736" s="8" t="str">
        <f t="shared" si="1926"/>
        <v>China</v>
      </c>
      <c r="B3736" s="6" t="str">
        <f t="shared" si="1927"/>
        <v>Avg. Case size pro-rated MDRT agents (70-99%)</v>
      </c>
      <c r="C3736" s="4" t="str">
        <f>CHOOSE(2, "5462030031", "Jul 26")</f>
        <v>Jul 26</v>
      </c>
      <c r="D3736" s="14">
        <v>0</v>
      </c>
    </row>
    <row r="3737" spans="1:4" x14ac:dyDescent="0.35">
      <c r="A3737" s="8" t="str">
        <f t="shared" si="1926"/>
        <v>China</v>
      </c>
      <c r="B3737" s="3" t="str">
        <f t="shared" ref="B3737:B3738" si="1928">CHOOSE(2, "1395000000545", "Avg. Case size pro-rated MDRT agents (50-69%)")</f>
        <v>Avg. Case size pro-rated MDRT agents (50-69%)</v>
      </c>
      <c r="C3737" s="4" t="str">
        <f>CHOOSE(2, "5461730030", "Jun 26")</f>
        <v>Jun 26</v>
      </c>
      <c r="D3737" s="14">
        <v>0</v>
      </c>
    </row>
    <row r="3738" spans="1:4" x14ac:dyDescent="0.35">
      <c r="A3738" s="8" t="str">
        <f t="shared" si="1926"/>
        <v>China</v>
      </c>
      <c r="B3738" s="6" t="str">
        <f t="shared" si="1928"/>
        <v>Avg. Case size pro-rated MDRT agents (50-69%)</v>
      </c>
      <c r="C3738" s="4" t="str">
        <f>CHOOSE(2, "5462030031", "Jul 26")</f>
        <v>Jul 26</v>
      </c>
      <c r="D3738" s="14">
        <v>0</v>
      </c>
    </row>
    <row r="3739" spans="1:4" x14ac:dyDescent="0.35">
      <c r="A3739" s="8" t="str">
        <f t="shared" si="1926"/>
        <v>China</v>
      </c>
      <c r="B3739" s="3" t="str">
        <f t="shared" ref="B3739:B3740" si="1929">CHOOSE(2, "1395000000544", "% of 1-Month Active Agents UM")</f>
        <v>% of 1-Month Active Agents UM</v>
      </c>
      <c r="C3739" s="4" t="str">
        <f>CHOOSE(2, "5461730030", "Jun 26")</f>
        <v>Jun 26</v>
      </c>
      <c r="D3739" s="14">
        <v>0</v>
      </c>
    </row>
    <row r="3740" spans="1:4" x14ac:dyDescent="0.35">
      <c r="A3740" s="8" t="str">
        <f t="shared" si="1926"/>
        <v>China</v>
      </c>
      <c r="B3740" s="6" t="str">
        <f t="shared" si="1929"/>
        <v>% of 1-Month Active Agents UM</v>
      </c>
      <c r="C3740" s="4" t="str">
        <f>CHOOSE(2, "5462030031", "Jul 26")</f>
        <v>Jul 26</v>
      </c>
      <c r="D3740" s="14">
        <v>0</v>
      </c>
    </row>
    <row r="3741" spans="1:4" x14ac:dyDescent="0.35">
      <c r="A3741" s="8" t="str">
        <f t="shared" si="1926"/>
        <v>China</v>
      </c>
      <c r="B3741" s="3" t="str">
        <f t="shared" ref="B3741:B3742" si="1930">CHOOSE(2, "1395000000543", "% of 1-Month Active Agents Leaders above UM")</f>
        <v>% of 1-Month Active Agents Leaders above UM</v>
      </c>
      <c r="C3741" s="4" t="str">
        <f>CHOOSE(2, "5461730030", "Jun 26")</f>
        <v>Jun 26</v>
      </c>
      <c r="D3741" s="14">
        <v>0</v>
      </c>
    </row>
    <row r="3742" spans="1:4" x14ac:dyDescent="0.35">
      <c r="A3742" s="8" t="str">
        <f t="shared" si="1926"/>
        <v>China</v>
      </c>
      <c r="B3742" s="6" t="str">
        <f t="shared" si="1930"/>
        <v>% of 1-Month Active Agents Leaders above UM</v>
      </c>
      <c r="C3742" s="4" t="str">
        <f>CHOOSE(2, "5462030031", "Jul 26")</f>
        <v>Jul 26</v>
      </c>
      <c r="D3742" s="14">
        <v>0</v>
      </c>
    </row>
    <row r="3743" spans="1:4" x14ac:dyDescent="0.35">
      <c r="A3743" s="8" t="str">
        <f t="shared" si="1926"/>
        <v>China</v>
      </c>
      <c r="B3743" s="3" t="str">
        <f t="shared" ref="B3743:B3744" si="1931">CHOOSE(2, "1395000000542", "% of 1-Month Active Agents Top-tier agents")</f>
        <v>% of 1-Month Active Agents Top-tier agents</v>
      </c>
      <c r="C3743" s="4" t="str">
        <f>CHOOSE(2, "5461730030", "Jun 26")</f>
        <v>Jun 26</v>
      </c>
      <c r="D3743" s="14">
        <v>0</v>
      </c>
    </row>
    <row r="3744" spans="1:4" x14ac:dyDescent="0.35">
      <c r="A3744" s="8" t="str">
        <f t="shared" si="1926"/>
        <v>China</v>
      </c>
      <c r="B3744" s="6" t="str">
        <f t="shared" si="1931"/>
        <v>% of 1-Month Active Agents Top-tier agents</v>
      </c>
      <c r="C3744" s="4" t="str">
        <f>CHOOSE(2, "5462030031", "Jul 26")</f>
        <v>Jul 26</v>
      </c>
      <c r="D3744" s="14">
        <v>0</v>
      </c>
    </row>
    <row r="3745" spans="1:4" x14ac:dyDescent="0.35">
      <c r="A3745" s="8" t="str">
        <f t="shared" si="1926"/>
        <v>China</v>
      </c>
      <c r="B3745" s="3" t="str">
        <f t="shared" ref="B3745:B3746" si="1932">CHOOSE(2, "1395000000541", "% of 1-Month Active Agents FA or equivalent")</f>
        <v>% of 1-Month Active Agents FA or equivalent</v>
      </c>
      <c r="C3745" s="4" t="str">
        <f>CHOOSE(2, "5461730030", "Jun 26")</f>
        <v>Jun 26</v>
      </c>
      <c r="D3745" s="14">
        <v>0</v>
      </c>
    </row>
    <row r="3746" spans="1:4" x14ac:dyDescent="0.35">
      <c r="A3746" s="8" t="str">
        <f t="shared" si="1926"/>
        <v>China</v>
      </c>
      <c r="B3746" s="6" t="str">
        <f t="shared" si="1932"/>
        <v>% of 1-Month Active Agents FA or equivalent</v>
      </c>
      <c r="C3746" s="4" t="str">
        <f>CHOOSE(2, "5462030031", "Jul 26")</f>
        <v>Jul 26</v>
      </c>
      <c r="D3746" s="14">
        <v>0</v>
      </c>
    </row>
    <row r="3747" spans="1:4" x14ac:dyDescent="0.35">
      <c r="A3747" s="8" t="str">
        <f t="shared" si="1926"/>
        <v>China</v>
      </c>
      <c r="B3747" s="3" t="str">
        <f t="shared" ref="B3747:B3748" si="1933">CHOOSE(2, "1395000000540", "% of 1-Month Active Agents pro-rated MDRT agents (&gt;100%)")</f>
        <v>% of 1-Month Active Agents pro-rated MDRT agents (&gt;100%)</v>
      </c>
      <c r="C3747" s="4" t="str">
        <f>CHOOSE(2, "5461730030", "Jun 26")</f>
        <v>Jun 26</v>
      </c>
      <c r="D3747" s="14">
        <v>0</v>
      </c>
    </row>
    <row r="3748" spans="1:4" x14ac:dyDescent="0.35">
      <c r="A3748" s="8" t="str">
        <f t="shared" si="1926"/>
        <v>China</v>
      </c>
      <c r="B3748" s="6" t="str">
        <f t="shared" si="1933"/>
        <v>% of 1-Month Active Agents pro-rated MDRT agents (&gt;100%)</v>
      </c>
      <c r="C3748" s="4" t="str">
        <f>CHOOSE(2, "5462030031", "Jul 26")</f>
        <v>Jul 26</v>
      </c>
      <c r="D3748" s="14">
        <v>0</v>
      </c>
    </row>
    <row r="3749" spans="1:4" x14ac:dyDescent="0.35">
      <c r="A3749" s="8" t="str">
        <f t="shared" si="1926"/>
        <v>China</v>
      </c>
      <c r="B3749" s="3" t="str">
        <f t="shared" ref="B3749:B3750" si="1934">CHOOSE(2, "1395000000539", "% of 1-Month Active Agents pro-rated MDRT agents (70-99%)")</f>
        <v>% of 1-Month Active Agents pro-rated MDRT agents (70-99%)</v>
      </c>
      <c r="C3749" s="4" t="str">
        <f>CHOOSE(2, "5461730030", "Jun 26")</f>
        <v>Jun 26</v>
      </c>
      <c r="D3749" s="14">
        <v>0</v>
      </c>
    </row>
    <row r="3750" spans="1:4" x14ac:dyDescent="0.35">
      <c r="A3750" s="8" t="str">
        <f t="shared" si="1926"/>
        <v>China</v>
      </c>
      <c r="B3750" s="6" t="str">
        <f t="shared" si="1934"/>
        <v>% of 1-Month Active Agents pro-rated MDRT agents (70-99%)</v>
      </c>
      <c r="C3750" s="4" t="str">
        <f>CHOOSE(2, "5462030031", "Jul 26")</f>
        <v>Jul 26</v>
      </c>
      <c r="D3750" s="14">
        <v>0</v>
      </c>
    </row>
    <row r="3751" spans="1:4" x14ac:dyDescent="0.35">
      <c r="A3751" s="8" t="str">
        <f t="shared" si="1926"/>
        <v>China</v>
      </c>
      <c r="B3751" s="3" t="str">
        <f t="shared" ref="B3751:B3752" si="1935">CHOOSE(2, "1395000000538", "% of 1-Month Active Agents pro-rated MDRT agents (50-69%)")</f>
        <v>% of 1-Month Active Agents pro-rated MDRT agents (50-69%)</v>
      </c>
      <c r="C3751" s="4" t="str">
        <f>CHOOSE(2, "5461730030", "Jun 26")</f>
        <v>Jun 26</v>
      </c>
      <c r="D3751" s="14">
        <v>0</v>
      </c>
    </row>
    <row r="3752" spans="1:4" x14ac:dyDescent="0.35">
      <c r="A3752" s="8" t="str">
        <f t="shared" si="1926"/>
        <v>China</v>
      </c>
      <c r="B3752" s="6" t="str">
        <f t="shared" si="1935"/>
        <v>% of 1-Month Active Agents pro-rated MDRT agents (50-69%)</v>
      </c>
      <c r="C3752" s="4" t="str">
        <f>CHOOSE(2, "5462030031", "Jul 26")</f>
        <v>Jul 26</v>
      </c>
      <c r="D3752" s="14">
        <v>0</v>
      </c>
    </row>
    <row r="3753" spans="1:4" x14ac:dyDescent="0.35">
      <c r="A3753" s="8" t="str">
        <f t="shared" si="1926"/>
        <v>China</v>
      </c>
      <c r="B3753" s="3" t="str">
        <f t="shared" ref="B3753:B3754" si="1936">CHOOSE(2, "1395000000537", "Avg. Case count per 1-Month Active Agent UM")</f>
        <v>Avg. Case count per 1-Month Active Agent UM</v>
      </c>
      <c r="C3753" s="4" t="str">
        <f>CHOOSE(2, "5461730030", "Jun 26")</f>
        <v>Jun 26</v>
      </c>
      <c r="D3753" s="14">
        <v>0</v>
      </c>
    </row>
    <row r="3754" spans="1:4" x14ac:dyDescent="0.35">
      <c r="A3754" s="8" t="str">
        <f t="shared" si="1926"/>
        <v>China</v>
      </c>
      <c r="B3754" s="6" t="str">
        <f t="shared" si="1936"/>
        <v>Avg. Case count per 1-Month Active Agent UM</v>
      </c>
      <c r="C3754" s="4" t="str">
        <f>CHOOSE(2, "5462030031", "Jul 26")</f>
        <v>Jul 26</v>
      </c>
      <c r="D3754" s="14">
        <v>0</v>
      </c>
    </row>
    <row r="3755" spans="1:4" x14ac:dyDescent="0.35">
      <c r="A3755" s="8" t="str">
        <f t="shared" si="1926"/>
        <v>China</v>
      </c>
      <c r="B3755" s="3" t="str">
        <f t="shared" ref="B3755:B3756" si="1937">CHOOSE(2, "1395000000536", "Avg. Case count per 1-Month Active Agent Leaders above UM")</f>
        <v>Avg. Case count per 1-Month Active Agent Leaders above UM</v>
      </c>
      <c r="C3755" s="4" t="str">
        <f>CHOOSE(2, "5461730030", "Jun 26")</f>
        <v>Jun 26</v>
      </c>
      <c r="D3755" s="14">
        <v>0</v>
      </c>
    </row>
    <row r="3756" spans="1:4" x14ac:dyDescent="0.35">
      <c r="A3756" s="8" t="str">
        <f t="shared" si="1926"/>
        <v>China</v>
      </c>
      <c r="B3756" s="6" t="str">
        <f t="shared" si="1937"/>
        <v>Avg. Case count per 1-Month Active Agent Leaders above UM</v>
      </c>
      <c r="C3756" s="4" t="str">
        <f>CHOOSE(2, "5462030031", "Jul 26")</f>
        <v>Jul 26</v>
      </c>
      <c r="D3756" s="14">
        <v>0</v>
      </c>
    </row>
    <row r="3757" spans="1:4" x14ac:dyDescent="0.35">
      <c r="A3757" s="8" t="str">
        <f t="shared" si="1926"/>
        <v>China</v>
      </c>
      <c r="B3757" s="3" t="str">
        <f t="shared" ref="B3757:B3758" si="1938">CHOOSE(2, "1395000000535", "Avg. Case count per 1-Month Active Agent Top-tier agents")</f>
        <v>Avg. Case count per 1-Month Active Agent Top-tier agents</v>
      </c>
      <c r="C3757" s="4" t="str">
        <f>CHOOSE(2, "5461730030", "Jun 26")</f>
        <v>Jun 26</v>
      </c>
      <c r="D3757" s="14">
        <v>0</v>
      </c>
    </row>
    <row r="3758" spans="1:4" x14ac:dyDescent="0.35">
      <c r="A3758" s="8" t="str">
        <f t="shared" si="1926"/>
        <v>China</v>
      </c>
      <c r="B3758" s="6" t="str">
        <f t="shared" si="1938"/>
        <v>Avg. Case count per 1-Month Active Agent Top-tier agents</v>
      </c>
      <c r="C3758" s="4" t="str">
        <f>CHOOSE(2, "5462030031", "Jul 26")</f>
        <v>Jul 26</v>
      </c>
      <c r="D3758" s="14">
        <v>0</v>
      </c>
    </row>
    <row r="3759" spans="1:4" x14ac:dyDescent="0.35">
      <c r="A3759" s="8" t="str">
        <f t="shared" si="1926"/>
        <v>China</v>
      </c>
      <c r="B3759" s="3" t="str">
        <f t="shared" ref="B3759:B3760" si="1939">CHOOSE(2, "1395000000534", "Avg. Case count per 1-Month Manulife Pro Qualifiers - Total")</f>
        <v>Avg. Case count per 1-Month Manulife Pro Qualifiers - Total</v>
      </c>
      <c r="C3759" s="4" t="str">
        <f>CHOOSE(2, "5461730030", "Jun 26")</f>
        <v>Jun 26</v>
      </c>
      <c r="D3759" s="14">
        <v>0</v>
      </c>
    </row>
    <row r="3760" spans="1:4" x14ac:dyDescent="0.35">
      <c r="A3760" s="8" t="str">
        <f t="shared" si="1926"/>
        <v>China</v>
      </c>
      <c r="B3760" s="6" t="str">
        <f t="shared" si="1939"/>
        <v>Avg. Case count per 1-Month Manulife Pro Qualifiers - Total</v>
      </c>
      <c r="C3760" s="4" t="str">
        <f>CHOOSE(2, "5462030031", "Jul 26")</f>
        <v>Jul 26</v>
      </c>
      <c r="D3760" s="14">
        <v>0</v>
      </c>
    </row>
    <row r="3761" spans="1:4" x14ac:dyDescent="0.35">
      <c r="A3761" s="8" t="str">
        <f t="shared" si="1926"/>
        <v>China</v>
      </c>
      <c r="B3761" s="3" t="str">
        <f t="shared" ref="B3761:B3762" si="1940">CHOOSE(2, "1395000000533", "Avg. Case count per 1-Month Active Agent FA or equivalent")</f>
        <v>Avg. Case count per 1-Month Active Agent FA or equivalent</v>
      </c>
      <c r="C3761" s="4" t="str">
        <f>CHOOSE(2, "5461730030", "Jun 26")</f>
        <v>Jun 26</v>
      </c>
      <c r="D3761" s="14">
        <v>0</v>
      </c>
    </row>
    <row r="3762" spans="1:4" x14ac:dyDescent="0.35">
      <c r="A3762" s="8" t="str">
        <f t="shared" si="1926"/>
        <v>China</v>
      </c>
      <c r="B3762" s="6" t="str">
        <f t="shared" si="1940"/>
        <v>Avg. Case count per 1-Month Active Agent FA or equivalent</v>
      </c>
      <c r="C3762" s="4" t="str">
        <f>CHOOSE(2, "5462030031", "Jul 26")</f>
        <v>Jul 26</v>
      </c>
      <c r="D3762" s="14">
        <v>0</v>
      </c>
    </row>
    <row r="3763" spans="1:4" x14ac:dyDescent="0.35">
      <c r="A3763" s="8" t="str">
        <f t="shared" si="1926"/>
        <v>China</v>
      </c>
      <c r="B3763" s="3" t="str">
        <f t="shared" ref="B3763:B3764" si="1941">CHOOSE(2, "1395000000532", "Avg. Case count per 1-Month pro-rated MDRT agents (&gt;100%)")</f>
        <v>Avg. Case count per 1-Month pro-rated MDRT agents (&gt;100%)</v>
      </c>
      <c r="C3763" s="4" t="str">
        <f>CHOOSE(2, "5461730030", "Jun 26")</f>
        <v>Jun 26</v>
      </c>
      <c r="D3763" s="14">
        <v>0</v>
      </c>
    </row>
    <row r="3764" spans="1:4" x14ac:dyDescent="0.35">
      <c r="A3764" s="8" t="str">
        <f t="shared" si="1926"/>
        <v>China</v>
      </c>
      <c r="B3764" s="6" t="str">
        <f t="shared" si="1941"/>
        <v>Avg. Case count per 1-Month pro-rated MDRT agents (&gt;100%)</v>
      </c>
      <c r="C3764" s="4" t="str">
        <f>CHOOSE(2, "5462030031", "Jul 26")</f>
        <v>Jul 26</v>
      </c>
      <c r="D3764" s="14">
        <v>0</v>
      </c>
    </row>
    <row r="3765" spans="1:4" x14ac:dyDescent="0.35">
      <c r="A3765" s="8" t="str">
        <f t="shared" si="1926"/>
        <v>China</v>
      </c>
      <c r="B3765" s="3" t="str">
        <f t="shared" ref="B3765:B3766" si="1942">CHOOSE(2, "1395000000531", "Avg. Case count per 1-Month pro-rated MDRT agents (70-99%)")</f>
        <v>Avg. Case count per 1-Month pro-rated MDRT agents (70-99%)</v>
      </c>
      <c r="C3765" s="4" t="str">
        <f>CHOOSE(2, "5461730030", "Jun 26")</f>
        <v>Jun 26</v>
      </c>
      <c r="D3765" s="14">
        <v>0</v>
      </c>
    </row>
    <row r="3766" spans="1:4" x14ac:dyDescent="0.35">
      <c r="A3766" s="8" t="str">
        <f t="shared" si="1926"/>
        <v>China</v>
      </c>
      <c r="B3766" s="6" t="str">
        <f t="shared" si="1942"/>
        <v>Avg. Case count per 1-Month pro-rated MDRT agents (70-99%)</v>
      </c>
      <c r="C3766" s="4" t="str">
        <f>CHOOSE(2, "5462030031", "Jul 26")</f>
        <v>Jul 26</v>
      </c>
      <c r="D3766" s="14">
        <v>0</v>
      </c>
    </row>
    <row r="3767" spans="1:4" x14ac:dyDescent="0.35">
      <c r="A3767" s="8" t="str">
        <f t="shared" si="1926"/>
        <v>China</v>
      </c>
      <c r="B3767" s="3" t="str">
        <f t="shared" ref="B3767:B3768" si="1943">CHOOSE(2, "1395000000530", "Avg. Case count per 1-Month pro-rated MDRT agents (50-69%)")</f>
        <v>Avg. Case count per 1-Month pro-rated MDRT agents (50-69%)</v>
      </c>
      <c r="C3767" s="4" t="str">
        <f>CHOOSE(2, "5461730030", "Jun 26")</f>
        <v>Jun 26</v>
      </c>
      <c r="D3767" s="14">
        <v>0</v>
      </c>
    </row>
    <row r="3768" spans="1:4" x14ac:dyDescent="0.35">
      <c r="A3768" s="9" t="str">
        <f t="shared" si="1926"/>
        <v>China</v>
      </c>
      <c r="B3768" s="6" t="str">
        <f t="shared" si="1943"/>
        <v>Avg. Case count per 1-Month pro-rated MDRT agents (50-69%)</v>
      </c>
      <c r="C3768" s="4" t="str">
        <f>CHOOSE(2, "5462030031", "Jul 26")</f>
        <v>Jul 26</v>
      </c>
      <c r="D3768" s="14">
        <v>0</v>
      </c>
    </row>
    <row r="3769" spans="1:4" x14ac:dyDescent="0.35">
      <c r="A3769" s="3" t="str">
        <f t="shared" ref="A3769:A3832" si="1944">CHOOSE(2, "1260000000004", "Agency")</f>
        <v>Agency</v>
      </c>
      <c r="B3769" s="3" t="str">
        <f t="shared" ref="B3769:B3770" si="1945">CHOOSE(2, "1395000000741", "Submitted APE")</f>
        <v>Submitted APE</v>
      </c>
      <c r="C3769" s="4" t="str">
        <f>CHOOSE(2, "5461730030", "Jun 26")</f>
        <v>Jun 26</v>
      </c>
      <c r="D3769" s="14">
        <v>185.02589021200001</v>
      </c>
    </row>
    <row r="3770" spans="1:4" x14ac:dyDescent="0.35">
      <c r="A3770" s="5" t="str">
        <f t="shared" si="1944"/>
        <v>Agency</v>
      </c>
      <c r="B3770" s="6" t="str">
        <f t="shared" si="1945"/>
        <v>Submitted APE</v>
      </c>
      <c r="C3770" s="4" t="str">
        <f>CHOOSE(2, "5462030031", "Jul 26")</f>
        <v>Jul 26</v>
      </c>
      <c r="D3770" s="14">
        <v>125.347321056</v>
      </c>
    </row>
    <row r="3771" spans="1:4" x14ac:dyDescent="0.35">
      <c r="A3771" s="5" t="str">
        <f t="shared" si="1944"/>
        <v>Agency</v>
      </c>
      <c r="B3771" s="3" t="str">
        <f t="shared" ref="B3771:B3772" si="1946">CHOOSE(2, "1395000000740", "# of 1-Month Active Agents")</f>
        <v># of 1-Month Active Agents</v>
      </c>
      <c r="C3771" s="4" t="str">
        <f>CHOOSE(2, "5461730030", "Jun 26")</f>
        <v>Jun 26</v>
      </c>
      <c r="D3771" s="14">
        <v>2059</v>
      </c>
    </row>
    <row r="3772" spans="1:4" x14ac:dyDescent="0.35">
      <c r="A3772" s="5" t="str">
        <f t="shared" si="1944"/>
        <v>Agency</v>
      </c>
      <c r="B3772" s="6" t="str">
        <f t="shared" si="1946"/>
        <v># of 1-Month Active Agents</v>
      </c>
      <c r="C3772" s="4" t="str">
        <f>CHOOSE(2, "5462030031", "Jul 26")</f>
        <v>Jul 26</v>
      </c>
      <c r="D3772" s="14">
        <v>1828</v>
      </c>
    </row>
    <row r="3773" spans="1:4" x14ac:dyDescent="0.35">
      <c r="A3773" s="5" t="str">
        <f t="shared" si="1944"/>
        <v>Agency</v>
      </c>
      <c r="B3773" s="3" t="str">
        <f t="shared" ref="B3773:B3774" si="1947">CHOOSE(2, "1395000000739", "# of 1-Month Active Agents in 0-1M")</f>
        <v># of 1-Month Active Agents in 0-1M</v>
      </c>
      <c r="C3773" s="4" t="str">
        <f>CHOOSE(2, "5461730030", "Jun 26")</f>
        <v>Jun 26</v>
      </c>
      <c r="D3773" s="14">
        <v>232</v>
      </c>
    </row>
    <row r="3774" spans="1:4" x14ac:dyDescent="0.35">
      <c r="A3774" s="5" t="str">
        <f t="shared" si="1944"/>
        <v>Agency</v>
      </c>
      <c r="B3774" s="6" t="str">
        <f t="shared" si="1947"/>
        <v># of 1-Month Active Agents in 0-1M</v>
      </c>
      <c r="C3774" s="4" t="str">
        <f>CHOOSE(2, "5462030031", "Jul 26")</f>
        <v>Jul 26</v>
      </c>
      <c r="D3774" s="14">
        <v>151</v>
      </c>
    </row>
    <row r="3775" spans="1:4" x14ac:dyDescent="0.35">
      <c r="A3775" s="5" t="str">
        <f t="shared" si="1944"/>
        <v>Agency</v>
      </c>
      <c r="B3775" s="3" t="str">
        <f t="shared" ref="B3775:B3776" si="1948">CHOOSE(2, "1395000000738", "# of 1-Month Active Agents in 2-3M")</f>
        <v># of 1-Month Active Agents in 2-3M</v>
      </c>
      <c r="C3775" s="4" t="str">
        <f>CHOOSE(2, "5461730030", "Jun 26")</f>
        <v>Jun 26</v>
      </c>
      <c r="D3775" s="14">
        <v>221</v>
      </c>
    </row>
    <row r="3776" spans="1:4" x14ac:dyDescent="0.35">
      <c r="A3776" s="5" t="str">
        <f t="shared" si="1944"/>
        <v>Agency</v>
      </c>
      <c r="B3776" s="6" t="str">
        <f t="shared" si="1948"/>
        <v># of 1-Month Active Agents in 2-3M</v>
      </c>
      <c r="C3776" s="4" t="str">
        <f>CHOOSE(2, "5462030031", "Jul 26")</f>
        <v>Jul 26</v>
      </c>
      <c r="D3776" s="14">
        <v>210</v>
      </c>
    </row>
    <row r="3777" spans="1:4" x14ac:dyDescent="0.35">
      <c r="A3777" s="5" t="str">
        <f t="shared" si="1944"/>
        <v>Agency</v>
      </c>
      <c r="B3777" s="3" t="str">
        <f t="shared" ref="B3777:B3778" si="1949">CHOOSE(2, "1395000000737", "# of 1-Month Active Agents in 4-12M")</f>
        <v># of 1-Month Active Agents in 4-12M</v>
      </c>
      <c r="C3777" s="4" t="str">
        <f>CHOOSE(2, "5461730030", "Jun 26")</f>
        <v>Jun 26</v>
      </c>
      <c r="D3777" s="14">
        <v>164</v>
      </c>
    </row>
    <row r="3778" spans="1:4" x14ac:dyDescent="0.35">
      <c r="A3778" s="5" t="str">
        <f t="shared" si="1944"/>
        <v>Agency</v>
      </c>
      <c r="B3778" s="6" t="str">
        <f t="shared" si="1949"/>
        <v># of 1-Month Active Agents in 4-12M</v>
      </c>
      <c r="C3778" s="4" t="str">
        <f>CHOOSE(2, "5462030031", "Jul 26")</f>
        <v>Jul 26</v>
      </c>
      <c r="D3778" s="14">
        <v>139</v>
      </c>
    </row>
    <row r="3779" spans="1:4" x14ac:dyDescent="0.35">
      <c r="A3779" s="5" t="str">
        <f t="shared" si="1944"/>
        <v>Agency</v>
      </c>
      <c r="B3779" s="3" t="str">
        <f t="shared" ref="B3779:B3780" si="1950">CHOOSE(2, "1395000000736", "# of 1-Month Active Agents 13+M")</f>
        <v># of 1-Month Active Agents 13+M</v>
      </c>
      <c r="C3779" s="4" t="str">
        <f>CHOOSE(2, "5461730030", "Jun 26")</f>
        <v>Jun 26</v>
      </c>
      <c r="D3779" s="14">
        <v>1442</v>
      </c>
    </row>
    <row r="3780" spans="1:4" x14ac:dyDescent="0.35">
      <c r="A3780" s="5" t="str">
        <f t="shared" si="1944"/>
        <v>Agency</v>
      </c>
      <c r="B3780" s="6" t="str">
        <f t="shared" si="1950"/>
        <v># of 1-Month Active Agents 13+M</v>
      </c>
      <c r="C3780" s="4" t="str">
        <f>CHOOSE(2, "5462030031", "Jul 26")</f>
        <v>Jul 26</v>
      </c>
      <c r="D3780" s="14">
        <v>1328</v>
      </c>
    </row>
    <row r="3781" spans="1:4" x14ac:dyDescent="0.35">
      <c r="A3781" s="5" t="str">
        <f t="shared" si="1944"/>
        <v>Agency</v>
      </c>
      <c r="B3781" s="3" t="str">
        <f t="shared" ref="B3781:B3782" si="1951">CHOOSE(2, "1395000000735", "# of 1-Month Active Agents in FA or equivalent")</f>
        <v># of 1-Month Active Agents in FA or equivalent</v>
      </c>
      <c r="C3781" s="4" t="str">
        <f>CHOOSE(2, "5461730030", "Jun 26")</f>
        <v>Jun 26</v>
      </c>
      <c r="D3781" s="14">
        <v>1461</v>
      </c>
    </row>
    <row r="3782" spans="1:4" x14ac:dyDescent="0.35">
      <c r="A3782" s="5" t="str">
        <f t="shared" si="1944"/>
        <v>Agency</v>
      </c>
      <c r="B3782" s="6" t="str">
        <f t="shared" si="1951"/>
        <v># of 1-Month Active Agents in FA or equivalent</v>
      </c>
      <c r="C3782" s="4" t="str">
        <f>CHOOSE(2, "5462030031", "Jul 26")</f>
        <v>Jul 26</v>
      </c>
      <c r="D3782" s="14">
        <v>1257</v>
      </c>
    </row>
    <row r="3783" spans="1:4" x14ac:dyDescent="0.35">
      <c r="A3783" s="5" t="str">
        <f t="shared" si="1944"/>
        <v>Agency</v>
      </c>
      <c r="B3783" s="3" t="str">
        <f t="shared" ref="B3783:B3784" si="1952">CHOOSE(2, "1395000000734", "# of 1-Month Active Agents in UM")</f>
        <v># of 1-Month Active Agents in UM</v>
      </c>
      <c r="C3783" s="4" t="str">
        <f>CHOOSE(2, "5461730030", "Jun 26")</f>
        <v>Jun 26</v>
      </c>
      <c r="D3783" s="14">
        <v>265</v>
      </c>
    </row>
    <row r="3784" spans="1:4" x14ac:dyDescent="0.35">
      <c r="A3784" s="5" t="str">
        <f t="shared" si="1944"/>
        <v>Agency</v>
      </c>
      <c r="B3784" s="6" t="str">
        <f t="shared" si="1952"/>
        <v># of 1-Month Active Agents in UM</v>
      </c>
      <c r="C3784" s="4" t="str">
        <f>CHOOSE(2, "5462030031", "Jul 26")</f>
        <v>Jul 26</v>
      </c>
      <c r="D3784" s="14">
        <v>260</v>
      </c>
    </row>
    <row r="3785" spans="1:4" x14ac:dyDescent="0.35">
      <c r="A3785" s="5" t="str">
        <f t="shared" si="1944"/>
        <v>Agency</v>
      </c>
      <c r="B3785" s="3" t="str">
        <f t="shared" ref="B3785:B3786" si="1953">CHOOSE(2, "1395000000733", "# of 1-Month Active Agents in Leaders above UM")</f>
        <v># of 1-Month Active Agents in Leaders above UM</v>
      </c>
      <c r="C3785" s="4" t="str">
        <f>CHOOSE(2, "5461730030", "Jun 26")</f>
        <v>Jun 26</v>
      </c>
      <c r="D3785" s="14">
        <v>333</v>
      </c>
    </row>
    <row r="3786" spans="1:4" x14ac:dyDescent="0.35">
      <c r="A3786" s="5" t="str">
        <f t="shared" si="1944"/>
        <v>Agency</v>
      </c>
      <c r="B3786" s="6" t="str">
        <f t="shared" si="1953"/>
        <v># of 1-Month Active Agents in Leaders above UM</v>
      </c>
      <c r="C3786" s="4" t="str">
        <f>CHOOSE(2, "5462030031", "Jul 26")</f>
        <v>Jul 26</v>
      </c>
      <c r="D3786" s="14">
        <v>311</v>
      </c>
    </row>
    <row r="3787" spans="1:4" x14ac:dyDescent="0.35">
      <c r="A3787" s="5" t="str">
        <f t="shared" si="1944"/>
        <v>Agency</v>
      </c>
      <c r="B3787" s="3" t="str">
        <f t="shared" ref="B3787:B3788" si="1954">CHOOSE(2, "1395000000732", "# of 1-Month Active Top-tier Agents")</f>
        <v># of 1-Month Active Top-tier Agents</v>
      </c>
      <c r="C3787" s="4" t="str">
        <f>CHOOSE(2, "5461730030", "Jun 26")</f>
        <v>Jun 26</v>
      </c>
      <c r="D3787" s="14">
        <v>664</v>
      </c>
    </row>
    <row r="3788" spans="1:4" x14ac:dyDescent="0.35">
      <c r="A3788" s="5" t="str">
        <f t="shared" si="1944"/>
        <v>Agency</v>
      </c>
      <c r="B3788" s="6" t="str">
        <f t="shared" si="1954"/>
        <v># of 1-Month Active Top-tier Agents</v>
      </c>
      <c r="C3788" s="4" t="str">
        <f>CHOOSE(2, "5462030031", "Jul 26")</f>
        <v>Jul 26</v>
      </c>
      <c r="D3788" s="14">
        <v>555</v>
      </c>
    </row>
    <row r="3789" spans="1:4" x14ac:dyDescent="0.35">
      <c r="A3789" s="5" t="str">
        <f t="shared" si="1944"/>
        <v>Agency</v>
      </c>
      <c r="B3789" s="3" t="str">
        <f t="shared" ref="B3789:B3790" si="1955">CHOOSE(2, "1395000000731", "# of 1-Month Active Agents in pro-rated MDRT agents (&gt;100%)")</f>
        <v># of 1-Month Active Agents in pro-rated MDRT agents (&gt;100%)</v>
      </c>
      <c r="C3789" s="4" t="str">
        <f>CHOOSE(2, "5461730030", "Jun 26")</f>
        <v>Jun 26</v>
      </c>
      <c r="D3789" s="14">
        <v>388</v>
      </c>
    </row>
    <row r="3790" spans="1:4" x14ac:dyDescent="0.35">
      <c r="A3790" s="5" t="str">
        <f t="shared" si="1944"/>
        <v>Agency</v>
      </c>
      <c r="B3790" s="6" t="str">
        <f t="shared" si="1955"/>
        <v># of 1-Month Active Agents in pro-rated MDRT agents (&gt;100%)</v>
      </c>
      <c r="C3790" s="4" t="str">
        <f>CHOOSE(2, "5462030031", "Jul 26")</f>
        <v>Jul 26</v>
      </c>
      <c r="D3790" s="14">
        <v>284</v>
      </c>
    </row>
    <row r="3791" spans="1:4" x14ac:dyDescent="0.35">
      <c r="A3791" s="5" t="str">
        <f t="shared" si="1944"/>
        <v>Agency</v>
      </c>
      <c r="B3791" s="3" t="str">
        <f t="shared" ref="B3791:B3792" si="1956">CHOOSE(2, "1395000000730", "# of 1-Month Active Agents in pro-rated MDRT agents (70-99%)")</f>
        <v># of 1-Month Active Agents in pro-rated MDRT agents (70-99%)</v>
      </c>
      <c r="C3791" s="4" t="str">
        <f>CHOOSE(2, "5461730030", "Jun 26")</f>
        <v>Jun 26</v>
      </c>
      <c r="D3791" s="14">
        <v>149</v>
      </c>
    </row>
    <row r="3792" spans="1:4" x14ac:dyDescent="0.35">
      <c r="A3792" s="5" t="str">
        <f t="shared" si="1944"/>
        <v>Agency</v>
      </c>
      <c r="B3792" s="6" t="str">
        <f t="shared" si="1956"/>
        <v># of 1-Month Active Agents in pro-rated MDRT agents (70-99%)</v>
      </c>
      <c r="C3792" s="4" t="str">
        <f>CHOOSE(2, "5462030031", "Jul 26")</f>
        <v>Jul 26</v>
      </c>
      <c r="D3792" s="14">
        <v>158</v>
      </c>
    </row>
    <row r="3793" spans="1:4" x14ac:dyDescent="0.35">
      <c r="A3793" s="5" t="str">
        <f t="shared" si="1944"/>
        <v>Agency</v>
      </c>
      <c r="B3793" s="3" t="str">
        <f t="shared" ref="B3793:B3794" si="1957">CHOOSE(2, "1395000000729", "# of 1-Month Active Agents in pro-rated MDRT agents (50-69%)")</f>
        <v># of 1-Month Active Agents in pro-rated MDRT agents (50-69%)</v>
      </c>
      <c r="C3793" s="4" t="str">
        <f>CHOOSE(2, "5461730030", "Jun 26")</f>
        <v>Jun 26</v>
      </c>
      <c r="D3793" s="14">
        <v>127</v>
      </c>
    </row>
    <row r="3794" spans="1:4" x14ac:dyDescent="0.35">
      <c r="A3794" s="5" t="str">
        <f t="shared" si="1944"/>
        <v>Agency</v>
      </c>
      <c r="B3794" s="6" t="str">
        <f t="shared" si="1957"/>
        <v># of 1-Month Active Agents in pro-rated MDRT agents (50-69%)</v>
      </c>
      <c r="C3794" s="4" t="str">
        <f>CHOOSE(2, "5462030031", "Jul 26")</f>
        <v>Jul 26</v>
      </c>
      <c r="D3794" s="14">
        <v>113</v>
      </c>
    </row>
    <row r="3795" spans="1:4" x14ac:dyDescent="0.35">
      <c r="A3795" s="5" t="str">
        <f t="shared" si="1944"/>
        <v>Agency</v>
      </c>
      <c r="B3795" s="3" t="str">
        <f t="shared" ref="B3795:B3796" si="1958">CHOOSE(2, "1395000000728", "# of 1-Month Active Agents in Manulife Pro Qualifiers -Total")</f>
        <v># of 1-Month Active Agents in Manulife Pro Qualifiers -Total</v>
      </c>
      <c r="C3795" s="4" t="str">
        <f>CHOOSE(2, "5461730030", "Jun 26")</f>
        <v>Jun 26</v>
      </c>
      <c r="D3795" s="14">
        <v>1186</v>
      </c>
    </row>
    <row r="3796" spans="1:4" x14ac:dyDescent="0.35">
      <c r="A3796" s="5" t="str">
        <f t="shared" si="1944"/>
        <v>Agency</v>
      </c>
      <c r="B3796" s="6" t="str">
        <f t="shared" si="1958"/>
        <v># of 1-Month Active Agents in Manulife Pro Qualifiers -Total</v>
      </c>
      <c r="C3796" s="4" t="str">
        <f>CHOOSE(2, "5462030031", "Jul 26")</f>
        <v>Jul 26</v>
      </c>
      <c r="D3796" s="14">
        <v>1046</v>
      </c>
    </row>
    <row r="3797" spans="1:4" x14ac:dyDescent="0.35">
      <c r="A3797" s="5" t="str">
        <f t="shared" si="1944"/>
        <v>Agency</v>
      </c>
      <c r="B3797" s="3" t="str">
        <f t="shared" ref="B3797:B3798" si="1959">CHOOSE(2, "1395000000727", "# of 3-Month Active Agents")</f>
        <v># of 3-Month Active Agents</v>
      </c>
      <c r="C3797" s="4" t="str">
        <f>CHOOSE(2, "5461730030", "Jun 26")</f>
        <v>Jun 26</v>
      </c>
      <c r="D3797" s="14">
        <v>3946</v>
      </c>
    </row>
    <row r="3798" spans="1:4" x14ac:dyDescent="0.35">
      <c r="A3798" s="5" t="str">
        <f t="shared" si="1944"/>
        <v>Agency</v>
      </c>
      <c r="B3798" s="6" t="str">
        <f t="shared" si="1959"/>
        <v># of 3-Month Active Agents</v>
      </c>
      <c r="C3798" s="4" t="str">
        <f>CHOOSE(2, "5462030031", "Jul 26")</f>
        <v>Jul 26</v>
      </c>
      <c r="D3798" s="14">
        <v>3908</v>
      </c>
    </row>
    <row r="3799" spans="1:4" x14ac:dyDescent="0.35">
      <c r="A3799" s="5" t="str">
        <f t="shared" si="1944"/>
        <v>Agency</v>
      </c>
      <c r="B3799" s="3" t="str">
        <f t="shared" ref="B3799:B3800" si="1960">CHOOSE(2, "1395000000726", "# of 3-Month Active Agents in 0-1M")</f>
        <v># of 3-Month Active Agents in 0-1M</v>
      </c>
      <c r="C3799" s="4" t="str">
        <f>CHOOSE(2, "5461730030", "Jun 26")</f>
        <v>Jun 26</v>
      </c>
      <c r="D3799" s="14">
        <v>232</v>
      </c>
    </row>
    <row r="3800" spans="1:4" x14ac:dyDescent="0.35">
      <c r="A3800" s="5" t="str">
        <f t="shared" si="1944"/>
        <v>Agency</v>
      </c>
      <c r="B3800" s="6" t="str">
        <f t="shared" si="1960"/>
        <v># of 3-Month Active Agents in 0-1M</v>
      </c>
      <c r="C3800" s="4" t="str">
        <f>CHOOSE(2, "5462030031", "Jul 26")</f>
        <v>Jul 26</v>
      </c>
      <c r="D3800" s="14">
        <v>151</v>
      </c>
    </row>
    <row r="3801" spans="1:4" x14ac:dyDescent="0.35">
      <c r="A3801" s="5" t="str">
        <f t="shared" si="1944"/>
        <v>Agency</v>
      </c>
      <c r="B3801" s="3" t="str">
        <f t="shared" ref="B3801:B3802" si="1961">CHOOSE(2, "1395000000725", "# of 3-Month Active Agents in 2-3M")</f>
        <v># of 3-Month Active Agents in 2-3M</v>
      </c>
      <c r="C3801" s="4" t="str">
        <f>CHOOSE(2, "5461730030", "Jun 26")</f>
        <v>Jun 26</v>
      </c>
      <c r="D3801" s="14">
        <v>582</v>
      </c>
    </row>
    <row r="3802" spans="1:4" x14ac:dyDescent="0.35">
      <c r="A3802" s="5" t="str">
        <f t="shared" si="1944"/>
        <v>Agency</v>
      </c>
      <c r="B3802" s="6" t="str">
        <f t="shared" si="1961"/>
        <v># of 3-Month Active Agents in 2-3M</v>
      </c>
      <c r="C3802" s="4" t="str">
        <f>CHOOSE(2, "5462030031", "Jul 26")</f>
        <v>Jul 26</v>
      </c>
      <c r="D3802" s="14">
        <v>592</v>
      </c>
    </row>
    <row r="3803" spans="1:4" x14ac:dyDescent="0.35">
      <c r="A3803" s="5" t="str">
        <f t="shared" si="1944"/>
        <v>Agency</v>
      </c>
      <c r="B3803" s="3" t="str">
        <f t="shared" ref="B3803:B3804" si="1962">CHOOSE(2, "1395000000724", "# of 3-Month Active Agents in 4-12M")</f>
        <v># of 3-Month Active Agents in 4-12M</v>
      </c>
      <c r="C3803" s="4" t="str">
        <f>CHOOSE(2, "5461730030", "Jun 26")</f>
        <v>Jun 26</v>
      </c>
      <c r="D3803" s="14">
        <v>441</v>
      </c>
    </row>
    <row r="3804" spans="1:4" x14ac:dyDescent="0.35">
      <c r="A3804" s="5" t="str">
        <f t="shared" si="1944"/>
        <v>Agency</v>
      </c>
      <c r="B3804" s="6" t="str">
        <f t="shared" si="1962"/>
        <v># of 3-Month Active Agents in 4-12M</v>
      </c>
      <c r="C3804" s="4" t="str">
        <f>CHOOSE(2, "5462030031", "Jul 26")</f>
        <v>Jul 26</v>
      </c>
      <c r="D3804" s="14">
        <v>503</v>
      </c>
    </row>
    <row r="3805" spans="1:4" x14ac:dyDescent="0.35">
      <c r="A3805" s="5" t="str">
        <f t="shared" si="1944"/>
        <v>Agency</v>
      </c>
      <c r="B3805" s="3" t="str">
        <f t="shared" ref="B3805:B3806" si="1963">CHOOSE(2, "1395000000723", "# of 3-Month Active Agents 13+M")</f>
        <v># of 3-Month Active Agents 13+M</v>
      </c>
      <c r="C3805" s="4" t="str">
        <f>CHOOSE(2, "5461730030", "Jun 26")</f>
        <v>Jun 26</v>
      </c>
      <c r="D3805" s="14">
        <v>2691</v>
      </c>
    </row>
    <row r="3806" spans="1:4" x14ac:dyDescent="0.35">
      <c r="A3806" s="5" t="str">
        <f t="shared" si="1944"/>
        <v>Agency</v>
      </c>
      <c r="B3806" s="6" t="str">
        <f t="shared" si="1963"/>
        <v># of 3-Month Active Agents 13+M</v>
      </c>
      <c r="C3806" s="4" t="str">
        <f>CHOOSE(2, "5462030031", "Jul 26")</f>
        <v>Jul 26</v>
      </c>
      <c r="D3806" s="14">
        <v>2662</v>
      </c>
    </row>
    <row r="3807" spans="1:4" x14ac:dyDescent="0.35">
      <c r="A3807" s="5" t="str">
        <f t="shared" si="1944"/>
        <v>Agency</v>
      </c>
      <c r="B3807" s="3" t="str">
        <f t="shared" ref="B3807:B3808" si="1964">CHOOSE(2, "1395000000722", "# of 3-Month Active Agents in UM")</f>
        <v># of 3-Month Active Agents in UM</v>
      </c>
      <c r="C3807" s="4" t="str">
        <f>CHOOSE(2, "5461730030", "Jun 26")</f>
        <v>Jun 26</v>
      </c>
      <c r="D3807" s="2" t="s">
        <v>5</v>
      </c>
    </row>
    <row r="3808" spans="1:4" x14ac:dyDescent="0.35">
      <c r="A3808" s="5" t="str">
        <f t="shared" si="1944"/>
        <v>Agency</v>
      </c>
      <c r="B3808" s="6" t="str">
        <f t="shared" si="1964"/>
        <v># of 3-Month Active Agents in UM</v>
      </c>
      <c r="C3808" s="4" t="str">
        <f>CHOOSE(2, "5462030031", "Jul 26")</f>
        <v>Jul 26</v>
      </c>
      <c r="D3808" s="2" t="s">
        <v>5</v>
      </c>
    </row>
    <row r="3809" spans="1:4" x14ac:dyDescent="0.35">
      <c r="A3809" s="5" t="str">
        <f t="shared" si="1944"/>
        <v>Agency</v>
      </c>
      <c r="B3809" s="3" t="str">
        <f t="shared" ref="B3809:B3810" si="1965">CHOOSE(2, "1395000000721", "# of 3-Month Active Agents in Leaders above UM")</f>
        <v># of 3-Month Active Agents in Leaders above UM</v>
      </c>
      <c r="C3809" s="4" t="str">
        <f>CHOOSE(2, "5461730030", "Jun 26")</f>
        <v>Jun 26</v>
      </c>
      <c r="D3809" s="2" t="s">
        <v>5</v>
      </c>
    </row>
    <row r="3810" spans="1:4" x14ac:dyDescent="0.35">
      <c r="A3810" s="5" t="str">
        <f t="shared" si="1944"/>
        <v>Agency</v>
      </c>
      <c r="B3810" s="6" t="str">
        <f t="shared" si="1965"/>
        <v># of 3-Month Active Agents in Leaders above UM</v>
      </c>
      <c r="C3810" s="4" t="str">
        <f>CHOOSE(2, "5462030031", "Jul 26")</f>
        <v>Jul 26</v>
      </c>
      <c r="D3810" s="2" t="s">
        <v>5</v>
      </c>
    </row>
    <row r="3811" spans="1:4" x14ac:dyDescent="0.35">
      <c r="A3811" s="5" t="str">
        <f t="shared" si="1944"/>
        <v>Agency</v>
      </c>
      <c r="B3811" s="3" t="str">
        <f t="shared" ref="B3811:B3812" si="1966">CHOOSE(2, "1395000000720", "# of 3-Month Active Agents in FA or equivalent")</f>
        <v># of 3-Month Active Agents in FA or equivalent</v>
      </c>
      <c r="C3811" s="4" t="str">
        <f>CHOOSE(2, "5461730030", "Jun 26")</f>
        <v>Jun 26</v>
      </c>
      <c r="D3811" s="2" t="s">
        <v>5</v>
      </c>
    </row>
    <row r="3812" spans="1:4" x14ac:dyDescent="0.35">
      <c r="A3812" s="5" t="str">
        <f t="shared" si="1944"/>
        <v>Agency</v>
      </c>
      <c r="B3812" s="6" t="str">
        <f t="shared" si="1966"/>
        <v># of 3-Month Active Agents in FA or equivalent</v>
      </c>
      <c r="C3812" s="4" t="str">
        <f>CHOOSE(2, "5462030031", "Jul 26")</f>
        <v>Jul 26</v>
      </c>
      <c r="D3812" s="2" t="s">
        <v>5</v>
      </c>
    </row>
    <row r="3813" spans="1:4" x14ac:dyDescent="0.35">
      <c r="A3813" s="5" t="str">
        <f t="shared" si="1944"/>
        <v>Agency</v>
      </c>
      <c r="B3813" s="3" t="str">
        <f t="shared" ref="B3813:B3814" si="1967">CHOOSE(2, "1395000000719", "Net Case Count - Agency")</f>
        <v>Net Case Count - Agency</v>
      </c>
      <c r="C3813" s="4" t="str">
        <f>CHOOSE(2, "5461730030", "Jun 26")</f>
        <v>Jun 26</v>
      </c>
      <c r="D3813" s="14">
        <v>3213</v>
      </c>
    </row>
    <row r="3814" spans="1:4" x14ac:dyDescent="0.35">
      <c r="A3814" s="5" t="str">
        <f t="shared" si="1944"/>
        <v>Agency</v>
      </c>
      <c r="B3814" s="6" t="str">
        <f t="shared" si="1967"/>
        <v>Net Case Count - Agency</v>
      </c>
      <c r="C3814" s="4" t="str">
        <f>CHOOSE(2, "5462030031", "Jul 26")</f>
        <v>Jul 26</v>
      </c>
      <c r="D3814" s="14">
        <v>2702</v>
      </c>
    </row>
    <row r="3815" spans="1:4" x14ac:dyDescent="0.35">
      <c r="A3815" s="5" t="str">
        <f t="shared" si="1944"/>
        <v>Agency</v>
      </c>
      <c r="B3815" s="3" t="str">
        <f t="shared" ref="B3815:B3816" si="1968">CHOOSE(2, "1395000000718", "Net Case Count - Agency in 0-1M")</f>
        <v>Net Case Count - Agency in 0-1M</v>
      </c>
      <c r="C3815" s="4" t="str">
        <f>CHOOSE(2, "5461730030", "Jun 26")</f>
        <v>Jun 26</v>
      </c>
      <c r="D3815" s="14">
        <v>251</v>
      </c>
    </row>
    <row r="3816" spans="1:4" x14ac:dyDescent="0.35">
      <c r="A3816" s="5" t="str">
        <f t="shared" si="1944"/>
        <v>Agency</v>
      </c>
      <c r="B3816" s="6" t="str">
        <f t="shared" si="1968"/>
        <v>Net Case Count - Agency in 0-1M</v>
      </c>
      <c r="C3816" s="4" t="str">
        <f>CHOOSE(2, "5462030031", "Jul 26")</f>
        <v>Jul 26</v>
      </c>
      <c r="D3816" s="14">
        <v>171</v>
      </c>
    </row>
    <row r="3817" spans="1:4" x14ac:dyDescent="0.35">
      <c r="A3817" s="5" t="str">
        <f t="shared" si="1944"/>
        <v>Agency</v>
      </c>
      <c r="B3817" s="3" t="str">
        <f t="shared" ref="B3817:B3818" si="1969">CHOOSE(2, "1395000000717", "Net Case Count - Agency in 2-3M")</f>
        <v>Net Case Count - Agency in 2-3M</v>
      </c>
      <c r="C3817" s="4" t="str">
        <f>CHOOSE(2, "5461730030", "Jun 26")</f>
        <v>Jun 26</v>
      </c>
      <c r="D3817" s="14">
        <v>311</v>
      </c>
    </row>
    <row r="3818" spans="1:4" x14ac:dyDescent="0.35">
      <c r="A3818" s="5" t="str">
        <f t="shared" si="1944"/>
        <v>Agency</v>
      </c>
      <c r="B3818" s="6" t="str">
        <f t="shared" si="1969"/>
        <v>Net Case Count - Agency in 2-3M</v>
      </c>
      <c r="C3818" s="4" t="str">
        <f>CHOOSE(2, "5462030031", "Jul 26")</f>
        <v>Jul 26</v>
      </c>
      <c r="D3818" s="14">
        <v>275</v>
      </c>
    </row>
    <row r="3819" spans="1:4" x14ac:dyDescent="0.35">
      <c r="A3819" s="5" t="str">
        <f t="shared" si="1944"/>
        <v>Agency</v>
      </c>
      <c r="B3819" s="3" t="str">
        <f t="shared" ref="B3819:B3820" si="1970">CHOOSE(2, "1395000000716", "Net Case Count - Agency in 4-12M")</f>
        <v>Net Case Count - Agency in 4-12M</v>
      </c>
      <c r="C3819" s="4" t="str">
        <f>CHOOSE(2, "5461730030", "Jun 26")</f>
        <v>Jun 26</v>
      </c>
      <c r="D3819" s="14">
        <v>235</v>
      </c>
    </row>
    <row r="3820" spans="1:4" x14ac:dyDescent="0.35">
      <c r="A3820" s="5" t="str">
        <f t="shared" si="1944"/>
        <v>Agency</v>
      </c>
      <c r="B3820" s="6" t="str">
        <f t="shared" si="1970"/>
        <v>Net Case Count - Agency in 4-12M</v>
      </c>
      <c r="C3820" s="4" t="str">
        <f>CHOOSE(2, "5462030031", "Jul 26")</f>
        <v>Jul 26</v>
      </c>
      <c r="D3820" s="14">
        <v>176</v>
      </c>
    </row>
    <row r="3821" spans="1:4" x14ac:dyDescent="0.35">
      <c r="A3821" s="5" t="str">
        <f t="shared" si="1944"/>
        <v>Agency</v>
      </c>
      <c r="B3821" s="3" t="str">
        <f t="shared" ref="B3821:B3822" si="1971">CHOOSE(2, "1395000000715", "Net Case Count - Agency 13+M")</f>
        <v>Net Case Count - Agency 13+M</v>
      </c>
      <c r="C3821" s="4" t="str">
        <f>CHOOSE(2, "5461730030", "Jun 26")</f>
        <v>Jun 26</v>
      </c>
      <c r="D3821" s="14">
        <v>2416</v>
      </c>
    </row>
    <row r="3822" spans="1:4" x14ac:dyDescent="0.35">
      <c r="A3822" s="5" t="str">
        <f t="shared" si="1944"/>
        <v>Agency</v>
      </c>
      <c r="B3822" s="6" t="str">
        <f t="shared" si="1971"/>
        <v>Net Case Count - Agency 13+M</v>
      </c>
      <c r="C3822" s="4" t="str">
        <f>CHOOSE(2, "5462030031", "Jul 26")</f>
        <v>Jul 26</v>
      </c>
      <c r="D3822" s="14">
        <v>2080</v>
      </c>
    </row>
    <row r="3823" spans="1:4" x14ac:dyDescent="0.35">
      <c r="A3823" s="5" t="str">
        <f t="shared" si="1944"/>
        <v>Agency</v>
      </c>
      <c r="B3823" s="3" t="str">
        <f t="shared" ref="B3823:B3824" si="1972">CHOOSE(2, "1395000000714", "Net Case Count - Agency in FA or equivalent")</f>
        <v>Net Case Count - Agency in FA or equivalent</v>
      </c>
      <c r="C3823" s="4" t="str">
        <f>CHOOSE(2, "5461730030", "Jun 26")</f>
        <v>Jun 26</v>
      </c>
      <c r="D3823" s="14">
        <v>2067</v>
      </c>
    </row>
    <row r="3824" spans="1:4" x14ac:dyDescent="0.35">
      <c r="A3824" s="5" t="str">
        <f t="shared" si="1944"/>
        <v>Agency</v>
      </c>
      <c r="B3824" s="6" t="str">
        <f t="shared" si="1972"/>
        <v>Net Case Count - Agency in FA or equivalent</v>
      </c>
      <c r="C3824" s="4" t="str">
        <f>CHOOSE(2, "5462030031", "Jul 26")</f>
        <v>Jul 26</v>
      </c>
      <c r="D3824" s="14">
        <v>1656</v>
      </c>
    </row>
    <row r="3825" spans="1:4" x14ac:dyDescent="0.35">
      <c r="A3825" s="5" t="str">
        <f t="shared" si="1944"/>
        <v>Agency</v>
      </c>
      <c r="B3825" s="3" t="str">
        <f t="shared" ref="B3825:B3826" si="1973">CHOOSE(2, "1395000000713", "Net Case Count - Agency in UM")</f>
        <v>Net Case Count - Agency in UM</v>
      </c>
      <c r="C3825" s="4" t="str">
        <f>CHOOSE(2, "5461730030", "Jun 26")</f>
        <v>Jun 26</v>
      </c>
      <c r="D3825" s="14">
        <v>430</v>
      </c>
    </row>
    <row r="3826" spans="1:4" x14ac:dyDescent="0.35">
      <c r="A3826" s="5" t="str">
        <f t="shared" si="1944"/>
        <v>Agency</v>
      </c>
      <c r="B3826" s="6" t="str">
        <f t="shared" si="1973"/>
        <v>Net Case Count - Agency in UM</v>
      </c>
      <c r="C3826" s="4" t="str">
        <f>CHOOSE(2, "5462030031", "Jul 26")</f>
        <v>Jul 26</v>
      </c>
      <c r="D3826" s="14">
        <v>449</v>
      </c>
    </row>
    <row r="3827" spans="1:4" x14ac:dyDescent="0.35">
      <c r="A3827" s="5" t="str">
        <f t="shared" si="1944"/>
        <v>Agency</v>
      </c>
      <c r="B3827" s="3" t="str">
        <f t="shared" ref="B3827:B3828" si="1974">CHOOSE(2, "1395000000712", "Net Case Count - Agency in Leaders above UM")</f>
        <v>Net Case Count - Agency in Leaders above UM</v>
      </c>
      <c r="C3827" s="4" t="str">
        <f>CHOOSE(2, "5461730030", "Jun 26")</f>
        <v>Jun 26</v>
      </c>
      <c r="D3827" s="14">
        <v>716</v>
      </c>
    </row>
    <row r="3828" spans="1:4" x14ac:dyDescent="0.35">
      <c r="A3828" s="5" t="str">
        <f t="shared" si="1944"/>
        <v>Agency</v>
      </c>
      <c r="B3828" s="6" t="str">
        <f t="shared" si="1974"/>
        <v>Net Case Count - Agency in Leaders above UM</v>
      </c>
      <c r="C3828" s="4" t="str">
        <f>CHOOSE(2, "5462030031", "Jul 26")</f>
        <v>Jul 26</v>
      </c>
      <c r="D3828" s="14">
        <v>597</v>
      </c>
    </row>
    <row r="3829" spans="1:4" x14ac:dyDescent="0.35">
      <c r="A3829" s="5" t="str">
        <f t="shared" si="1944"/>
        <v>Agency</v>
      </c>
      <c r="B3829" s="3" t="str">
        <f t="shared" ref="B3829:B3830" si="1975">CHOOSE(2, "1395000000711", "Net Case Count - Agency in Top-tier Agents")</f>
        <v>Net Case Count - Agency in Top-tier Agents</v>
      </c>
      <c r="C3829" s="4" t="str">
        <f>CHOOSE(2, "5461730030", "Jun 26")</f>
        <v>Jun 26</v>
      </c>
      <c r="D3829" s="14">
        <v>1519</v>
      </c>
    </row>
    <row r="3830" spans="1:4" x14ac:dyDescent="0.35">
      <c r="A3830" s="5" t="str">
        <f t="shared" si="1944"/>
        <v>Agency</v>
      </c>
      <c r="B3830" s="6" t="str">
        <f t="shared" si="1975"/>
        <v>Net Case Count - Agency in Top-tier Agents</v>
      </c>
      <c r="C3830" s="4" t="str">
        <f>CHOOSE(2, "5462030031", "Jul 26")</f>
        <v>Jul 26</v>
      </c>
      <c r="D3830" s="14">
        <v>1141</v>
      </c>
    </row>
    <row r="3831" spans="1:4" x14ac:dyDescent="0.35">
      <c r="A3831" s="5" t="str">
        <f t="shared" si="1944"/>
        <v>Agency</v>
      </c>
      <c r="B3831" s="3" t="str">
        <f t="shared" ref="B3831:B3832" si="1976">CHOOSE(2, "1395000000710", "Net Case Count - Agency in pro-rated MDRT agents (&gt;100%)")</f>
        <v>Net Case Count - Agency in pro-rated MDRT agents (&gt;100%)</v>
      </c>
      <c r="C3831" s="4" t="str">
        <f>CHOOSE(2, "5461730030", "Jun 26")</f>
        <v>Jun 26</v>
      </c>
      <c r="D3831" s="14">
        <v>1052</v>
      </c>
    </row>
    <row r="3832" spans="1:4" x14ac:dyDescent="0.35">
      <c r="A3832" s="5" t="str">
        <f t="shared" si="1944"/>
        <v>Agency</v>
      </c>
      <c r="B3832" s="6" t="str">
        <f t="shared" si="1976"/>
        <v>Net Case Count - Agency in pro-rated MDRT agents (&gt;100%)</v>
      </c>
      <c r="C3832" s="4" t="str">
        <f>CHOOSE(2, "5462030031", "Jul 26")</f>
        <v>Jul 26</v>
      </c>
      <c r="D3832" s="14">
        <v>684</v>
      </c>
    </row>
    <row r="3833" spans="1:4" x14ac:dyDescent="0.35">
      <c r="A3833" s="5" t="str">
        <f t="shared" ref="A3833:A3896" si="1977">CHOOSE(2, "1260000000004", "Agency")</f>
        <v>Agency</v>
      </c>
      <c r="B3833" s="3" t="str">
        <f t="shared" ref="B3833:B3834" si="1978">CHOOSE(2, "1395000000709", "Net Case Count - Agency in pro-rated MDRT agents (70-99%)")</f>
        <v>Net Case Count - Agency in pro-rated MDRT agents (70-99%)</v>
      </c>
      <c r="C3833" s="4" t="str">
        <f>CHOOSE(2, "5461730030", "Jun 26")</f>
        <v>Jun 26</v>
      </c>
      <c r="D3833" s="14">
        <v>260</v>
      </c>
    </row>
    <row r="3834" spans="1:4" x14ac:dyDescent="0.35">
      <c r="A3834" s="5" t="str">
        <f t="shared" si="1977"/>
        <v>Agency</v>
      </c>
      <c r="B3834" s="6" t="str">
        <f t="shared" si="1978"/>
        <v>Net Case Count - Agency in pro-rated MDRT agents (70-99%)</v>
      </c>
      <c r="C3834" s="4" t="str">
        <f>CHOOSE(2, "5462030031", "Jul 26")</f>
        <v>Jul 26</v>
      </c>
      <c r="D3834" s="14">
        <v>260</v>
      </c>
    </row>
    <row r="3835" spans="1:4" x14ac:dyDescent="0.35">
      <c r="A3835" s="5" t="str">
        <f t="shared" si="1977"/>
        <v>Agency</v>
      </c>
      <c r="B3835" s="3" t="str">
        <f t="shared" ref="B3835:B3836" si="1979">CHOOSE(2, "1395000000708", "Net Case Count - Agency in pro-rated MDRT agents (50-69%)")</f>
        <v>Net Case Count - Agency in pro-rated MDRT agents (50-69%)</v>
      </c>
      <c r="C3835" s="4" t="str">
        <f>CHOOSE(2, "5461730030", "Jun 26")</f>
        <v>Jun 26</v>
      </c>
      <c r="D3835" s="14">
        <v>207</v>
      </c>
    </row>
    <row r="3836" spans="1:4" x14ac:dyDescent="0.35">
      <c r="A3836" s="5" t="str">
        <f t="shared" si="1977"/>
        <v>Agency</v>
      </c>
      <c r="B3836" s="6" t="str">
        <f t="shared" si="1979"/>
        <v>Net Case Count - Agency in pro-rated MDRT agents (50-69%)</v>
      </c>
      <c r="C3836" s="4" t="str">
        <f>CHOOSE(2, "5462030031", "Jul 26")</f>
        <v>Jul 26</v>
      </c>
      <c r="D3836" s="14">
        <v>197</v>
      </c>
    </row>
    <row r="3837" spans="1:4" x14ac:dyDescent="0.35">
      <c r="A3837" s="5" t="str">
        <f t="shared" si="1977"/>
        <v>Agency</v>
      </c>
      <c r="B3837" s="3" t="str">
        <f t="shared" ref="B3837:B3838" si="1980">CHOOSE(2, "1395000000707", "Net Case Count - Agency in Manulife Pro Qualifiers - Total")</f>
        <v>Net Case Count - Agency in Manulife Pro Qualifiers - Total</v>
      </c>
      <c r="C3837" s="4" t="str">
        <f>CHOOSE(2, "5461730030", "Jun 26")</f>
        <v>Jun 26</v>
      </c>
      <c r="D3837" s="14">
        <v>2194</v>
      </c>
    </row>
    <row r="3838" spans="1:4" x14ac:dyDescent="0.35">
      <c r="A3838" s="5" t="str">
        <f t="shared" si="1977"/>
        <v>Agency</v>
      </c>
      <c r="B3838" s="6" t="str">
        <f t="shared" si="1980"/>
        <v>Net Case Count - Agency in Manulife Pro Qualifiers - Total</v>
      </c>
      <c r="C3838" s="4" t="str">
        <f>CHOOSE(2, "5462030031", "Jul 26")</f>
        <v>Jul 26</v>
      </c>
      <c r="D3838" s="14">
        <v>1834</v>
      </c>
    </row>
    <row r="3839" spans="1:4" x14ac:dyDescent="0.35">
      <c r="A3839" s="5" t="str">
        <f t="shared" si="1977"/>
        <v>Agency</v>
      </c>
      <c r="B3839" s="3" t="str">
        <f t="shared" ref="B3839:B3840" si="1981">CHOOSE(2, "1395000000706", "No. of Sales Proposal Generated")</f>
        <v>No. of Sales Proposal Generated</v>
      </c>
      <c r="C3839" s="4" t="str">
        <f>CHOOSE(2, "5461730030", "Jun 26")</f>
        <v>Jun 26</v>
      </c>
      <c r="D3839" s="14">
        <v>20007</v>
      </c>
    </row>
    <row r="3840" spans="1:4" x14ac:dyDescent="0.35">
      <c r="A3840" s="5" t="str">
        <f t="shared" si="1977"/>
        <v>Agency</v>
      </c>
      <c r="B3840" s="6" t="str">
        <f t="shared" si="1981"/>
        <v>No. of Sales Proposal Generated</v>
      </c>
      <c r="C3840" s="4" t="str">
        <f>CHOOSE(2, "5462030031", "Jul 26")</f>
        <v>Jul 26</v>
      </c>
      <c r="D3840" s="14">
        <v>27630</v>
      </c>
    </row>
    <row r="3841" spans="1:4" x14ac:dyDescent="0.35">
      <c r="A3841" s="5" t="str">
        <f t="shared" si="1977"/>
        <v>Agency</v>
      </c>
      <c r="B3841" s="3" t="str">
        <f t="shared" ref="B3841:B3842" si="1982">CHOOSE(2, "1395000000705", "$ APE from Agents in X tenure")</f>
        <v>$ APE from Agents in X tenure</v>
      </c>
      <c r="C3841" s="4" t="str">
        <f>CHOOSE(2, "5461730030", "Jun 26")</f>
        <v>Jun 26</v>
      </c>
      <c r="D3841" s="14">
        <v>4340785.0326220002</v>
      </c>
    </row>
    <row r="3842" spans="1:4" x14ac:dyDescent="0.35">
      <c r="A3842" s="5" t="str">
        <f t="shared" si="1977"/>
        <v>Agency</v>
      </c>
      <c r="B3842" s="6" t="str">
        <f t="shared" si="1982"/>
        <v>$ APE from Agents in X tenure</v>
      </c>
      <c r="C3842" s="4" t="str">
        <f>CHOOSE(2, "5462030031", "Jul 26")</f>
        <v>Jul 26</v>
      </c>
      <c r="D3842" s="14">
        <v>3200713.2589820004</v>
      </c>
    </row>
    <row r="3843" spans="1:4" x14ac:dyDescent="0.35">
      <c r="A3843" s="5" t="str">
        <f t="shared" si="1977"/>
        <v>Agency</v>
      </c>
      <c r="B3843" s="3" t="str">
        <f t="shared" ref="B3843:B3844" si="1983">CHOOSE(2, "1395000000704", "$ APE from Agents in X tenure in 0-1M")</f>
        <v>$ APE from Agents in X tenure in 0-1M</v>
      </c>
      <c r="C3843" s="4" t="str">
        <f>CHOOSE(2, "5461730030", "Jun 26")</f>
        <v>Jun 26</v>
      </c>
      <c r="D3843" s="14">
        <v>434078.50326220004</v>
      </c>
    </row>
    <row r="3844" spans="1:4" x14ac:dyDescent="0.35">
      <c r="A3844" s="5" t="str">
        <f t="shared" si="1977"/>
        <v>Agency</v>
      </c>
      <c r="B3844" s="6" t="str">
        <f t="shared" si="1983"/>
        <v>$ APE from Agents in X tenure in 0-1M</v>
      </c>
      <c r="C3844" s="4" t="str">
        <f>CHOOSE(2, "5462030031", "Jul 26")</f>
        <v>Jul 26</v>
      </c>
      <c r="D3844" s="14">
        <v>320071.32589820004</v>
      </c>
    </row>
    <row r="3845" spans="1:4" x14ac:dyDescent="0.35">
      <c r="A3845" s="5" t="str">
        <f t="shared" si="1977"/>
        <v>Agency</v>
      </c>
      <c r="B3845" s="3" t="str">
        <f t="shared" ref="B3845:B3846" si="1984">CHOOSE(2, "1395000000703", "$ APE from Agents in X tenure in 2-3M")</f>
        <v>$ APE from Agents in X tenure in 2-3M</v>
      </c>
      <c r="C3845" s="4" t="str">
        <f>CHOOSE(2, "5461730030", "Jun 26")</f>
        <v>Jun 26</v>
      </c>
      <c r="D3845" s="14">
        <v>868157.00652440009</v>
      </c>
    </row>
    <row r="3846" spans="1:4" x14ac:dyDescent="0.35">
      <c r="A3846" s="5" t="str">
        <f t="shared" si="1977"/>
        <v>Agency</v>
      </c>
      <c r="B3846" s="6" t="str">
        <f t="shared" si="1984"/>
        <v>$ APE from Agents in X tenure in 2-3M</v>
      </c>
      <c r="C3846" s="4" t="str">
        <f>CHOOSE(2, "5462030031", "Jul 26")</f>
        <v>Jul 26</v>
      </c>
      <c r="D3846" s="14">
        <v>640142.65179640008</v>
      </c>
    </row>
    <row r="3847" spans="1:4" x14ac:dyDescent="0.35">
      <c r="A3847" s="5" t="str">
        <f t="shared" si="1977"/>
        <v>Agency</v>
      </c>
      <c r="B3847" s="3" t="str">
        <f t="shared" ref="B3847:B3848" si="1985">CHOOSE(2, "1395000000702", "$ APE from Agents in X tenure in 4-12M")</f>
        <v>$ APE from Agents in X tenure in 4-12M</v>
      </c>
      <c r="C3847" s="4" t="str">
        <f>CHOOSE(2, "5461730030", "Jun 26")</f>
        <v>Jun 26</v>
      </c>
      <c r="D3847" s="14">
        <v>1302235.5097866</v>
      </c>
    </row>
    <row r="3848" spans="1:4" x14ac:dyDescent="0.35">
      <c r="A3848" s="5" t="str">
        <f t="shared" si="1977"/>
        <v>Agency</v>
      </c>
      <c r="B3848" s="6" t="str">
        <f t="shared" si="1985"/>
        <v>$ APE from Agents in X tenure in 4-12M</v>
      </c>
      <c r="C3848" s="4" t="str">
        <f>CHOOSE(2, "5462030031", "Jul 26")</f>
        <v>Jul 26</v>
      </c>
      <c r="D3848" s="14">
        <v>960213.97769460012</v>
      </c>
    </row>
    <row r="3849" spans="1:4" x14ac:dyDescent="0.35">
      <c r="A3849" s="5" t="str">
        <f t="shared" si="1977"/>
        <v>Agency</v>
      </c>
      <c r="B3849" s="3" t="str">
        <f t="shared" ref="B3849:B3850" si="1986">CHOOSE(2, "1395000000701", "$ APE from Agents in X tenure 13+M")</f>
        <v>$ APE from Agents in X tenure 13+M</v>
      </c>
      <c r="C3849" s="4" t="str">
        <f>CHOOSE(2, "5461730030", "Jun 26")</f>
        <v>Jun 26</v>
      </c>
      <c r="D3849" s="14">
        <v>1736314.0130488002</v>
      </c>
    </row>
    <row r="3850" spans="1:4" x14ac:dyDescent="0.35">
      <c r="A3850" s="5" t="str">
        <f t="shared" si="1977"/>
        <v>Agency</v>
      </c>
      <c r="B3850" s="6" t="str">
        <f t="shared" si="1986"/>
        <v>$ APE from Agents in X tenure 13+M</v>
      </c>
      <c r="C3850" s="4" t="str">
        <f>CHOOSE(2, "5462030031", "Jul 26")</f>
        <v>Jul 26</v>
      </c>
      <c r="D3850" s="14">
        <v>1280285.3035928002</v>
      </c>
    </row>
    <row r="3851" spans="1:4" x14ac:dyDescent="0.35">
      <c r="A3851" s="5" t="str">
        <f t="shared" si="1977"/>
        <v>Agency</v>
      </c>
      <c r="B3851" s="3" t="str">
        <f t="shared" ref="B3851:B3852" si="1987">CHOOSE(2, "1395000000700", "Total agent headcount (end of period)")</f>
        <v>Total agent headcount (end of period)</v>
      </c>
      <c r="C3851" s="4" t="str">
        <f>CHOOSE(2, "5461730030", "Jun 26")</f>
        <v>Jun 26</v>
      </c>
      <c r="D3851" s="14">
        <v>52241</v>
      </c>
    </row>
    <row r="3852" spans="1:4" x14ac:dyDescent="0.35">
      <c r="A3852" s="5" t="str">
        <f t="shared" si="1977"/>
        <v>Agency</v>
      </c>
      <c r="B3852" s="6" t="str">
        <f t="shared" si="1987"/>
        <v>Total agent headcount (end of period)</v>
      </c>
      <c r="C3852" s="4" t="str">
        <f>CHOOSE(2, "5462030031", "Jul 26")</f>
        <v>Jul 26</v>
      </c>
      <c r="D3852" s="14">
        <v>52665</v>
      </c>
    </row>
    <row r="3853" spans="1:4" x14ac:dyDescent="0.35">
      <c r="A3853" s="5" t="str">
        <f t="shared" si="1977"/>
        <v>Agency</v>
      </c>
      <c r="B3853" s="3" t="str">
        <f t="shared" ref="B3853:B3854" si="1988">CHOOSE(2, "1395000000699", "Total agent headcount (end of period) in 0-1M")</f>
        <v>Total agent headcount (end of period) in 0-1M</v>
      </c>
      <c r="C3853" s="4" t="str">
        <f>CHOOSE(2, "5461730030", "Jun 26")</f>
        <v>Jun 26</v>
      </c>
      <c r="D3853" s="14">
        <v>495</v>
      </c>
    </row>
    <row r="3854" spans="1:4" x14ac:dyDescent="0.35">
      <c r="A3854" s="5" t="str">
        <f t="shared" si="1977"/>
        <v>Agency</v>
      </c>
      <c r="B3854" s="6" t="str">
        <f t="shared" si="1988"/>
        <v>Total agent headcount (end of period) in 0-1M</v>
      </c>
      <c r="C3854" s="4" t="str">
        <f>CHOOSE(2, "5462030031", "Jul 26")</f>
        <v>Jul 26</v>
      </c>
      <c r="D3854" s="14">
        <v>476</v>
      </c>
    </row>
    <row r="3855" spans="1:4" x14ac:dyDescent="0.35">
      <c r="A3855" s="5" t="str">
        <f t="shared" si="1977"/>
        <v>Agency</v>
      </c>
      <c r="B3855" s="3" t="str">
        <f t="shared" ref="B3855:B3856" si="1989">CHOOSE(2, "1395000000698", "Total agent headcount (end of period) in 2-3M")</f>
        <v>Total agent headcount (end of period) in 2-3M</v>
      </c>
      <c r="C3855" s="4" t="str">
        <f>CHOOSE(2, "5461730030", "Jun 26")</f>
        <v>Jun 26</v>
      </c>
      <c r="D3855" s="14">
        <v>954</v>
      </c>
    </row>
    <row r="3856" spans="1:4" x14ac:dyDescent="0.35">
      <c r="A3856" s="5" t="str">
        <f t="shared" si="1977"/>
        <v>Agency</v>
      </c>
      <c r="B3856" s="6" t="str">
        <f t="shared" si="1989"/>
        <v>Total agent headcount (end of period) in 2-3M</v>
      </c>
      <c r="C3856" s="4" t="str">
        <f>CHOOSE(2, "5462030031", "Jul 26")</f>
        <v>Jul 26</v>
      </c>
      <c r="D3856" s="14">
        <v>982</v>
      </c>
    </row>
    <row r="3857" spans="1:4" x14ac:dyDescent="0.35">
      <c r="A3857" s="5" t="str">
        <f t="shared" si="1977"/>
        <v>Agency</v>
      </c>
      <c r="B3857" s="3" t="str">
        <f t="shared" ref="B3857:B3858" si="1990">CHOOSE(2, "1395000000697", "Total agent headcount (end of period) in 4-12M")</f>
        <v>Total agent headcount (end of period) in 4-12M</v>
      </c>
      <c r="C3857" s="4" t="str">
        <f>CHOOSE(2, "5461730030", "Jun 26")</f>
        <v>Jun 26</v>
      </c>
      <c r="D3857" s="14">
        <v>4047</v>
      </c>
    </row>
    <row r="3858" spans="1:4" x14ac:dyDescent="0.35">
      <c r="A3858" s="5" t="str">
        <f t="shared" si="1977"/>
        <v>Agency</v>
      </c>
      <c r="B3858" s="6" t="str">
        <f t="shared" si="1990"/>
        <v>Total agent headcount (end of period) in 4-12M</v>
      </c>
      <c r="C3858" s="4" t="str">
        <f>CHOOSE(2, "5462030031", "Jul 26")</f>
        <v>Jul 26</v>
      </c>
      <c r="D3858" s="14">
        <v>3954</v>
      </c>
    </row>
    <row r="3859" spans="1:4" x14ac:dyDescent="0.35">
      <c r="A3859" s="5" t="str">
        <f t="shared" si="1977"/>
        <v>Agency</v>
      </c>
      <c r="B3859" s="3" t="str">
        <f t="shared" ref="B3859:B3860" si="1991">CHOOSE(2, "1395000000696", "Total agent headcount (end of period) 13+M")</f>
        <v>Total agent headcount (end of period) 13+M</v>
      </c>
      <c r="C3859" s="4" t="str">
        <f>CHOOSE(2, "5461730030", "Jun 26")</f>
        <v>Jun 26</v>
      </c>
      <c r="D3859" s="14">
        <v>46745</v>
      </c>
    </row>
    <row r="3860" spans="1:4" x14ac:dyDescent="0.35">
      <c r="A3860" s="5" t="str">
        <f t="shared" si="1977"/>
        <v>Agency</v>
      </c>
      <c r="B3860" s="6" t="str">
        <f t="shared" si="1991"/>
        <v>Total agent headcount (end of period) 13+M</v>
      </c>
      <c r="C3860" s="4" t="str">
        <f>CHOOSE(2, "5462030031", "Jul 26")</f>
        <v>Jul 26</v>
      </c>
      <c r="D3860" s="14">
        <v>47253</v>
      </c>
    </row>
    <row r="3861" spans="1:4" x14ac:dyDescent="0.35">
      <c r="A3861" s="5" t="str">
        <f t="shared" si="1977"/>
        <v>Agency</v>
      </c>
      <c r="B3861" s="3" t="str">
        <f t="shared" ref="B3861:B3862" si="1992">CHOOSE(2, "1395000000695", "Total agent headcount (end of period) in FA or equivalent")</f>
        <v>Total agent headcount (end of period) in FA or equivalent</v>
      </c>
      <c r="C3861" s="4" t="str">
        <f>CHOOSE(2, "5461730030", "Jun 26")</f>
        <v>Jun 26</v>
      </c>
      <c r="D3861" s="14">
        <v>50650</v>
      </c>
    </row>
    <row r="3862" spans="1:4" x14ac:dyDescent="0.35">
      <c r="A3862" s="5" t="str">
        <f t="shared" si="1977"/>
        <v>Agency</v>
      </c>
      <c r="B3862" s="6" t="str">
        <f t="shared" si="1992"/>
        <v>Total agent headcount (end of period) in FA or equivalent</v>
      </c>
      <c r="C3862" s="4" t="str">
        <f>CHOOSE(2, "5462030031", "Jul 26")</f>
        <v>Jul 26</v>
      </c>
      <c r="D3862" s="14">
        <v>51003</v>
      </c>
    </row>
    <row r="3863" spans="1:4" x14ac:dyDescent="0.35">
      <c r="A3863" s="5" t="str">
        <f t="shared" si="1977"/>
        <v>Agency</v>
      </c>
      <c r="B3863" s="3" t="str">
        <f t="shared" ref="B3863:B3864" si="1993">CHOOSE(2, "1395000000694", "Total agent headcount (end of period) in UM")</f>
        <v>Total agent headcount (end of period) in UM</v>
      </c>
      <c r="C3863" s="4" t="str">
        <f>CHOOSE(2, "5461730030", "Jun 26")</f>
        <v>Jun 26</v>
      </c>
      <c r="D3863" s="14">
        <v>826</v>
      </c>
    </row>
    <row r="3864" spans="1:4" x14ac:dyDescent="0.35">
      <c r="A3864" s="5" t="str">
        <f t="shared" si="1977"/>
        <v>Agency</v>
      </c>
      <c r="B3864" s="6" t="str">
        <f t="shared" si="1993"/>
        <v>Total agent headcount (end of period) in UM</v>
      </c>
      <c r="C3864" s="4" t="str">
        <f>CHOOSE(2, "5462030031", "Jul 26")</f>
        <v>Jul 26</v>
      </c>
      <c r="D3864" s="14">
        <v>841</v>
      </c>
    </row>
    <row r="3865" spans="1:4" x14ac:dyDescent="0.35">
      <c r="A3865" s="5" t="str">
        <f t="shared" si="1977"/>
        <v>Agency</v>
      </c>
      <c r="B3865" s="3" t="str">
        <f t="shared" ref="B3865:B3866" si="1994">CHOOSE(2, "1395000000693", "Total agent headcount (end of period) in Leaders above UM")</f>
        <v>Total agent headcount (end of period) in Leaders above UM</v>
      </c>
      <c r="C3865" s="4" t="str">
        <f>CHOOSE(2, "5461730030", "Jun 26")</f>
        <v>Jun 26</v>
      </c>
      <c r="D3865" s="14">
        <v>765</v>
      </c>
    </row>
    <row r="3866" spans="1:4" x14ac:dyDescent="0.35">
      <c r="A3866" s="5" t="str">
        <f t="shared" si="1977"/>
        <v>Agency</v>
      </c>
      <c r="B3866" s="6" t="str">
        <f t="shared" si="1994"/>
        <v>Total agent headcount (end of period) in Leaders above UM</v>
      </c>
      <c r="C3866" s="4" t="str">
        <f>CHOOSE(2, "5462030031", "Jul 26")</f>
        <v>Jul 26</v>
      </c>
      <c r="D3866" s="14">
        <v>821</v>
      </c>
    </row>
    <row r="3867" spans="1:4" x14ac:dyDescent="0.35">
      <c r="A3867" s="5" t="str">
        <f t="shared" si="1977"/>
        <v>Agency</v>
      </c>
      <c r="B3867" s="3" t="str">
        <f t="shared" ref="B3867:B3868" si="1995">CHOOSE(2, "1395000000692", "Total agent headcount (end of period) in Top-tier agents")</f>
        <v>Total agent headcount (end of period) in Top-tier agents</v>
      </c>
      <c r="C3867" s="4" t="str">
        <f>CHOOSE(2, "5461730030", "Jun 26")</f>
        <v>Jun 26</v>
      </c>
      <c r="D3867" s="14">
        <v>888</v>
      </c>
    </row>
    <row r="3868" spans="1:4" x14ac:dyDescent="0.35">
      <c r="A3868" s="5" t="str">
        <f t="shared" si="1977"/>
        <v>Agency</v>
      </c>
      <c r="B3868" s="6" t="str">
        <f t="shared" si="1995"/>
        <v>Total agent headcount (end of period) in Top-tier agents</v>
      </c>
      <c r="C3868" s="4" t="str">
        <f>CHOOSE(2, "5462030031", "Jul 26")</f>
        <v>Jul 26</v>
      </c>
      <c r="D3868" s="14">
        <v>793</v>
      </c>
    </row>
    <row r="3869" spans="1:4" x14ac:dyDescent="0.35">
      <c r="A3869" s="5" t="str">
        <f t="shared" si="1977"/>
        <v>Agency</v>
      </c>
      <c r="B3869" s="3" t="str">
        <f t="shared" ref="B3869:B3870" si="1996">CHOOSE(2, "1395000000691", "Total agent headcount  in pro-rated MDRT agents (&gt;100%)")</f>
        <v>Total agent headcount  in pro-rated MDRT agents (&gt;100%)</v>
      </c>
      <c r="C3869" s="4" t="str">
        <f>CHOOSE(2, "5461730030", "Jun 26")</f>
        <v>Jun 26</v>
      </c>
      <c r="D3869" s="14">
        <v>432</v>
      </c>
    </row>
    <row r="3870" spans="1:4" x14ac:dyDescent="0.35">
      <c r="A3870" s="5" t="str">
        <f t="shared" si="1977"/>
        <v>Agency</v>
      </c>
      <c r="B3870" s="6" t="str">
        <f t="shared" si="1996"/>
        <v>Total agent headcount  in pro-rated MDRT agents (&gt;100%)</v>
      </c>
      <c r="C3870" s="4" t="str">
        <f>CHOOSE(2, "5462030031", "Jul 26")</f>
        <v>Jul 26</v>
      </c>
      <c r="D3870" s="14">
        <v>344</v>
      </c>
    </row>
    <row r="3871" spans="1:4" x14ac:dyDescent="0.35">
      <c r="A3871" s="5" t="str">
        <f t="shared" si="1977"/>
        <v>Agency</v>
      </c>
      <c r="B3871" s="3" t="str">
        <f t="shared" ref="B3871:B3872" si="1997">CHOOSE(2, "1395000000690", "Total agent headcount  in pro-rated MDRT agents (70-99%)")</f>
        <v>Total agent headcount  in pro-rated MDRT agents (70-99%)</v>
      </c>
      <c r="C3871" s="4" t="str">
        <f>CHOOSE(2, "5461730030", "Jun 26")</f>
        <v>Jun 26</v>
      </c>
      <c r="D3871" s="14">
        <v>236</v>
      </c>
    </row>
    <row r="3872" spans="1:4" x14ac:dyDescent="0.35">
      <c r="A3872" s="5" t="str">
        <f t="shared" si="1977"/>
        <v>Agency</v>
      </c>
      <c r="B3872" s="6" t="str">
        <f t="shared" si="1997"/>
        <v>Total agent headcount  in pro-rated MDRT agents (70-99%)</v>
      </c>
      <c r="C3872" s="4" t="str">
        <f>CHOOSE(2, "5462030031", "Jul 26")</f>
        <v>Jul 26</v>
      </c>
      <c r="D3872" s="14">
        <v>267</v>
      </c>
    </row>
    <row r="3873" spans="1:4" x14ac:dyDescent="0.35">
      <c r="A3873" s="5" t="str">
        <f t="shared" si="1977"/>
        <v>Agency</v>
      </c>
      <c r="B3873" s="3" t="str">
        <f t="shared" ref="B3873:B3874" si="1998">CHOOSE(2, "1395000000689", "Total agent headcount  in pro-rated MDRT agents (50-69%)")</f>
        <v>Total agent headcount  in pro-rated MDRT agents (50-69%)</v>
      </c>
      <c r="C3873" s="4" t="str">
        <f>CHOOSE(2, "5461730030", "Jun 26")</f>
        <v>Jun 26</v>
      </c>
      <c r="D3873" s="14">
        <v>220</v>
      </c>
    </row>
    <row r="3874" spans="1:4" x14ac:dyDescent="0.35">
      <c r="A3874" s="5" t="str">
        <f t="shared" si="1977"/>
        <v>Agency</v>
      </c>
      <c r="B3874" s="6" t="str">
        <f t="shared" si="1998"/>
        <v>Total agent headcount  in pro-rated MDRT agents (50-69%)</v>
      </c>
      <c r="C3874" s="4" t="str">
        <f>CHOOSE(2, "5462030031", "Jul 26")</f>
        <v>Jul 26</v>
      </c>
      <c r="D3874" s="14">
        <v>182</v>
      </c>
    </row>
    <row r="3875" spans="1:4" x14ac:dyDescent="0.35">
      <c r="A3875" s="5" t="str">
        <f t="shared" si="1977"/>
        <v>Agency</v>
      </c>
      <c r="B3875" s="3" t="str">
        <f t="shared" ref="B3875:B3876" si="1999">CHOOSE(2, "1395000000688", "Total agent headcount  in Manulife Pro Qualifiers - Total")</f>
        <v>Total agent headcount  in Manulife Pro Qualifiers - Total</v>
      </c>
      <c r="C3875" s="4" t="str">
        <f>CHOOSE(2, "5461730030", "Jun 26")</f>
        <v>Jun 26</v>
      </c>
      <c r="D3875" s="14">
        <v>3513</v>
      </c>
    </row>
    <row r="3876" spans="1:4" x14ac:dyDescent="0.35">
      <c r="A3876" s="5" t="str">
        <f t="shared" si="1977"/>
        <v>Agency</v>
      </c>
      <c r="B3876" s="6" t="str">
        <f t="shared" si="1999"/>
        <v>Total agent headcount  in Manulife Pro Qualifiers - Total</v>
      </c>
      <c r="C3876" s="4" t="str">
        <f>CHOOSE(2, "5462030031", "Jul 26")</f>
        <v>Jul 26</v>
      </c>
      <c r="D3876" s="14">
        <v>3283</v>
      </c>
    </row>
    <row r="3877" spans="1:4" x14ac:dyDescent="0.35">
      <c r="A3877" s="5" t="str">
        <f t="shared" si="1977"/>
        <v>Agency</v>
      </c>
      <c r="B3877" s="3" t="str">
        <f t="shared" ref="B3877:B3878" si="2000">CHOOSE(2, "1395000000687", "New recruits")</f>
        <v>New recruits</v>
      </c>
      <c r="C3877" s="4" t="str">
        <f>CHOOSE(2, "5461730030", "Jun 26")</f>
        <v>Jun 26</v>
      </c>
      <c r="D3877" s="14">
        <v>495</v>
      </c>
    </row>
    <row r="3878" spans="1:4" x14ac:dyDescent="0.35">
      <c r="A3878" s="5" t="str">
        <f t="shared" si="1977"/>
        <v>Agency</v>
      </c>
      <c r="B3878" s="6" t="str">
        <f t="shared" si="2000"/>
        <v>New recruits</v>
      </c>
      <c r="C3878" s="4" t="str">
        <f>CHOOSE(2, "5462030031", "Jul 26")</f>
        <v>Jul 26</v>
      </c>
      <c r="D3878" s="14">
        <v>476</v>
      </c>
    </row>
    <row r="3879" spans="1:4" x14ac:dyDescent="0.35">
      <c r="A3879" s="5" t="str">
        <f t="shared" si="1977"/>
        <v>Agency</v>
      </c>
      <c r="B3879" s="3" t="str">
        <f t="shared" ref="B3879:B3880" si="2001">CHOOSE(2, "1395000000686", "New recruits - Leader level")</f>
        <v>New recruits - Leader level</v>
      </c>
      <c r="C3879" s="4" t="str">
        <f>CHOOSE(2, "5461730030", "Jun 26")</f>
        <v>Jun 26</v>
      </c>
      <c r="D3879" s="2" t="s">
        <v>5</v>
      </c>
    </row>
    <row r="3880" spans="1:4" x14ac:dyDescent="0.35">
      <c r="A3880" s="5" t="str">
        <f t="shared" si="1977"/>
        <v>Agency</v>
      </c>
      <c r="B3880" s="6" t="str">
        <f t="shared" si="2001"/>
        <v>New recruits - Leader level</v>
      </c>
      <c r="C3880" s="4" t="str">
        <f>CHOOSE(2, "5462030031", "Jul 26")</f>
        <v>Jul 26</v>
      </c>
      <c r="D3880" s="2" t="s">
        <v>5</v>
      </c>
    </row>
    <row r="3881" spans="1:4" x14ac:dyDescent="0.35">
      <c r="A3881" s="5" t="str">
        <f t="shared" si="1977"/>
        <v>Agency</v>
      </c>
      <c r="B3881" s="3" t="str">
        <f t="shared" ref="B3881:B3882" si="2002">CHOOSE(2, "1395000000685", "New recruits - FA or equivalent")</f>
        <v>New recruits - FA or equivalent</v>
      </c>
      <c r="C3881" s="4" t="str">
        <f>CHOOSE(2, "5461730030", "Jun 26")</f>
        <v>Jun 26</v>
      </c>
      <c r="D3881" s="14">
        <v>489</v>
      </c>
    </row>
    <row r="3882" spans="1:4" x14ac:dyDescent="0.35">
      <c r="A3882" s="5" t="str">
        <f t="shared" si="1977"/>
        <v>Agency</v>
      </c>
      <c r="B3882" s="6" t="str">
        <f t="shared" si="2002"/>
        <v>New recruits - FA or equivalent</v>
      </c>
      <c r="C3882" s="4" t="str">
        <f>CHOOSE(2, "5462030031", "Jul 26")</f>
        <v>Jul 26</v>
      </c>
      <c r="D3882" s="14">
        <v>476</v>
      </c>
    </row>
    <row r="3883" spans="1:4" x14ac:dyDescent="0.35">
      <c r="A3883" s="5" t="str">
        <f t="shared" si="1977"/>
        <v>Agency</v>
      </c>
      <c r="B3883" s="3" t="str">
        <f t="shared" ref="B3883:B3884" si="2003">CHOOSE(2, "1395000000684", "New recruits in UM")</f>
        <v>New recruits in UM</v>
      </c>
      <c r="C3883" s="4" t="str">
        <f>CHOOSE(2, "5461730030", "Jun 26")</f>
        <v>Jun 26</v>
      </c>
      <c r="D3883" s="14">
        <v>5</v>
      </c>
    </row>
    <row r="3884" spans="1:4" x14ac:dyDescent="0.35">
      <c r="A3884" s="5" t="str">
        <f t="shared" si="1977"/>
        <v>Agency</v>
      </c>
      <c r="B3884" s="6" t="str">
        <f t="shared" si="2003"/>
        <v>New recruits in UM</v>
      </c>
      <c r="C3884" s="4" t="str">
        <f>CHOOSE(2, "5462030031", "Jul 26")</f>
        <v>Jul 26</v>
      </c>
      <c r="D3884" s="14">
        <v>0</v>
      </c>
    </row>
    <row r="3885" spans="1:4" x14ac:dyDescent="0.35">
      <c r="A3885" s="5" t="str">
        <f t="shared" si="1977"/>
        <v>Agency</v>
      </c>
      <c r="B3885" s="3" t="str">
        <f t="shared" ref="B3885:B3886" si="2004">CHOOSE(2, "1395000000683", "New recruits in Leaders above UM")</f>
        <v>New recruits in Leaders above UM</v>
      </c>
      <c r="C3885" s="4" t="str">
        <f>CHOOSE(2, "5461730030", "Jun 26")</f>
        <v>Jun 26</v>
      </c>
      <c r="D3885" s="14">
        <v>1</v>
      </c>
    </row>
    <row r="3886" spans="1:4" x14ac:dyDescent="0.35">
      <c r="A3886" s="5" t="str">
        <f t="shared" si="1977"/>
        <v>Agency</v>
      </c>
      <c r="B3886" s="6" t="str">
        <f t="shared" si="2004"/>
        <v>New recruits in Leaders above UM</v>
      </c>
      <c r="C3886" s="4" t="str">
        <f>CHOOSE(2, "5462030031", "Jul 26")</f>
        <v>Jul 26</v>
      </c>
      <c r="D3886" s="14">
        <v>0</v>
      </c>
    </row>
    <row r="3887" spans="1:4" x14ac:dyDescent="0.35">
      <c r="A3887" s="5" t="str">
        <f t="shared" si="1977"/>
        <v>Agency</v>
      </c>
      <c r="B3887" s="3" t="str">
        <f t="shared" ref="B3887:B3888" si="2005">CHOOSE(2, "1395000000682", "# of 6-90 agents")</f>
        <v># of 6-90 agents</v>
      </c>
      <c r="C3887" s="4" t="str">
        <f>CHOOSE(2, "5461730030", "Jun 26")</f>
        <v>Jun 26</v>
      </c>
      <c r="D3887" s="14">
        <v>4</v>
      </c>
    </row>
    <row r="3888" spans="1:4" x14ac:dyDescent="0.35">
      <c r="A3888" s="5" t="str">
        <f t="shared" si="1977"/>
        <v>Agency</v>
      </c>
      <c r="B3888" s="6" t="str">
        <f t="shared" si="2005"/>
        <v># of 6-90 agents</v>
      </c>
      <c r="C3888" s="4" t="str">
        <f>CHOOSE(2, "5462030031", "Jul 26")</f>
        <v>Jul 26</v>
      </c>
      <c r="D3888" s="14">
        <v>50</v>
      </c>
    </row>
    <row r="3889" spans="1:4" x14ac:dyDescent="0.35">
      <c r="A3889" s="5" t="str">
        <f t="shared" si="1977"/>
        <v>Agency</v>
      </c>
      <c r="B3889" s="3" t="str">
        <f t="shared" ref="B3889:B3890" si="2006">CHOOSE(2, "1395000000681", "New Recruits 3M Activation #")</f>
        <v>New Recruits 3M Activation #</v>
      </c>
      <c r="C3889" s="4" t="str">
        <f>CHOOSE(2, "5461730030", "Jun 26")</f>
        <v>Jun 26</v>
      </c>
      <c r="D3889" s="14">
        <v>429</v>
      </c>
    </row>
    <row r="3890" spans="1:4" x14ac:dyDescent="0.35">
      <c r="A3890" s="5" t="str">
        <f t="shared" si="1977"/>
        <v>Agency</v>
      </c>
      <c r="B3890" s="6" t="str">
        <f t="shared" si="2006"/>
        <v>New Recruits 3M Activation #</v>
      </c>
      <c r="C3890" s="4" t="str">
        <f>CHOOSE(2, "5462030031", "Jul 26")</f>
        <v>Jul 26</v>
      </c>
      <c r="D3890" s="14">
        <v>291</v>
      </c>
    </row>
    <row r="3891" spans="1:4" x14ac:dyDescent="0.35">
      <c r="A3891" s="5" t="str">
        <f t="shared" si="1977"/>
        <v>Agency</v>
      </c>
      <c r="B3891" s="3" t="str">
        <f t="shared" ref="B3891:B3892" si="2007">CHOOSE(2, "1395000000680", "No of Terminations")</f>
        <v>No of Terminations</v>
      </c>
      <c r="C3891" s="4" t="str">
        <f>CHOOSE(2, "5461730030", "Jun 26")</f>
        <v>Jun 26</v>
      </c>
      <c r="D3891" s="14">
        <v>94</v>
      </c>
    </row>
    <row r="3892" spans="1:4" x14ac:dyDescent="0.35">
      <c r="A3892" s="5" t="str">
        <f t="shared" si="1977"/>
        <v>Agency</v>
      </c>
      <c r="B3892" s="6" t="str">
        <f t="shared" si="2007"/>
        <v>No of Terminations</v>
      </c>
      <c r="C3892" s="4" t="str">
        <f>CHOOSE(2, "5462030031", "Jul 26")</f>
        <v>Jul 26</v>
      </c>
      <c r="D3892" s="14">
        <v>69</v>
      </c>
    </row>
    <row r="3893" spans="1:4" x14ac:dyDescent="0.35">
      <c r="A3893" s="5" t="str">
        <f t="shared" si="1977"/>
        <v>Agency</v>
      </c>
      <c r="B3893" s="3" t="str">
        <f t="shared" ref="B3893:B3894" si="2008">CHOOSE(2, "1395000000679", "No of Terminations in FA or equivalent")</f>
        <v>No of Terminations in FA or equivalent</v>
      </c>
      <c r="C3893" s="4" t="str">
        <f>CHOOSE(2, "5461730030", "Jun 26")</f>
        <v>Jun 26</v>
      </c>
      <c r="D3893" s="14">
        <v>93</v>
      </c>
    </row>
    <row r="3894" spans="1:4" x14ac:dyDescent="0.35">
      <c r="A3894" s="5" t="str">
        <f t="shared" si="1977"/>
        <v>Agency</v>
      </c>
      <c r="B3894" s="6" t="str">
        <f t="shared" si="2008"/>
        <v>No of Terminations in FA or equivalent</v>
      </c>
      <c r="C3894" s="4" t="str">
        <f>CHOOSE(2, "5462030031", "Jul 26")</f>
        <v>Jul 26</v>
      </c>
      <c r="D3894" s="14">
        <v>66</v>
      </c>
    </row>
    <row r="3895" spans="1:4" x14ac:dyDescent="0.35">
      <c r="A3895" s="5" t="str">
        <f t="shared" si="1977"/>
        <v>Agency</v>
      </c>
      <c r="B3895" s="3" t="str">
        <f t="shared" ref="B3895:B3896" si="2009">CHOOSE(2, "1395000000678", "No of Terminations in UM")</f>
        <v>No of Terminations in UM</v>
      </c>
      <c r="C3895" s="4" t="str">
        <f>CHOOSE(2, "5461730030", "Jun 26")</f>
        <v>Jun 26</v>
      </c>
      <c r="D3895" s="14">
        <v>0</v>
      </c>
    </row>
    <row r="3896" spans="1:4" x14ac:dyDescent="0.35">
      <c r="A3896" s="5" t="str">
        <f t="shared" si="1977"/>
        <v>Agency</v>
      </c>
      <c r="B3896" s="6" t="str">
        <f t="shared" si="2009"/>
        <v>No of Terminations in UM</v>
      </c>
      <c r="C3896" s="4" t="str">
        <f>CHOOSE(2, "5462030031", "Jul 26")</f>
        <v>Jul 26</v>
      </c>
      <c r="D3896" s="14">
        <v>2</v>
      </c>
    </row>
    <row r="3897" spans="1:4" x14ac:dyDescent="0.35">
      <c r="A3897" s="5" t="str">
        <f t="shared" ref="A3897:A3960" si="2010">CHOOSE(2, "1260000000004", "Agency")</f>
        <v>Agency</v>
      </c>
      <c r="B3897" s="3" t="str">
        <f t="shared" ref="B3897:B3898" si="2011">CHOOSE(2, "1395000000677", "No of Terminations in Leaders above UM")</f>
        <v>No of Terminations in Leaders above UM</v>
      </c>
      <c r="C3897" s="4" t="str">
        <f>CHOOSE(2, "5461730030", "Jun 26")</f>
        <v>Jun 26</v>
      </c>
      <c r="D3897" s="14">
        <v>1</v>
      </c>
    </row>
    <row r="3898" spans="1:4" x14ac:dyDescent="0.35">
      <c r="A3898" s="5" t="str">
        <f t="shared" si="2010"/>
        <v>Agency</v>
      </c>
      <c r="B3898" s="6" t="str">
        <f t="shared" si="2011"/>
        <v>No of Terminations in Leaders above UM</v>
      </c>
      <c r="C3898" s="4" t="str">
        <f>CHOOSE(2, "5462030031", "Jul 26")</f>
        <v>Jul 26</v>
      </c>
      <c r="D3898" s="14">
        <v>1</v>
      </c>
    </row>
    <row r="3899" spans="1:4" x14ac:dyDescent="0.35">
      <c r="A3899" s="5" t="str">
        <f t="shared" si="2010"/>
        <v>Agency</v>
      </c>
      <c r="B3899" s="3" t="str">
        <f t="shared" ref="B3899:B3900" si="2012">CHOOSE(2, "1395000000676", "No of Terminations in Top-tier Agents")</f>
        <v>No of Terminations in Top-tier Agents</v>
      </c>
      <c r="C3899" s="4" t="str">
        <f>CHOOSE(2, "5461730030", "Jun 26")</f>
        <v>Jun 26</v>
      </c>
      <c r="D3899" s="14">
        <v>0</v>
      </c>
    </row>
    <row r="3900" spans="1:4" x14ac:dyDescent="0.35">
      <c r="A3900" s="5" t="str">
        <f t="shared" si="2010"/>
        <v>Agency</v>
      </c>
      <c r="B3900" s="6" t="str">
        <f t="shared" si="2012"/>
        <v>No of Terminations in Top-tier Agents</v>
      </c>
      <c r="C3900" s="4" t="str">
        <f>CHOOSE(2, "5462030031", "Jul 26")</f>
        <v>Jul 26</v>
      </c>
      <c r="D3900" s="14">
        <v>1</v>
      </c>
    </row>
    <row r="3901" spans="1:4" x14ac:dyDescent="0.35">
      <c r="A3901" s="5" t="str">
        <f t="shared" si="2010"/>
        <v>Agency</v>
      </c>
      <c r="B3901" s="3" t="str">
        <f t="shared" ref="B3901:B3902" si="2013">CHOOSE(2, "1395000000675", "No of Terminations in pro-rated MDRT agents (&gt;100%)")</f>
        <v>No of Terminations in pro-rated MDRT agents (&gt;100%)</v>
      </c>
      <c r="C3901" s="4" t="str">
        <f>CHOOSE(2, "5461730030", "Jun 26")</f>
        <v>Jun 26</v>
      </c>
      <c r="D3901" s="14">
        <v>0</v>
      </c>
    </row>
    <row r="3902" spans="1:4" x14ac:dyDescent="0.35">
      <c r="A3902" s="5" t="str">
        <f t="shared" si="2010"/>
        <v>Agency</v>
      </c>
      <c r="B3902" s="6" t="str">
        <f t="shared" si="2013"/>
        <v>No of Terminations in pro-rated MDRT agents (&gt;100%)</v>
      </c>
      <c r="C3902" s="4" t="str">
        <f>CHOOSE(2, "5462030031", "Jul 26")</f>
        <v>Jul 26</v>
      </c>
      <c r="D3902" s="14">
        <v>0</v>
      </c>
    </row>
    <row r="3903" spans="1:4" x14ac:dyDescent="0.35">
      <c r="A3903" s="5" t="str">
        <f t="shared" si="2010"/>
        <v>Agency</v>
      </c>
      <c r="B3903" s="3" t="str">
        <f t="shared" ref="B3903:B3904" si="2014">CHOOSE(2, "1395000000674", "No of Terminations in pro-rated MDRT agents (70-99%)")</f>
        <v>No of Terminations in pro-rated MDRT agents (70-99%)</v>
      </c>
      <c r="C3903" s="4" t="str">
        <f>CHOOSE(2, "5461730030", "Jun 26")</f>
        <v>Jun 26</v>
      </c>
      <c r="D3903" s="14">
        <v>0</v>
      </c>
    </row>
    <row r="3904" spans="1:4" x14ac:dyDescent="0.35">
      <c r="A3904" s="5" t="str">
        <f t="shared" si="2010"/>
        <v>Agency</v>
      </c>
      <c r="B3904" s="6" t="str">
        <f t="shared" si="2014"/>
        <v>No of Terminations in pro-rated MDRT agents (70-99%)</v>
      </c>
      <c r="C3904" s="4" t="str">
        <f>CHOOSE(2, "5462030031", "Jul 26")</f>
        <v>Jul 26</v>
      </c>
      <c r="D3904" s="14">
        <v>0</v>
      </c>
    </row>
    <row r="3905" spans="1:4" x14ac:dyDescent="0.35">
      <c r="A3905" s="5" t="str">
        <f t="shared" si="2010"/>
        <v>Agency</v>
      </c>
      <c r="B3905" s="3" t="str">
        <f t="shared" ref="B3905:B3906" si="2015">CHOOSE(2, "1395000000673", "No of Terminations in pro-rated MDRT agents (50-69%)")</f>
        <v>No of Terminations in pro-rated MDRT agents (50-69%)</v>
      </c>
      <c r="C3905" s="4" t="str">
        <f>CHOOSE(2, "5461730030", "Jun 26")</f>
        <v>Jun 26</v>
      </c>
      <c r="D3905" s="14">
        <v>0</v>
      </c>
    </row>
    <row r="3906" spans="1:4" x14ac:dyDescent="0.35">
      <c r="A3906" s="5" t="str">
        <f t="shared" si="2010"/>
        <v>Agency</v>
      </c>
      <c r="B3906" s="6" t="str">
        <f t="shared" si="2015"/>
        <v>No of Terminations in pro-rated MDRT agents (50-69%)</v>
      </c>
      <c r="C3906" s="4" t="str">
        <f>CHOOSE(2, "5462030031", "Jul 26")</f>
        <v>Jul 26</v>
      </c>
      <c r="D3906" s="14">
        <v>1</v>
      </c>
    </row>
    <row r="3907" spans="1:4" x14ac:dyDescent="0.35">
      <c r="A3907" s="5" t="str">
        <f t="shared" si="2010"/>
        <v>Agency</v>
      </c>
      <c r="B3907" s="3" t="str">
        <f t="shared" ref="B3907:B3908" si="2016">CHOOSE(2, "1395000000672", "No of Terminations in Manulife Pro Qualifiers - Total")</f>
        <v>No of Terminations in Manulife Pro Qualifiers - Total</v>
      </c>
      <c r="C3907" s="4" t="str">
        <f>CHOOSE(2, "5461730030", "Jun 26")</f>
        <v>Jun 26</v>
      </c>
      <c r="D3907" s="14">
        <v>3</v>
      </c>
    </row>
    <row r="3908" spans="1:4" x14ac:dyDescent="0.35">
      <c r="A3908" s="5" t="str">
        <f t="shared" si="2010"/>
        <v>Agency</v>
      </c>
      <c r="B3908" s="6" t="str">
        <f t="shared" si="2016"/>
        <v>No of Terminations in Manulife Pro Qualifiers - Total</v>
      </c>
      <c r="C3908" s="4" t="str">
        <f>CHOOSE(2, "5462030031", "Jul 26")</f>
        <v>Jul 26</v>
      </c>
      <c r="D3908" s="14">
        <v>6</v>
      </c>
    </row>
    <row r="3909" spans="1:4" x14ac:dyDescent="0.35">
      <c r="A3909" s="5" t="str">
        <f t="shared" si="2010"/>
        <v>Agency</v>
      </c>
      <c r="B3909" s="3" t="str">
        <f t="shared" ref="B3909:B3910" si="2017">CHOOSE(2, "1395000000671", "First Year Agents Terminated without Sales")</f>
        <v>First Year Agents Terminated without Sales</v>
      </c>
      <c r="C3909" s="4" t="str">
        <f>CHOOSE(2, "5461730030", "Jun 26")</f>
        <v>Jun 26</v>
      </c>
      <c r="D3909" s="14">
        <v>19</v>
      </c>
    </row>
    <row r="3910" spans="1:4" x14ac:dyDescent="0.35">
      <c r="A3910" s="5" t="str">
        <f t="shared" si="2010"/>
        <v>Agency</v>
      </c>
      <c r="B3910" s="6" t="str">
        <f t="shared" si="2017"/>
        <v>First Year Agents Terminated without Sales</v>
      </c>
      <c r="C3910" s="4" t="str">
        <f>CHOOSE(2, "5462030031", "Jul 26")</f>
        <v>Jul 26</v>
      </c>
      <c r="D3910" s="14">
        <v>15</v>
      </c>
    </row>
    <row r="3911" spans="1:4" x14ac:dyDescent="0.35">
      <c r="A3911" s="5" t="str">
        <f t="shared" si="2010"/>
        <v>Agency</v>
      </c>
      <c r="B3911" s="3" t="str">
        <f t="shared" ref="B3911:B3912" si="2018">CHOOSE(2, "1395000000670", "6mth Agency Retention Ratio")</f>
        <v>6mth Agency Retention Ratio</v>
      </c>
      <c r="C3911" s="4" t="str">
        <f>CHOOSE(2, "5461730030", "Jun 26")</f>
        <v>Jun 26</v>
      </c>
      <c r="D3911" s="14">
        <v>0.93480600000000003</v>
      </c>
    </row>
    <row r="3912" spans="1:4" x14ac:dyDescent="0.35">
      <c r="A3912" s="5" t="str">
        <f t="shared" si="2010"/>
        <v>Agency</v>
      </c>
      <c r="B3912" s="6" t="str">
        <f t="shared" si="2018"/>
        <v>6mth Agency Retention Ratio</v>
      </c>
      <c r="C3912" s="4" t="str">
        <f>CHOOSE(2, "5462030031", "Jul 26")</f>
        <v>Jul 26</v>
      </c>
      <c r="D3912" s="14">
        <v>0.93959999999999999</v>
      </c>
    </row>
    <row r="3913" spans="1:4" x14ac:dyDescent="0.35">
      <c r="A3913" s="5" t="str">
        <f t="shared" si="2010"/>
        <v>Agency</v>
      </c>
      <c r="B3913" s="3" t="str">
        <f t="shared" ref="B3913:B3914" si="2019">CHOOSE(2, "1395000000669", "12mth Agency Retention Ratio")</f>
        <v>12mth Agency Retention Ratio</v>
      </c>
      <c r="C3913" s="4" t="str">
        <f>CHOOSE(2, "5461730030", "Jun 26")</f>
        <v>Jun 26</v>
      </c>
      <c r="D3913" s="14">
        <v>0.15121999999999999</v>
      </c>
    </row>
    <row r="3914" spans="1:4" x14ac:dyDescent="0.35">
      <c r="A3914" s="5" t="str">
        <f t="shared" si="2010"/>
        <v>Agency</v>
      </c>
      <c r="B3914" s="6" t="str">
        <f t="shared" si="2019"/>
        <v>12mth Agency Retention Ratio</v>
      </c>
      <c r="C3914" s="4" t="str">
        <f>CHOOSE(2, "5462030031", "Jul 26")</f>
        <v>Jul 26</v>
      </c>
      <c r="D3914" s="14">
        <v>0.14863799999999999</v>
      </c>
    </row>
    <row r="3915" spans="1:4" x14ac:dyDescent="0.35">
      <c r="A3915" s="5" t="str">
        <f t="shared" si="2010"/>
        <v>Agency</v>
      </c>
      <c r="B3915" s="3" t="str">
        <f t="shared" ref="B3915:B3916" si="2020">CHOOSE(2, "1395000000668", "24mth Agency Retention Ratio")</f>
        <v>24mth Agency Retention Ratio</v>
      </c>
      <c r="C3915" s="4" t="str">
        <f>CHOOSE(2, "5461730030", "Jun 26")</f>
        <v>Jun 26</v>
      </c>
      <c r="D3915" s="14">
        <v>4.6304999999999999E-2</v>
      </c>
    </row>
    <row r="3916" spans="1:4" x14ac:dyDescent="0.35">
      <c r="A3916" s="5" t="str">
        <f t="shared" si="2010"/>
        <v>Agency</v>
      </c>
      <c r="B3916" s="6" t="str">
        <f t="shared" si="2020"/>
        <v>24mth Agency Retention Ratio</v>
      </c>
      <c r="C3916" s="4" t="str">
        <f>CHOOSE(2, "5462030031", "Jul 26")</f>
        <v>Jul 26</v>
      </c>
      <c r="D3916" s="14">
        <v>4.9786999999999998E-2</v>
      </c>
    </row>
    <row r="3917" spans="1:4" x14ac:dyDescent="0.35">
      <c r="A3917" s="5" t="str">
        <f t="shared" si="2010"/>
        <v>Agency</v>
      </c>
      <c r="B3917" s="3" t="str">
        <f t="shared" ref="B3917:B3918" si="2021">CHOOSE(2, "1395000000667", "Total # of Leaders (end of period)")</f>
        <v>Total # of Leaders (end of period)</v>
      </c>
      <c r="C3917" s="4" t="str">
        <f>CHOOSE(2, "5461730030", "Jun 26")</f>
        <v>Jun 26</v>
      </c>
      <c r="D3917" s="14">
        <v>1591</v>
      </c>
    </row>
    <row r="3918" spans="1:4" x14ac:dyDescent="0.35">
      <c r="A3918" s="5" t="str">
        <f t="shared" si="2010"/>
        <v>Agency</v>
      </c>
      <c r="B3918" s="6" t="str">
        <f t="shared" si="2021"/>
        <v>Total # of Leaders (end of period)</v>
      </c>
      <c r="C3918" s="4" t="str">
        <f>CHOOSE(2, "5462030031", "Jul 26")</f>
        <v>Jul 26</v>
      </c>
      <c r="D3918" s="14">
        <v>1662</v>
      </c>
    </row>
    <row r="3919" spans="1:4" x14ac:dyDescent="0.35">
      <c r="A3919" s="5" t="str">
        <f t="shared" si="2010"/>
        <v>Agency</v>
      </c>
      <c r="B3919" s="3" t="str">
        <f t="shared" ref="B3919:B3920" si="2022">CHOOSE(2, "1395000000666", "Total # of Unit Managers")</f>
        <v>Total # of Unit Managers</v>
      </c>
      <c r="C3919" s="4" t="str">
        <f>CHOOSE(2, "5461730030", "Jun 26")</f>
        <v>Jun 26</v>
      </c>
      <c r="D3919" s="14">
        <v>826</v>
      </c>
    </row>
    <row r="3920" spans="1:4" x14ac:dyDescent="0.35">
      <c r="A3920" s="5" t="str">
        <f t="shared" si="2010"/>
        <v>Agency</v>
      </c>
      <c r="B3920" s="6" t="str">
        <f t="shared" si="2022"/>
        <v>Total # of Unit Managers</v>
      </c>
      <c r="C3920" s="4" t="str">
        <f>CHOOSE(2, "5462030031", "Jul 26")</f>
        <v>Jul 26</v>
      </c>
      <c r="D3920" s="14">
        <v>841</v>
      </c>
    </row>
    <row r="3921" spans="1:4" x14ac:dyDescent="0.35">
      <c r="A3921" s="5" t="str">
        <f t="shared" si="2010"/>
        <v>Agency</v>
      </c>
      <c r="B3921" s="3" t="str">
        <f t="shared" ref="B3921:B3922" si="2023">CHOOSE(2, "1395000000665", "Total # of Leaders above Unit Manager level")</f>
        <v>Total # of Leaders above Unit Manager level</v>
      </c>
      <c r="C3921" s="4" t="str">
        <f>CHOOSE(2, "5461730030", "Jun 26")</f>
        <v>Jun 26</v>
      </c>
      <c r="D3921" s="14">
        <v>765</v>
      </c>
    </row>
    <row r="3922" spans="1:4" x14ac:dyDescent="0.35">
      <c r="A3922" s="5" t="str">
        <f t="shared" si="2010"/>
        <v>Agency</v>
      </c>
      <c r="B3922" s="6" t="str">
        <f t="shared" si="2023"/>
        <v>Total # of Leaders above Unit Manager level</v>
      </c>
      <c r="C3922" s="4" t="str">
        <f>CHOOSE(2, "5462030031", "Jul 26")</f>
        <v>Jul 26</v>
      </c>
      <c r="D3922" s="14">
        <v>821</v>
      </c>
    </row>
    <row r="3923" spans="1:4" x14ac:dyDescent="0.35">
      <c r="A3923" s="5" t="str">
        <f t="shared" si="2010"/>
        <v>Agency</v>
      </c>
      <c r="B3923" s="3" t="str">
        <f t="shared" ref="B3923:B3924" si="2024">CHOOSE(2, "1395000000664", "Total # of Agents below Unit Manager level (end of period)")</f>
        <v>Total # of Agents below Unit Manager level (end of period)</v>
      </c>
      <c r="C3923" s="4" t="str">
        <f>CHOOSE(2, "5461730030", "Jun 26")</f>
        <v>Jun 26</v>
      </c>
      <c r="D3923" s="14">
        <v>50650</v>
      </c>
    </row>
    <row r="3924" spans="1:4" x14ac:dyDescent="0.35">
      <c r="A3924" s="5" t="str">
        <f t="shared" si="2010"/>
        <v>Agency</v>
      </c>
      <c r="B3924" s="6" t="str">
        <f t="shared" si="2024"/>
        <v>Total # of Agents below Unit Manager level (end of period)</v>
      </c>
      <c r="C3924" s="4" t="str">
        <f>CHOOSE(2, "5462030031", "Jul 26")</f>
        <v>Jul 26</v>
      </c>
      <c r="D3924" s="14">
        <v>51003</v>
      </c>
    </row>
    <row r="3925" spans="1:4" x14ac:dyDescent="0.35">
      <c r="A3925" s="5" t="str">
        <f t="shared" si="2010"/>
        <v>Agency</v>
      </c>
      <c r="B3925" s="3" t="str">
        <f t="shared" ref="B3925:B3926" si="2025">CHOOSE(2, "1395000000663", "# of Active Recruiting Leaders")</f>
        <v># of Active Recruiting Leaders</v>
      </c>
      <c r="C3925" s="4" t="str">
        <f>CHOOSE(2, "5461730030", "Jun 26")</f>
        <v>Jun 26</v>
      </c>
      <c r="D3925" s="14">
        <v>166</v>
      </c>
    </row>
    <row r="3926" spans="1:4" x14ac:dyDescent="0.35">
      <c r="A3926" s="5" t="str">
        <f t="shared" si="2010"/>
        <v>Agency</v>
      </c>
      <c r="B3926" s="6" t="str">
        <f t="shared" si="2025"/>
        <v># of Active Recruiting Leaders</v>
      </c>
      <c r="C3926" s="4" t="str">
        <f>CHOOSE(2, "5462030031", "Jul 26")</f>
        <v>Jul 26</v>
      </c>
      <c r="D3926" s="14">
        <v>170</v>
      </c>
    </row>
    <row r="3927" spans="1:4" x14ac:dyDescent="0.35">
      <c r="A3927" s="5" t="str">
        <f t="shared" si="2010"/>
        <v>Agency</v>
      </c>
      <c r="B3927" s="3" t="str">
        <f t="shared" ref="B3927:B3928" si="2026">CHOOSE(2, "1395000000662", "# of leaders with &gt;1 YTD recruit")</f>
        <v># of leaders with &gt;1 YTD recruit</v>
      </c>
      <c r="C3927" s="4" t="str">
        <f>CHOOSE(2, "5461730030", "Jun 26")</f>
        <v>Jun 26</v>
      </c>
      <c r="D3927" s="14">
        <v>657</v>
      </c>
    </row>
    <row r="3928" spans="1:4" x14ac:dyDescent="0.35">
      <c r="A3928" s="5" t="str">
        <f t="shared" si="2010"/>
        <v>Agency</v>
      </c>
      <c r="B3928" s="6" t="str">
        <f t="shared" si="2026"/>
        <v># of leaders with &gt;1 YTD recruit</v>
      </c>
      <c r="C3928" s="4" t="str">
        <f>CHOOSE(2, "5462030031", "Jul 26")</f>
        <v>Jul 26</v>
      </c>
      <c r="D3928" s="14">
        <v>743</v>
      </c>
    </row>
    <row r="3929" spans="1:4" x14ac:dyDescent="0.35">
      <c r="A3929" s="5" t="str">
        <f t="shared" si="2010"/>
        <v>Agency</v>
      </c>
      <c r="B3929" s="3" t="str">
        <f t="shared" ref="B3929:B3930" si="2027">CHOOSE(2, "1395000000661", "Income ratio from personal sales (UM)")</f>
        <v>Income ratio from personal sales (UM)</v>
      </c>
      <c r="C3929" s="4" t="str">
        <f>CHOOSE(2, "5461730030", "Jun 26")</f>
        <v>Jun 26</v>
      </c>
      <c r="D3929" s="14">
        <v>0.88191948320282321</v>
      </c>
    </row>
    <row r="3930" spans="1:4" x14ac:dyDescent="0.35">
      <c r="A3930" s="5" t="str">
        <f t="shared" si="2010"/>
        <v>Agency</v>
      </c>
      <c r="B3930" s="6" t="str">
        <f t="shared" si="2027"/>
        <v>Income ratio from personal sales (UM)</v>
      </c>
      <c r="C3930" s="4" t="str">
        <f>CHOOSE(2, "5462030031", "Jul 26")</f>
        <v>Jul 26</v>
      </c>
      <c r="D3930" s="14">
        <v>0.92679404515336894</v>
      </c>
    </row>
    <row r="3931" spans="1:4" x14ac:dyDescent="0.35">
      <c r="A3931" s="5" t="str">
        <f t="shared" si="2010"/>
        <v>Agency</v>
      </c>
      <c r="B3931" s="3" t="str">
        <f t="shared" ref="B3931:B3932" si="2028">CHOOSE(2, "1395000000660", "Income ratio from personal sales (UM) (numerator)")</f>
        <v>Income ratio from personal sales (UM) (numerator)</v>
      </c>
      <c r="C3931" s="4" t="str">
        <f>CHOOSE(2, "5461730030", "Jun 26")</f>
        <v>Jun 26</v>
      </c>
      <c r="D3931" s="14">
        <v>469128.73742000002</v>
      </c>
    </row>
    <row r="3932" spans="1:4" x14ac:dyDescent="0.35">
      <c r="A3932" s="5" t="str">
        <f t="shared" si="2010"/>
        <v>Agency</v>
      </c>
      <c r="B3932" s="6" t="str">
        <f t="shared" si="2028"/>
        <v>Income ratio from personal sales (UM) (numerator)</v>
      </c>
      <c r="C3932" s="4" t="str">
        <f>CHOOSE(2, "5462030031", "Jul 26")</f>
        <v>Jul 26</v>
      </c>
      <c r="D3932" s="14">
        <v>355661.07296000002</v>
      </c>
    </row>
    <row r="3933" spans="1:4" x14ac:dyDescent="0.35">
      <c r="A3933" s="5" t="str">
        <f t="shared" si="2010"/>
        <v>Agency</v>
      </c>
      <c r="B3933" s="3" t="str">
        <f t="shared" ref="B3933:B3934" si="2029">CHOOSE(2, "1395000000659", "Income ratio from personal sales (UM) (denominator)")</f>
        <v>Income ratio from personal sales (UM) (denominator)</v>
      </c>
      <c r="C3933" s="4" t="str">
        <f>CHOOSE(2, "5461730030", "Jun 26")</f>
        <v>Jun 26</v>
      </c>
      <c r="D3933" s="14">
        <v>531940.55279999995</v>
      </c>
    </row>
    <row r="3934" spans="1:4" x14ac:dyDescent="0.35">
      <c r="A3934" s="5" t="str">
        <f t="shared" si="2010"/>
        <v>Agency</v>
      </c>
      <c r="B3934" s="6" t="str">
        <f t="shared" si="2029"/>
        <v>Income ratio from personal sales (UM) (denominator)</v>
      </c>
      <c r="C3934" s="4" t="str">
        <f>CHOOSE(2, "5462030031", "Jul 26")</f>
        <v>Jul 26</v>
      </c>
      <c r="D3934" s="14">
        <v>383754.16288000002</v>
      </c>
    </row>
    <row r="3935" spans="1:4" x14ac:dyDescent="0.35">
      <c r="A3935" s="5" t="str">
        <f t="shared" si="2010"/>
        <v>Agency</v>
      </c>
      <c r="B3935" s="3" t="str">
        <f t="shared" ref="B3935:B3936" si="2030">CHOOSE(2, "1395000000658", "Income ratio from personal sales (Leader above UM)")</f>
        <v>Income ratio from personal sales (Leader above UM)</v>
      </c>
      <c r="C3935" s="4" t="str">
        <f>CHOOSE(2, "5461730030", "Jun 26")</f>
        <v>Jun 26</v>
      </c>
      <c r="D3935" s="14">
        <v>0.73890015832333089</v>
      </c>
    </row>
    <row r="3936" spans="1:4" x14ac:dyDescent="0.35">
      <c r="A3936" s="5" t="str">
        <f t="shared" si="2010"/>
        <v>Agency</v>
      </c>
      <c r="B3936" s="6" t="str">
        <f t="shared" si="2030"/>
        <v>Income ratio from personal sales (Leader above UM)</v>
      </c>
      <c r="C3936" s="4" t="str">
        <f>CHOOSE(2, "5462030031", "Jul 26")</f>
        <v>Jul 26</v>
      </c>
      <c r="D3936" s="14">
        <v>0.8325335599736422</v>
      </c>
    </row>
    <row r="3937" spans="1:4" x14ac:dyDescent="0.35">
      <c r="A3937" s="5" t="str">
        <f t="shared" si="2010"/>
        <v>Agency</v>
      </c>
      <c r="B3937" s="3" t="str">
        <f t="shared" ref="B3937:B3938" si="2031">CHOOSE(2, "1395000000657", "Income ratio from personal sales (Leader above UM) (num)")</f>
        <v>Income ratio from personal sales (Leader above UM) (num)</v>
      </c>
      <c r="C3937" s="4" t="str">
        <f>CHOOSE(2, "5461730030", "Jun 26")</f>
        <v>Jun 26</v>
      </c>
      <c r="D3937" s="14">
        <v>803651.15327999997</v>
      </c>
    </row>
    <row r="3938" spans="1:4" x14ac:dyDescent="0.35">
      <c r="A3938" s="5" t="str">
        <f t="shared" si="2010"/>
        <v>Agency</v>
      </c>
      <c r="B3938" s="6" t="str">
        <f t="shared" si="2031"/>
        <v>Income ratio from personal sales (Leader above UM) (num)</v>
      </c>
      <c r="C3938" s="4" t="str">
        <f>CHOOSE(2, "5462030031", "Jul 26")</f>
        <v>Jul 26</v>
      </c>
      <c r="D3938" s="14">
        <v>533163.75684000005</v>
      </c>
    </row>
    <row r="3939" spans="1:4" x14ac:dyDescent="0.35">
      <c r="A3939" s="5" t="str">
        <f t="shared" si="2010"/>
        <v>Agency</v>
      </c>
      <c r="B3939" s="3" t="str">
        <f t="shared" ref="B3939:B3940" si="2032">CHOOSE(2, "1395000000656", "Income ratio from personal sales (Leader above UM) (den)")</f>
        <v>Income ratio from personal sales (Leader above UM) (den)</v>
      </c>
      <c r="C3939" s="4" t="str">
        <f>CHOOSE(2, "5461730030", "Jun 26")</f>
        <v>Jun 26</v>
      </c>
      <c r="D3939" s="14">
        <v>1087631.5889600001</v>
      </c>
    </row>
    <row r="3940" spans="1:4" x14ac:dyDescent="0.35">
      <c r="A3940" s="5" t="str">
        <f t="shared" si="2010"/>
        <v>Agency</v>
      </c>
      <c r="B3940" s="6" t="str">
        <f t="shared" si="2032"/>
        <v>Income ratio from personal sales (Leader above UM) (den)</v>
      </c>
      <c r="C3940" s="4" t="str">
        <f>CHOOSE(2, "5462030031", "Jul 26")</f>
        <v>Jul 26</v>
      </c>
      <c r="D3940" s="14">
        <v>640411.12872000004</v>
      </c>
    </row>
    <row r="3941" spans="1:4" x14ac:dyDescent="0.35">
      <c r="A3941" s="5" t="str">
        <f t="shared" si="2010"/>
        <v>Agency</v>
      </c>
      <c r="B3941" s="3" t="str">
        <f t="shared" ref="B3941:B3942" si="2033">CHOOSE(2, "1395000000655", "Total agent earnings")</f>
        <v>Total agent earnings</v>
      </c>
      <c r="C3941" s="4" t="str">
        <f>CHOOSE(2, "5461730030", "Jun 26")</f>
        <v>Jun 26</v>
      </c>
      <c r="D3941" s="14">
        <v>127.7502369086</v>
      </c>
    </row>
    <row r="3942" spans="1:4" x14ac:dyDescent="0.35">
      <c r="A3942" s="5" t="str">
        <f t="shared" si="2010"/>
        <v>Agency</v>
      </c>
      <c r="B3942" s="6" t="str">
        <f t="shared" si="2033"/>
        <v>Total agent earnings</v>
      </c>
      <c r="C3942" s="4" t="str">
        <f>CHOOSE(2, "5462030031", "Jul 26")</f>
        <v>Jul 26</v>
      </c>
      <c r="D3942" s="14">
        <v>85.95115709912001</v>
      </c>
    </row>
    <row r="3943" spans="1:4" x14ac:dyDescent="0.35">
      <c r="A3943" s="5" t="str">
        <f t="shared" si="2010"/>
        <v>Agency</v>
      </c>
      <c r="B3943" s="3" t="str">
        <f t="shared" ref="B3943:B3944" si="2034">CHOOSE(2, "1395000000654", "Total agent earnings in FA or equivalent")</f>
        <v>Total agent earnings in FA or equivalent</v>
      </c>
      <c r="C3943" s="4" t="str">
        <f>CHOOSE(2, "5461730030", "Jun 26")</f>
        <v>Jun 26</v>
      </c>
      <c r="D3943" s="14">
        <v>66.206495521720001</v>
      </c>
    </row>
    <row r="3944" spans="1:4" x14ac:dyDescent="0.35">
      <c r="A3944" s="5" t="str">
        <f t="shared" si="2010"/>
        <v>Agency</v>
      </c>
      <c r="B3944" s="6" t="str">
        <f t="shared" si="2034"/>
        <v>Total agent earnings in FA or equivalent</v>
      </c>
      <c r="C3944" s="4" t="str">
        <f>CHOOSE(2, "5462030031", "Jul 26")</f>
        <v>Jul 26</v>
      </c>
      <c r="D3944" s="14">
        <v>47.032876018320003</v>
      </c>
    </row>
    <row r="3945" spans="1:4" x14ac:dyDescent="0.35">
      <c r="A3945" s="5" t="str">
        <f t="shared" si="2010"/>
        <v>Agency</v>
      </c>
      <c r="B3945" s="3" t="str">
        <f t="shared" ref="B3945:B3946" si="2035">CHOOSE(2, "1395000000653", "Total agent earnings in UM")</f>
        <v>Total agent earnings in UM</v>
      </c>
      <c r="C3945" s="4" t="str">
        <f>CHOOSE(2, "5461730030", "Jun 26")</f>
        <v>Jun 26</v>
      </c>
      <c r="D3945" s="14">
        <v>20.213741006399999</v>
      </c>
    </row>
    <row r="3946" spans="1:4" x14ac:dyDescent="0.35">
      <c r="A3946" s="5" t="str">
        <f t="shared" si="2010"/>
        <v>Agency</v>
      </c>
      <c r="B3946" s="6" t="str">
        <f t="shared" si="2035"/>
        <v>Total agent earnings in UM</v>
      </c>
      <c r="C3946" s="4" t="str">
        <f>CHOOSE(2, "5462030031", "Jul 26")</f>
        <v>Jul 26</v>
      </c>
      <c r="D3946" s="14">
        <v>14.582658189440002</v>
      </c>
    </row>
    <row r="3947" spans="1:4" x14ac:dyDescent="0.35">
      <c r="A3947" s="5" t="str">
        <f t="shared" si="2010"/>
        <v>Agency</v>
      </c>
      <c r="B3947" s="3" t="str">
        <f t="shared" ref="B3947:B3948" si="2036">CHOOSE(2, "1395000000652", "Total agent earnings in Leaders above UM")</f>
        <v>Total agent earnings in Leaders above UM</v>
      </c>
      <c r="C3947" s="4" t="str">
        <f>CHOOSE(2, "5461730030", "Jun 26")</f>
        <v>Jun 26</v>
      </c>
      <c r="D3947" s="14">
        <v>41.330000380480008</v>
      </c>
    </row>
    <row r="3948" spans="1:4" x14ac:dyDescent="0.35">
      <c r="A3948" s="5" t="str">
        <f t="shared" si="2010"/>
        <v>Agency</v>
      </c>
      <c r="B3948" s="6" t="str">
        <f t="shared" si="2036"/>
        <v>Total agent earnings in Leaders above UM</v>
      </c>
      <c r="C3948" s="4" t="str">
        <f>CHOOSE(2, "5462030031", "Jul 26")</f>
        <v>Jul 26</v>
      </c>
      <c r="D3948" s="14">
        <v>24.335622891360003</v>
      </c>
    </row>
    <row r="3949" spans="1:4" x14ac:dyDescent="0.35">
      <c r="A3949" s="5" t="str">
        <f t="shared" si="2010"/>
        <v>Agency</v>
      </c>
      <c r="B3949" s="3" t="str">
        <f t="shared" ref="B3949:B3950" si="2037">CHOOSE(2, "1395000000651", "# of Newly Promoted UM")</f>
        <v># of Newly Promoted UM</v>
      </c>
      <c r="C3949" s="4" t="str">
        <f>CHOOSE(2, "5461730030", "Jun 26")</f>
        <v>Jun 26</v>
      </c>
      <c r="D3949" s="14">
        <v>41</v>
      </c>
    </row>
    <row r="3950" spans="1:4" x14ac:dyDescent="0.35">
      <c r="A3950" s="5" t="str">
        <f t="shared" si="2010"/>
        <v>Agency</v>
      </c>
      <c r="B3950" s="6" t="str">
        <f t="shared" si="2037"/>
        <v># of Newly Promoted UM</v>
      </c>
      <c r="C3950" s="4" t="str">
        <f>CHOOSE(2, "5462030031", "Jul 26")</f>
        <v>Jul 26</v>
      </c>
      <c r="D3950" s="14">
        <v>266</v>
      </c>
    </row>
    <row r="3951" spans="1:4" x14ac:dyDescent="0.35">
      <c r="A3951" s="5" t="str">
        <f t="shared" si="2010"/>
        <v>Agency</v>
      </c>
      <c r="B3951" s="3" t="str">
        <f t="shared" ref="B3951:B3952" si="2038">CHOOSE(2, "1395000000650", "# of Newly Promoted Leaders above UM")</f>
        <v># of Newly Promoted Leaders above UM</v>
      </c>
      <c r="C3951" s="4" t="str">
        <f>CHOOSE(2, "5461730030", "Jun 26")</f>
        <v>Jun 26</v>
      </c>
      <c r="D3951" s="14">
        <v>8</v>
      </c>
    </row>
    <row r="3952" spans="1:4" x14ac:dyDescent="0.35">
      <c r="A3952" s="5" t="str">
        <f t="shared" si="2010"/>
        <v>Agency</v>
      </c>
      <c r="B3952" s="6" t="str">
        <f t="shared" si="2038"/>
        <v># of Newly Promoted Leaders above UM</v>
      </c>
      <c r="C3952" s="4" t="str">
        <f>CHOOSE(2, "5462030031", "Jul 26")</f>
        <v>Jul 26</v>
      </c>
      <c r="D3952" s="14">
        <v>10</v>
      </c>
    </row>
    <row r="3953" spans="1:4" x14ac:dyDescent="0.35">
      <c r="A3953" s="5" t="str">
        <f t="shared" si="2010"/>
        <v>Agency</v>
      </c>
      <c r="B3953" s="3" t="str">
        <f t="shared" ref="B3953:B3954" si="2039">CHOOSE(2, "1395000000649", "# of Total Leader Promotions")</f>
        <v># of Total Leader Promotions</v>
      </c>
      <c r="C3953" s="4" t="str">
        <f>CHOOSE(2, "5461730030", "Jun 26")</f>
        <v>Jun 26</v>
      </c>
      <c r="D3953" s="14">
        <v>49</v>
      </c>
    </row>
    <row r="3954" spans="1:4" x14ac:dyDescent="0.35">
      <c r="A3954" s="5" t="str">
        <f t="shared" si="2010"/>
        <v>Agency</v>
      </c>
      <c r="B3954" s="6" t="str">
        <f t="shared" si="2039"/>
        <v># of Total Leader Promotions</v>
      </c>
      <c r="C3954" s="4" t="str">
        <f>CHOOSE(2, "5462030031", "Jul 26")</f>
        <v>Jul 26</v>
      </c>
      <c r="D3954" s="14">
        <v>276</v>
      </c>
    </row>
    <row r="3955" spans="1:4" x14ac:dyDescent="0.35">
      <c r="A3955" s="5" t="str">
        <f t="shared" si="2010"/>
        <v>Agency</v>
      </c>
      <c r="B3955" s="3" t="str">
        <f t="shared" ref="B3955:B3956" si="2040">CHOOSE(2, "1395000000648", "# of Newly Demoted UM")</f>
        <v># of Newly Demoted UM</v>
      </c>
      <c r="C3955" s="4" t="str">
        <f>CHOOSE(2, "5461730030", "Jun 26")</f>
        <v>Jun 26</v>
      </c>
      <c r="D3955" s="14">
        <v>6</v>
      </c>
    </row>
    <row r="3956" spans="1:4" x14ac:dyDescent="0.35">
      <c r="A3956" s="5" t="str">
        <f t="shared" si="2010"/>
        <v>Agency</v>
      </c>
      <c r="B3956" s="6" t="str">
        <f t="shared" si="2040"/>
        <v># of Newly Demoted UM</v>
      </c>
      <c r="C3956" s="4" t="str">
        <f>CHOOSE(2, "5462030031", "Jul 26")</f>
        <v>Jul 26</v>
      </c>
      <c r="D3956" s="14">
        <v>4</v>
      </c>
    </row>
    <row r="3957" spans="1:4" x14ac:dyDescent="0.35">
      <c r="A3957" s="5" t="str">
        <f t="shared" si="2010"/>
        <v>Agency</v>
      </c>
      <c r="B3957" s="3" t="str">
        <f t="shared" ref="B3957:B3958" si="2041">CHOOSE(2, "1395000000647", "# of Newly Demoted Leaders above UM")</f>
        <v># of Newly Demoted Leaders above UM</v>
      </c>
      <c r="C3957" s="4" t="str">
        <f>CHOOSE(2, "5461730030", "Jun 26")</f>
        <v>Jun 26</v>
      </c>
      <c r="D3957" s="14">
        <v>5</v>
      </c>
    </row>
    <row r="3958" spans="1:4" x14ac:dyDescent="0.35">
      <c r="A3958" s="5" t="str">
        <f t="shared" si="2010"/>
        <v>Agency</v>
      </c>
      <c r="B3958" s="6" t="str">
        <f t="shared" si="2041"/>
        <v># of Newly Demoted Leaders above UM</v>
      </c>
      <c r="C3958" s="4" t="str">
        <f>CHOOSE(2, "5462030031", "Jul 26")</f>
        <v>Jul 26</v>
      </c>
      <c r="D3958" s="14">
        <v>42</v>
      </c>
    </row>
    <row r="3959" spans="1:4" x14ac:dyDescent="0.35">
      <c r="A3959" s="5" t="str">
        <f t="shared" si="2010"/>
        <v>Agency</v>
      </c>
      <c r="B3959" s="3" t="str">
        <f t="shared" ref="B3959:B3960" si="2042">CHOOSE(2, "1395000000646", "# of Total Leader Demotions")</f>
        <v># of Total Leader Demotions</v>
      </c>
      <c r="C3959" s="4" t="str">
        <f>CHOOSE(2, "5461730030", "Jun 26")</f>
        <v>Jun 26</v>
      </c>
      <c r="D3959" s="14">
        <v>11</v>
      </c>
    </row>
    <row r="3960" spans="1:4" x14ac:dyDescent="0.35">
      <c r="A3960" s="5" t="str">
        <f t="shared" si="2010"/>
        <v>Agency</v>
      </c>
      <c r="B3960" s="6" t="str">
        <f t="shared" si="2042"/>
        <v># of Total Leader Demotions</v>
      </c>
      <c r="C3960" s="4" t="str">
        <f>CHOOSE(2, "5462030031", "Jul 26")</f>
        <v>Jul 26</v>
      </c>
      <c r="D3960" s="14">
        <v>46</v>
      </c>
    </row>
    <row r="3961" spans="1:4" x14ac:dyDescent="0.35">
      <c r="A3961" s="5" t="str">
        <f t="shared" ref="A3961:A4024" si="2043">CHOOSE(2, "1260000000004", "Agency")</f>
        <v>Agency</v>
      </c>
      <c r="B3961" s="3" t="str">
        <f t="shared" ref="B3961:B3962" si="2044">CHOOSE(2, "1395000000645", "# of agents meeting MOC")</f>
        <v># of agents meeting MOC</v>
      </c>
      <c r="C3961" s="4" t="str">
        <f>CHOOSE(2, "5461730030", "Jun 26")</f>
        <v>Jun 26</v>
      </c>
      <c r="D3961" s="14">
        <v>51683</v>
      </c>
    </row>
    <row r="3962" spans="1:4" x14ac:dyDescent="0.35">
      <c r="A3962" s="5" t="str">
        <f t="shared" si="2043"/>
        <v>Agency</v>
      </c>
      <c r="B3962" s="6" t="str">
        <f t="shared" si="2044"/>
        <v># of agents meeting MOC</v>
      </c>
      <c r="C3962" s="4" t="str">
        <f>CHOOSE(2, "5462030031", "Jul 26")</f>
        <v>Jul 26</v>
      </c>
      <c r="D3962" s="14">
        <v>52060</v>
      </c>
    </row>
    <row r="3963" spans="1:4" x14ac:dyDescent="0.35">
      <c r="A3963" s="5" t="str">
        <f t="shared" si="2043"/>
        <v>Agency</v>
      </c>
      <c r="B3963" s="3" t="str">
        <f t="shared" ref="B3963:B3964" si="2045">CHOOSE(2, "1395000000644", "# of agents meeting MOC in FA or equivalent")</f>
        <v># of agents meeting MOC in FA or equivalent</v>
      </c>
      <c r="C3963" s="4" t="str">
        <f>CHOOSE(2, "5461730030", "Jun 26")</f>
        <v>Jun 26</v>
      </c>
      <c r="D3963" s="14">
        <v>50154</v>
      </c>
    </row>
    <row r="3964" spans="1:4" x14ac:dyDescent="0.35">
      <c r="A3964" s="5" t="str">
        <f t="shared" si="2043"/>
        <v>Agency</v>
      </c>
      <c r="B3964" s="6" t="str">
        <f t="shared" si="2045"/>
        <v># of agents meeting MOC in FA or equivalent</v>
      </c>
      <c r="C3964" s="4" t="str">
        <f>CHOOSE(2, "5462030031", "Jul 26")</f>
        <v>Jul 26</v>
      </c>
      <c r="D3964" s="14">
        <v>50522</v>
      </c>
    </row>
    <row r="3965" spans="1:4" x14ac:dyDescent="0.35">
      <c r="A3965" s="5" t="str">
        <f t="shared" si="2043"/>
        <v>Agency</v>
      </c>
      <c r="B3965" s="3" t="str">
        <f t="shared" ref="B3965:B3966" si="2046">CHOOSE(2, "1395000000643", "# of agents meeting MOC in UM")</f>
        <v># of agents meeting MOC in UM</v>
      </c>
      <c r="C3965" s="4" t="str">
        <f>CHOOSE(2, "5461730030", "Jun 26")</f>
        <v>Jun 26</v>
      </c>
      <c r="D3965" s="14">
        <v>777</v>
      </c>
    </row>
    <row r="3966" spans="1:4" x14ac:dyDescent="0.35">
      <c r="A3966" s="5" t="str">
        <f t="shared" si="2043"/>
        <v>Agency</v>
      </c>
      <c r="B3966" s="6" t="str">
        <f t="shared" si="2046"/>
        <v># of agents meeting MOC in UM</v>
      </c>
      <c r="C3966" s="4" t="str">
        <f>CHOOSE(2, "5462030031", "Jul 26")</f>
        <v>Jul 26</v>
      </c>
      <c r="D3966" s="14">
        <v>778</v>
      </c>
    </row>
    <row r="3967" spans="1:4" x14ac:dyDescent="0.35">
      <c r="A3967" s="5" t="str">
        <f t="shared" si="2043"/>
        <v>Agency</v>
      </c>
      <c r="B3967" s="3" t="str">
        <f t="shared" ref="B3967:B3968" si="2047">CHOOSE(2, "1395000000642", "# of agents meeting MOC in Leaders above UM")</f>
        <v># of agents meeting MOC in Leaders above UM</v>
      </c>
      <c r="C3967" s="4" t="str">
        <f>CHOOSE(2, "5461730030", "Jun 26")</f>
        <v>Jun 26</v>
      </c>
      <c r="D3967" s="14">
        <v>752</v>
      </c>
    </row>
    <row r="3968" spans="1:4" x14ac:dyDescent="0.35">
      <c r="A3968" s="5" t="str">
        <f t="shared" si="2043"/>
        <v>Agency</v>
      </c>
      <c r="B3968" s="6" t="str">
        <f t="shared" si="2047"/>
        <v># of agents meeting MOC in Leaders above UM</v>
      </c>
      <c r="C3968" s="4" t="str">
        <f>CHOOSE(2, "5462030031", "Jul 26")</f>
        <v>Jul 26</v>
      </c>
      <c r="D3968" s="14">
        <v>760</v>
      </c>
    </row>
    <row r="3969" spans="1:4" x14ac:dyDescent="0.35">
      <c r="A3969" s="5" t="str">
        <f t="shared" si="2043"/>
        <v>Agency</v>
      </c>
      <c r="B3969" s="3" t="str">
        <f t="shared" ref="B3969:B3970" si="2048">CHOOSE(2, "1395000000641", "New Leaders 3M Activation Rate (by cohort)")</f>
        <v>New Leaders 3M Activation Rate (by cohort)</v>
      </c>
      <c r="C3969" s="4" t="str">
        <f>CHOOSE(2, "5461730030", "Jun 26")</f>
        <v>Jun 26</v>
      </c>
      <c r="D3969" s="14">
        <v>0.33333333333333331</v>
      </c>
    </row>
    <row r="3970" spans="1:4" x14ac:dyDescent="0.35">
      <c r="A3970" s="5" t="str">
        <f t="shared" si="2043"/>
        <v>Agency</v>
      </c>
      <c r="B3970" s="6" t="str">
        <f t="shared" si="2048"/>
        <v>New Leaders 3M Activation Rate (by cohort)</v>
      </c>
      <c r="C3970" s="4" t="str">
        <f>CHOOSE(2, "5462030031", "Jul 26")</f>
        <v>Jul 26</v>
      </c>
      <c r="D3970" s="14">
        <v>0.29411764705882354</v>
      </c>
    </row>
    <row r="3971" spans="1:4" x14ac:dyDescent="0.35">
      <c r="A3971" s="5" t="str">
        <f t="shared" si="2043"/>
        <v>Agency</v>
      </c>
      <c r="B3971" s="3" t="str">
        <f t="shared" ref="B3971:B3972" si="2049">CHOOSE(2, "1395000000640", "New Leaders 3M Activation Rate (by cohort) (numerator)")</f>
        <v>New Leaders 3M Activation Rate (by cohort) (numerator)</v>
      </c>
      <c r="C3971" s="4" t="str">
        <f>CHOOSE(2, "5461730030", "Jun 26")</f>
        <v>Jun 26</v>
      </c>
      <c r="D3971" s="14">
        <v>3</v>
      </c>
    </row>
    <row r="3972" spans="1:4" x14ac:dyDescent="0.35">
      <c r="A3972" s="5" t="str">
        <f t="shared" si="2043"/>
        <v>Agency</v>
      </c>
      <c r="B3972" s="6" t="str">
        <f t="shared" si="2049"/>
        <v>New Leaders 3M Activation Rate (by cohort) (numerator)</v>
      </c>
      <c r="C3972" s="4" t="str">
        <f>CHOOSE(2, "5462030031", "Jul 26")</f>
        <v>Jul 26</v>
      </c>
      <c r="D3972" s="14">
        <v>10</v>
      </c>
    </row>
    <row r="3973" spans="1:4" x14ac:dyDescent="0.35">
      <c r="A3973" s="5" t="str">
        <f t="shared" si="2043"/>
        <v>Agency</v>
      </c>
      <c r="B3973" s="3" t="str">
        <f t="shared" ref="B3973:B3974" si="2050">CHOOSE(2, "1395000000639", "New Leaders 3M Activation Rate (by cohort) (denominator)")</f>
        <v>New Leaders 3M Activation Rate (by cohort) (denominator)</v>
      </c>
      <c r="C3973" s="4" t="str">
        <f>CHOOSE(2, "5461730030", "Jun 26")</f>
        <v>Jun 26</v>
      </c>
      <c r="D3973" s="14">
        <v>9</v>
      </c>
    </row>
    <row r="3974" spans="1:4" x14ac:dyDescent="0.35">
      <c r="A3974" s="5" t="str">
        <f t="shared" si="2043"/>
        <v>Agency</v>
      </c>
      <c r="B3974" s="6" t="str">
        <f t="shared" si="2050"/>
        <v>New Leaders 3M Activation Rate (by cohort) (denominator)</v>
      </c>
      <c r="C3974" s="4" t="str">
        <f>CHOOSE(2, "5462030031", "Jul 26")</f>
        <v>Jul 26</v>
      </c>
      <c r="D3974" s="14">
        <v>34</v>
      </c>
    </row>
    <row r="3975" spans="1:4" x14ac:dyDescent="0.35">
      <c r="A3975" s="5" t="str">
        <f t="shared" si="2043"/>
        <v>Agency</v>
      </c>
      <c r="B3975" s="3" t="str">
        <f t="shared" ref="B3975:B3976" si="2051">CHOOSE(2, "1395000000638", "# of pro-rated MDRT agents (100%)")</f>
        <v># of pro-rated MDRT agents (100%)</v>
      </c>
      <c r="C3975" s="4" t="str">
        <f>CHOOSE(2, "5461730030", "Jun 26")</f>
        <v>Jun 26</v>
      </c>
      <c r="D3975" s="14">
        <v>432</v>
      </c>
    </row>
    <row r="3976" spans="1:4" x14ac:dyDescent="0.35">
      <c r="A3976" s="5" t="str">
        <f t="shared" si="2043"/>
        <v>Agency</v>
      </c>
      <c r="B3976" s="6" t="str">
        <f t="shared" si="2051"/>
        <v># of pro-rated MDRT agents (100%)</v>
      </c>
      <c r="C3976" s="4" t="str">
        <f>CHOOSE(2, "5462030031", "Jul 26")</f>
        <v>Jul 26</v>
      </c>
      <c r="D3976" s="14">
        <v>344</v>
      </c>
    </row>
    <row r="3977" spans="1:4" x14ac:dyDescent="0.35">
      <c r="A3977" s="5" t="str">
        <f t="shared" si="2043"/>
        <v>Agency</v>
      </c>
      <c r="B3977" s="3" t="str">
        <f t="shared" ref="B3977:B3978" si="2052">CHOOSE(2, "1395000000637", "# of pro-rated MDRT agents (90%-99%)")</f>
        <v># of pro-rated MDRT agents (90%-99%)</v>
      </c>
      <c r="C3977" s="4" t="str">
        <f>CHOOSE(2, "5461730030", "Jun 26")</f>
        <v>Jun 26</v>
      </c>
      <c r="D3977" s="2" t="s">
        <v>5</v>
      </c>
    </row>
    <row r="3978" spans="1:4" x14ac:dyDescent="0.35">
      <c r="A3978" s="5" t="str">
        <f t="shared" si="2043"/>
        <v>Agency</v>
      </c>
      <c r="B3978" s="6" t="str">
        <f t="shared" si="2052"/>
        <v># of pro-rated MDRT agents (90%-99%)</v>
      </c>
      <c r="C3978" s="4" t="str">
        <f>CHOOSE(2, "5462030031", "Jul 26")</f>
        <v>Jul 26</v>
      </c>
      <c r="D3978" s="2" t="s">
        <v>5</v>
      </c>
    </row>
    <row r="3979" spans="1:4" x14ac:dyDescent="0.35">
      <c r="A3979" s="5" t="str">
        <f t="shared" si="2043"/>
        <v>Agency</v>
      </c>
      <c r="B3979" s="3" t="str">
        <f t="shared" ref="B3979:B3980" si="2053">CHOOSE(2, "1395000000636", "# of pro-rated MDRT agents (70%-90%)")</f>
        <v># of pro-rated MDRT agents (70%-90%)</v>
      </c>
      <c r="C3979" s="4" t="str">
        <f>CHOOSE(2, "5461730030", "Jun 26")</f>
        <v>Jun 26</v>
      </c>
      <c r="D3979" s="2" t="s">
        <v>5</v>
      </c>
    </row>
    <row r="3980" spans="1:4" x14ac:dyDescent="0.35">
      <c r="A3980" s="5" t="str">
        <f t="shared" si="2043"/>
        <v>Agency</v>
      </c>
      <c r="B3980" s="6" t="str">
        <f t="shared" si="2053"/>
        <v># of pro-rated MDRT agents (70%-90%)</v>
      </c>
      <c r="C3980" s="4" t="str">
        <f>CHOOSE(2, "5462030031", "Jul 26")</f>
        <v>Jul 26</v>
      </c>
      <c r="D3980" s="2" t="s">
        <v>5</v>
      </c>
    </row>
    <row r="3981" spans="1:4" x14ac:dyDescent="0.35">
      <c r="A3981" s="5" t="str">
        <f t="shared" si="2043"/>
        <v>Agency</v>
      </c>
      <c r="B3981" s="3" t="str">
        <f t="shared" ref="B3981:B3982" si="2054">CHOOSE(2, "1395000000635", "# of pro-rated MDRT agents (&lt;70%)")</f>
        <v># of pro-rated MDRT agents (&lt;70%)</v>
      </c>
      <c r="C3981" s="4" t="str">
        <f>CHOOSE(2, "5461730030", "Jun 26")</f>
        <v>Jun 26</v>
      </c>
      <c r="D3981" s="2" t="s">
        <v>5</v>
      </c>
    </row>
    <row r="3982" spans="1:4" x14ac:dyDescent="0.35">
      <c r="A3982" s="5" t="str">
        <f t="shared" si="2043"/>
        <v>Agency</v>
      </c>
      <c r="B3982" s="6" t="str">
        <f t="shared" si="2054"/>
        <v># of pro-rated MDRT agents (&lt;70%)</v>
      </c>
      <c r="C3982" s="4" t="str">
        <f>CHOOSE(2, "5462030031", "Jul 26")</f>
        <v>Jul 26</v>
      </c>
      <c r="D3982" s="2" t="s">
        <v>5</v>
      </c>
    </row>
    <row r="3983" spans="1:4" x14ac:dyDescent="0.35">
      <c r="A3983" s="5" t="str">
        <f t="shared" si="2043"/>
        <v>Agency</v>
      </c>
      <c r="B3983" s="3" t="str">
        <f t="shared" ref="B3983:B3984" si="2055">CHOOSE(2, "1395000000634", "# of pro-rated MDRT agents (50%-70%)")</f>
        <v># of pro-rated MDRT agents (50%-70%)</v>
      </c>
      <c r="C3983" s="4" t="str">
        <f>CHOOSE(2, "5461730030", "Jun 26")</f>
        <v>Jun 26</v>
      </c>
      <c r="D3983" s="2" t="s">
        <v>5</v>
      </c>
    </row>
    <row r="3984" spans="1:4" x14ac:dyDescent="0.35">
      <c r="A3984" s="5" t="str">
        <f t="shared" si="2043"/>
        <v>Agency</v>
      </c>
      <c r="B3984" s="6" t="str">
        <f t="shared" si="2055"/>
        <v># of pro-rated MDRT agents (50%-70%)</v>
      </c>
      <c r="C3984" s="4" t="str">
        <f>CHOOSE(2, "5462030031", "Jul 26")</f>
        <v>Jul 26</v>
      </c>
      <c r="D3984" s="2" t="s">
        <v>5</v>
      </c>
    </row>
    <row r="3985" spans="1:4" x14ac:dyDescent="0.35">
      <c r="A3985" s="5" t="str">
        <f t="shared" si="2043"/>
        <v>Agency</v>
      </c>
      <c r="B3985" s="3" t="str">
        <f t="shared" ref="B3985:B3986" si="2056">CHOOSE(2, "1395000000633", "# of pro-rated MDRT agents (&lt;50%)")</f>
        <v># of pro-rated MDRT agents (&lt;50%)</v>
      </c>
      <c r="C3985" s="4" t="str">
        <f>CHOOSE(2, "5461730030", "Jun 26")</f>
        <v>Jun 26</v>
      </c>
      <c r="D3985" s="2" t="s">
        <v>5</v>
      </c>
    </row>
    <row r="3986" spans="1:4" x14ac:dyDescent="0.35">
      <c r="A3986" s="5" t="str">
        <f t="shared" si="2043"/>
        <v>Agency</v>
      </c>
      <c r="B3986" s="6" t="str">
        <f t="shared" si="2056"/>
        <v># of pro-rated MDRT agents (&lt;50%)</v>
      </c>
      <c r="C3986" s="4" t="str">
        <f>CHOOSE(2, "5462030031", "Jul 26")</f>
        <v>Jul 26</v>
      </c>
      <c r="D3986" s="2" t="s">
        <v>5</v>
      </c>
    </row>
    <row r="3987" spans="1:4" x14ac:dyDescent="0.35">
      <c r="A3987" s="5" t="str">
        <f t="shared" si="2043"/>
        <v>Agency</v>
      </c>
      <c r="B3987" s="3" t="str">
        <f t="shared" ref="B3987:B3988" si="2057">CHOOSE(2, "1395000000632", "# of pro-rated MDRT agents (70-99%)")</f>
        <v># of pro-rated MDRT agents (70-99%)</v>
      </c>
      <c r="C3987" s="4" t="str">
        <f>CHOOSE(2, "5461730030", "Jun 26")</f>
        <v>Jun 26</v>
      </c>
      <c r="D3987" s="14">
        <v>236</v>
      </c>
    </row>
    <row r="3988" spans="1:4" x14ac:dyDescent="0.35">
      <c r="A3988" s="5" t="str">
        <f t="shared" si="2043"/>
        <v>Agency</v>
      </c>
      <c r="B3988" s="6" t="str">
        <f t="shared" si="2057"/>
        <v># of pro-rated MDRT agents (70-99%)</v>
      </c>
      <c r="C3988" s="4" t="str">
        <f>CHOOSE(2, "5462030031", "Jul 26")</f>
        <v>Jul 26</v>
      </c>
      <c r="D3988" s="14">
        <v>267</v>
      </c>
    </row>
    <row r="3989" spans="1:4" x14ac:dyDescent="0.35">
      <c r="A3989" s="5" t="str">
        <f t="shared" si="2043"/>
        <v>Agency</v>
      </c>
      <c r="B3989" s="3" t="str">
        <f t="shared" ref="B3989:B3990" si="2058">CHOOSE(2, "1395000000631", "# of pro-rated MDRT agents (50-69%)")</f>
        <v># of pro-rated MDRT agents (50-69%)</v>
      </c>
      <c r="C3989" s="4" t="str">
        <f>CHOOSE(2, "5461730030", "Jun 26")</f>
        <v>Jun 26</v>
      </c>
      <c r="D3989" s="14">
        <v>220</v>
      </c>
    </row>
    <row r="3990" spans="1:4" x14ac:dyDescent="0.35">
      <c r="A3990" s="5" t="str">
        <f t="shared" si="2043"/>
        <v>Agency</v>
      </c>
      <c r="B3990" s="6" t="str">
        <f t="shared" si="2058"/>
        <v># of pro-rated MDRT agents (50-69%)</v>
      </c>
      <c r="C3990" s="4" t="str">
        <f>CHOOSE(2, "5462030031", "Jul 26")</f>
        <v>Jul 26</v>
      </c>
      <c r="D3990" s="14">
        <v>182</v>
      </c>
    </row>
    <row r="3991" spans="1:4" x14ac:dyDescent="0.35">
      <c r="A3991" s="5" t="str">
        <f t="shared" si="2043"/>
        <v>Agency</v>
      </c>
      <c r="B3991" s="3" t="str">
        <f t="shared" ref="B3991:B3992" si="2059">CHOOSE(2, "1395000000630", "# of Top-tier agents")</f>
        <v># of Top-tier agents</v>
      </c>
      <c r="C3991" s="4" t="str">
        <f>CHOOSE(2, "5461730030", "Jun 26")</f>
        <v>Jun 26</v>
      </c>
      <c r="D3991" s="14">
        <v>888</v>
      </c>
    </row>
    <row r="3992" spans="1:4" x14ac:dyDescent="0.35">
      <c r="A3992" s="5" t="str">
        <f t="shared" si="2043"/>
        <v>Agency</v>
      </c>
      <c r="B3992" s="6" t="str">
        <f t="shared" si="2059"/>
        <v># of Top-tier agents</v>
      </c>
      <c r="C3992" s="4" t="str">
        <f>CHOOSE(2, "5462030031", "Jul 26")</f>
        <v>Jul 26</v>
      </c>
      <c r="D3992" s="14">
        <v>793</v>
      </c>
    </row>
    <row r="3993" spans="1:4" x14ac:dyDescent="0.35">
      <c r="A3993" s="5" t="str">
        <f t="shared" si="2043"/>
        <v>Agency</v>
      </c>
      <c r="B3993" s="3" t="str">
        <f t="shared" ref="B3993:B3994" si="2060">CHOOSE(2, "1395000000629", "$ APE from pro-rated MDRT agents (100%)")</f>
        <v>$ APE from pro-rated MDRT agents (100%)</v>
      </c>
      <c r="C3993" s="4" t="str">
        <f>CHOOSE(2, "5461730030", "Jun 26")</f>
        <v>Jun 26</v>
      </c>
      <c r="D3993" s="14">
        <v>2157772.6344400002</v>
      </c>
    </row>
    <row r="3994" spans="1:4" x14ac:dyDescent="0.35">
      <c r="A3994" s="5" t="str">
        <f t="shared" si="2043"/>
        <v>Agency</v>
      </c>
      <c r="B3994" s="6" t="str">
        <f t="shared" si="2060"/>
        <v>$ APE from pro-rated MDRT agents (100%)</v>
      </c>
      <c r="C3994" s="4" t="str">
        <f>CHOOSE(2, "5462030031", "Jul 26")</f>
        <v>Jul 26</v>
      </c>
      <c r="D3994" s="14">
        <v>1176220.7358800001</v>
      </c>
    </row>
    <row r="3995" spans="1:4" x14ac:dyDescent="0.35">
      <c r="A3995" s="5" t="str">
        <f t="shared" si="2043"/>
        <v>Agency</v>
      </c>
      <c r="B3995" s="3" t="str">
        <f t="shared" ref="B3995:B3996" si="2061">CHOOSE(2, "1395000000628", "$ APE from pro-rated MDRT agents (70-99%)")</f>
        <v>$ APE from pro-rated MDRT agents (70-99%)</v>
      </c>
      <c r="C3995" s="4" t="str">
        <f>CHOOSE(2, "5461730030", "Jun 26")</f>
        <v>Jun 26</v>
      </c>
      <c r="D3995" s="14">
        <v>409870.91687999998</v>
      </c>
    </row>
    <row r="3996" spans="1:4" x14ac:dyDescent="0.35">
      <c r="A3996" s="5" t="str">
        <f t="shared" si="2043"/>
        <v>Agency</v>
      </c>
      <c r="B3996" s="6" t="str">
        <f t="shared" si="2061"/>
        <v>$ APE from pro-rated MDRT agents (70-99%)</v>
      </c>
      <c r="C3996" s="4" t="str">
        <f>CHOOSE(2, "5462030031", "Jul 26")</f>
        <v>Jul 26</v>
      </c>
      <c r="D3996" s="14">
        <v>358047.88563999999</v>
      </c>
    </row>
    <row r="3997" spans="1:4" x14ac:dyDescent="0.35">
      <c r="A3997" s="5" t="str">
        <f t="shared" si="2043"/>
        <v>Agency</v>
      </c>
      <c r="B3997" s="3" t="str">
        <f t="shared" ref="B3997:B3998" si="2062">CHOOSE(2, "1395000000627", "$ APE from pro-rated MDRT agents (50-69%)")</f>
        <v>$ APE from pro-rated MDRT agents (50-69%)</v>
      </c>
      <c r="C3997" s="4" t="str">
        <f>CHOOSE(2, "5461730030", "Jun 26")</f>
        <v>Jun 26</v>
      </c>
      <c r="D3997" s="14">
        <v>333340.51439999999</v>
      </c>
    </row>
    <row r="3998" spans="1:4" x14ac:dyDescent="0.35">
      <c r="A3998" s="5" t="str">
        <f t="shared" si="2043"/>
        <v>Agency</v>
      </c>
      <c r="B3998" s="6" t="str">
        <f t="shared" si="2062"/>
        <v>$ APE from pro-rated MDRT agents (50-69%)</v>
      </c>
      <c r="C3998" s="4" t="str">
        <f>CHOOSE(2, "5462030031", "Jul 26")</f>
        <v>Jul 26</v>
      </c>
      <c r="D3998" s="14">
        <v>239587.34151999999</v>
      </c>
    </row>
    <row r="3999" spans="1:4" x14ac:dyDescent="0.35">
      <c r="A3999" s="5" t="str">
        <f t="shared" si="2043"/>
        <v>Agency</v>
      </c>
      <c r="B3999" s="3" t="str">
        <f t="shared" ref="B3999:B4000" si="2063">CHOOSE(2, "1395000000626", "$ APE from Top-tier agents")</f>
        <v>$ APE from Top-tier agents</v>
      </c>
      <c r="C3999" s="4" t="str">
        <f>CHOOSE(2, "5461730030", "Jun 26")</f>
        <v>Jun 26</v>
      </c>
      <c r="D3999" s="14">
        <v>2900984.0657199998</v>
      </c>
    </row>
    <row r="4000" spans="1:4" x14ac:dyDescent="0.35">
      <c r="A4000" s="5" t="str">
        <f t="shared" si="2043"/>
        <v>Agency</v>
      </c>
      <c r="B4000" s="6" t="str">
        <f t="shared" si="2063"/>
        <v>$ APE from Top-tier agents</v>
      </c>
      <c r="C4000" s="4" t="str">
        <f>CHOOSE(2, "5462030031", "Jul 26")</f>
        <v>Jul 26</v>
      </c>
      <c r="D4000" s="14">
        <v>1773855.9630400001</v>
      </c>
    </row>
    <row r="4001" spans="1:4" x14ac:dyDescent="0.35">
      <c r="A4001" s="5" t="str">
        <f t="shared" si="2043"/>
        <v>Agency</v>
      </c>
      <c r="B4001" s="3" t="str">
        <f t="shared" ref="B4001:B4002" si="2064">CHOOSE(2, "1395000000625", "# of MDRT qualifiers - YTD")</f>
        <v># of MDRT qualifiers - YTD</v>
      </c>
      <c r="C4001" s="4" t="str">
        <f>CHOOSE(2, "5461730030", "Jun 26")</f>
        <v>Jun 26</v>
      </c>
      <c r="D4001" s="14">
        <v>64</v>
      </c>
    </row>
    <row r="4002" spans="1:4" x14ac:dyDescent="0.35">
      <c r="A4002" s="5" t="str">
        <f t="shared" si="2043"/>
        <v>Agency</v>
      </c>
      <c r="B4002" s="6" t="str">
        <f t="shared" si="2064"/>
        <v># of MDRT qualifiers - YTD</v>
      </c>
      <c r="C4002" s="4" t="str">
        <f>CHOOSE(2, "5462030031", "Jul 26")</f>
        <v>Jul 26</v>
      </c>
      <c r="D4002" s="14">
        <v>81</v>
      </c>
    </row>
    <row r="4003" spans="1:4" x14ac:dyDescent="0.35">
      <c r="A4003" s="5" t="str">
        <f t="shared" si="2043"/>
        <v>Agency</v>
      </c>
      <c r="B4003" s="3" t="str">
        <f t="shared" ref="B4003:B4004" si="2065">CHOOSE(2, "1395000000624", "# of MDRT COT qualifiers - YTD")</f>
        <v># of MDRT COT qualifiers - YTD</v>
      </c>
      <c r="C4003" s="4" t="str">
        <f>CHOOSE(2, "5461730030", "Jun 26")</f>
        <v>Jun 26</v>
      </c>
      <c r="D4003" s="14">
        <v>1</v>
      </c>
    </row>
    <row r="4004" spans="1:4" x14ac:dyDescent="0.35">
      <c r="A4004" s="5" t="str">
        <f t="shared" si="2043"/>
        <v>Agency</v>
      </c>
      <c r="B4004" s="6" t="str">
        <f t="shared" si="2065"/>
        <v># of MDRT COT qualifiers - YTD</v>
      </c>
      <c r="C4004" s="4" t="str">
        <f>CHOOSE(2, "5462030031", "Jul 26")</f>
        <v>Jul 26</v>
      </c>
      <c r="D4004" s="14">
        <v>1</v>
      </c>
    </row>
    <row r="4005" spans="1:4" x14ac:dyDescent="0.35">
      <c r="A4005" s="5" t="str">
        <f t="shared" si="2043"/>
        <v>Agency</v>
      </c>
      <c r="B4005" s="3" t="str">
        <f t="shared" ref="B4005:B4006" si="2066">CHOOSE(2, "1395000000623", "# of MDRT TOT qualifiers - YTD")</f>
        <v># of MDRT TOT qualifiers - YTD</v>
      </c>
      <c r="C4005" s="4" t="str">
        <f>CHOOSE(2, "5461730030", "Jun 26")</f>
        <v>Jun 26</v>
      </c>
      <c r="D4005" s="14">
        <v>1</v>
      </c>
    </row>
    <row r="4006" spans="1:4" x14ac:dyDescent="0.35">
      <c r="A4006" s="5" t="str">
        <f t="shared" si="2043"/>
        <v>Agency</v>
      </c>
      <c r="B4006" s="6" t="str">
        <f t="shared" si="2066"/>
        <v># of MDRT TOT qualifiers - YTD</v>
      </c>
      <c r="C4006" s="4" t="str">
        <f>CHOOSE(2, "5462030031", "Jul 26")</f>
        <v>Jul 26</v>
      </c>
      <c r="D4006" s="14">
        <v>1</v>
      </c>
    </row>
    <row r="4007" spans="1:4" x14ac:dyDescent="0.35">
      <c r="A4007" s="5" t="str">
        <f t="shared" si="2043"/>
        <v>Agency</v>
      </c>
      <c r="B4007" s="3" t="str">
        <f t="shared" ref="B4007:B4008" si="2067">CHOOSE(2, "1395000000622", "Manulife Pro Qualifiers - Total")</f>
        <v>Manulife Pro Qualifiers - Total</v>
      </c>
      <c r="C4007" s="4" t="str">
        <f>CHOOSE(2, "5461730030", "Jun 26")</f>
        <v>Jun 26</v>
      </c>
      <c r="D4007" s="14">
        <v>3513</v>
      </c>
    </row>
    <row r="4008" spans="1:4" x14ac:dyDescent="0.35">
      <c r="A4008" s="5" t="str">
        <f t="shared" si="2043"/>
        <v>Agency</v>
      </c>
      <c r="B4008" s="6" t="str">
        <f t="shared" si="2067"/>
        <v>Manulife Pro Qualifiers - Total</v>
      </c>
      <c r="C4008" s="4" t="str">
        <f>CHOOSE(2, "5462030031", "Jul 26")</f>
        <v>Jul 26</v>
      </c>
      <c r="D4008" s="14">
        <v>3283</v>
      </c>
    </row>
    <row r="4009" spans="1:4" x14ac:dyDescent="0.35">
      <c r="A4009" s="5" t="str">
        <f t="shared" si="2043"/>
        <v>Agency</v>
      </c>
      <c r="B4009" s="3" t="str">
        <f t="shared" ref="B4009:B4010" si="2068">CHOOSE(2, "1395000000621", "Manulife Pro Qualifiers - Silver")</f>
        <v>Manulife Pro Qualifiers - Silver</v>
      </c>
      <c r="C4009" s="4" t="str">
        <f>CHOOSE(2, "5461730030", "Jun 26")</f>
        <v>Jun 26</v>
      </c>
      <c r="D4009" s="2" t="s">
        <v>5</v>
      </c>
    </row>
    <row r="4010" spans="1:4" x14ac:dyDescent="0.35">
      <c r="A4010" s="5" t="str">
        <f t="shared" si="2043"/>
        <v>Agency</v>
      </c>
      <c r="B4010" s="6" t="str">
        <f t="shared" si="2068"/>
        <v>Manulife Pro Qualifiers - Silver</v>
      </c>
      <c r="C4010" s="4" t="str">
        <f>CHOOSE(2, "5462030031", "Jul 26")</f>
        <v>Jul 26</v>
      </c>
      <c r="D4010" s="2" t="s">
        <v>5</v>
      </c>
    </row>
    <row r="4011" spans="1:4" x14ac:dyDescent="0.35">
      <c r="A4011" s="5" t="str">
        <f t="shared" si="2043"/>
        <v>Agency</v>
      </c>
      <c r="B4011" s="3" t="str">
        <f t="shared" ref="B4011:B4012" si="2069">CHOOSE(2, "1395000000620", "Manulife Pro Qualifiers - Gold")</f>
        <v>Manulife Pro Qualifiers - Gold</v>
      </c>
      <c r="C4011" s="4" t="str">
        <f>CHOOSE(2, "5461730030", "Jun 26")</f>
        <v>Jun 26</v>
      </c>
      <c r="D4011" s="2" t="s">
        <v>5</v>
      </c>
    </row>
    <row r="4012" spans="1:4" x14ac:dyDescent="0.35">
      <c r="A4012" s="5" t="str">
        <f t="shared" si="2043"/>
        <v>Agency</v>
      </c>
      <c r="B4012" s="6" t="str">
        <f t="shared" si="2069"/>
        <v>Manulife Pro Qualifiers - Gold</v>
      </c>
      <c r="C4012" s="4" t="str">
        <f>CHOOSE(2, "5462030031", "Jul 26")</f>
        <v>Jul 26</v>
      </c>
      <c r="D4012" s="2" t="s">
        <v>5</v>
      </c>
    </row>
    <row r="4013" spans="1:4" x14ac:dyDescent="0.35">
      <c r="A4013" s="5" t="str">
        <f t="shared" si="2043"/>
        <v>Agency</v>
      </c>
      <c r="B4013" s="3" t="str">
        <f t="shared" ref="B4013:B4014" si="2070">CHOOSE(2, "1395000000619", "Manulife Pro Qualifiers  - Platinum")</f>
        <v>Manulife Pro Qualifiers  - Platinum</v>
      </c>
      <c r="C4013" s="4" t="str">
        <f>CHOOSE(2, "5461730030", "Jun 26")</f>
        <v>Jun 26</v>
      </c>
      <c r="D4013" s="2" t="s">
        <v>5</v>
      </c>
    </row>
    <row r="4014" spans="1:4" x14ac:dyDescent="0.35">
      <c r="A4014" s="5" t="str">
        <f t="shared" si="2043"/>
        <v>Agency</v>
      </c>
      <c r="B4014" s="6" t="str">
        <f t="shared" si="2070"/>
        <v>Manulife Pro Qualifiers  - Platinum</v>
      </c>
      <c r="C4014" s="4" t="str">
        <f>CHOOSE(2, "5462030031", "Jul 26")</f>
        <v>Jul 26</v>
      </c>
      <c r="D4014" s="2" t="s">
        <v>5</v>
      </c>
    </row>
    <row r="4015" spans="1:4" x14ac:dyDescent="0.35">
      <c r="A4015" s="5" t="str">
        <f t="shared" si="2043"/>
        <v>Agency</v>
      </c>
      <c r="B4015" s="3" t="str">
        <f t="shared" ref="B4015:B4016" si="2071">CHOOSE(2, "1395000000618", "$ APE from Manulife Pro - Total")</f>
        <v>$ APE from Manulife Pro - Total</v>
      </c>
      <c r="C4015" s="4" t="str">
        <f>CHOOSE(2, "5461730030", "Jun 26")</f>
        <v>Jun 26</v>
      </c>
      <c r="D4015" s="14">
        <v>3468029.50226</v>
      </c>
    </row>
    <row r="4016" spans="1:4" x14ac:dyDescent="0.35">
      <c r="A4016" s="5" t="str">
        <f t="shared" si="2043"/>
        <v>Agency</v>
      </c>
      <c r="B4016" s="6" t="str">
        <f t="shared" si="2071"/>
        <v>$ APE from Manulife Pro - Total</v>
      </c>
      <c r="C4016" s="4" t="str">
        <f>CHOOSE(2, "5462030031", "Jul 26")</f>
        <v>Jul 26</v>
      </c>
      <c r="D4016" s="14">
        <v>2339418.3640800002</v>
      </c>
    </row>
    <row r="4017" spans="1:4" x14ac:dyDescent="0.35">
      <c r="A4017" s="5" t="str">
        <f t="shared" si="2043"/>
        <v>Agency</v>
      </c>
      <c r="B4017" s="3" t="str">
        <f t="shared" ref="B4017:B4018" si="2072">CHOOSE(2, "1395000000617", "$ APE from Manulife Pro - Silver")</f>
        <v>$ APE from Manulife Pro - Silver</v>
      </c>
      <c r="C4017" s="4" t="str">
        <f>CHOOSE(2, "5461730030", "Jun 26")</f>
        <v>Jun 26</v>
      </c>
      <c r="D4017" s="2" t="s">
        <v>5</v>
      </c>
    </row>
    <row r="4018" spans="1:4" x14ac:dyDescent="0.35">
      <c r="A4018" s="5" t="str">
        <f t="shared" si="2043"/>
        <v>Agency</v>
      </c>
      <c r="B4018" s="6" t="str">
        <f t="shared" si="2072"/>
        <v>$ APE from Manulife Pro - Silver</v>
      </c>
      <c r="C4018" s="4" t="str">
        <f>CHOOSE(2, "5462030031", "Jul 26")</f>
        <v>Jul 26</v>
      </c>
      <c r="D4018" s="2" t="s">
        <v>5</v>
      </c>
    </row>
    <row r="4019" spans="1:4" x14ac:dyDescent="0.35">
      <c r="A4019" s="5" t="str">
        <f t="shared" si="2043"/>
        <v>Agency</v>
      </c>
      <c r="B4019" s="3" t="str">
        <f t="shared" ref="B4019:B4020" si="2073">CHOOSE(2, "1395000000616", "$ APE from Manulife Pro - Gold")</f>
        <v>$ APE from Manulife Pro - Gold</v>
      </c>
      <c r="C4019" s="4" t="str">
        <f>CHOOSE(2, "5461730030", "Jun 26")</f>
        <v>Jun 26</v>
      </c>
      <c r="D4019" s="2" t="s">
        <v>5</v>
      </c>
    </row>
    <row r="4020" spans="1:4" x14ac:dyDescent="0.35">
      <c r="A4020" s="5" t="str">
        <f t="shared" si="2043"/>
        <v>Agency</v>
      </c>
      <c r="B4020" s="6" t="str">
        <f t="shared" si="2073"/>
        <v>$ APE from Manulife Pro - Gold</v>
      </c>
      <c r="C4020" s="4" t="str">
        <f>CHOOSE(2, "5462030031", "Jul 26")</f>
        <v>Jul 26</v>
      </c>
      <c r="D4020" s="2" t="s">
        <v>5</v>
      </c>
    </row>
    <row r="4021" spans="1:4" x14ac:dyDescent="0.35">
      <c r="A4021" s="5" t="str">
        <f t="shared" si="2043"/>
        <v>Agency</v>
      </c>
      <c r="B4021" s="3" t="str">
        <f t="shared" ref="B4021:B4022" si="2074">CHOOSE(2, "1395000000615", "$ APE from Manulife Pro  - Platinum")</f>
        <v>$ APE from Manulife Pro  - Platinum</v>
      </c>
      <c r="C4021" s="4" t="str">
        <f>CHOOSE(2, "5461730030", "Jun 26")</f>
        <v>Jun 26</v>
      </c>
      <c r="D4021" s="2" t="s">
        <v>5</v>
      </c>
    </row>
    <row r="4022" spans="1:4" x14ac:dyDescent="0.35">
      <c r="A4022" s="5" t="str">
        <f t="shared" si="2043"/>
        <v>Agency</v>
      </c>
      <c r="B4022" s="6" t="str">
        <f t="shared" si="2074"/>
        <v>$ APE from Manulife Pro  - Platinum</v>
      </c>
      <c r="C4022" s="4" t="str">
        <f>CHOOSE(2, "5462030031", "Jul 26")</f>
        <v>Jul 26</v>
      </c>
      <c r="D4022" s="2" t="s">
        <v>5</v>
      </c>
    </row>
    <row r="4023" spans="1:4" x14ac:dyDescent="0.35">
      <c r="A4023" s="5" t="str">
        <f t="shared" si="2043"/>
        <v>Agency</v>
      </c>
      <c r="B4023" s="3" t="str">
        <f t="shared" ref="B4023:B4024" si="2075">CHOOSE(2, "1395000000614", "Issued APE")</f>
        <v>Issued APE</v>
      </c>
      <c r="C4023" s="4" t="str">
        <f>CHOOSE(2, "5461730030", "Jun 26")</f>
        <v>Jun 26</v>
      </c>
      <c r="D4023" s="14">
        <v>4340785.0326220002</v>
      </c>
    </row>
    <row r="4024" spans="1:4" x14ac:dyDescent="0.35">
      <c r="A4024" s="5" t="str">
        <f t="shared" si="2043"/>
        <v>Agency</v>
      </c>
      <c r="B4024" s="6" t="str">
        <f t="shared" si="2075"/>
        <v>Issued APE</v>
      </c>
      <c r="C4024" s="4" t="str">
        <f>CHOOSE(2, "5462030031", "Jul 26")</f>
        <v>Jul 26</v>
      </c>
      <c r="D4024" s="14">
        <v>3200713.2589820004</v>
      </c>
    </row>
    <row r="4025" spans="1:4" x14ac:dyDescent="0.35">
      <c r="A4025" s="5" t="str">
        <f t="shared" ref="A4025:A4088" si="2076">CHOOSE(2, "1260000000004", "Agency")</f>
        <v>Agency</v>
      </c>
      <c r="B4025" s="3" t="str">
        <f t="shared" ref="B4025:B4026" si="2077">CHOOSE(2, "1395000000613", "Post-MI APE")</f>
        <v>Post-MI APE</v>
      </c>
      <c r="C4025" s="4" t="str">
        <f>CHOOSE(2, "5461730030", "Jun 26")</f>
        <v>Jun 26</v>
      </c>
      <c r="D4025" s="14">
        <v>4340785.0326220002</v>
      </c>
    </row>
    <row r="4026" spans="1:4" x14ac:dyDescent="0.35">
      <c r="A4026" s="5" t="str">
        <f t="shared" si="2076"/>
        <v>Agency</v>
      </c>
      <c r="B4026" s="6" t="str">
        <f t="shared" si="2077"/>
        <v>Post-MI APE</v>
      </c>
      <c r="C4026" s="4" t="str">
        <f>CHOOSE(2, "5462030031", "Jul 26")</f>
        <v>Jul 26</v>
      </c>
      <c r="D4026" s="14">
        <v>3200713.2589820004</v>
      </c>
    </row>
    <row r="4027" spans="1:4" x14ac:dyDescent="0.35">
      <c r="A4027" s="5" t="str">
        <f t="shared" si="2076"/>
        <v>Agency</v>
      </c>
      <c r="B4027" s="3" t="str">
        <f t="shared" ref="B4027:B4028" si="2078">CHOOSE(2, "1395000000610", "Pre-gap NBV")</f>
        <v>Pre-gap NBV</v>
      </c>
      <c r="C4027" s="4" t="str">
        <f>CHOOSE(2, "5461730030", "Jun 26")</f>
        <v>Jun 26</v>
      </c>
      <c r="D4027" s="14">
        <v>1384002.7507824199</v>
      </c>
    </row>
    <row r="4028" spans="1:4" x14ac:dyDescent="0.35">
      <c r="A4028" s="5" t="str">
        <f t="shared" si="2076"/>
        <v>Agency</v>
      </c>
      <c r="B4028" s="6" t="str">
        <f t="shared" si="2078"/>
        <v>Pre-gap NBV</v>
      </c>
      <c r="C4028" s="4" t="str">
        <f>CHOOSE(2, "5462030031", "Jul 26")</f>
        <v>Jul 26</v>
      </c>
      <c r="D4028" s="14">
        <v>1104852.1663952002</v>
      </c>
    </row>
    <row r="4029" spans="1:4" x14ac:dyDescent="0.35">
      <c r="A4029" s="5" t="str">
        <f t="shared" si="2076"/>
        <v>Agency</v>
      </c>
      <c r="B4029" s="3" t="str">
        <f t="shared" ref="B4029:B4030" si="2079">CHOOSE(2, "1395000000609", "Pre-gap NBV Margin %")</f>
        <v>Pre-gap NBV Margin %</v>
      </c>
      <c r="C4029" s="4" t="str">
        <f>CHOOSE(2, "5461730030", "Jun 26")</f>
        <v>Jun 26</v>
      </c>
      <c r="D4029" s="14">
        <v>0.31883697082009826</v>
      </c>
    </row>
    <row r="4030" spans="1:4" x14ac:dyDescent="0.35">
      <c r="A4030" s="5" t="str">
        <f t="shared" si="2076"/>
        <v>Agency</v>
      </c>
      <c r="B4030" s="6" t="str">
        <f t="shared" si="2079"/>
        <v>Pre-gap NBV Margin %</v>
      </c>
      <c r="C4030" s="4" t="str">
        <f>CHOOSE(2, "5462030031", "Jul 26")</f>
        <v>Jul 26</v>
      </c>
      <c r="D4030" s="14">
        <v>0.34518936155705582</v>
      </c>
    </row>
    <row r="4031" spans="1:4" x14ac:dyDescent="0.35">
      <c r="A4031" s="5" t="str">
        <f t="shared" si="2076"/>
        <v>Agency</v>
      </c>
      <c r="B4031" s="3" t="str">
        <f t="shared" ref="B4031:B4032" si="2080">CHOOSE(2, "1395000000608", "Post-gap NBV")</f>
        <v>Post-gap NBV</v>
      </c>
      <c r="C4031" s="4" t="str">
        <f>CHOOSE(2, "5461730030", "Jun 26")</f>
        <v>Jun 26</v>
      </c>
      <c r="D4031" s="14">
        <v>1384002.7507824199</v>
      </c>
    </row>
    <row r="4032" spans="1:4" x14ac:dyDescent="0.35">
      <c r="A4032" s="5" t="str">
        <f t="shared" si="2076"/>
        <v>Agency</v>
      </c>
      <c r="B4032" s="6" t="str">
        <f t="shared" si="2080"/>
        <v>Post-gap NBV</v>
      </c>
      <c r="C4032" s="4" t="str">
        <f>CHOOSE(2, "5462030031", "Jul 26")</f>
        <v>Jul 26</v>
      </c>
      <c r="D4032" s="14">
        <v>1104852.1663952002</v>
      </c>
    </row>
    <row r="4033" spans="1:4" x14ac:dyDescent="0.35">
      <c r="A4033" s="5" t="str">
        <f t="shared" si="2076"/>
        <v>Agency</v>
      </c>
      <c r="B4033" s="3" t="str">
        <f t="shared" ref="B4033:B4034" si="2081">CHOOSE(2, "1395000000607", "Post-gap NBV Margin %")</f>
        <v>Post-gap NBV Margin %</v>
      </c>
      <c r="C4033" s="4" t="str">
        <f>CHOOSE(2, "5461730030", "Jun 26")</f>
        <v>Jun 26</v>
      </c>
      <c r="D4033" s="14">
        <v>0.31883697082009826</v>
      </c>
    </row>
    <row r="4034" spans="1:4" x14ac:dyDescent="0.35">
      <c r="A4034" s="5" t="str">
        <f t="shared" si="2076"/>
        <v>Agency</v>
      </c>
      <c r="B4034" s="6" t="str">
        <f t="shared" si="2081"/>
        <v>Post-gap NBV Margin %</v>
      </c>
      <c r="C4034" s="4" t="str">
        <f>CHOOSE(2, "5462030031", "Jul 26")</f>
        <v>Jul 26</v>
      </c>
      <c r="D4034" s="14">
        <v>0.34518936155705582</v>
      </c>
    </row>
    <row r="4035" spans="1:4" x14ac:dyDescent="0.35">
      <c r="A4035" s="5" t="str">
        <f t="shared" si="2076"/>
        <v>Agency</v>
      </c>
      <c r="B4035" s="3" t="str">
        <f t="shared" ref="B4035:B4036" si="2082">CHOOSE(2, "1395000000606", "NB CSM")</f>
        <v>NB CSM</v>
      </c>
      <c r="C4035" s="4" t="str">
        <f>CHOOSE(2, "5461730030", "Jun 26")</f>
        <v>Jun 26</v>
      </c>
      <c r="D4035" s="14">
        <v>2745182.6879125801</v>
      </c>
    </row>
    <row r="4036" spans="1:4" x14ac:dyDescent="0.35">
      <c r="A4036" s="5" t="str">
        <f t="shared" si="2076"/>
        <v>Agency</v>
      </c>
      <c r="B4036" s="6" t="str">
        <f t="shared" si="2082"/>
        <v>NB CSM</v>
      </c>
      <c r="C4036" s="4" t="str">
        <f>CHOOSE(2, "5462030031", "Jul 26")</f>
        <v>Jul 26</v>
      </c>
      <c r="D4036" s="14">
        <v>2372339.1290723002</v>
      </c>
    </row>
    <row r="4037" spans="1:4" x14ac:dyDescent="0.35">
      <c r="A4037" s="5" t="str">
        <f t="shared" si="2076"/>
        <v>Agency</v>
      </c>
      <c r="B4037" s="3" t="str">
        <f t="shared" ref="B4037:B4038" si="2083">CHOOSE(2, "1395000000605", "NB CSM Margin %")</f>
        <v>NB CSM Margin %</v>
      </c>
      <c r="C4037" s="4" t="str">
        <f>CHOOSE(2, "5461730030", "Jun 26")</f>
        <v>Jun 26</v>
      </c>
      <c r="D4037" s="14">
        <v>0.6324161798573068</v>
      </c>
    </row>
    <row r="4038" spans="1:4" x14ac:dyDescent="0.35">
      <c r="A4038" s="5" t="str">
        <f t="shared" si="2076"/>
        <v>Agency</v>
      </c>
      <c r="B4038" s="6" t="str">
        <f t="shared" si="2083"/>
        <v>NB CSM Margin %</v>
      </c>
      <c r="C4038" s="4" t="str">
        <f>CHOOSE(2, "5462030031", "Jul 26")</f>
        <v>Jul 26</v>
      </c>
      <c r="D4038" s="14">
        <v>0.74119077128040889</v>
      </c>
    </row>
    <row r="4039" spans="1:4" x14ac:dyDescent="0.35">
      <c r="A4039" s="5" t="str">
        <f t="shared" si="2076"/>
        <v>Agency</v>
      </c>
      <c r="B4039" s="3" t="str">
        <f t="shared" ref="B4039:B4040" si="2084">CHOOSE(2, "1395000000604", "PRE")</f>
        <v>PRE</v>
      </c>
      <c r="C4039" s="4" t="str">
        <f>CHOOSE(2, "5461730030", "Jun 26")</f>
        <v>Jun 26</v>
      </c>
      <c r="D4039" s="14">
        <v>450000</v>
      </c>
    </row>
    <row r="4040" spans="1:4" x14ac:dyDescent="0.35">
      <c r="A4040" s="5" t="str">
        <f t="shared" si="2076"/>
        <v>Agency</v>
      </c>
      <c r="B4040" s="6" t="str">
        <f t="shared" si="2084"/>
        <v>PRE</v>
      </c>
      <c r="C4040" s="4" t="str">
        <f>CHOOSE(2, "5462030031", "Jul 26")</f>
        <v>Jul 26</v>
      </c>
      <c r="D4040" s="14">
        <v>1709999.9999999998</v>
      </c>
    </row>
    <row r="4041" spans="1:4" x14ac:dyDescent="0.35">
      <c r="A4041" s="5" t="str">
        <f t="shared" si="2076"/>
        <v>Agency</v>
      </c>
      <c r="B4041" s="3" t="str">
        <f t="shared" ref="B4041:B4042" si="2085">CHOOSE(2, "1395000000603", "ContEx")</f>
        <v>ContEx</v>
      </c>
      <c r="C4041" s="4" t="str">
        <f>CHOOSE(2, "5461730030", "Jun 26")</f>
        <v>Jun 26</v>
      </c>
      <c r="D4041" s="14">
        <v>0</v>
      </c>
    </row>
    <row r="4042" spans="1:4" x14ac:dyDescent="0.35">
      <c r="A4042" s="5" t="str">
        <f t="shared" si="2076"/>
        <v>Agency</v>
      </c>
      <c r="B4042" s="6" t="str">
        <f t="shared" si="2085"/>
        <v>ContEx</v>
      </c>
      <c r="C4042" s="4" t="str">
        <f>CHOOSE(2, "5462030031", "Jul 26")</f>
        <v>Jul 26</v>
      </c>
      <c r="D4042" s="14">
        <v>0</v>
      </c>
    </row>
    <row r="4043" spans="1:4" x14ac:dyDescent="0.35">
      <c r="A4043" s="5" t="str">
        <f t="shared" si="2076"/>
        <v>Agency</v>
      </c>
      <c r="B4043" s="3" t="str">
        <f t="shared" ref="B4043:B4044" si="2086">CHOOSE(2, "1395000000602", "% of 6-90 agents")</f>
        <v>% of 6-90 agents</v>
      </c>
      <c r="C4043" s="4" t="str">
        <f>CHOOSE(2, "5461730030", "Jun 26")</f>
        <v>Jun 26</v>
      </c>
      <c r="D4043" s="14">
        <v>2.7416038382453737E-3</v>
      </c>
    </row>
    <row r="4044" spans="1:4" x14ac:dyDescent="0.35">
      <c r="A4044" s="5" t="str">
        <f t="shared" si="2076"/>
        <v>Agency</v>
      </c>
      <c r="B4044" s="6" t="str">
        <f t="shared" si="2086"/>
        <v>% of 6-90 agents</v>
      </c>
      <c r="C4044" s="4" t="str">
        <f>CHOOSE(2, "5462030031", "Jul 26")</f>
        <v>Jul 26</v>
      </c>
      <c r="D4044" s="14">
        <v>3.4246575342465752E-2</v>
      </c>
    </row>
    <row r="4045" spans="1:4" x14ac:dyDescent="0.35">
      <c r="A4045" s="5" t="str">
        <f t="shared" si="2076"/>
        <v>Agency</v>
      </c>
      <c r="B4045" s="3" t="str">
        <f t="shared" ref="B4045:B4046" si="2087">CHOOSE(2, "1395000000601", "New Recruits 3M Activation Rate")</f>
        <v>New Recruits 3M Activation Rate</v>
      </c>
      <c r="C4045" s="4" t="str">
        <f>CHOOSE(2, "5461730030", "Jun 26")</f>
        <v>Jun 26</v>
      </c>
      <c r="D4045" s="14">
        <v>0.70909090909090911</v>
      </c>
    </row>
    <row r="4046" spans="1:4" x14ac:dyDescent="0.35">
      <c r="A4046" s="5" t="str">
        <f t="shared" si="2076"/>
        <v>Agency</v>
      </c>
      <c r="B4046" s="6" t="str">
        <f t="shared" si="2087"/>
        <v>New Recruits 3M Activation Rate</v>
      </c>
      <c r="C4046" s="4" t="str">
        <f>CHOOSE(2, "5462030031", "Jul 26")</f>
        <v>Jul 26</v>
      </c>
      <c r="D4046" s="14">
        <v>0.61263157894736842</v>
      </c>
    </row>
    <row r="4047" spans="1:4" x14ac:dyDescent="0.35">
      <c r="A4047" s="5" t="str">
        <f t="shared" si="2076"/>
        <v>Agency</v>
      </c>
      <c r="B4047" s="3" t="str">
        <f t="shared" ref="B4047:B4048" si="2088">CHOOSE(2, "1395000000600", "No. of Recruits from leaders")</f>
        <v>No. of Recruits from leaders</v>
      </c>
      <c r="C4047" s="4" t="str">
        <f>CHOOSE(2, "5461730030", "Jun 26")</f>
        <v>Jun 26</v>
      </c>
      <c r="D4047" s="2" t="s">
        <v>5</v>
      </c>
    </row>
    <row r="4048" spans="1:4" x14ac:dyDescent="0.35">
      <c r="A4048" s="5" t="str">
        <f t="shared" si="2076"/>
        <v>Agency</v>
      </c>
      <c r="B4048" s="6" t="str">
        <f t="shared" si="2088"/>
        <v>No. of Recruits from leaders</v>
      </c>
      <c r="C4048" s="4" t="str">
        <f>CHOOSE(2, "5462030031", "Jul 26")</f>
        <v>Jul 26</v>
      </c>
      <c r="D4048" s="2" t="s">
        <v>5</v>
      </c>
    </row>
    <row r="4049" spans="1:4" x14ac:dyDescent="0.35">
      <c r="A4049" s="5" t="str">
        <f t="shared" si="2076"/>
        <v>Agency</v>
      </c>
      <c r="B4049" s="3" t="str">
        <f t="shared" ref="B4049:B4050" si="2089">CHOOSE(2, "1395000000599", "No. of Recruits per Active Recruiting Leader per month")</f>
        <v>No. of Recruits per Active Recruiting Leader per month</v>
      </c>
      <c r="C4049" s="4" t="str">
        <f>CHOOSE(2, "5461730030", "Jun 26")</f>
        <v>Jun 26</v>
      </c>
      <c r="D4049" s="14">
        <v>0</v>
      </c>
    </row>
    <row r="4050" spans="1:4" x14ac:dyDescent="0.35">
      <c r="A4050" s="5" t="str">
        <f t="shared" si="2076"/>
        <v>Agency</v>
      </c>
      <c r="B4050" s="6" t="str">
        <f t="shared" si="2089"/>
        <v>No. of Recruits per Active Recruiting Leader per month</v>
      </c>
      <c r="C4050" s="4" t="str">
        <f>CHOOSE(2, "5462030031", "Jul 26")</f>
        <v>Jul 26</v>
      </c>
      <c r="D4050" s="14">
        <v>0</v>
      </c>
    </row>
    <row r="4051" spans="1:4" x14ac:dyDescent="0.35">
      <c r="A4051" s="5" t="str">
        <f t="shared" si="2076"/>
        <v>Agency</v>
      </c>
      <c r="B4051" s="3" t="str">
        <f t="shared" ref="B4051:B4052" si="2090">CHOOSE(2, "1395000000598", "PRE as % of APE")</f>
        <v>PRE as % of APE</v>
      </c>
      <c r="C4051" s="4" t="str">
        <f>CHOOSE(2, "5461730030", "Jun 26")</f>
        <v>Jun 26</v>
      </c>
      <c r="D4051" s="14">
        <v>0.10366788417720442</v>
      </c>
    </row>
    <row r="4052" spans="1:4" x14ac:dyDescent="0.35">
      <c r="A4052" s="5" t="str">
        <f t="shared" si="2076"/>
        <v>Agency</v>
      </c>
      <c r="B4052" s="6" t="str">
        <f t="shared" si="2090"/>
        <v>PRE as % of APE</v>
      </c>
      <c r="C4052" s="4" t="str">
        <f>CHOOSE(2, "5462030031", "Jul 26")</f>
        <v>Jul 26</v>
      </c>
      <c r="D4052" s="14">
        <v>0.5342559178649674</v>
      </c>
    </row>
    <row r="4053" spans="1:4" x14ac:dyDescent="0.35">
      <c r="A4053" s="5" t="str">
        <f t="shared" si="2076"/>
        <v>Agency</v>
      </c>
      <c r="B4053" s="3" t="str">
        <f t="shared" ref="B4053:B4054" si="2091">CHOOSE(2, "1395000000597", "ContEx as % of APE")</f>
        <v>ContEx as % of APE</v>
      </c>
      <c r="C4053" s="4" t="str">
        <f>CHOOSE(2, "5461730030", "Jun 26")</f>
        <v>Jun 26</v>
      </c>
      <c r="D4053" s="14">
        <v>0</v>
      </c>
    </row>
    <row r="4054" spans="1:4" x14ac:dyDescent="0.35">
      <c r="A4054" s="5" t="str">
        <f t="shared" si="2076"/>
        <v>Agency</v>
      </c>
      <c r="B4054" s="6" t="str">
        <f t="shared" si="2091"/>
        <v>ContEx as % of APE</v>
      </c>
      <c r="C4054" s="4" t="str">
        <f>CHOOSE(2, "5462030031", "Jul 26")</f>
        <v>Jul 26</v>
      </c>
      <c r="D4054" s="14">
        <v>0</v>
      </c>
    </row>
    <row r="4055" spans="1:4" x14ac:dyDescent="0.35">
      <c r="A4055" s="5" t="str">
        <f t="shared" si="2076"/>
        <v>Agency</v>
      </c>
      <c r="B4055" s="3" t="str">
        <f t="shared" ref="B4055:B4056" si="2092">CHOOSE(2, "1395000000596", "% of 1-Month Active Agents")</f>
        <v>% of 1-Month Active Agents</v>
      </c>
      <c r="C4055" s="4" t="str">
        <f>CHOOSE(2, "5461730030", "Jun 26")</f>
        <v>Jun 26</v>
      </c>
      <c r="D4055" s="14">
        <v>3.9413487490668246E-2</v>
      </c>
    </row>
    <row r="4056" spans="1:4" x14ac:dyDescent="0.35">
      <c r="A4056" s="5" t="str">
        <f t="shared" si="2076"/>
        <v>Agency</v>
      </c>
      <c r="B4056" s="6" t="str">
        <f t="shared" si="2092"/>
        <v>% of 1-Month Active Agents</v>
      </c>
      <c r="C4056" s="4" t="str">
        <f>CHOOSE(2, "5462030031", "Jul 26")</f>
        <v>Jul 26</v>
      </c>
      <c r="D4056" s="14">
        <v>3.4709959175923288E-2</v>
      </c>
    </row>
    <row r="4057" spans="1:4" x14ac:dyDescent="0.35">
      <c r="A4057" s="5" t="str">
        <f t="shared" si="2076"/>
        <v>Agency</v>
      </c>
      <c r="B4057" s="3" t="str">
        <f t="shared" ref="B4057:B4058" si="2093">CHOOSE(2, "1395000000595", "% of 3-Month Active Agents")</f>
        <v>% of 3-Month Active Agents</v>
      </c>
      <c r="C4057" s="4" t="str">
        <f>CHOOSE(2, "5461730030", "Jun 26")</f>
        <v>Jun 26</v>
      </c>
      <c r="D4057" s="14">
        <v>2.5372779238816624E-2</v>
      </c>
    </row>
    <row r="4058" spans="1:4" x14ac:dyDescent="0.35">
      <c r="A4058" s="5" t="str">
        <f t="shared" si="2076"/>
        <v>Agency</v>
      </c>
      <c r="B4058" s="6" t="str">
        <f t="shared" si="2093"/>
        <v>% of 3-Month Active Agents</v>
      </c>
      <c r="C4058" s="4" t="str">
        <f>CHOOSE(2, "5462030031", "Jul 26")</f>
        <v>Jul 26</v>
      </c>
      <c r="D4058" s="14">
        <v>2.493332822927433E-2</v>
      </c>
    </row>
    <row r="4059" spans="1:4" x14ac:dyDescent="0.35">
      <c r="A4059" s="5" t="str">
        <f t="shared" si="2076"/>
        <v>Agency</v>
      </c>
      <c r="B4059" s="3" t="str">
        <f t="shared" ref="B4059:B4060" si="2094">CHOOSE(2, "1395000000594", "Active agents per active leader")</f>
        <v>Active agents per active leader</v>
      </c>
      <c r="C4059" s="4" t="str">
        <f>CHOOSE(2, "5461730030", "Jun 26")</f>
        <v>Jun 26</v>
      </c>
      <c r="D4059" s="14">
        <v>12.403614457831326</v>
      </c>
    </row>
    <row r="4060" spans="1:4" x14ac:dyDescent="0.35">
      <c r="A4060" s="5" t="str">
        <f t="shared" si="2076"/>
        <v>Agency</v>
      </c>
      <c r="B4060" s="6" t="str">
        <f t="shared" si="2094"/>
        <v>Active agents per active leader</v>
      </c>
      <c r="C4060" s="4" t="str">
        <f>CHOOSE(2, "5462030031", "Jul 26")</f>
        <v>Jul 26</v>
      </c>
      <c r="D4060" s="14">
        <v>10.752941176470591</v>
      </c>
    </row>
    <row r="4061" spans="1:4" x14ac:dyDescent="0.35">
      <c r="A4061" s="5" t="str">
        <f t="shared" si="2076"/>
        <v>Agency</v>
      </c>
      <c r="B4061" s="3" t="str">
        <f t="shared" ref="B4061:B4062" si="2095">CHOOSE(2, "1395000000593", "Avg. Case count per 1-Month Active Agent")</f>
        <v>Avg. Case count per 1-Month Active Agent</v>
      </c>
      <c r="C4061" s="4" t="str">
        <f>CHOOSE(2, "5461730030", "Jun 26")</f>
        <v>Jun 26</v>
      </c>
      <c r="D4061" s="14">
        <v>1.5604662457503642</v>
      </c>
    </row>
    <row r="4062" spans="1:4" x14ac:dyDescent="0.35">
      <c r="A4062" s="5" t="str">
        <f t="shared" si="2076"/>
        <v>Agency</v>
      </c>
      <c r="B4062" s="6" t="str">
        <f t="shared" si="2095"/>
        <v>Avg. Case count per 1-Month Active Agent</v>
      </c>
      <c r="C4062" s="4" t="str">
        <f>CHOOSE(2, "5462030031", "Jul 26")</f>
        <v>Jul 26</v>
      </c>
      <c r="D4062" s="14">
        <v>1.4781181619256019</v>
      </c>
    </row>
    <row r="4063" spans="1:4" x14ac:dyDescent="0.35">
      <c r="A4063" s="5" t="str">
        <f t="shared" si="2076"/>
        <v>Agency</v>
      </c>
      <c r="B4063" s="3" t="str">
        <f t="shared" ref="B4063:B4064" si="2096">CHOOSE(2, "1395000000592", "Avg. Case size")</f>
        <v>Avg. Case size</v>
      </c>
      <c r="C4063" s="4" t="str">
        <f>CHOOSE(2, "5461730030", "Jun 26")</f>
        <v>Jun 26</v>
      </c>
      <c r="D4063" s="14">
        <v>1351.0068573364458</v>
      </c>
    </row>
    <row r="4064" spans="1:4" x14ac:dyDescent="0.35">
      <c r="A4064" s="5" t="str">
        <f t="shared" si="2076"/>
        <v>Agency</v>
      </c>
      <c r="B4064" s="6" t="str">
        <f t="shared" si="2096"/>
        <v>Avg. Case size</v>
      </c>
      <c r="C4064" s="4" t="str">
        <f>CHOOSE(2, "5462030031", "Jul 26")</f>
        <v>Jul 26</v>
      </c>
      <c r="D4064" s="14">
        <v>1184.5718945159142</v>
      </c>
    </row>
    <row r="4065" spans="1:4" x14ac:dyDescent="0.35">
      <c r="A4065" s="5" t="str">
        <f t="shared" si="2076"/>
        <v>Agency</v>
      </c>
      <c r="B4065" s="3" t="str">
        <f t="shared" ref="B4065:B4066" si="2097">CHOOSE(2, "1395000000591", "APE per 1-Month Active Agent")</f>
        <v>APE per 1-Month Active Agent</v>
      </c>
      <c r="C4065" s="4" t="str">
        <f>CHOOSE(2, "5461730030", "Jun 26")</f>
        <v>Jun 26</v>
      </c>
      <c r="D4065" s="14">
        <v>2108.2005986508016</v>
      </c>
    </row>
    <row r="4066" spans="1:4" x14ac:dyDescent="0.35">
      <c r="A4066" s="5" t="str">
        <f t="shared" si="2076"/>
        <v>Agency</v>
      </c>
      <c r="B4066" s="6" t="str">
        <f t="shared" si="2097"/>
        <v>APE per 1-Month Active Agent</v>
      </c>
      <c r="C4066" s="4" t="str">
        <f>CHOOSE(2, "5462030031", "Jul 26")</f>
        <v>Jul 26</v>
      </c>
      <c r="D4066" s="14">
        <v>1750.937231390591</v>
      </c>
    </row>
    <row r="4067" spans="1:4" x14ac:dyDescent="0.35">
      <c r="A4067" s="5" t="str">
        <f t="shared" si="2076"/>
        <v>Agency</v>
      </c>
      <c r="B4067" s="3" t="str">
        <f t="shared" ref="B4067:B4068" si="2098">CHOOSE(2, "1395000000590", "% Conversion of Proposals to cases")</f>
        <v>% Conversion of Proposals to cases</v>
      </c>
      <c r="C4067" s="4" t="str">
        <f>CHOOSE(2, "5461730030", "Jun 26")</f>
        <v>Jun 26</v>
      </c>
      <c r="D4067" s="14">
        <v>0.16059379217273953</v>
      </c>
    </row>
    <row r="4068" spans="1:4" x14ac:dyDescent="0.35">
      <c r="A4068" s="5" t="str">
        <f t="shared" si="2076"/>
        <v>Agency</v>
      </c>
      <c r="B4068" s="6" t="str">
        <f t="shared" si="2098"/>
        <v>% Conversion of Proposals to cases</v>
      </c>
      <c r="C4068" s="4" t="str">
        <f>CHOOSE(2, "5462030031", "Jul 26")</f>
        <v>Jul 26</v>
      </c>
      <c r="D4068" s="14">
        <v>9.7792254795512124E-2</v>
      </c>
    </row>
    <row r="4069" spans="1:4" x14ac:dyDescent="0.35">
      <c r="A4069" s="5" t="str">
        <f t="shared" si="2076"/>
        <v>Agency</v>
      </c>
      <c r="B4069" s="3" t="str">
        <f t="shared" ref="B4069:B4070" si="2099">CHOOSE(2, "1395000000588", "% APE from Agents in X tenure")</f>
        <v>% APE from Agents in X tenure</v>
      </c>
      <c r="C4069" s="4" t="str">
        <f>CHOOSE(2, "5461730030", "Jun 26")</f>
        <v>Jun 26</v>
      </c>
      <c r="D4069" s="14">
        <v>1</v>
      </c>
    </row>
    <row r="4070" spans="1:4" x14ac:dyDescent="0.35">
      <c r="A4070" s="5" t="str">
        <f t="shared" si="2076"/>
        <v>Agency</v>
      </c>
      <c r="B4070" s="6" t="str">
        <f t="shared" si="2099"/>
        <v>% APE from Agents in X tenure</v>
      </c>
      <c r="C4070" s="4" t="str">
        <f>CHOOSE(2, "5462030031", "Jul 26")</f>
        <v>Jul 26</v>
      </c>
      <c r="D4070" s="14">
        <v>1</v>
      </c>
    </row>
    <row r="4071" spans="1:4" x14ac:dyDescent="0.35">
      <c r="A4071" s="5" t="str">
        <f t="shared" si="2076"/>
        <v>Agency</v>
      </c>
      <c r="B4071" s="3" t="str">
        <f t="shared" ref="B4071:B4072" si="2100">CHOOSE(2, "1395000000587", "% APE from Agents in X tenure in 0-1M")</f>
        <v>% APE from Agents in X tenure in 0-1M</v>
      </c>
      <c r="C4071" s="4" t="str">
        <f>CHOOSE(2, "5461730030", "Jun 26")</f>
        <v>Jun 26</v>
      </c>
      <c r="D4071" s="14">
        <v>0.1</v>
      </c>
    </row>
    <row r="4072" spans="1:4" x14ac:dyDescent="0.35">
      <c r="A4072" s="5" t="str">
        <f t="shared" si="2076"/>
        <v>Agency</v>
      </c>
      <c r="B4072" s="6" t="str">
        <f t="shared" si="2100"/>
        <v>% APE from Agents in X tenure in 0-1M</v>
      </c>
      <c r="C4072" s="4" t="str">
        <f>CHOOSE(2, "5462030031", "Jul 26")</f>
        <v>Jul 26</v>
      </c>
      <c r="D4072" s="14">
        <v>0.1</v>
      </c>
    </row>
    <row r="4073" spans="1:4" x14ac:dyDescent="0.35">
      <c r="A4073" s="5" t="str">
        <f t="shared" si="2076"/>
        <v>Agency</v>
      </c>
      <c r="B4073" s="3" t="str">
        <f t="shared" ref="B4073:B4074" si="2101">CHOOSE(2, "1395000000586", "% APE from Agents in X tenure in 2-3M")</f>
        <v>% APE from Agents in X tenure in 2-3M</v>
      </c>
      <c r="C4073" s="4" t="str">
        <f>CHOOSE(2, "5461730030", "Jun 26")</f>
        <v>Jun 26</v>
      </c>
      <c r="D4073" s="14">
        <v>0.2</v>
      </c>
    </row>
    <row r="4074" spans="1:4" x14ac:dyDescent="0.35">
      <c r="A4074" s="5" t="str">
        <f t="shared" si="2076"/>
        <v>Agency</v>
      </c>
      <c r="B4074" s="6" t="str">
        <f t="shared" si="2101"/>
        <v>% APE from Agents in X tenure in 2-3M</v>
      </c>
      <c r="C4074" s="4" t="str">
        <f>CHOOSE(2, "5462030031", "Jul 26")</f>
        <v>Jul 26</v>
      </c>
      <c r="D4074" s="14">
        <v>0.2</v>
      </c>
    </row>
    <row r="4075" spans="1:4" x14ac:dyDescent="0.35">
      <c r="A4075" s="5" t="str">
        <f t="shared" si="2076"/>
        <v>Agency</v>
      </c>
      <c r="B4075" s="3" t="str">
        <f t="shared" ref="B4075:B4076" si="2102">CHOOSE(2, "1395000000585", "% APE from Agents in X tenure in 4-12M")</f>
        <v>% APE from Agents in X tenure in 4-12M</v>
      </c>
      <c r="C4075" s="4" t="str">
        <f>CHOOSE(2, "5461730030", "Jun 26")</f>
        <v>Jun 26</v>
      </c>
      <c r="D4075" s="14">
        <v>0.3</v>
      </c>
    </row>
    <row r="4076" spans="1:4" x14ac:dyDescent="0.35">
      <c r="A4076" s="5" t="str">
        <f t="shared" si="2076"/>
        <v>Agency</v>
      </c>
      <c r="B4076" s="6" t="str">
        <f t="shared" si="2102"/>
        <v>% APE from Agents in X tenure in 4-12M</v>
      </c>
      <c r="C4076" s="4" t="str">
        <f>CHOOSE(2, "5462030031", "Jul 26")</f>
        <v>Jul 26</v>
      </c>
      <c r="D4076" s="14">
        <v>0.3</v>
      </c>
    </row>
    <row r="4077" spans="1:4" x14ac:dyDescent="0.35">
      <c r="A4077" s="5" t="str">
        <f t="shared" si="2076"/>
        <v>Agency</v>
      </c>
      <c r="B4077" s="3" t="str">
        <f t="shared" ref="B4077:B4078" si="2103">CHOOSE(2, "1395000000584", "% APE from Agents in X tenure 13+M")</f>
        <v>% APE from Agents in X tenure 13+M</v>
      </c>
      <c r="C4077" s="4" t="str">
        <f>CHOOSE(2, "5461730030", "Jun 26")</f>
        <v>Jun 26</v>
      </c>
      <c r="D4077" s="14">
        <v>0.4</v>
      </c>
    </row>
    <row r="4078" spans="1:4" x14ac:dyDescent="0.35">
      <c r="A4078" s="5" t="str">
        <f t="shared" si="2076"/>
        <v>Agency</v>
      </c>
      <c r="B4078" s="6" t="str">
        <f t="shared" si="2103"/>
        <v>% APE from Agents in X tenure 13+M</v>
      </c>
      <c r="C4078" s="4" t="str">
        <f>CHOOSE(2, "5462030031", "Jul 26")</f>
        <v>Jul 26</v>
      </c>
      <c r="D4078" s="14">
        <v>0.4</v>
      </c>
    </row>
    <row r="4079" spans="1:4" x14ac:dyDescent="0.35">
      <c r="A4079" s="5" t="str">
        <f t="shared" si="2076"/>
        <v>Agency</v>
      </c>
      <c r="B4079" s="3" t="str">
        <f t="shared" ref="B4079:B4080" si="2104">CHOOSE(2, "1395000000583", "% APE from pro-rated MDRT agents (100%)")</f>
        <v>% APE from pro-rated MDRT agents (100%)</v>
      </c>
      <c r="C4079" s="4" t="str">
        <f>CHOOSE(2, "5461730030", "Jun 26")</f>
        <v>Jun 26</v>
      </c>
      <c r="D4079" s="14">
        <v>0.49709271899526042</v>
      </c>
    </row>
    <row r="4080" spans="1:4" x14ac:dyDescent="0.35">
      <c r="A4080" s="5" t="str">
        <f t="shared" si="2076"/>
        <v>Agency</v>
      </c>
      <c r="B4080" s="6" t="str">
        <f t="shared" si="2104"/>
        <v>% APE from pro-rated MDRT agents (100%)</v>
      </c>
      <c r="C4080" s="4" t="str">
        <f>CHOOSE(2, "5462030031", "Jul 26")</f>
        <v>Jul 26</v>
      </c>
      <c r="D4080" s="14">
        <v>0.36748706950840754</v>
      </c>
    </row>
    <row r="4081" spans="1:4" x14ac:dyDescent="0.35">
      <c r="A4081" s="5" t="str">
        <f t="shared" si="2076"/>
        <v>Agency</v>
      </c>
      <c r="B4081" s="3" t="str">
        <f t="shared" ref="B4081:B4082" si="2105">CHOOSE(2, "1395000000582", "% APE from pro-rated MDRT agents (70-99%)")</f>
        <v>% APE from pro-rated MDRT agents (70-99%)</v>
      </c>
      <c r="C4081" s="4" t="str">
        <f>CHOOSE(2, "5461730030", "Jun 26")</f>
        <v>Jun 26</v>
      </c>
      <c r="D4081" s="14">
        <v>9.4423223863823139E-2</v>
      </c>
    </row>
    <row r="4082" spans="1:4" x14ac:dyDescent="0.35">
      <c r="A4082" s="5" t="str">
        <f t="shared" si="2076"/>
        <v>Agency</v>
      </c>
      <c r="B4082" s="6" t="str">
        <f t="shared" si="2105"/>
        <v>% APE from pro-rated MDRT agents (70-99%)</v>
      </c>
      <c r="C4082" s="4" t="str">
        <f>CHOOSE(2, "5462030031", "Jul 26")</f>
        <v>Jul 26</v>
      </c>
      <c r="D4082" s="14">
        <v>0.11186503028199363</v>
      </c>
    </row>
    <row r="4083" spans="1:4" x14ac:dyDescent="0.35">
      <c r="A4083" s="5" t="str">
        <f t="shared" si="2076"/>
        <v>Agency</v>
      </c>
      <c r="B4083" s="3" t="str">
        <f t="shared" ref="B4083:B4084" si="2106">CHOOSE(2, "1395000000581", "% APE from pro-rated MDRT agents (50-69%)")</f>
        <v>% APE from pro-rated MDRT agents (50-69%)</v>
      </c>
      <c r="C4083" s="4" t="str">
        <f>CHOOSE(2, "5461730030", "Jun 26")</f>
        <v>Jun 26</v>
      </c>
      <c r="D4083" s="14">
        <v>7.6792679640864309E-2</v>
      </c>
    </row>
    <row r="4084" spans="1:4" x14ac:dyDescent="0.35">
      <c r="A4084" s="5" t="str">
        <f t="shared" si="2076"/>
        <v>Agency</v>
      </c>
      <c r="B4084" s="6" t="str">
        <f t="shared" si="2106"/>
        <v>% APE from pro-rated MDRT agents (50-69%)</v>
      </c>
      <c r="C4084" s="4" t="str">
        <f>CHOOSE(2, "5462030031", "Jul 26")</f>
        <v>Jul 26</v>
      </c>
      <c r="D4084" s="14">
        <v>7.4854359679880134E-2</v>
      </c>
    </row>
    <row r="4085" spans="1:4" x14ac:dyDescent="0.35">
      <c r="A4085" s="5" t="str">
        <f t="shared" si="2076"/>
        <v>Agency</v>
      </c>
      <c r="B4085" s="3" t="str">
        <f t="shared" ref="B4085:B4086" si="2107">CHOOSE(2, "1395000000580", "% APE from Top-tier agents")</f>
        <v>% APE from Top-tier agents</v>
      </c>
      <c r="C4085" s="4" t="str">
        <f>CHOOSE(2, "5461730030", "Jun 26")</f>
        <v>Jun 26</v>
      </c>
      <c r="D4085" s="14">
        <v>0.66830862249994782</v>
      </c>
    </row>
    <row r="4086" spans="1:4" x14ac:dyDescent="0.35">
      <c r="A4086" s="5" t="str">
        <f t="shared" si="2076"/>
        <v>Agency</v>
      </c>
      <c r="B4086" s="6" t="str">
        <f t="shared" si="2107"/>
        <v>% APE from Top-tier agents</v>
      </c>
      <c r="C4086" s="4" t="str">
        <f>CHOOSE(2, "5462030031", "Jul 26")</f>
        <v>Jul 26</v>
      </c>
      <c r="D4086" s="14">
        <v>0.55420645947028135</v>
      </c>
    </row>
    <row r="4087" spans="1:4" x14ac:dyDescent="0.35">
      <c r="A4087" s="5" t="str">
        <f t="shared" si="2076"/>
        <v>Agency</v>
      </c>
      <c r="B4087" s="3" t="str">
        <f t="shared" ref="B4087:B4088" si="2108">CHOOSE(2, "1395000000579", "% of Active Recruiting Leaders")</f>
        <v>% of Active Recruiting Leaders</v>
      </c>
      <c r="C4087" s="4" t="str">
        <f>CHOOSE(2, "5461730030", "Jun 26")</f>
        <v>Jun 26</v>
      </c>
      <c r="D4087" s="14">
        <v>0.10433689503456946</v>
      </c>
    </row>
    <row r="4088" spans="1:4" x14ac:dyDescent="0.35">
      <c r="A4088" s="5" t="str">
        <f t="shared" si="2076"/>
        <v>Agency</v>
      </c>
      <c r="B4088" s="6" t="str">
        <f t="shared" si="2108"/>
        <v>% of Active Recruiting Leaders</v>
      </c>
      <c r="C4088" s="4" t="str">
        <f>CHOOSE(2, "5462030031", "Jul 26")</f>
        <v>Jul 26</v>
      </c>
      <c r="D4088" s="14">
        <v>0.1022864019253911</v>
      </c>
    </row>
    <row r="4089" spans="1:4" x14ac:dyDescent="0.35">
      <c r="A4089" s="5" t="str">
        <f t="shared" ref="A4089:A4152" si="2109">CHOOSE(2, "1260000000004", "Agency")</f>
        <v>Agency</v>
      </c>
      <c r="B4089" s="3" t="str">
        <f t="shared" ref="B4089:B4090" si="2110">CHOOSE(2, "1395000000578", "% of leaders with &gt;1 YTD recruit")</f>
        <v>% of leaders with &gt;1 YTD recruit</v>
      </c>
      <c r="C4089" s="4" t="str">
        <f>CHOOSE(2, "5461730030", "Jun 26")</f>
        <v>Jun 26</v>
      </c>
      <c r="D4089" s="14">
        <v>0.41294783155248271</v>
      </c>
    </row>
    <row r="4090" spans="1:4" x14ac:dyDescent="0.35">
      <c r="A4090" s="5" t="str">
        <f t="shared" si="2109"/>
        <v>Agency</v>
      </c>
      <c r="B4090" s="6" t="str">
        <f t="shared" si="2110"/>
        <v>% of leaders with &gt;1 YTD recruit</v>
      </c>
      <c r="C4090" s="4" t="str">
        <f>CHOOSE(2, "5462030031", "Jul 26")</f>
        <v>Jul 26</v>
      </c>
      <c r="D4090" s="14">
        <v>0.44705174488567989</v>
      </c>
    </row>
    <row r="4091" spans="1:4" x14ac:dyDescent="0.35">
      <c r="A4091" s="5" t="str">
        <f t="shared" si="2109"/>
        <v>Agency</v>
      </c>
      <c r="B4091" s="3" t="str">
        <f t="shared" ref="B4091:B4092" si="2111">CHOOSE(2, "1395000000577", "% of 1-Month Active Top-tier agents")</f>
        <v>% of 1-Month Active Top-tier agents</v>
      </c>
      <c r="C4091" s="4" t="str">
        <f>CHOOSE(2, "5461730030", "Jun 26")</f>
        <v>Jun 26</v>
      </c>
      <c r="D4091" s="14">
        <v>0.74774774774774777</v>
      </c>
    </row>
    <row r="4092" spans="1:4" x14ac:dyDescent="0.35">
      <c r="A4092" s="5" t="str">
        <f t="shared" si="2109"/>
        <v>Agency</v>
      </c>
      <c r="B4092" s="6" t="str">
        <f t="shared" si="2111"/>
        <v>% of 1-Month Active Top-tier agents</v>
      </c>
      <c r="C4092" s="4" t="str">
        <f>CHOOSE(2, "5462030031", "Jul 26")</f>
        <v>Jul 26</v>
      </c>
      <c r="D4092" s="14">
        <v>0.69987389659520804</v>
      </c>
    </row>
    <row r="4093" spans="1:4" x14ac:dyDescent="0.35">
      <c r="A4093" s="5" t="str">
        <f t="shared" si="2109"/>
        <v>Agency</v>
      </c>
      <c r="B4093" s="3" t="str">
        <f t="shared" ref="B4093:B4094" si="2112">CHOOSE(2, "1395000000576", "% APE from Manulife Pro - Total")</f>
        <v>% APE from Manulife Pro - Total</v>
      </c>
      <c r="C4093" s="4" t="str">
        <f>CHOOSE(2, "5461730030", "Jun 26")</f>
        <v>Jun 26</v>
      </c>
      <c r="D4093" s="14">
        <v>0.79894062391870568</v>
      </c>
    </row>
    <row r="4094" spans="1:4" x14ac:dyDescent="0.35">
      <c r="A4094" s="5" t="str">
        <f t="shared" si="2109"/>
        <v>Agency</v>
      </c>
      <c r="B4094" s="6" t="str">
        <f t="shared" si="2112"/>
        <v>% APE from Manulife Pro - Total</v>
      </c>
      <c r="C4094" s="4" t="str">
        <f>CHOOSE(2, "5462030031", "Jul 26")</f>
        <v>Jul 26</v>
      </c>
      <c r="D4094" s="14">
        <v>0.73090532477878434</v>
      </c>
    </row>
    <row r="4095" spans="1:4" x14ac:dyDescent="0.35">
      <c r="A4095" s="5" t="str">
        <f t="shared" si="2109"/>
        <v>Agency</v>
      </c>
      <c r="B4095" s="3" t="str">
        <f t="shared" ref="B4095:B4096" si="2113">CHOOSE(2, "1395000000575", "% of 1-Month Active Agents Manulife Pro Qualifiers - Total")</f>
        <v>% of 1-Month Active Agents Manulife Pro Qualifiers - Total</v>
      </c>
      <c r="C4095" s="4" t="str">
        <f>CHOOSE(2, "5461730030", "Jun 26")</f>
        <v>Jun 26</v>
      </c>
      <c r="D4095" s="14">
        <v>0.33760318815826929</v>
      </c>
    </row>
    <row r="4096" spans="1:4" x14ac:dyDescent="0.35">
      <c r="A4096" s="5" t="str">
        <f t="shared" si="2109"/>
        <v>Agency</v>
      </c>
      <c r="B4096" s="6" t="str">
        <f t="shared" si="2113"/>
        <v>% of 1-Month Active Agents Manulife Pro Qualifiers - Total</v>
      </c>
      <c r="C4096" s="4" t="str">
        <f>CHOOSE(2, "5462030031", "Jul 26")</f>
        <v>Jul 26</v>
      </c>
      <c r="D4096" s="14">
        <v>0.31861102650015227</v>
      </c>
    </row>
    <row r="4097" spans="1:4" x14ac:dyDescent="0.35">
      <c r="A4097" s="5" t="str">
        <f t="shared" si="2109"/>
        <v>Agency</v>
      </c>
      <c r="B4097" s="3" t="str">
        <f t="shared" ref="B4097:B4098" si="2114">CHOOSE(2, "1395000000574", "% of Newly Demoted UM")</f>
        <v>% of Newly Demoted UM</v>
      </c>
      <c r="C4097" s="4" t="str">
        <f>CHOOSE(2, "5461730030", "Jun 26")</f>
        <v>Jun 26</v>
      </c>
      <c r="D4097" s="14">
        <v>7.2639225181598066E-3</v>
      </c>
    </row>
    <row r="4098" spans="1:4" x14ac:dyDescent="0.35">
      <c r="A4098" s="5" t="str">
        <f t="shared" si="2109"/>
        <v>Agency</v>
      </c>
      <c r="B4098" s="6" t="str">
        <f t="shared" si="2114"/>
        <v>% of Newly Demoted UM</v>
      </c>
      <c r="C4098" s="4" t="str">
        <f>CHOOSE(2, "5462030031", "Jul 26")</f>
        <v>Jul 26</v>
      </c>
      <c r="D4098" s="14">
        <v>4.7562425683709865E-3</v>
      </c>
    </row>
    <row r="4099" spans="1:4" x14ac:dyDescent="0.35">
      <c r="A4099" s="5" t="str">
        <f t="shared" si="2109"/>
        <v>Agency</v>
      </c>
      <c r="B4099" s="3" t="str">
        <f t="shared" ref="B4099:B4100" si="2115">CHOOSE(2, "1395000000573", "% of Newly Demoted Leaders above UM")</f>
        <v>% of Newly Demoted Leaders above UM</v>
      </c>
      <c r="C4099" s="4" t="str">
        <f>CHOOSE(2, "5461730030", "Jun 26")</f>
        <v>Jun 26</v>
      </c>
      <c r="D4099" s="14">
        <v>6.5359477124183009E-3</v>
      </c>
    </row>
    <row r="4100" spans="1:4" x14ac:dyDescent="0.35">
      <c r="A4100" s="5" t="str">
        <f t="shared" si="2109"/>
        <v>Agency</v>
      </c>
      <c r="B4100" s="6" t="str">
        <f t="shared" si="2115"/>
        <v>% of Newly Demoted Leaders above UM</v>
      </c>
      <c r="C4100" s="4" t="str">
        <f>CHOOSE(2, "5462030031", "Jul 26")</f>
        <v>Jul 26</v>
      </c>
      <c r="D4100" s="14">
        <v>5.1157125456760051E-2</v>
      </c>
    </row>
    <row r="4101" spans="1:4" x14ac:dyDescent="0.35">
      <c r="A4101" s="5" t="str">
        <f t="shared" si="2109"/>
        <v>Agency</v>
      </c>
      <c r="B4101" s="3" t="str">
        <f t="shared" ref="B4101:B4102" si="2116">CHOOSE(2, "1395000000572", "Avg. Earning per agent")</f>
        <v>Avg. Earning per agent</v>
      </c>
      <c r="C4101" s="4" t="str">
        <f>CHOOSE(2, "5461730030", "Jun 26")</f>
        <v>Jun 26</v>
      </c>
      <c r="D4101" s="14">
        <v>2.4454018282307E-3</v>
      </c>
    </row>
    <row r="4102" spans="1:4" x14ac:dyDescent="0.35">
      <c r="A4102" s="5" t="str">
        <f t="shared" si="2109"/>
        <v>Agency</v>
      </c>
      <c r="B4102" s="6" t="str">
        <f t="shared" si="2116"/>
        <v>Avg. Earning per agent</v>
      </c>
      <c r="C4102" s="4" t="str">
        <f>CHOOSE(2, "5462030031", "Jul 26")</f>
        <v>Jul 26</v>
      </c>
      <c r="D4102" s="14">
        <v>1.6320356422504512E-3</v>
      </c>
    </row>
    <row r="4103" spans="1:4" x14ac:dyDescent="0.35">
      <c r="A4103" s="5" t="str">
        <f t="shared" si="2109"/>
        <v>Agency</v>
      </c>
      <c r="B4103" s="3" t="str">
        <f t="shared" ref="B4103:B4104" si="2117">CHOOSE(2, "1395000000571", "Avg. Earning per agent in FA or equivalent")</f>
        <v>Avg. Earning per agent in FA or equivalent</v>
      </c>
      <c r="C4103" s="4" t="str">
        <f>CHOOSE(2, "5461730030", "Jun 26")</f>
        <v>Jun 26</v>
      </c>
      <c r="D4103" s="14">
        <v>1.3071371277733465E-3</v>
      </c>
    </row>
    <row r="4104" spans="1:4" x14ac:dyDescent="0.35">
      <c r="A4104" s="5" t="str">
        <f t="shared" si="2109"/>
        <v>Agency</v>
      </c>
      <c r="B4104" s="6" t="str">
        <f t="shared" si="2117"/>
        <v>Avg. Earning per agent in FA or equivalent</v>
      </c>
      <c r="C4104" s="4" t="str">
        <f>CHOOSE(2, "5462030031", "Jul 26")</f>
        <v>Jul 26</v>
      </c>
      <c r="D4104" s="14">
        <v>9.2215901061349335E-4</v>
      </c>
    </row>
    <row r="4105" spans="1:4" x14ac:dyDescent="0.35">
      <c r="A4105" s="5" t="str">
        <f t="shared" si="2109"/>
        <v>Agency</v>
      </c>
      <c r="B4105" s="3" t="str">
        <f t="shared" ref="B4105:B4106" si="2118">CHOOSE(2, "1395000000570", "Avg. Earning per agent in UM")</f>
        <v>Avg. Earning per agent in UM</v>
      </c>
      <c r="C4105" s="4" t="str">
        <f>CHOOSE(2, "5461730030", "Jun 26")</f>
        <v>Jun 26</v>
      </c>
      <c r="D4105" s="14">
        <v>2.4471841412106538E-2</v>
      </c>
    </row>
    <row r="4106" spans="1:4" x14ac:dyDescent="0.35">
      <c r="A4106" s="5" t="str">
        <f t="shared" si="2109"/>
        <v>Agency</v>
      </c>
      <c r="B4106" s="6" t="str">
        <f t="shared" si="2118"/>
        <v>Avg. Earning per agent in UM</v>
      </c>
      <c r="C4106" s="4" t="str">
        <f>CHOOSE(2, "5462030031", "Jul 26")</f>
        <v>Jul 26</v>
      </c>
      <c r="D4106" s="14">
        <v>1.7339664910154581E-2</v>
      </c>
    </row>
    <row r="4107" spans="1:4" x14ac:dyDescent="0.35">
      <c r="A4107" s="5" t="str">
        <f t="shared" si="2109"/>
        <v>Agency</v>
      </c>
      <c r="B4107" s="3" t="str">
        <f t="shared" ref="B4107:B4108" si="2119">CHOOSE(2, "1395000000569", "Avg. Earning per agent in Leaders above UM")</f>
        <v>Avg. Earning per agent in Leaders above UM</v>
      </c>
      <c r="C4107" s="4" t="str">
        <f>CHOOSE(2, "5461730030", "Jun 26")</f>
        <v>Jun 26</v>
      </c>
      <c r="D4107" s="14">
        <v>5.4026144288209163E-2</v>
      </c>
    </row>
    <row r="4108" spans="1:4" x14ac:dyDescent="0.35">
      <c r="A4108" s="5" t="str">
        <f t="shared" si="2109"/>
        <v>Agency</v>
      </c>
      <c r="B4108" s="6" t="str">
        <f t="shared" si="2119"/>
        <v>Avg. Earning per agent in Leaders above UM</v>
      </c>
      <c r="C4108" s="4" t="str">
        <f>CHOOSE(2, "5462030031", "Jul 26")</f>
        <v>Jul 26</v>
      </c>
      <c r="D4108" s="14">
        <v>2.9641440793373938E-2</v>
      </c>
    </row>
    <row r="4109" spans="1:4" x14ac:dyDescent="0.35">
      <c r="A4109" s="5" t="str">
        <f t="shared" si="2109"/>
        <v>Agency</v>
      </c>
      <c r="B4109" s="3" t="str">
        <f t="shared" ref="B4109:B4110" si="2120">CHOOSE(2, "1395000000568", "% of 1-Month Active Agents 0-1M")</f>
        <v>% of 1-Month Active Agents 0-1M</v>
      </c>
      <c r="C4109" s="4" t="str">
        <f>CHOOSE(2, "5461730030", "Jun 26")</f>
        <v>Jun 26</v>
      </c>
      <c r="D4109" s="14">
        <v>0.46868686868686871</v>
      </c>
    </row>
    <row r="4110" spans="1:4" x14ac:dyDescent="0.35">
      <c r="A4110" s="5" t="str">
        <f t="shared" si="2109"/>
        <v>Agency</v>
      </c>
      <c r="B4110" s="6" t="str">
        <f t="shared" si="2120"/>
        <v>% of 1-Month Active Agents 0-1M</v>
      </c>
      <c r="C4110" s="4" t="str">
        <f>CHOOSE(2, "5462030031", "Jul 26")</f>
        <v>Jul 26</v>
      </c>
      <c r="D4110" s="14">
        <v>0.3172268907563025</v>
      </c>
    </row>
    <row r="4111" spans="1:4" x14ac:dyDescent="0.35">
      <c r="A4111" s="5" t="str">
        <f t="shared" si="2109"/>
        <v>Agency</v>
      </c>
      <c r="B4111" s="3" t="str">
        <f t="shared" ref="B4111:B4112" si="2121">CHOOSE(2, "1395000000567", "% of 1-Month Active Agents in 2-3M")</f>
        <v>% of 1-Month Active Agents in 2-3M</v>
      </c>
      <c r="C4111" s="4" t="str">
        <f>CHOOSE(2, "5461730030", "Jun 26")</f>
        <v>Jun 26</v>
      </c>
      <c r="D4111" s="14">
        <v>0.23165618448637318</v>
      </c>
    </row>
    <row r="4112" spans="1:4" x14ac:dyDescent="0.35">
      <c r="A4112" s="5" t="str">
        <f t="shared" si="2109"/>
        <v>Agency</v>
      </c>
      <c r="B4112" s="6" t="str">
        <f t="shared" si="2121"/>
        <v>% of 1-Month Active Agents in 2-3M</v>
      </c>
      <c r="C4112" s="4" t="str">
        <f>CHOOSE(2, "5462030031", "Jul 26")</f>
        <v>Jul 26</v>
      </c>
      <c r="D4112" s="14">
        <v>0.21384928716904278</v>
      </c>
    </row>
    <row r="4113" spans="1:4" x14ac:dyDescent="0.35">
      <c r="A4113" s="5" t="str">
        <f t="shared" si="2109"/>
        <v>Agency</v>
      </c>
      <c r="B4113" s="3" t="str">
        <f t="shared" ref="B4113:B4114" si="2122">CHOOSE(2, "1395000000566", "% of 1-Month Active Agents 4-12M")</f>
        <v>% of 1-Month Active Agents 4-12M</v>
      </c>
      <c r="C4113" s="4" t="str">
        <f>CHOOSE(2, "5461730030", "Jun 26")</f>
        <v>Jun 26</v>
      </c>
      <c r="D4113" s="14">
        <v>4.0523844823325918E-2</v>
      </c>
    </row>
    <row r="4114" spans="1:4" x14ac:dyDescent="0.35">
      <c r="A4114" s="5" t="str">
        <f t="shared" si="2109"/>
        <v>Agency</v>
      </c>
      <c r="B4114" s="6" t="str">
        <f t="shared" si="2122"/>
        <v>% of 1-Month Active Agents 4-12M</v>
      </c>
      <c r="C4114" s="4" t="str">
        <f>CHOOSE(2, "5462030031", "Jul 26")</f>
        <v>Jul 26</v>
      </c>
      <c r="D4114" s="14">
        <v>3.5154274152756702E-2</v>
      </c>
    </row>
    <row r="4115" spans="1:4" x14ac:dyDescent="0.35">
      <c r="A4115" s="5" t="str">
        <f t="shared" si="2109"/>
        <v>Agency</v>
      </c>
      <c r="B4115" s="3" t="str">
        <f t="shared" ref="B4115:B4116" si="2123">CHOOSE(2, "1395000000565", "% of 1-Month Active Agents 13+M")</f>
        <v>% of 1-Month Active Agents 13+M</v>
      </c>
      <c r="C4115" s="4" t="str">
        <f>CHOOSE(2, "5461730030", "Jun 26")</f>
        <v>Jun 26</v>
      </c>
      <c r="D4115" s="14">
        <v>3.0848219060862124E-2</v>
      </c>
    </row>
    <row r="4116" spans="1:4" x14ac:dyDescent="0.35">
      <c r="A4116" s="5" t="str">
        <f t="shared" si="2109"/>
        <v>Agency</v>
      </c>
      <c r="B4116" s="6" t="str">
        <f t="shared" si="2123"/>
        <v>% of 1-Month Active Agents 13+M</v>
      </c>
      <c r="C4116" s="4" t="str">
        <f>CHOOSE(2, "5462030031", "Jul 26")</f>
        <v>Jul 26</v>
      </c>
      <c r="D4116" s="14">
        <v>2.8104035722599622E-2</v>
      </c>
    </row>
    <row r="4117" spans="1:4" x14ac:dyDescent="0.35">
      <c r="A4117" s="5" t="str">
        <f t="shared" si="2109"/>
        <v>Agency</v>
      </c>
      <c r="B4117" s="3" t="str">
        <f t="shared" ref="B4117:B4118" si="2124">CHOOSE(2, "1395000000564", "% of 3-Month Active Agents 0-1M")</f>
        <v>% of 3-Month Active Agents 0-1M</v>
      </c>
      <c r="C4117" s="4" t="str">
        <f>CHOOSE(2, "5461730030", "Jun 26")</f>
        <v>Jun 26</v>
      </c>
      <c r="D4117" s="14">
        <v>0.46868686868686871</v>
      </c>
    </row>
    <row r="4118" spans="1:4" x14ac:dyDescent="0.35">
      <c r="A4118" s="5" t="str">
        <f t="shared" si="2109"/>
        <v>Agency</v>
      </c>
      <c r="B4118" s="6" t="str">
        <f t="shared" si="2124"/>
        <v>% of 3-Month Active Agents 0-1M</v>
      </c>
      <c r="C4118" s="4" t="str">
        <f>CHOOSE(2, "5462030031", "Jul 26")</f>
        <v>Jul 26</v>
      </c>
      <c r="D4118" s="14">
        <v>0.3172268907563025</v>
      </c>
    </row>
    <row r="4119" spans="1:4" x14ac:dyDescent="0.35">
      <c r="A4119" s="5" t="str">
        <f t="shared" si="2109"/>
        <v>Agency</v>
      </c>
      <c r="B4119" s="3" t="str">
        <f t="shared" ref="B4119:B4120" si="2125">CHOOSE(2, "1395000000563", "% of 3-Month Active Agents in 2-3M")</f>
        <v>% of 3-Month Active Agents in 2-3M</v>
      </c>
      <c r="C4119" s="4" t="str">
        <f>CHOOSE(2, "5461730030", "Jun 26")</f>
        <v>Jun 26</v>
      </c>
      <c r="D4119" s="14">
        <v>0.61006289308176098</v>
      </c>
    </row>
    <row r="4120" spans="1:4" x14ac:dyDescent="0.35">
      <c r="A4120" s="5" t="str">
        <f t="shared" si="2109"/>
        <v>Agency</v>
      </c>
      <c r="B4120" s="6" t="str">
        <f t="shared" si="2125"/>
        <v>% of 3-Month Active Agents in 2-3M</v>
      </c>
      <c r="C4120" s="4" t="str">
        <f>CHOOSE(2, "5462030031", "Jul 26")</f>
        <v>Jul 26</v>
      </c>
      <c r="D4120" s="14">
        <v>0.60285132382892059</v>
      </c>
    </row>
    <row r="4121" spans="1:4" x14ac:dyDescent="0.35">
      <c r="A4121" s="5" t="str">
        <f t="shared" si="2109"/>
        <v>Agency</v>
      </c>
      <c r="B4121" s="3" t="str">
        <f t="shared" ref="B4121:B4122" si="2126">CHOOSE(2, "1395000000562", "% of 3-Month Active Agents 4-12M")</f>
        <v>% of 3-Month Active Agents 4-12M</v>
      </c>
      <c r="C4121" s="4" t="str">
        <f>CHOOSE(2, "5461730030", "Jun 26")</f>
        <v>Jun 26</v>
      </c>
      <c r="D4121" s="14">
        <v>0.10896960711638251</v>
      </c>
    </row>
    <row r="4122" spans="1:4" x14ac:dyDescent="0.35">
      <c r="A4122" s="5" t="str">
        <f t="shared" si="2109"/>
        <v>Agency</v>
      </c>
      <c r="B4122" s="6" t="str">
        <f t="shared" si="2126"/>
        <v>% of 3-Month Active Agents 4-12M</v>
      </c>
      <c r="C4122" s="4" t="str">
        <f>CHOOSE(2, "5462030031", "Jul 26")</f>
        <v>Jul 26</v>
      </c>
      <c r="D4122" s="14">
        <v>0.12721294891249368</v>
      </c>
    </row>
    <row r="4123" spans="1:4" x14ac:dyDescent="0.35">
      <c r="A4123" s="5" t="str">
        <f t="shared" si="2109"/>
        <v>Agency</v>
      </c>
      <c r="B4123" s="3" t="str">
        <f t="shared" ref="B4123:B4124" si="2127">CHOOSE(2, "1395000000561", "% of 3-Month Active Agents 13+M")</f>
        <v>% of 3-Month Active Agents 13+M</v>
      </c>
      <c r="C4123" s="4" t="str">
        <f>CHOOSE(2, "5461730030", "Jun 26")</f>
        <v>Jun 26</v>
      </c>
      <c r="D4123" s="14">
        <v>5.7567654294576963E-2</v>
      </c>
    </row>
    <row r="4124" spans="1:4" x14ac:dyDescent="0.35">
      <c r="A4124" s="5" t="str">
        <f t="shared" si="2109"/>
        <v>Agency</v>
      </c>
      <c r="B4124" s="6" t="str">
        <f t="shared" si="2127"/>
        <v>% of 3-Month Active Agents 13+M</v>
      </c>
      <c r="C4124" s="4" t="str">
        <f>CHOOSE(2, "5462030031", "Jul 26")</f>
        <v>Jul 26</v>
      </c>
      <c r="D4124" s="14">
        <v>5.6335047510210991E-2</v>
      </c>
    </row>
    <row r="4125" spans="1:4" x14ac:dyDescent="0.35">
      <c r="A4125" s="5" t="str">
        <f t="shared" si="2109"/>
        <v>Agency</v>
      </c>
      <c r="B4125" s="3" t="str">
        <f t="shared" ref="B4125:B4126" si="2128">CHOOSE(2, "1395000000560", "Avg. Case count per 1-Month Active Agent 0-1M")</f>
        <v>Avg. Case count per 1-Month Active Agent 0-1M</v>
      </c>
      <c r="C4125" s="4" t="str">
        <f>CHOOSE(2, "5461730030", "Jun 26")</f>
        <v>Jun 26</v>
      </c>
      <c r="D4125" s="14">
        <v>1.0818965517241379</v>
      </c>
    </row>
    <row r="4126" spans="1:4" x14ac:dyDescent="0.35">
      <c r="A4126" s="5" t="str">
        <f t="shared" si="2109"/>
        <v>Agency</v>
      </c>
      <c r="B4126" s="6" t="str">
        <f t="shared" si="2128"/>
        <v>Avg. Case count per 1-Month Active Agent 0-1M</v>
      </c>
      <c r="C4126" s="4" t="str">
        <f>CHOOSE(2, "5462030031", "Jul 26")</f>
        <v>Jul 26</v>
      </c>
      <c r="D4126" s="14">
        <v>1.1324503311258278</v>
      </c>
    </row>
    <row r="4127" spans="1:4" x14ac:dyDescent="0.35">
      <c r="A4127" s="5" t="str">
        <f t="shared" si="2109"/>
        <v>Agency</v>
      </c>
      <c r="B4127" s="3" t="str">
        <f t="shared" ref="B4127:B4128" si="2129">CHOOSE(2, "1395000000559", "Avg. Case count per 1-Month Active Agent in 2-3M")</f>
        <v>Avg. Case count per 1-Month Active Agent in 2-3M</v>
      </c>
      <c r="C4127" s="4" t="str">
        <f>CHOOSE(2, "5461730030", "Jun 26")</f>
        <v>Jun 26</v>
      </c>
      <c r="D4127" s="14">
        <v>1.407239819004525</v>
      </c>
    </row>
    <row r="4128" spans="1:4" x14ac:dyDescent="0.35">
      <c r="A4128" s="5" t="str">
        <f t="shared" si="2109"/>
        <v>Agency</v>
      </c>
      <c r="B4128" s="6" t="str">
        <f t="shared" si="2129"/>
        <v>Avg. Case count per 1-Month Active Agent in 2-3M</v>
      </c>
      <c r="C4128" s="4" t="str">
        <f>CHOOSE(2, "5462030031", "Jul 26")</f>
        <v>Jul 26</v>
      </c>
      <c r="D4128" s="14">
        <v>1.3095238095238095</v>
      </c>
    </row>
    <row r="4129" spans="1:4" x14ac:dyDescent="0.35">
      <c r="A4129" s="5" t="str">
        <f t="shared" si="2109"/>
        <v>Agency</v>
      </c>
      <c r="B4129" s="3" t="str">
        <f t="shared" ref="B4129:B4130" si="2130">CHOOSE(2, "1395000000558", "Avg. Case count per 1-Month Active Agent 4-12M")</f>
        <v>Avg. Case count per 1-Month Active Agent 4-12M</v>
      </c>
      <c r="C4129" s="4" t="str">
        <f>CHOOSE(2, "5461730030", "Jun 26")</f>
        <v>Jun 26</v>
      </c>
      <c r="D4129" s="14">
        <v>1.4329268292682926</v>
      </c>
    </row>
    <row r="4130" spans="1:4" x14ac:dyDescent="0.35">
      <c r="A4130" s="5" t="str">
        <f t="shared" si="2109"/>
        <v>Agency</v>
      </c>
      <c r="B4130" s="6" t="str">
        <f t="shared" si="2130"/>
        <v>Avg. Case count per 1-Month Active Agent 4-12M</v>
      </c>
      <c r="C4130" s="4" t="str">
        <f>CHOOSE(2, "5462030031", "Jul 26")</f>
        <v>Jul 26</v>
      </c>
      <c r="D4130" s="14">
        <v>1.2661870503597121</v>
      </c>
    </row>
    <row r="4131" spans="1:4" x14ac:dyDescent="0.35">
      <c r="A4131" s="5" t="str">
        <f t="shared" si="2109"/>
        <v>Agency</v>
      </c>
      <c r="B4131" s="3" t="str">
        <f t="shared" ref="B4131:B4132" si="2131">CHOOSE(2, "1395000000557", "Avg. Case count per 1-Month Active Agent 13+M")</f>
        <v>Avg. Case count per 1-Month Active Agent 13+M</v>
      </c>
      <c r="C4131" s="4" t="str">
        <f>CHOOSE(2, "5461730030", "Jun 26")</f>
        <v>Jun 26</v>
      </c>
      <c r="D4131" s="14">
        <v>1.6754507628294035</v>
      </c>
    </row>
    <row r="4132" spans="1:4" x14ac:dyDescent="0.35">
      <c r="A4132" s="5" t="str">
        <f t="shared" si="2109"/>
        <v>Agency</v>
      </c>
      <c r="B4132" s="6" t="str">
        <f t="shared" si="2131"/>
        <v>Avg. Case count per 1-Month Active Agent 13+M</v>
      </c>
      <c r="C4132" s="4" t="str">
        <f>CHOOSE(2, "5462030031", "Jul 26")</f>
        <v>Jul 26</v>
      </c>
      <c r="D4132" s="14">
        <v>1.5662650602409638</v>
      </c>
    </row>
    <row r="4133" spans="1:4" x14ac:dyDescent="0.35">
      <c r="A4133" s="5" t="str">
        <f t="shared" si="2109"/>
        <v>Agency</v>
      </c>
      <c r="B4133" s="3" t="str">
        <f t="shared" ref="B4133:B4134" si="2132">CHOOSE(2, "1395000000556", "Avg. Case size 0-1M")</f>
        <v>Avg. Case size 0-1M</v>
      </c>
      <c r="C4133" s="4" t="str">
        <f>CHOOSE(2, "5461730030", "Jun 26")</f>
        <v>Jun 26</v>
      </c>
      <c r="D4133" s="14">
        <v>1729.3964273394424</v>
      </c>
    </row>
    <row r="4134" spans="1:4" x14ac:dyDescent="0.35">
      <c r="A4134" s="5" t="str">
        <f t="shared" si="2109"/>
        <v>Agency</v>
      </c>
      <c r="B4134" s="6" t="str">
        <f t="shared" si="2132"/>
        <v>Avg. Case size 0-1M</v>
      </c>
      <c r="C4134" s="4" t="str">
        <f>CHOOSE(2, "5462030031", "Jul 26")</f>
        <v>Jul 26</v>
      </c>
      <c r="D4134" s="14">
        <v>1871.7621397555558</v>
      </c>
    </row>
    <row r="4135" spans="1:4" x14ac:dyDescent="0.35">
      <c r="A4135" s="5" t="str">
        <f t="shared" si="2109"/>
        <v>Agency</v>
      </c>
      <c r="B4135" s="3" t="str">
        <f t="shared" ref="B4135:B4136" si="2133">CHOOSE(2, "1395000000555", "Avg. Case size in 2-3M")</f>
        <v>Avg. Case size in 2-3M</v>
      </c>
      <c r="C4135" s="4" t="str">
        <f>CHOOSE(2, "5461730030", "Jun 26")</f>
        <v>Jun 26</v>
      </c>
      <c r="D4135" s="14">
        <v>2791.5016286958203</v>
      </c>
    </row>
    <row r="4136" spans="1:4" x14ac:dyDescent="0.35">
      <c r="A4136" s="5" t="str">
        <f t="shared" si="2109"/>
        <v>Agency</v>
      </c>
      <c r="B4136" s="6" t="str">
        <f t="shared" si="2133"/>
        <v>Avg. Case size in 2-3M</v>
      </c>
      <c r="C4136" s="4" t="str">
        <f>CHOOSE(2, "5462030031", "Jul 26")</f>
        <v>Jul 26</v>
      </c>
      <c r="D4136" s="14">
        <v>2327.7914610778184</v>
      </c>
    </row>
    <row r="4137" spans="1:4" x14ac:dyDescent="0.35">
      <c r="A4137" s="5" t="str">
        <f t="shared" si="2109"/>
        <v>Agency</v>
      </c>
      <c r="B4137" s="3" t="str">
        <f t="shared" ref="B4137:B4138" si="2134">CHOOSE(2, "1395000000554", "Avg. Case size 4-12M")</f>
        <v>Avg. Case size 4-12M</v>
      </c>
      <c r="C4137" s="4" t="str">
        <f>CHOOSE(2, "5461730030", "Jun 26")</f>
        <v>Jun 26</v>
      </c>
      <c r="D4137" s="14">
        <v>5541.4277012195744</v>
      </c>
    </row>
    <row r="4138" spans="1:4" x14ac:dyDescent="0.35">
      <c r="A4138" s="5" t="str">
        <f t="shared" si="2109"/>
        <v>Agency</v>
      </c>
      <c r="B4138" s="6" t="str">
        <f t="shared" si="2134"/>
        <v>Avg. Case size 4-12M</v>
      </c>
      <c r="C4138" s="4" t="str">
        <f>CHOOSE(2, "5462030031", "Jul 26")</f>
        <v>Jul 26</v>
      </c>
      <c r="D4138" s="14">
        <v>5455.7612369011367</v>
      </c>
    </row>
    <row r="4139" spans="1:4" x14ac:dyDescent="0.35">
      <c r="A4139" s="5" t="str">
        <f t="shared" si="2109"/>
        <v>Agency</v>
      </c>
      <c r="B4139" s="3" t="str">
        <f t="shared" ref="B4139:B4140" si="2135">CHOOSE(2, "1395000000553", "Avg. Case size 13+M")</f>
        <v>Avg. Case size 13+M</v>
      </c>
      <c r="C4139" s="4" t="str">
        <f>CHOOSE(2, "5461730030", "Jun 26")</f>
        <v>Jun 26</v>
      </c>
      <c r="D4139" s="14">
        <v>718.67301864602655</v>
      </c>
    </row>
    <row r="4140" spans="1:4" x14ac:dyDescent="0.35">
      <c r="A4140" s="5" t="str">
        <f t="shared" si="2109"/>
        <v>Agency</v>
      </c>
      <c r="B4140" s="6" t="str">
        <f t="shared" si="2135"/>
        <v>Avg. Case size 13+M</v>
      </c>
      <c r="C4140" s="4" t="str">
        <f>CHOOSE(2, "5462030031", "Jul 26")</f>
        <v>Jul 26</v>
      </c>
      <c r="D4140" s="14">
        <v>615.52178057346157</v>
      </c>
    </row>
    <row r="4141" spans="1:4" x14ac:dyDescent="0.35">
      <c r="A4141" s="5" t="str">
        <f t="shared" si="2109"/>
        <v>Agency</v>
      </c>
      <c r="B4141" s="3" t="str">
        <f t="shared" ref="B4141:B4142" si="2136">CHOOSE(2, "1395000000552", "Avg. Case size UM")</f>
        <v>Avg. Case size UM</v>
      </c>
      <c r="C4141" s="4" t="str">
        <f>CHOOSE(2, "5461730030", "Jun 26")</f>
        <v>Jun 26</v>
      </c>
      <c r="D4141" s="14">
        <v>0</v>
      </c>
    </row>
    <row r="4142" spans="1:4" x14ac:dyDescent="0.35">
      <c r="A4142" s="5" t="str">
        <f t="shared" si="2109"/>
        <v>Agency</v>
      </c>
      <c r="B4142" s="6" t="str">
        <f t="shared" si="2136"/>
        <v>Avg. Case size UM</v>
      </c>
      <c r="C4142" s="4" t="str">
        <f>CHOOSE(2, "5462030031", "Jul 26")</f>
        <v>Jul 26</v>
      </c>
      <c r="D4142" s="14">
        <v>0</v>
      </c>
    </row>
    <row r="4143" spans="1:4" x14ac:dyDescent="0.35">
      <c r="A4143" s="5" t="str">
        <f t="shared" si="2109"/>
        <v>Agency</v>
      </c>
      <c r="B4143" s="3" t="str">
        <f t="shared" ref="B4143:B4144" si="2137">CHOOSE(2, "1395000000551", "Avg. Case size Leaders above UM")</f>
        <v>Avg. Case size Leaders above UM</v>
      </c>
      <c r="C4143" s="4" t="str">
        <f>CHOOSE(2, "5461730030", "Jun 26")</f>
        <v>Jun 26</v>
      </c>
      <c r="D4143" s="14">
        <v>0</v>
      </c>
    </row>
    <row r="4144" spans="1:4" x14ac:dyDescent="0.35">
      <c r="A4144" s="5" t="str">
        <f t="shared" si="2109"/>
        <v>Agency</v>
      </c>
      <c r="B4144" s="6" t="str">
        <f t="shared" si="2137"/>
        <v>Avg. Case size Leaders above UM</v>
      </c>
      <c r="C4144" s="4" t="str">
        <f>CHOOSE(2, "5462030031", "Jul 26")</f>
        <v>Jul 26</v>
      </c>
      <c r="D4144" s="14">
        <v>0</v>
      </c>
    </row>
    <row r="4145" spans="1:4" x14ac:dyDescent="0.35">
      <c r="A4145" s="5" t="str">
        <f t="shared" si="2109"/>
        <v>Agency</v>
      </c>
      <c r="B4145" s="3" t="str">
        <f t="shared" ref="B4145:B4146" si="2138">CHOOSE(2, "1395000000550", "Avg. Case size Top-tier agents")</f>
        <v>Avg. Case size Top-tier agents</v>
      </c>
      <c r="C4145" s="4" t="str">
        <f>CHOOSE(2, "5461730030", "Jun 26")</f>
        <v>Jun 26</v>
      </c>
      <c r="D4145" s="14">
        <v>1909.798594944042</v>
      </c>
    </row>
    <row r="4146" spans="1:4" x14ac:dyDescent="0.35">
      <c r="A4146" s="5" t="str">
        <f t="shared" si="2109"/>
        <v>Agency</v>
      </c>
      <c r="B4146" s="6" t="str">
        <f t="shared" si="2138"/>
        <v>Avg. Case size Top-tier agents</v>
      </c>
      <c r="C4146" s="4" t="str">
        <f>CHOOSE(2, "5462030031", "Jul 26")</f>
        <v>Jul 26</v>
      </c>
      <c r="D4146" s="14">
        <v>1554.6502743558283</v>
      </c>
    </row>
    <row r="4147" spans="1:4" x14ac:dyDescent="0.35">
      <c r="A4147" s="5" t="str">
        <f t="shared" si="2109"/>
        <v>Agency</v>
      </c>
      <c r="B4147" s="3" t="str">
        <f t="shared" ref="B4147:B4148" si="2139">CHOOSE(2, "1395000000549", "Avg. Case size Manulife Pro Qualifiers - Total")</f>
        <v>Avg. Case size Manulife Pro Qualifiers - Total</v>
      </c>
      <c r="C4147" s="4" t="str">
        <f>CHOOSE(2, "5461730030", "Jun 26")</f>
        <v>Jun 26</v>
      </c>
      <c r="D4147" s="14">
        <v>1580.6880137921605</v>
      </c>
    </row>
    <row r="4148" spans="1:4" x14ac:dyDescent="0.35">
      <c r="A4148" s="5" t="str">
        <f t="shared" si="2109"/>
        <v>Agency</v>
      </c>
      <c r="B4148" s="6" t="str">
        <f t="shared" si="2139"/>
        <v>Avg. Case size Manulife Pro Qualifiers - Total</v>
      </c>
      <c r="C4148" s="4" t="str">
        <f>CHOOSE(2, "5462030031", "Jul 26")</f>
        <v>Jul 26</v>
      </c>
      <c r="D4148" s="14">
        <v>1275.5825322137405</v>
      </c>
    </row>
    <row r="4149" spans="1:4" x14ac:dyDescent="0.35">
      <c r="A4149" s="5" t="str">
        <f t="shared" si="2109"/>
        <v>Agency</v>
      </c>
      <c r="B4149" s="3" t="str">
        <f t="shared" ref="B4149:B4150" si="2140">CHOOSE(2, "1395000000548", "Avg. Case size FA or equivalent")</f>
        <v>Avg. Case size FA or equivalent</v>
      </c>
      <c r="C4149" s="4" t="str">
        <f>CHOOSE(2, "5461730030", "Jun 26")</f>
        <v>Jun 26</v>
      </c>
      <c r="D4149" s="14">
        <v>0</v>
      </c>
    </row>
    <row r="4150" spans="1:4" x14ac:dyDescent="0.35">
      <c r="A4150" s="5" t="str">
        <f t="shared" si="2109"/>
        <v>Agency</v>
      </c>
      <c r="B4150" s="6" t="str">
        <f t="shared" si="2140"/>
        <v>Avg. Case size FA or equivalent</v>
      </c>
      <c r="C4150" s="4" t="str">
        <f>CHOOSE(2, "5462030031", "Jul 26")</f>
        <v>Jul 26</v>
      </c>
      <c r="D4150" s="14">
        <v>0</v>
      </c>
    </row>
    <row r="4151" spans="1:4" x14ac:dyDescent="0.35">
      <c r="A4151" s="5" t="str">
        <f t="shared" si="2109"/>
        <v>Agency</v>
      </c>
      <c r="B4151" s="3" t="str">
        <f t="shared" ref="B4151:B4152" si="2141">CHOOSE(2, "1395000000547", "Avg. Case size pro-rated MDRT agents (&gt;100%)")</f>
        <v>Avg. Case size pro-rated MDRT agents (&gt;100%)</v>
      </c>
      <c r="C4151" s="4" t="str">
        <f>CHOOSE(2, "5461730030", "Jun 26")</f>
        <v>Jun 26</v>
      </c>
      <c r="D4151" s="14">
        <v>2051.1146715209129</v>
      </c>
    </row>
    <row r="4152" spans="1:4" x14ac:dyDescent="0.35">
      <c r="A4152" s="5" t="str">
        <f t="shared" si="2109"/>
        <v>Agency</v>
      </c>
      <c r="B4152" s="6" t="str">
        <f t="shared" si="2141"/>
        <v>Avg. Case size pro-rated MDRT agents (&gt;100%)</v>
      </c>
      <c r="C4152" s="4" t="str">
        <f>CHOOSE(2, "5462030031", "Jul 26")</f>
        <v>Jul 26</v>
      </c>
      <c r="D4152" s="14">
        <v>1719.6209588888889</v>
      </c>
    </row>
    <row r="4153" spans="1:4" x14ac:dyDescent="0.35">
      <c r="A4153" s="5" t="str">
        <f t="shared" ref="A4153:A4186" si="2142">CHOOSE(2, "1260000000004", "Agency")</f>
        <v>Agency</v>
      </c>
      <c r="B4153" s="3" t="str">
        <f t="shared" ref="B4153:B4154" si="2143">CHOOSE(2, "1395000000546", "Avg. Case size pro-rated MDRT agents (70-99%)")</f>
        <v>Avg. Case size pro-rated MDRT agents (70-99%)</v>
      </c>
      <c r="C4153" s="4" t="str">
        <f>CHOOSE(2, "5461730030", "Jun 26")</f>
        <v>Jun 26</v>
      </c>
      <c r="D4153" s="14">
        <v>1576.4266033846152</v>
      </c>
    </row>
    <row r="4154" spans="1:4" x14ac:dyDescent="0.35">
      <c r="A4154" s="5" t="str">
        <f t="shared" si="2142"/>
        <v>Agency</v>
      </c>
      <c r="B4154" s="6" t="str">
        <f t="shared" si="2143"/>
        <v>Avg. Case size pro-rated MDRT agents (70-99%)</v>
      </c>
      <c r="C4154" s="4" t="str">
        <f>CHOOSE(2, "5462030031", "Jul 26")</f>
        <v>Jul 26</v>
      </c>
      <c r="D4154" s="14">
        <v>1377.1072524615383</v>
      </c>
    </row>
    <row r="4155" spans="1:4" x14ac:dyDescent="0.35">
      <c r="A4155" s="5" t="str">
        <f t="shared" si="2142"/>
        <v>Agency</v>
      </c>
      <c r="B4155" s="3" t="str">
        <f t="shared" ref="B4155:B4156" si="2144">CHOOSE(2, "1395000000545", "Avg. Case size pro-rated MDRT agents (50-69%)")</f>
        <v>Avg. Case size pro-rated MDRT agents (50-69%)</v>
      </c>
      <c r="C4155" s="4" t="str">
        <f>CHOOSE(2, "5461730030", "Jun 26")</f>
        <v>Jun 26</v>
      </c>
      <c r="D4155" s="14">
        <v>1610.3406492753622</v>
      </c>
    </row>
    <row r="4156" spans="1:4" x14ac:dyDescent="0.35">
      <c r="A4156" s="5" t="str">
        <f t="shared" si="2142"/>
        <v>Agency</v>
      </c>
      <c r="B4156" s="6" t="str">
        <f t="shared" si="2144"/>
        <v>Avg. Case size pro-rated MDRT agents (50-69%)</v>
      </c>
      <c r="C4156" s="4" t="str">
        <f>CHOOSE(2, "5462030031", "Jul 26")</f>
        <v>Jul 26</v>
      </c>
      <c r="D4156" s="14">
        <v>1216.1793985786801</v>
      </c>
    </row>
    <row r="4157" spans="1:4" x14ac:dyDescent="0.35">
      <c r="A4157" s="5" t="str">
        <f t="shared" si="2142"/>
        <v>Agency</v>
      </c>
      <c r="B4157" s="3" t="str">
        <f t="shared" ref="B4157:B4158" si="2145">CHOOSE(2, "1395000000544", "% of 1-Month Active Agents UM")</f>
        <v>% of 1-Month Active Agents UM</v>
      </c>
      <c r="C4157" s="4" t="str">
        <f>CHOOSE(2, "5461730030", "Jun 26")</f>
        <v>Jun 26</v>
      </c>
      <c r="D4157" s="14">
        <v>0.32082324455205813</v>
      </c>
    </row>
    <row r="4158" spans="1:4" x14ac:dyDescent="0.35">
      <c r="A4158" s="5" t="str">
        <f t="shared" si="2142"/>
        <v>Agency</v>
      </c>
      <c r="B4158" s="6" t="str">
        <f t="shared" si="2145"/>
        <v>% of 1-Month Active Agents UM</v>
      </c>
      <c r="C4158" s="4" t="str">
        <f>CHOOSE(2, "5462030031", "Jul 26")</f>
        <v>Jul 26</v>
      </c>
      <c r="D4158" s="14">
        <v>0.30915576694411417</v>
      </c>
    </row>
    <row r="4159" spans="1:4" x14ac:dyDescent="0.35">
      <c r="A4159" s="5" t="str">
        <f t="shared" si="2142"/>
        <v>Agency</v>
      </c>
      <c r="B4159" s="3" t="str">
        <f t="shared" ref="B4159:B4160" si="2146">CHOOSE(2, "1395000000543", "% of 1-Month Active Agents Leaders above UM")</f>
        <v>% of 1-Month Active Agents Leaders above UM</v>
      </c>
      <c r="C4159" s="4" t="str">
        <f>CHOOSE(2, "5461730030", "Jun 26")</f>
        <v>Jun 26</v>
      </c>
      <c r="D4159" s="14">
        <v>0.43529411764705883</v>
      </c>
    </row>
    <row r="4160" spans="1:4" x14ac:dyDescent="0.35">
      <c r="A4160" s="5" t="str">
        <f t="shared" si="2142"/>
        <v>Agency</v>
      </c>
      <c r="B4160" s="6" t="str">
        <f t="shared" si="2146"/>
        <v>% of 1-Month Active Agents Leaders above UM</v>
      </c>
      <c r="C4160" s="4" t="str">
        <f>CHOOSE(2, "5462030031", "Jul 26")</f>
        <v>Jul 26</v>
      </c>
      <c r="D4160" s="14">
        <v>0.37880633373934225</v>
      </c>
    </row>
    <row r="4161" spans="1:4" x14ac:dyDescent="0.35">
      <c r="A4161" s="5" t="str">
        <f t="shared" si="2142"/>
        <v>Agency</v>
      </c>
      <c r="B4161" s="3" t="str">
        <f t="shared" ref="B4161:B4162" si="2147">CHOOSE(2, "1395000000542", "% of 1-Month Active Agents Top-tier agents")</f>
        <v>% of 1-Month Active Agents Top-tier agents</v>
      </c>
      <c r="C4161" s="4" t="str">
        <f>CHOOSE(2, "5461730030", "Jun 26")</f>
        <v>Jun 26</v>
      </c>
      <c r="D4161" s="14">
        <v>0.74774774774774777</v>
      </c>
    </row>
    <row r="4162" spans="1:4" x14ac:dyDescent="0.35">
      <c r="A4162" s="5" t="str">
        <f t="shared" si="2142"/>
        <v>Agency</v>
      </c>
      <c r="B4162" s="6" t="str">
        <f t="shared" si="2147"/>
        <v>% of 1-Month Active Agents Top-tier agents</v>
      </c>
      <c r="C4162" s="4" t="str">
        <f>CHOOSE(2, "5462030031", "Jul 26")</f>
        <v>Jul 26</v>
      </c>
      <c r="D4162" s="14">
        <v>0.69987389659520804</v>
      </c>
    </row>
    <row r="4163" spans="1:4" x14ac:dyDescent="0.35">
      <c r="A4163" s="5" t="str">
        <f t="shared" si="2142"/>
        <v>Agency</v>
      </c>
      <c r="B4163" s="3" t="str">
        <f t="shared" ref="B4163:B4164" si="2148">CHOOSE(2, "1395000000541", "% of 1-Month Active Agents FA or equivalent")</f>
        <v>% of 1-Month Active Agents FA or equivalent</v>
      </c>
      <c r="C4163" s="4" t="str">
        <f>CHOOSE(2, "5461730030", "Jun 26")</f>
        <v>Jun 26</v>
      </c>
      <c r="D4163" s="14">
        <v>2.8845014807502466E-2</v>
      </c>
    </row>
    <row r="4164" spans="1:4" x14ac:dyDescent="0.35">
      <c r="A4164" s="5" t="str">
        <f t="shared" si="2142"/>
        <v>Agency</v>
      </c>
      <c r="B4164" s="6" t="str">
        <f t="shared" si="2148"/>
        <v>% of 1-Month Active Agents FA or equivalent</v>
      </c>
      <c r="C4164" s="4" t="str">
        <f>CHOOSE(2, "5462030031", "Jul 26")</f>
        <v>Jul 26</v>
      </c>
      <c r="D4164" s="14">
        <v>2.4645609081818717E-2</v>
      </c>
    </row>
    <row r="4165" spans="1:4" x14ac:dyDescent="0.35">
      <c r="A4165" s="5" t="str">
        <f t="shared" si="2142"/>
        <v>Agency</v>
      </c>
      <c r="B4165" s="3" t="str">
        <f t="shared" ref="B4165:B4166" si="2149">CHOOSE(2, "1395000000540", "% of 1-Month Active Agents pro-rated MDRT agents (&gt;100%)")</f>
        <v>% of 1-Month Active Agents pro-rated MDRT agents (&gt;100%)</v>
      </c>
      <c r="C4165" s="4" t="str">
        <f>CHOOSE(2, "5461730030", "Jun 26")</f>
        <v>Jun 26</v>
      </c>
      <c r="D4165" s="14">
        <v>0.89814814814814814</v>
      </c>
    </row>
    <row r="4166" spans="1:4" x14ac:dyDescent="0.35">
      <c r="A4166" s="5" t="str">
        <f t="shared" si="2142"/>
        <v>Agency</v>
      </c>
      <c r="B4166" s="6" t="str">
        <f t="shared" si="2149"/>
        <v>% of 1-Month Active Agents pro-rated MDRT agents (&gt;100%)</v>
      </c>
      <c r="C4166" s="4" t="str">
        <f>CHOOSE(2, "5462030031", "Jul 26")</f>
        <v>Jul 26</v>
      </c>
      <c r="D4166" s="14">
        <v>0.82558139534883723</v>
      </c>
    </row>
    <row r="4167" spans="1:4" x14ac:dyDescent="0.35">
      <c r="A4167" s="5" t="str">
        <f t="shared" si="2142"/>
        <v>Agency</v>
      </c>
      <c r="B4167" s="3" t="str">
        <f t="shared" ref="B4167:B4168" si="2150">CHOOSE(2, "1395000000539", "% of 1-Month Active Agents pro-rated MDRT agents (70-99%)")</f>
        <v>% of 1-Month Active Agents pro-rated MDRT agents (70-99%)</v>
      </c>
      <c r="C4167" s="4" t="str">
        <f>CHOOSE(2, "5461730030", "Jun 26")</f>
        <v>Jun 26</v>
      </c>
      <c r="D4167" s="14">
        <v>0.63135593220338981</v>
      </c>
    </row>
    <row r="4168" spans="1:4" x14ac:dyDescent="0.35">
      <c r="A4168" s="5" t="str">
        <f t="shared" si="2142"/>
        <v>Agency</v>
      </c>
      <c r="B4168" s="6" t="str">
        <f t="shared" si="2150"/>
        <v>% of 1-Month Active Agents pro-rated MDRT agents (70-99%)</v>
      </c>
      <c r="C4168" s="4" t="str">
        <f>CHOOSE(2, "5462030031", "Jul 26")</f>
        <v>Jul 26</v>
      </c>
      <c r="D4168" s="14">
        <v>0.59176029962546817</v>
      </c>
    </row>
    <row r="4169" spans="1:4" x14ac:dyDescent="0.35">
      <c r="A4169" s="5" t="str">
        <f t="shared" si="2142"/>
        <v>Agency</v>
      </c>
      <c r="B4169" s="3" t="str">
        <f t="shared" ref="B4169:B4170" si="2151">CHOOSE(2, "1395000000538", "% of 1-Month Active Agents pro-rated MDRT agents (50-69%)")</f>
        <v>% of 1-Month Active Agents pro-rated MDRT agents (50-69%)</v>
      </c>
      <c r="C4169" s="4" t="str">
        <f>CHOOSE(2, "5461730030", "Jun 26")</f>
        <v>Jun 26</v>
      </c>
      <c r="D4169" s="14">
        <v>0.57727272727272727</v>
      </c>
    </row>
    <row r="4170" spans="1:4" x14ac:dyDescent="0.35">
      <c r="A4170" s="5" t="str">
        <f t="shared" si="2142"/>
        <v>Agency</v>
      </c>
      <c r="B4170" s="6" t="str">
        <f t="shared" si="2151"/>
        <v>% of 1-Month Active Agents pro-rated MDRT agents (50-69%)</v>
      </c>
      <c r="C4170" s="4" t="str">
        <f>CHOOSE(2, "5462030031", "Jul 26")</f>
        <v>Jul 26</v>
      </c>
      <c r="D4170" s="14">
        <v>0.62087912087912089</v>
      </c>
    </row>
    <row r="4171" spans="1:4" x14ac:dyDescent="0.35">
      <c r="A4171" s="5" t="str">
        <f t="shared" si="2142"/>
        <v>Agency</v>
      </c>
      <c r="B4171" s="3" t="str">
        <f t="shared" ref="B4171:B4172" si="2152">CHOOSE(2, "1395000000537", "Avg. Case count per 1-Month Active Agent UM")</f>
        <v>Avg. Case count per 1-Month Active Agent UM</v>
      </c>
      <c r="C4171" s="4" t="str">
        <f>CHOOSE(2, "5461730030", "Jun 26")</f>
        <v>Jun 26</v>
      </c>
      <c r="D4171" s="14">
        <v>1.6226415094339623</v>
      </c>
    </row>
    <row r="4172" spans="1:4" x14ac:dyDescent="0.35">
      <c r="A4172" s="5" t="str">
        <f t="shared" si="2142"/>
        <v>Agency</v>
      </c>
      <c r="B4172" s="6" t="str">
        <f t="shared" si="2152"/>
        <v>Avg. Case count per 1-Month Active Agent UM</v>
      </c>
      <c r="C4172" s="4" t="str">
        <f>CHOOSE(2, "5462030031", "Jul 26")</f>
        <v>Jul 26</v>
      </c>
      <c r="D4172" s="14">
        <v>1.726923076923077</v>
      </c>
    </row>
    <row r="4173" spans="1:4" x14ac:dyDescent="0.35">
      <c r="A4173" s="5" t="str">
        <f t="shared" si="2142"/>
        <v>Agency</v>
      </c>
      <c r="B4173" s="3" t="str">
        <f t="shared" ref="B4173:B4174" si="2153">CHOOSE(2, "1395000000536", "Avg. Case count per 1-Month Active Agent Leaders above UM")</f>
        <v>Avg. Case count per 1-Month Active Agent Leaders above UM</v>
      </c>
      <c r="C4173" s="4" t="str">
        <f>CHOOSE(2, "5461730030", "Jun 26")</f>
        <v>Jun 26</v>
      </c>
      <c r="D4173" s="14">
        <v>2.1501501501501501</v>
      </c>
    </row>
    <row r="4174" spans="1:4" x14ac:dyDescent="0.35">
      <c r="A4174" s="5" t="str">
        <f t="shared" si="2142"/>
        <v>Agency</v>
      </c>
      <c r="B4174" s="6" t="str">
        <f t="shared" si="2153"/>
        <v>Avg. Case count per 1-Month Active Agent Leaders above UM</v>
      </c>
      <c r="C4174" s="4" t="str">
        <f>CHOOSE(2, "5462030031", "Jul 26")</f>
        <v>Jul 26</v>
      </c>
      <c r="D4174" s="14">
        <v>1.9196141479099678</v>
      </c>
    </row>
    <row r="4175" spans="1:4" x14ac:dyDescent="0.35">
      <c r="A4175" s="5" t="str">
        <f t="shared" si="2142"/>
        <v>Agency</v>
      </c>
      <c r="B4175" s="3" t="str">
        <f t="shared" ref="B4175:B4176" si="2154">CHOOSE(2, "1395000000535", "Avg. Case count per 1-Month Active Agent Top-tier agents")</f>
        <v>Avg. Case count per 1-Month Active Agent Top-tier agents</v>
      </c>
      <c r="C4175" s="4" t="str">
        <f>CHOOSE(2, "5461730030", "Jun 26")</f>
        <v>Jun 26</v>
      </c>
      <c r="D4175" s="14">
        <v>2.2876506024096384</v>
      </c>
    </row>
    <row r="4176" spans="1:4" x14ac:dyDescent="0.35">
      <c r="A4176" s="5" t="str">
        <f t="shared" si="2142"/>
        <v>Agency</v>
      </c>
      <c r="B4176" s="6" t="str">
        <f t="shared" si="2154"/>
        <v>Avg. Case count per 1-Month Active Agent Top-tier agents</v>
      </c>
      <c r="C4176" s="4" t="str">
        <f>CHOOSE(2, "5462030031", "Jul 26")</f>
        <v>Jul 26</v>
      </c>
      <c r="D4176" s="14">
        <v>2.0558558558558557</v>
      </c>
    </row>
    <row r="4177" spans="1:4" x14ac:dyDescent="0.35">
      <c r="A4177" s="5" t="str">
        <f t="shared" si="2142"/>
        <v>Agency</v>
      </c>
      <c r="B4177" s="3" t="str">
        <f t="shared" ref="B4177:B4178" si="2155">CHOOSE(2, "1395000000534", "Avg. Case count per 1-Month Manulife Pro Qualifiers - Total")</f>
        <v>Avg. Case count per 1-Month Manulife Pro Qualifiers - Total</v>
      </c>
      <c r="C4177" s="4" t="str">
        <f>CHOOSE(2, "5461730030", "Jun 26")</f>
        <v>Jun 26</v>
      </c>
      <c r="D4177" s="14">
        <v>1.8499156829679595</v>
      </c>
    </row>
    <row r="4178" spans="1:4" x14ac:dyDescent="0.35">
      <c r="A4178" s="5" t="str">
        <f t="shared" si="2142"/>
        <v>Agency</v>
      </c>
      <c r="B4178" s="6" t="str">
        <f t="shared" si="2155"/>
        <v>Avg. Case count per 1-Month Manulife Pro Qualifiers - Total</v>
      </c>
      <c r="C4178" s="4" t="str">
        <f>CHOOSE(2, "5462030031", "Jul 26")</f>
        <v>Jul 26</v>
      </c>
      <c r="D4178" s="14">
        <v>1.7533460803059273</v>
      </c>
    </row>
    <row r="4179" spans="1:4" x14ac:dyDescent="0.35">
      <c r="A4179" s="5" t="str">
        <f t="shared" si="2142"/>
        <v>Agency</v>
      </c>
      <c r="B4179" s="3" t="str">
        <f t="shared" ref="B4179:B4180" si="2156">CHOOSE(2, "1395000000533", "Avg. Case count per 1-Month Active Agent FA or equivalent")</f>
        <v>Avg. Case count per 1-Month Active Agent FA or equivalent</v>
      </c>
      <c r="C4179" s="4" t="str">
        <f>CHOOSE(2, "5461730030", "Jun 26")</f>
        <v>Jun 26</v>
      </c>
      <c r="D4179" s="14">
        <v>1.4147843942505134</v>
      </c>
    </row>
    <row r="4180" spans="1:4" x14ac:dyDescent="0.35">
      <c r="A4180" s="5" t="str">
        <f t="shared" si="2142"/>
        <v>Agency</v>
      </c>
      <c r="B4180" s="6" t="str">
        <f t="shared" si="2156"/>
        <v>Avg. Case count per 1-Month Active Agent FA or equivalent</v>
      </c>
      <c r="C4180" s="4" t="str">
        <f>CHOOSE(2, "5462030031", "Jul 26")</f>
        <v>Jul 26</v>
      </c>
      <c r="D4180" s="14">
        <v>1.3174224343675418</v>
      </c>
    </row>
    <row r="4181" spans="1:4" x14ac:dyDescent="0.35">
      <c r="A4181" s="5" t="str">
        <f t="shared" si="2142"/>
        <v>Agency</v>
      </c>
      <c r="B4181" s="3" t="str">
        <f t="shared" ref="B4181:B4182" si="2157">CHOOSE(2, "1395000000532", "Avg. Case count per 1-Month pro-rated MDRT agents (&gt;100%)")</f>
        <v>Avg. Case count per 1-Month pro-rated MDRT agents (&gt;100%)</v>
      </c>
      <c r="C4181" s="4" t="str">
        <f>CHOOSE(2, "5461730030", "Jun 26")</f>
        <v>Jun 26</v>
      </c>
      <c r="D4181" s="14">
        <v>2.7113402061855671</v>
      </c>
    </row>
    <row r="4182" spans="1:4" x14ac:dyDescent="0.35">
      <c r="A4182" s="5" t="str">
        <f t="shared" si="2142"/>
        <v>Agency</v>
      </c>
      <c r="B4182" s="6" t="str">
        <f t="shared" si="2157"/>
        <v>Avg. Case count per 1-Month pro-rated MDRT agents (&gt;100%)</v>
      </c>
      <c r="C4182" s="4" t="str">
        <f>CHOOSE(2, "5462030031", "Jul 26")</f>
        <v>Jul 26</v>
      </c>
      <c r="D4182" s="14">
        <v>2.408450704225352</v>
      </c>
    </row>
    <row r="4183" spans="1:4" x14ac:dyDescent="0.35">
      <c r="A4183" s="5" t="str">
        <f t="shared" si="2142"/>
        <v>Agency</v>
      </c>
      <c r="B4183" s="3" t="str">
        <f t="shared" ref="B4183:B4184" si="2158">CHOOSE(2, "1395000000531", "Avg. Case count per 1-Month pro-rated MDRT agents (70-99%)")</f>
        <v>Avg. Case count per 1-Month pro-rated MDRT agents (70-99%)</v>
      </c>
      <c r="C4183" s="4" t="str">
        <f>CHOOSE(2, "5461730030", "Jun 26")</f>
        <v>Jun 26</v>
      </c>
      <c r="D4183" s="14">
        <v>1.7449664429530201</v>
      </c>
    </row>
    <row r="4184" spans="1:4" x14ac:dyDescent="0.35">
      <c r="A4184" s="5" t="str">
        <f t="shared" si="2142"/>
        <v>Agency</v>
      </c>
      <c r="B4184" s="6" t="str">
        <f t="shared" si="2158"/>
        <v>Avg. Case count per 1-Month pro-rated MDRT agents (70-99%)</v>
      </c>
      <c r="C4184" s="4" t="str">
        <f>CHOOSE(2, "5462030031", "Jul 26")</f>
        <v>Jul 26</v>
      </c>
      <c r="D4184" s="14">
        <v>1.6455696202531647</v>
      </c>
    </row>
    <row r="4185" spans="1:4" x14ac:dyDescent="0.35">
      <c r="A4185" s="5" t="str">
        <f t="shared" si="2142"/>
        <v>Agency</v>
      </c>
      <c r="B4185" s="3" t="str">
        <f t="shared" ref="B4185:B4186" si="2159">CHOOSE(2, "1395000000530", "Avg. Case count per 1-Month pro-rated MDRT agents (50-69%)")</f>
        <v>Avg. Case count per 1-Month pro-rated MDRT agents (50-69%)</v>
      </c>
      <c r="C4185" s="4" t="str">
        <f>CHOOSE(2, "5461730030", "Jun 26")</f>
        <v>Jun 26</v>
      </c>
      <c r="D4185" s="14">
        <v>1.6299212598425197</v>
      </c>
    </row>
    <row r="4186" spans="1:4" x14ac:dyDescent="0.35">
      <c r="A4186" s="6" t="str">
        <f t="shared" si="2142"/>
        <v>Agency</v>
      </c>
      <c r="B4186" s="6" t="str">
        <f t="shared" si="2159"/>
        <v>Avg. Case count per 1-Month pro-rated MDRT agents (50-69%)</v>
      </c>
      <c r="C4186" s="4" t="str">
        <f>CHOOSE(2, "5462030031", "Jul 26")</f>
        <v>Jul 26</v>
      </c>
      <c r="D4186" s="14">
        <v>1.7433628318584071</v>
      </c>
    </row>
    <row r="4187" spans="1:4" x14ac:dyDescent="0.35">
      <c r="A4187" s="7" t="str">
        <f t="shared" ref="A4187:A4250" si="2160">CHOOSE(2, "204000000005", "Vietnam")</f>
        <v>Vietnam</v>
      </c>
      <c r="B4187" s="3" t="str">
        <f t="shared" ref="B4187:B4188" si="2161">CHOOSE(2, "1395000000741", "Submitted APE")</f>
        <v>Submitted APE</v>
      </c>
      <c r="C4187" s="4" t="str">
        <f>CHOOSE(2, "5461730030", "Jun 26")</f>
        <v>Jun 26</v>
      </c>
      <c r="D4187" s="14">
        <v>185.02589021200001</v>
      </c>
    </row>
    <row r="4188" spans="1:4" x14ac:dyDescent="0.35">
      <c r="A4188" s="8" t="str">
        <f t="shared" si="2160"/>
        <v>Vietnam</v>
      </c>
      <c r="B4188" s="6" t="str">
        <f t="shared" si="2161"/>
        <v>Submitted APE</v>
      </c>
      <c r="C4188" s="4" t="str">
        <f>CHOOSE(2, "5462030031", "Jul 26")</f>
        <v>Jul 26</v>
      </c>
      <c r="D4188" s="14">
        <v>125.347321056</v>
      </c>
    </row>
    <row r="4189" spans="1:4" x14ac:dyDescent="0.35">
      <c r="A4189" s="8" t="str">
        <f t="shared" si="2160"/>
        <v>Vietnam</v>
      </c>
      <c r="B4189" s="3" t="str">
        <f t="shared" ref="B4189:B4190" si="2162">CHOOSE(2, "1395000000740", "# of 1-Month Active Agents")</f>
        <v># of 1-Month Active Agents</v>
      </c>
      <c r="C4189" s="4" t="str">
        <f>CHOOSE(2, "5461730030", "Jun 26")</f>
        <v>Jun 26</v>
      </c>
      <c r="D4189" s="14">
        <v>2059</v>
      </c>
    </row>
    <row r="4190" spans="1:4" x14ac:dyDescent="0.35">
      <c r="A4190" s="8" t="str">
        <f t="shared" si="2160"/>
        <v>Vietnam</v>
      </c>
      <c r="B4190" s="6" t="str">
        <f t="shared" si="2162"/>
        <v># of 1-Month Active Agents</v>
      </c>
      <c r="C4190" s="4" t="str">
        <f>CHOOSE(2, "5462030031", "Jul 26")</f>
        <v>Jul 26</v>
      </c>
      <c r="D4190" s="14">
        <v>1828</v>
      </c>
    </row>
    <row r="4191" spans="1:4" x14ac:dyDescent="0.35">
      <c r="A4191" s="8" t="str">
        <f t="shared" si="2160"/>
        <v>Vietnam</v>
      </c>
      <c r="B4191" s="3" t="str">
        <f t="shared" ref="B4191:B4192" si="2163">CHOOSE(2, "1395000000739", "# of 1-Month Active Agents in 0-1M")</f>
        <v># of 1-Month Active Agents in 0-1M</v>
      </c>
      <c r="C4191" s="4" t="str">
        <f>CHOOSE(2, "5461730030", "Jun 26")</f>
        <v>Jun 26</v>
      </c>
      <c r="D4191" s="14">
        <v>232</v>
      </c>
    </row>
    <row r="4192" spans="1:4" x14ac:dyDescent="0.35">
      <c r="A4192" s="8" t="str">
        <f t="shared" si="2160"/>
        <v>Vietnam</v>
      </c>
      <c r="B4192" s="6" t="str">
        <f t="shared" si="2163"/>
        <v># of 1-Month Active Agents in 0-1M</v>
      </c>
      <c r="C4192" s="4" t="str">
        <f>CHOOSE(2, "5462030031", "Jul 26")</f>
        <v>Jul 26</v>
      </c>
      <c r="D4192" s="14">
        <v>151</v>
      </c>
    </row>
    <row r="4193" spans="1:4" x14ac:dyDescent="0.35">
      <c r="A4193" s="8" t="str">
        <f t="shared" si="2160"/>
        <v>Vietnam</v>
      </c>
      <c r="B4193" s="3" t="str">
        <f t="shared" ref="B4193:B4194" si="2164">CHOOSE(2, "1395000000738", "# of 1-Month Active Agents in 2-3M")</f>
        <v># of 1-Month Active Agents in 2-3M</v>
      </c>
      <c r="C4193" s="4" t="str">
        <f>CHOOSE(2, "5461730030", "Jun 26")</f>
        <v>Jun 26</v>
      </c>
      <c r="D4193" s="14">
        <v>221</v>
      </c>
    </row>
    <row r="4194" spans="1:4" x14ac:dyDescent="0.35">
      <c r="A4194" s="8" t="str">
        <f t="shared" si="2160"/>
        <v>Vietnam</v>
      </c>
      <c r="B4194" s="6" t="str">
        <f t="shared" si="2164"/>
        <v># of 1-Month Active Agents in 2-3M</v>
      </c>
      <c r="C4194" s="4" t="str">
        <f>CHOOSE(2, "5462030031", "Jul 26")</f>
        <v>Jul 26</v>
      </c>
      <c r="D4194" s="14">
        <v>210</v>
      </c>
    </row>
    <row r="4195" spans="1:4" x14ac:dyDescent="0.35">
      <c r="A4195" s="8" t="str">
        <f t="shared" si="2160"/>
        <v>Vietnam</v>
      </c>
      <c r="B4195" s="3" t="str">
        <f t="shared" ref="B4195:B4196" si="2165">CHOOSE(2, "1395000000737", "# of 1-Month Active Agents in 4-12M")</f>
        <v># of 1-Month Active Agents in 4-12M</v>
      </c>
      <c r="C4195" s="4" t="str">
        <f>CHOOSE(2, "5461730030", "Jun 26")</f>
        <v>Jun 26</v>
      </c>
      <c r="D4195" s="14">
        <v>164</v>
      </c>
    </row>
    <row r="4196" spans="1:4" x14ac:dyDescent="0.35">
      <c r="A4196" s="8" t="str">
        <f t="shared" si="2160"/>
        <v>Vietnam</v>
      </c>
      <c r="B4196" s="6" t="str">
        <f t="shared" si="2165"/>
        <v># of 1-Month Active Agents in 4-12M</v>
      </c>
      <c r="C4196" s="4" t="str">
        <f>CHOOSE(2, "5462030031", "Jul 26")</f>
        <v>Jul 26</v>
      </c>
      <c r="D4196" s="14">
        <v>139</v>
      </c>
    </row>
    <row r="4197" spans="1:4" x14ac:dyDescent="0.35">
      <c r="A4197" s="8" t="str">
        <f t="shared" si="2160"/>
        <v>Vietnam</v>
      </c>
      <c r="B4197" s="3" t="str">
        <f t="shared" ref="B4197:B4198" si="2166">CHOOSE(2, "1395000000736", "# of 1-Month Active Agents 13+M")</f>
        <v># of 1-Month Active Agents 13+M</v>
      </c>
      <c r="C4197" s="4" t="str">
        <f>CHOOSE(2, "5461730030", "Jun 26")</f>
        <v>Jun 26</v>
      </c>
      <c r="D4197" s="14">
        <v>1442</v>
      </c>
    </row>
    <row r="4198" spans="1:4" x14ac:dyDescent="0.35">
      <c r="A4198" s="8" t="str">
        <f t="shared" si="2160"/>
        <v>Vietnam</v>
      </c>
      <c r="B4198" s="6" t="str">
        <f t="shared" si="2166"/>
        <v># of 1-Month Active Agents 13+M</v>
      </c>
      <c r="C4198" s="4" t="str">
        <f>CHOOSE(2, "5462030031", "Jul 26")</f>
        <v>Jul 26</v>
      </c>
      <c r="D4198" s="14">
        <v>1328</v>
      </c>
    </row>
    <row r="4199" spans="1:4" x14ac:dyDescent="0.35">
      <c r="A4199" s="8" t="str">
        <f t="shared" si="2160"/>
        <v>Vietnam</v>
      </c>
      <c r="B4199" s="3" t="str">
        <f t="shared" ref="B4199:B4200" si="2167">CHOOSE(2, "1395000000735", "# of 1-Month Active Agents in FA or equivalent")</f>
        <v># of 1-Month Active Agents in FA or equivalent</v>
      </c>
      <c r="C4199" s="4" t="str">
        <f>CHOOSE(2, "5461730030", "Jun 26")</f>
        <v>Jun 26</v>
      </c>
      <c r="D4199" s="14">
        <v>1461</v>
      </c>
    </row>
    <row r="4200" spans="1:4" x14ac:dyDescent="0.35">
      <c r="A4200" s="8" t="str">
        <f t="shared" si="2160"/>
        <v>Vietnam</v>
      </c>
      <c r="B4200" s="6" t="str">
        <f t="shared" si="2167"/>
        <v># of 1-Month Active Agents in FA or equivalent</v>
      </c>
      <c r="C4200" s="4" t="str">
        <f>CHOOSE(2, "5462030031", "Jul 26")</f>
        <v>Jul 26</v>
      </c>
      <c r="D4200" s="14">
        <v>1257</v>
      </c>
    </row>
    <row r="4201" spans="1:4" x14ac:dyDescent="0.35">
      <c r="A4201" s="8" t="str">
        <f t="shared" si="2160"/>
        <v>Vietnam</v>
      </c>
      <c r="B4201" s="3" t="str">
        <f t="shared" ref="B4201:B4202" si="2168">CHOOSE(2, "1395000000734", "# of 1-Month Active Agents in UM")</f>
        <v># of 1-Month Active Agents in UM</v>
      </c>
      <c r="C4201" s="4" t="str">
        <f>CHOOSE(2, "5461730030", "Jun 26")</f>
        <v>Jun 26</v>
      </c>
      <c r="D4201" s="14">
        <v>265</v>
      </c>
    </row>
    <row r="4202" spans="1:4" x14ac:dyDescent="0.35">
      <c r="A4202" s="8" t="str">
        <f t="shared" si="2160"/>
        <v>Vietnam</v>
      </c>
      <c r="B4202" s="6" t="str">
        <f t="shared" si="2168"/>
        <v># of 1-Month Active Agents in UM</v>
      </c>
      <c r="C4202" s="4" t="str">
        <f>CHOOSE(2, "5462030031", "Jul 26")</f>
        <v>Jul 26</v>
      </c>
      <c r="D4202" s="14">
        <v>260</v>
      </c>
    </row>
    <row r="4203" spans="1:4" x14ac:dyDescent="0.35">
      <c r="A4203" s="8" t="str">
        <f t="shared" si="2160"/>
        <v>Vietnam</v>
      </c>
      <c r="B4203" s="3" t="str">
        <f t="shared" ref="B4203:B4204" si="2169">CHOOSE(2, "1395000000733", "# of 1-Month Active Agents in Leaders above UM")</f>
        <v># of 1-Month Active Agents in Leaders above UM</v>
      </c>
      <c r="C4203" s="4" t="str">
        <f>CHOOSE(2, "5461730030", "Jun 26")</f>
        <v>Jun 26</v>
      </c>
      <c r="D4203" s="14">
        <v>333</v>
      </c>
    </row>
    <row r="4204" spans="1:4" x14ac:dyDescent="0.35">
      <c r="A4204" s="8" t="str">
        <f t="shared" si="2160"/>
        <v>Vietnam</v>
      </c>
      <c r="B4204" s="6" t="str">
        <f t="shared" si="2169"/>
        <v># of 1-Month Active Agents in Leaders above UM</v>
      </c>
      <c r="C4204" s="4" t="str">
        <f>CHOOSE(2, "5462030031", "Jul 26")</f>
        <v>Jul 26</v>
      </c>
      <c r="D4204" s="14">
        <v>311</v>
      </c>
    </row>
    <row r="4205" spans="1:4" x14ac:dyDescent="0.35">
      <c r="A4205" s="8" t="str">
        <f t="shared" si="2160"/>
        <v>Vietnam</v>
      </c>
      <c r="B4205" s="3" t="str">
        <f t="shared" ref="B4205:B4206" si="2170">CHOOSE(2, "1395000000732", "# of 1-Month Active Top-tier Agents")</f>
        <v># of 1-Month Active Top-tier Agents</v>
      </c>
      <c r="C4205" s="4" t="str">
        <f>CHOOSE(2, "5461730030", "Jun 26")</f>
        <v>Jun 26</v>
      </c>
      <c r="D4205" s="14">
        <v>664</v>
      </c>
    </row>
    <row r="4206" spans="1:4" x14ac:dyDescent="0.35">
      <c r="A4206" s="8" t="str">
        <f t="shared" si="2160"/>
        <v>Vietnam</v>
      </c>
      <c r="B4206" s="6" t="str">
        <f t="shared" si="2170"/>
        <v># of 1-Month Active Top-tier Agents</v>
      </c>
      <c r="C4206" s="4" t="str">
        <f>CHOOSE(2, "5462030031", "Jul 26")</f>
        <v>Jul 26</v>
      </c>
      <c r="D4206" s="14">
        <v>555</v>
      </c>
    </row>
    <row r="4207" spans="1:4" x14ac:dyDescent="0.35">
      <c r="A4207" s="8" t="str">
        <f t="shared" si="2160"/>
        <v>Vietnam</v>
      </c>
      <c r="B4207" s="3" t="str">
        <f t="shared" ref="B4207:B4208" si="2171">CHOOSE(2, "1395000000731", "# of 1-Month Active Agents in pro-rated MDRT agents (&gt;100%)")</f>
        <v># of 1-Month Active Agents in pro-rated MDRT agents (&gt;100%)</v>
      </c>
      <c r="C4207" s="4" t="str">
        <f>CHOOSE(2, "5461730030", "Jun 26")</f>
        <v>Jun 26</v>
      </c>
      <c r="D4207" s="14">
        <v>388</v>
      </c>
    </row>
    <row r="4208" spans="1:4" x14ac:dyDescent="0.35">
      <c r="A4208" s="8" t="str">
        <f t="shared" si="2160"/>
        <v>Vietnam</v>
      </c>
      <c r="B4208" s="6" t="str">
        <f t="shared" si="2171"/>
        <v># of 1-Month Active Agents in pro-rated MDRT agents (&gt;100%)</v>
      </c>
      <c r="C4208" s="4" t="str">
        <f>CHOOSE(2, "5462030031", "Jul 26")</f>
        <v>Jul 26</v>
      </c>
      <c r="D4208" s="14">
        <v>284</v>
      </c>
    </row>
    <row r="4209" spans="1:4" x14ac:dyDescent="0.35">
      <c r="A4209" s="8" t="str">
        <f t="shared" si="2160"/>
        <v>Vietnam</v>
      </c>
      <c r="B4209" s="3" t="str">
        <f t="shared" ref="B4209:B4210" si="2172">CHOOSE(2, "1395000000730", "# of 1-Month Active Agents in pro-rated MDRT agents (70-99%)")</f>
        <v># of 1-Month Active Agents in pro-rated MDRT agents (70-99%)</v>
      </c>
      <c r="C4209" s="4" t="str">
        <f>CHOOSE(2, "5461730030", "Jun 26")</f>
        <v>Jun 26</v>
      </c>
      <c r="D4209" s="14">
        <v>149</v>
      </c>
    </row>
    <row r="4210" spans="1:4" x14ac:dyDescent="0.35">
      <c r="A4210" s="8" t="str">
        <f t="shared" si="2160"/>
        <v>Vietnam</v>
      </c>
      <c r="B4210" s="6" t="str">
        <f t="shared" si="2172"/>
        <v># of 1-Month Active Agents in pro-rated MDRT agents (70-99%)</v>
      </c>
      <c r="C4210" s="4" t="str">
        <f>CHOOSE(2, "5462030031", "Jul 26")</f>
        <v>Jul 26</v>
      </c>
      <c r="D4210" s="14">
        <v>158</v>
      </c>
    </row>
    <row r="4211" spans="1:4" x14ac:dyDescent="0.35">
      <c r="A4211" s="8" t="str">
        <f t="shared" si="2160"/>
        <v>Vietnam</v>
      </c>
      <c r="B4211" s="3" t="str">
        <f t="shared" ref="B4211:B4212" si="2173">CHOOSE(2, "1395000000729", "# of 1-Month Active Agents in pro-rated MDRT agents (50-69%)")</f>
        <v># of 1-Month Active Agents in pro-rated MDRT agents (50-69%)</v>
      </c>
      <c r="C4211" s="4" t="str">
        <f>CHOOSE(2, "5461730030", "Jun 26")</f>
        <v>Jun 26</v>
      </c>
      <c r="D4211" s="14">
        <v>127</v>
      </c>
    </row>
    <row r="4212" spans="1:4" x14ac:dyDescent="0.35">
      <c r="A4212" s="8" t="str">
        <f t="shared" si="2160"/>
        <v>Vietnam</v>
      </c>
      <c r="B4212" s="6" t="str">
        <f t="shared" si="2173"/>
        <v># of 1-Month Active Agents in pro-rated MDRT agents (50-69%)</v>
      </c>
      <c r="C4212" s="4" t="str">
        <f>CHOOSE(2, "5462030031", "Jul 26")</f>
        <v>Jul 26</v>
      </c>
      <c r="D4212" s="14">
        <v>113</v>
      </c>
    </row>
    <row r="4213" spans="1:4" x14ac:dyDescent="0.35">
      <c r="A4213" s="8" t="str">
        <f t="shared" si="2160"/>
        <v>Vietnam</v>
      </c>
      <c r="B4213" s="3" t="str">
        <f t="shared" ref="B4213:B4214" si="2174">CHOOSE(2, "1395000000728", "# of 1-Month Active Agents in Manulife Pro Qualifiers -Total")</f>
        <v># of 1-Month Active Agents in Manulife Pro Qualifiers -Total</v>
      </c>
      <c r="C4213" s="4" t="str">
        <f>CHOOSE(2, "5461730030", "Jun 26")</f>
        <v>Jun 26</v>
      </c>
      <c r="D4213" s="14">
        <v>1186</v>
      </c>
    </row>
    <row r="4214" spans="1:4" x14ac:dyDescent="0.35">
      <c r="A4214" s="8" t="str">
        <f t="shared" si="2160"/>
        <v>Vietnam</v>
      </c>
      <c r="B4214" s="6" t="str">
        <f t="shared" si="2174"/>
        <v># of 1-Month Active Agents in Manulife Pro Qualifiers -Total</v>
      </c>
      <c r="C4214" s="4" t="str">
        <f>CHOOSE(2, "5462030031", "Jul 26")</f>
        <v>Jul 26</v>
      </c>
      <c r="D4214" s="14">
        <v>1046</v>
      </c>
    </row>
    <row r="4215" spans="1:4" x14ac:dyDescent="0.35">
      <c r="A4215" s="8" t="str">
        <f t="shared" si="2160"/>
        <v>Vietnam</v>
      </c>
      <c r="B4215" s="3" t="str">
        <f t="shared" ref="B4215:B4216" si="2175">CHOOSE(2, "1395000000727", "# of 3-Month Active Agents")</f>
        <v># of 3-Month Active Agents</v>
      </c>
      <c r="C4215" s="4" t="str">
        <f>CHOOSE(2, "5461730030", "Jun 26")</f>
        <v>Jun 26</v>
      </c>
      <c r="D4215" s="14">
        <v>3946</v>
      </c>
    </row>
    <row r="4216" spans="1:4" x14ac:dyDescent="0.35">
      <c r="A4216" s="8" t="str">
        <f t="shared" si="2160"/>
        <v>Vietnam</v>
      </c>
      <c r="B4216" s="6" t="str">
        <f t="shared" si="2175"/>
        <v># of 3-Month Active Agents</v>
      </c>
      <c r="C4216" s="4" t="str">
        <f>CHOOSE(2, "5462030031", "Jul 26")</f>
        <v>Jul 26</v>
      </c>
      <c r="D4216" s="14">
        <v>3908</v>
      </c>
    </row>
    <row r="4217" spans="1:4" x14ac:dyDescent="0.35">
      <c r="A4217" s="8" t="str">
        <f t="shared" si="2160"/>
        <v>Vietnam</v>
      </c>
      <c r="B4217" s="3" t="str">
        <f t="shared" ref="B4217:B4218" si="2176">CHOOSE(2, "1395000000726", "# of 3-Month Active Agents in 0-1M")</f>
        <v># of 3-Month Active Agents in 0-1M</v>
      </c>
      <c r="C4217" s="4" t="str">
        <f>CHOOSE(2, "5461730030", "Jun 26")</f>
        <v>Jun 26</v>
      </c>
      <c r="D4217" s="14">
        <v>232</v>
      </c>
    </row>
    <row r="4218" spans="1:4" x14ac:dyDescent="0.35">
      <c r="A4218" s="8" t="str">
        <f t="shared" si="2160"/>
        <v>Vietnam</v>
      </c>
      <c r="B4218" s="6" t="str">
        <f t="shared" si="2176"/>
        <v># of 3-Month Active Agents in 0-1M</v>
      </c>
      <c r="C4218" s="4" t="str">
        <f>CHOOSE(2, "5462030031", "Jul 26")</f>
        <v>Jul 26</v>
      </c>
      <c r="D4218" s="14">
        <v>151</v>
      </c>
    </row>
    <row r="4219" spans="1:4" x14ac:dyDescent="0.35">
      <c r="A4219" s="8" t="str">
        <f t="shared" si="2160"/>
        <v>Vietnam</v>
      </c>
      <c r="B4219" s="3" t="str">
        <f t="shared" ref="B4219:B4220" si="2177">CHOOSE(2, "1395000000725", "# of 3-Month Active Agents in 2-3M")</f>
        <v># of 3-Month Active Agents in 2-3M</v>
      </c>
      <c r="C4219" s="4" t="str">
        <f>CHOOSE(2, "5461730030", "Jun 26")</f>
        <v>Jun 26</v>
      </c>
      <c r="D4219" s="14">
        <v>582</v>
      </c>
    </row>
    <row r="4220" spans="1:4" x14ac:dyDescent="0.35">
      <c r="A4220" s="8" t="str">
        <f t="shared" si="2160"/>
        <v>Vietnam</v>
      </c>
      <c r="B4220" s="6" t="str">
        <f t="shared" si="2177"/>
        <v># of 3-Month Active Agents in 2-3M</v>
      </c>
      <c r="C4220" s="4" t="str">
        <f>CHOOSE(2, "5462030031", "Jul 26")</f>
        <v>Jul 26</v>
      </c>
      <c r="D4220" s="14">
        <v>592</v>
      </c>
    </row>
    <row r="4221" spans="1:4" x14ac:dyDescent="0.35">
      <c r="A4221" s="8" t="str">
        <f t="shared" si="2160"/>
        <v>Vietnam</v>
      </c>
      <c r="B4221" s="3" t="str">
        <f t="shared" ref="B4221:B4222" si="2178">CHOOSE(2, "1395000000724", "# of 3-Month Active Agents in 4-12M")</f>
        <v># of 3-Month Active Agents in 4-12M</v>
      </c>
      <c r="C4221" s="4" t="str">
        <f>CHOOSE(2, "5461730030", "Jun 26")</f>
        <v>Jun 26</v>
      </c>
      <c r="D4221" s="14">
        <v>441</v>
      </c>
    </row>
    <row r="4222" spans="1:4" x14ac:dyDescent="0.35">
      <c r="A4222" s="8" t="str">
        <f t="shared" si="2160"/>
        <v>Vietnam</v>
      </c>
      <c r="B4222" s="6" t="str">
        <f t="shared" si="2178"/>
        <v># of 3-Month Active Agents in 4-12M</v>
      </c>
      <c r="C4222" s="4" t="str">
        <f>CHOOSE(2, "5462030031", "Jul 26")</f>
        <v>Jul 26</v>
      </c>
      <c r="D4222" s="14">
        <v>503</v>
      </c>
    </row>
    <row r="4223" spans="1:4" x14ac:dyDescent="0.35">
      <c r="A4223" s="8" t="str">
        <f t="shared" si="2160"/>
        <v>Vietnam</v>
      </c>
      <c r="B4223" s="3" t="str">
        <f t="shared" ref="B4223:B4224" si="2179">CHOOSE(2, "1395000000723", "# of 3-Month Active Agents 13+M")</f>
        <v># of 3-Month Active Agents 13+M</v>
      </c>
      <c r="C4223" s="4" t="str">
        <f>CHOOSE(2, "5461730030", "Jun 26")</f>
        <v>Jun 26</v>
      </c>
      <c r="D4223" s="14">
        <v>2691</v>
      </c>
    </row>
    <row r="4224" spans="1:4" x14ac:dyDescent="0.35">
      <c r="A4224" s="8" t="str">
        <f t="shared" si="2160"/>
        <v>Vietnam</v>
      </c>
      <c r="B4224" s="6" t="str">
        <f t="shared" si="2179"/>
        <v># of 3-Month Active Agents 13+M</v>
      </c>
      <c r="C4224" s="4" t="str">
        <f>CHOOSE(2, "5462030031", "Jul 26")</f>
        <v>Jul 26</v>
      </c>
      <c r="D4224" s="14">
        <v>2662</v>
      </c>
    </row>
    <row r="4225" spans="1:4" x14ac:dyDescent="0.35">
      <c r="A4225" s="8" t="str">
        <f t="shared" si="2160"/>
        <v>Vietnam</v>
      </c>
      <c r="B4225" s="3" t="str">
        <f t="shared" ref="B4225:B4226" si="2180">CHOOSE(2, "1395000000722", "# of 3-Month Active Agents in UM")</f>
        <v># of 3-Month Active Agents in UM</v>
      </c>
      <c r="C4225" s="4" t="str">
        <f>CHOOSE(2, "5461730030", "Jun 26")</f>
        <v>Jun 26</v>
      </c>
      <c r="D4225" s="2" t="s">
        <v>5</v>
      </c>
    </row>
    <row r="4226" spans="1:4" x14ac:dyDescent="0.35">
      <c r="A4226" s="8" t="str">
        <f t="shared" si="2160"/>
        <v>Vietnam</v>
      </c>
      <c r="B4226" s="6" t="str">
        <f t="shared" si="2180"/>
        <v># of 3-Month Active Agents in UM</v>
      </c>
      <c r="C4226" s="4" t="str">
        <f>CHOOSE(2, "5462030031", "Jul 26")</f>
        <v>Jul 26</v>
      </c>
      <c r="D4226" s="2" t="s">
        <v>5</v>
      </c>
    </row>
    <row r="4227" spans="1:4" x14ac:dyDescent="0.35">
      <c r="A4227" s="8" t="str">
        <f t="shared" si="2160"/>
        <v>Vietnam</v>
      </c>
      <c r="B4227" s="3" t="str">
        <f t="shared" ref="B4227:B4228" si="2181">CHOOSE(2, "1395000000721", "# of 3-Month Active Agents in Leaders above UM")</f>
        <v># of 3-Month Active Agents in Leaders above UM</v>
      </c>
      <c r="C4227" s="4" t="str">
        <f>CHOOSE(2, "5461730030", "Jun 26")</f>
        <v>Jun 26</v>
      </c>
      <c r="D4227" s="2" t="s">
        <v>5</v>
      </c>
    </row>
    <row r="4228" spans="1:4" x14ac:dyDescent="0.35">
      <c r="A4228" s="8" t="str">
        <f t="shared" si="2160"/>
        <v>Vietnam</v>
      </c>
      <c r="B4228" s="6" t="str">
        <f t="shared" si="2181"/>
        <v># of 3-Month Active Agents in Leaders above UM</v>
      </c>
      <c r="C4228" s="4" t="str">
        <f>CHOOSE(2, "5462030031", "Jul 26")</f>
        <v>Jul 26</v>
      </c>
      <c r="D4228" s="2" t="s">
        <v>5</v>
      </c>
    </row>
    <row r="4229" spans="1:4" x14ac:dyDescent="0.35">
      <c r="A4229" s="8" t="str">
        <f t="shared" si="2160"/>
        <v>Vietnam</v>
      </c>
      <c r="B4229" s="3" t="str">
        <f t="shared" ref="B4229:B4230" si="2182">CHOOSE(2, "1395000000720", "# of 3-Month Active Agents in FA or equivalent")</f>
        <v># of 3-Month Active Agents in FA or equivalent</v>
      </c>
      <c r="C4229" s="4" t="str">
        <f>CHOOSE(2, "5461730030", "Jun 26")</f>
        <v>Jun 26</v>
      </c>
      <c r="D4229" s="2" t="s">
        <v>5</v>
      </c>
    </row>
    <row r="4230" spans="1:4" x14ac:dyDescent="0.35">
      <c r="A4230" s="8" t="str">
        <f t="shared" si="2160"/>
        <v>Vietnam</v>
      </c>
      <c r="B4230" s="6" t="str">
        <f t="shared" si="2182"/>
        <v># of 3-Month Active Agents in FA or equivalent</v>
      </c>
      <c r="C4230" s="4" t="str">
        <f>CHOOSE(2, "5462030031", "Jul 26")</f>
        <v>Jul 26</v>
      </c>
      <c r="D4230" s="2" t="s">
        <v>5</v>
      </c>
    </row>
    <row r="4231" spans="1:4" x14ac:dyDescent="0.35">
      <c r="A4231" s="8" t="str">
        <f t="shared" si="2160"/>
        <v>Vietnam</v>
      </c>
      <c r="B4231" s="3" t="str">
        <f t="shared" ref="B4231:B4232" si="2183">CHOOSE(2, "1395000000719", "Net Case Count - Agency")</f>
        <v>Net Case Count - Agency</v>
      </c>
      <c r="C4231" s="4" t="str">
        <f>CHOOSE(2, "5461730030", "Jun 26")</f>
        <v>Jun 26</v>
      </c>
      <c r="D4231" s="14">
        <v>3213</v>
      </c>
    </row>
    <row r="4232" spans="1:4" x14ac:dyDescent="0.35">
      <c r="A4232" s="8" t="str">
        <f t="shared" si="2160"/>
        <v>Vietnam</v>
      </c>
      <c r="B4232" s="6" t="str">
        <f t="shared" si="2183"/>
        <v>Net Case Count - Agency</v>
      </c>
      <c r="C4232" s="4" t="str">
        <f>CHOOSE(2, "5462030031", "Jul 26")</f>
        <v>Jul 26</v>
      </c>
      <c r="D4232" s="14">
        <v>2702</v>
      </c>
    </row>
    <row r="4233" spans="1:4" x14ac:dyDescent="0.35">
      <c r="A4233" s="8" t="str">
        <f t="shared" si="2160"/>
        <v>Vietnam</v>
      </c>
      <c r="B4233" s="3" t="str">
        <f t="shared" ref="B4233:B4234" si="2184">CHOOSE(2, "1395000000718", "Net Case Count - Agency in 0-1M")</f>
        <v>Net Case Count - Agency in 0-1M</v>
      </c>
      <c r="C4233" s="4" t="str">
        <f>CHOOSE(2, "5461730030", "Jun 26")</f>
        <v>Jun 26</v>
      </c>
      <c r="D4233" s="14">
        <v>251</v>
      </c>
    </row>
    <row r="4234" spans="1:4" x14ac:dyDescent="0.35">
      <c r="A4234" s="8" t="str">
        <f t="shared" si="2160"/>
        <v>Vietnam</v>
      </c>
      <c r="B4234" s="6" t="str">
        <f t="shared" si="2184"/>
        <v>Net Case Count - Agency in 0-1M</v>
      </c>
      <c r="C4234" s="4" t="str">
        <f>CHOOSE(2, "5462030031", "Jul 26")</f>
        <v>Jul 26</v>
      </c>
      <c r="D4234" s="14">
        <v>171</v>
      </c>
    </row>
    <row r="4235" spans="1:4" x14ac:dyDescent="0.35">
      <c r="A4235" s="8" t="str">
        <f t="shared" si="2160"/>
        <v>Vietnam</v>
      </c>
      <c r="B4235" s="3" t="str">
        <f t="shared" ref="B4235:B4236" si="2185">CHOOSE(2, "1395000000717", "Net Case Count - Agency in 2-3M")</f>
        <v>Net Case Count - Agency in 2-3M</v>
      </c>
      <c r="C4235" s="4" t="str">
        <f>CHOOSE(2, "5461730030", "Jun 26")</f>
        <v>Jun 26</v>
      </c>
      <c r="D4235" s="14">
        <v>311</v>
      </c>
    </row>
    <row r="4236" spans="1:4" x14ac:dyDescent="0.35">
      <c r="A4236" s="8" t="str">
        <f t="shared" si="2160"/>
        <v>Vietnam</v>
      </c>
      <c r="B4236" s="6" t="str">
        <f t="shared" si="2185"/>
        <v>Net Case Count - Agency in 2-3M</v>
      </c>
      <c r="C4236" s="4" t="str">
        <f>CHOOSE(2, "5462030031", "Jul 26")</f>
        <v>Jul 26</v>
      </c>
      <c r="D4236" s="14">
        <v>275</v>
      </c>
    </row>
    <row r="4237" spans="1:4" x14ac:dyDescent="0.35">
      <c r="A4237" s="8" t="str">
        <f t="shared" si="2160"/>
        <v>Vietnam</v>
      </c>
      <c r="B4237" s="3" t="str">
        <f t="shared" ref="B4237:B4238" si="2186">CHOOSE(2, "1395000000716", "Net Case Count - Agency in 4-12M")</f>
        <v>Net Case Count - Agency in 4-12M</v>
      </c>
      <c r="C4237" s="4" t="str">
        <f>CHOOSE(2, "5461730030", "Jun 26")</f>
        <v>Jun 26</v>
      </c>
      <c r="D4237" s="14">
        <v>235</v>
      </c>
    </row>
    <row r="4238" spans="1:4" x14ac:dyDescent="0.35">
      <c r="A4238" s="8" t="str">
        <f t="shared" si="2160"/>
        <v>Vietnam</v>
      </c>
      <c r="B4238" s="6" t="str">
        <f t="shared" si="2186"/>
        <v>Net Case Count - Agency in 4-12M</v>
      </c>
      <c r="C4238" s="4" t="str">
        <f>CHOOSE(2, "5462030031", "Jul 26")</f>
        <v>Jul 26</v>
      </c>
      <c r="D4238" s="14">
        <v>176</v>
      </c>
    </row>
    <row r="4239" spans="1:4" x14ac:dyDescent="0.35">
      <c r="A4239" s="8" t="str">
        <f t="shared" si="2160"/>
        <v>Vietnam</v>
      </c>
      <c r="B4239" s="3" t="str">
        <f t="shared" ref="B4239:B4240" si="2187">CHOOSE(2, "1395000000715", "Net Case Count - Agency 13+M")</f>
        <v>Net Case Count - Agency 13+M</v>
      </c>
      <c r="C4239" s="4" t="str">
        <f>CHOOSE(2, "5461730030", "Jun 26")</f>
        <v>Jun 26</v>
      </c>
      <c r="D4239" s="14">
        <v>2416</v>
      </c>
    </row>
    <row r="4240" spans="1:4" x14ac:dyDescent="0.35">
      <c r="A4240" s="8" t="str">
        <f t="shared" si="2160"/>
        <v>Vietnam</v>
      </c>
      <c r="B4240" s="6" t="str">
        <f t="shared" si="2187"/>
        <v>Net Case Count - Agency 13+M</v>
      </c>
      <c r="C4240" s="4" t="str">
        <f>CHOOSE(2, "5462030031", "Jul 26")</f>
        <v>Jul 26</v>
      </c>
      <c r="D4240" s="14">
        <v>2080</v>
      </c>
    </row>
    <row r="4241" spans="1:4" x14ac:dyDescent="0.35">
      <c r="A4241" s="8" t="str">
        <f t="shared" si="2160"/>
        <v>Vietnam</v>
      </c>
      <c r="B4241" s="3" t="str">
        <f t="shared" ref="B4241:B4242" si="2188">CHOOSE(2, "1395000000714", "Net Case Count - Agency in FA or equivalent")</f>
        <v>Net Case Count - Agency in FA or equivalent</v>
      </c>
      <c r="C4241" s="4" t="str">
        <f>CHOOSE(2, "5461730030", "Jun 26")</f>
        <v>Jun 26</v>
      </c>
      <c r="D4241" s="14">
        <v>2067</v>
      </c>
    </row>
    <row r="4242" spans="1:4" x14ac:dyDescent="0.35">
      <c r="A4242" s="8" t="str">
        <f t="shared" si="2160"/>
        <v>Vietnam</v>
      </c>
      <c r="B4242" s="6" t="str">
        <f t="shared" si="2188"/>
        <v>Net Case Count - Agency in FA or equivalent</v>
      </c>
      <c r="C4242" s="4" t="str">
        <f>CHOOSE(2, "5462030031", "Jul 26")</f>
        <v>Jul 26</v>
      </c>
      <c r="D4242" s="14">
        <v>1656</v>
      </c>
    </row>
    <row r="4243" spans="1:4" x14ac:dyDescent="0.35">
      <c r="A4243" s="8" t="str">
        <f t="shared" si="2160"/>
        <v>Vietnam</v>
      </c>
      <c r="B4243" s="3" t="str">
        <f t="shared" ref="B4243:B4244" si="2189">CHOOSE(2, "1395000000713", "Net Case Count - Agency in UM")</f>
        <v>Net Case Count - Agency in UM</v>
      </c>
      <c r="C4243" s="4" t="str">
        <f>CHOOSE(2, "5461730030", "Jun 26")</f>
        <v>Jun 26</v>
      </c>
      <c r="D4243" s="14">
        <v>430</v>
      </c>
    </row>
    <row r="4244" spans="1:4" x14ac:dyDescent="0.35">
      <c r="A4244" s="8" t="str">
        <f t="shared" si="2160"/>
        <v>Vietnam</v>
      </c>
      <c r="B4244" s="6" t="str">
        <f t="shared" si="2189"/>
        <v>Net Case Count - Agency in UM</v>
      </c>
      <c r="C4244" s="4" t="str">
        <f>CHOOSE(2, "5462030031", "Jul 26")</f>
        <v>Jul 26</v>
      </c>
      <c r="D4244" s="14">
        <v>449</v>
      </c>
    </row>
    <row r="4245" spans="1:4" x14ac:dyDescent="0.35">
      <c r="A4245" s="8" t="str">
        <f t="shared" si="2160"/>
        <v>Vietnam</v>
      </c>
      <c r="B4245" s="3" t="str">
        <f t="shared" ref="B4245:B4246" si="2190">CHOOSE(2, "1395000000712", "Net Case Count - Agency in Leaders above UM")</f>
        <v>Net Case Count - Agency in Leaders above UM</v>
      </c>
      <c r="C4245" s="4" t="str">
        <f>CHOOSE(2, "5461730030", "Jun 26")</f>
        <v>Jun 26</v>
      </c>
      <c r="D4245" s="14">
        <v>716</v>
      </c>
    </row>
    <row r="4246" spans="1:4" x14ac:dyDescent="0.35">
      <c r="A4246" s="8" t="str">
        <f t="shared" si="2160"/>
        <v>Vietnam</v>
      </c>
      <c r="B4246" s="6" t="str">
        <f t="shared" si="2190"/>
        <v>Net Case Count - Agency in Leaders above UM</v>
      </c>
      <c r="C4246" s="4" t="str">
        <f>CHOOSE(2, "5462030031", "Jul 26")</f>
        <v>Jul 26</v>
      </c>
      <c r="D4246" s="14">
        <v>597</v>
      </c>
    </row>
    <row r="4247" spans="1:4" x14ac:dyDescent="0.35">
      <c r="A4247" s="8" t="str">
        <f t="shared" si="2160"/>
        <v>Vietnam</v>
      </c>
      <c r="B4247" s="3" t="str">
        <f t="shared" ref="B4247:B4248" si="2191">CHOOSE(2, "1395000000711", "Net Case Count - Agency in Top-tier Agents")</f>
        <v>Net Case Count - Agency in Top-tier Agents</v>
      </c>
      <c r="C4247" s="4" t="str">
        <f>CHOOSE(2, "5461730030", "Jun 26")</f>
        <v>Jun 26</v>
      </c>
      <c r="D4247" s="14">
        <v>1519</v>
      </c>
    </row>
    <row r="4248" spans="1:4" x14ac:dyDescent="0.35">
      <c r="A4248" s="8" t="str">
        <f t="shared" si="2160"/>
        <v>Vietnam</v>
      </c>
      <c r="B4248" s="6" t="str">
        <f t="shared" si="2191"/>
        <v>Net Case Count - Agency in Top-tier Agents</v>
      </c>
      <c r="C4248" s="4" t="str">
        <f>CHOOSE(2, "5462030031", "Jul 26")</f>
        <v>Jul 26</v>
      </c>
      <c r="D4248" s="14">
        <v>1141</v>
      </c>
    </row>
    <row r="4249" spans="1:4" x14ac:dyDescent="0.35">
      <c r="A4249" s="8" t="str">
        <f t="shared" si="2160"/>
        <v>Vietnam</v>
      </c>
      <c r="B4249" s="3" t="str">
        <f t="shared" ref="B4249:B4250" si="2192">CHOOSE(2, "1395000000710", "Net Case Count - Agency in pro-rated MDRT agents (&gt;100%)")</f>
        <v>Net Case Count - Agency in pro-rated MDRT agents (&gt;100%)</v>
      </c>
      <c r="C4249" s="4" t="str">
        <f>CHOOSE(2, "5461730030", "Jun 26")</f>
        <v>Jun 26</v>
      </c>
      <c r="D4249" s="14">
        <v>1052</v>
      </c>
    </row>
    <row r="4250" spans="1:4" x14ac:dyDescent="0.35">
      <c r="A4250" s="8" t="str">
        <f t="shared" si="2160"/>
        <v>Vietnam</v>
      </c>
      <c r="B4250" s="6" t="str">
        <f t="shared" si="2192"/>
        <v>Net Case Count - Agency in pro-rated MDRT agents (&gt;100%)</v>
      </c>
      <c r="C4250" s="4" t="str">
        <f>CHOOSE(2, "5462030031", "Jul 26")</f>
        <v>Jul 26</v>
      </c>
      <c r="D4250" s="14">
        <v>684</v>
      </c>
    </row>
    <row r="4251" spans="1:4" x14ac:dyDescent="0.35">
      <c r="A4251" s="8" t="str">
        <f t="shared" ref="A4251:A4314" si="2193">CHOOSE(2, "204000000005", "Vietnam")</f>
        <v>Vietnam</v>
      </c>
      <c r="B4251" s="3" t="str">
        <f t="shared" ref="B4251:B4252" si="2194">CHOOSE(2, "1395000000709", "Net Case Count - Agency in pro-rated MDRT agents (70-99%)")</f>
        <v>Net Case Count - Agency in pro-rated MDRT agents (70-99%)</v>
      </c>
      <c r="C4251" s="4" t="str">
        <f>CHOOSE(2, "5461730030", "Jun 26")</f>
        <v>Jun 26</v>
      </c>
      <c r="D4251" s="14">
        <v>260</v>
      </c>
    </row>
    <row r="4252" spans="1:4" x14ac:dyDescent="0.35">
      <c r="A4252" s="8" t="str">
        <f t="shared" si="2193"/>
        <v>Vietnam</v>
      </c>
      <c r="B4252" s="6" t="str">
        <f t="shared" si="2194"/>
        <v>Net Case Count - Agency in pro-rated MDRT agents (70-99%)</v>
      </c>
      <c r="C4252" s="4" t="str">
        <f>CHOOSE(2, "5462030031", "Jul 26")</f>
        <v>Jul 26</v>
      </c>
      <c r="D4252" s="14">
        <v>260</v>
      </c>
    </row>
    <row r="4253" spans="1:4" x14ac:dyDescent="0.35">
      <c r="A4253" s="8" t="str">
        <f t="shared" si="2193"/>
        <v>Vietnam</v>
      </c>
      <c r="B4253" s="3" t="str">
        <f t="shared" ref="B4253:B4254" si="2195">CHOOSE(2, "1395000000708", "Net Case Count - Agency in pro-rated MDRT agents (50-69%)")</f>
        <v>Net Case Count - Agency in pro-rated MDRT agents (50-69%)</v>
      </c>
      <c r="C4253" s="4" t="str">
        <f>CHOOSE(2, "5461730030", "Jun 26")</f>
        <v>Jun 26</v>
      </c>
      <c r="D4253" s="14">
        <v>207</v>
      </c>
    </row>
    <row r="4254" spans="1:4" x14ac:dyDescent="0.35">
      <c r="A4254" s="8" t="str">
        <f t="shared" si="2193"/>
        <v>Vietnam</v>
      </c>
      <c r="B4254" s="6" t="str">
        <f t="shared" si="2195"/>
        <v>Net Case Count - Agency in pro-rated MDRT agents (50-69%)</v>
      </c>
      <c r="C4254" s="4" t="str">
        <f>CHOOSE(2, "5462030031", "Jul 26")</f>
        <v>Jul 26</v>
      </c>
      <c r="D4254" s="14">
        <v>197</v>
      </c>
    </row>
    <row r="4255" spans="1:4" x14ac:dyDescent="0.35">
      <c r="A4255" s="8" t="str">
        <f t="shared" si="2193"/>
        <v>Vietnam</v>
      </c>
      <c r="B4255" s="3" t="str">
        <f t="shared" ref="B4255:B4256" si="2196">CHOOSE(2, "1395000000707", "Net Case Count - Agency in Manulife Pro Qualifiers - Total")</f>
        <v>Net Case Count - Agency in Manulife Pro Qualifiers - Total</v>
      </c>
      <c r="C4255" s="4" t="str">
        <f>CHOOSE(2, "5461730030", "Jun 26")</f>
        <v>Jun 26</v>
      </c>
      <c r="D4255" s="14">
        <v>2194</v>
      </c>
    </row>
    <row r="4256" spans="1:4" x14ac:dyDescent="0.35">
      <c r="A4256" s="8" t="str">
        <f t="shared" si="2193"/>
        <v>Vietnam</v>
      </c>
      <c r="B4256" s="6" t="str">
        <f t="shared" si="2196"/>
        <v>Net Case Count - Agency in Manulife Pro Qualifiers - Total</v>
      </c>
      <c r="C4256" s="4" t="str">
        <f>CHOOSE(2, "5462030031", "Jul 26")</f>
        <v>Jul 26</v>
      </c>
      <c r="D4256" s="14">
        <v>1834</v>
      </c>
    </row>
    <row r="4257" spans="1:4" x14ac:dyDescent="0.35">
      <c r="A4257" s="8" t="str">
        <f t="shared" si="2193"/>
        <v>Vietnam</v>
      </c>
      <c r="B4257" s="3" t="str">
        <f t="shared" ref="B4257:B4258" si="2197">CHOOSE(2, "1395000000706", "No. of Sales Proposal Generated")</f>
        <v>No. of Sales Proposal Generated</v>
      </c>
      <c r="C4257" s="4" t="str">
        <f>CHOOSE(2, "5461730030", "Jun 26")</f>
        <v>Jun 26</v>
      </c>
      <c r="D4257" s="14">
        <v>20007</v>
      </c>
    </row>
    <row r="4258" spans="1:4" x14ac:dyDescent="0.35">
      <c r="A4258" s="8" t="str">
        <f t="shared" si="2193"/>
        <v>Vietnam</v>
      </c>
      <c r="B4258" s="6" t="str">
        <f t="shared" si="2197"/>
        <v>No. of Sales Proposal Generated</v>
      </c>
      <c r="C4258" s="4" t="str">
        <f>CHOOSE(2, "5462030031", "Jul 26")</f>
        <v>Jul 26</v>
      </c>
      <c r="D4258" s="14">
        <v>27630</v>
      </c>
    </row>
    <row r="4259" spans="1:4" x14ac:dyDescent="0.35">
      <c r="A4259" s="8" t="str">
        <f t="shared" si="2193"/>
        <v>Vietnam</v>
      </c>
      <c r="B4259" s="3" t="str">
        <f t="shared" ref="B4259:B4260" si="2198">CHOOSE(2, "1395000000705", "$ APE from Agents in X tenure")</f>
        <v>$ APE from Agents in X tenure</v>
      </c>
      <c r="C4259" s="4" t="str">
        <f>CHOOSE(2, "5461730030", "Jun 26")</f>
        <v>Jun 26</v>
      </c>
      <c r="D4259" s="14">
        <v>4340785.0326220002</v>
      </c>
    </row>
    <row r="4260" spans="1:4" x14ac:dyDescent="0.35">
      <c r="A4260" s="8" t="str">
        <f t="shared" si="2193"/>
        <v>Vietnam</v>
      </c>
      <c r="B4260" s="6" t="str">
        <f t="shared" si="2198"/>
        <v>$ APE from Agents in X tenure</v>
      </c>
      <c r="C4260" s="4" t="str">
        <f>CHOOSE(2, "5462030031", "Jul 26")</f>
        <v>Jul 26</v>
      </c>
      <c r="D4260" s="14">
        <v>3200713.2589820004</v>
      </c>
    </row>
    <row r="4261" spans="1:4" x14ac:dyDescent="0.35">
      <c r="A4261" s="8" t="str">
        <f t="shared" si="2193"/>
        <v>Vietnam</v>
      </c>
      <c r="B4261" s="3" t="str">
        <f t="shared" ref="B4261:B4262" si="2199">CHOOSE(2, "1395000000704", "$ APE from Agents in X tenure in 0-1M")</f>
        <v>$ APE from Agents in X tenure in 0-1M</v>
      </c>
      <c r="C4261" s="4" t="str">
        <f>CHOOSE(2, "5461730030", "Jun 26")</f>
        <v>Jun 26</v>
      </c>
      <c r="D4261" s="14">
        <v>434078.50326220004</v>
      </c>
    </row>
    <row r="4262" spans="1:4" x14ac:dyDescent="0.35">
      <c r="A4262" s="8" t="str">
        <f t="shared" si="2193"/>
        <v>Vietnam</v>
      </c>
      <c r="B4262" s="6" t="str">
        <f t="shared" si="2199"/>
        <v>$ APE from Agents in X tenure in 0-1M</v>
      </c>
      <c r="C4262" s="4" t="str">
        <f>CHOOSE(2, "5462030031", "Jul 26")</f>
        <v>Jul 26</v>
      </c>
      <c r="D4262" s="14">
        <v>320071.32589820004</v>
      </c>
    </row>
    <row r="4263" spans="1:4" x14ac:dyDescent="0.35">
      <c r="A4263" s="8" t="str">
        <f t="shared" si="2193"/>
        <v>Vietnam</v>
      </c>
      <c r="B4263" s="3" t="str">
        <f t="shared" ref="B4263:B4264" si="2200">CHOOSE(2, "1395000000703", "$ APE from Agents in X tenure in 2-3M")</f>
        <v>$ APE from Agents in X tenure in 2-3M</v>
      </c>
      <c r="C4263" s="4" t="str">
        <f>CHOOSE(2, "5461730030", "Jun 26")</f>
        <v>Jun 26</v>
      </c>
      <c r="D4263" s="14">
        <v>868157.00652440009</v>
      </c>
    </row>
    <row r="4264" spans="1:4" x14ac:dyDescent="0.35">
      <c r="A4264" s="8" t="str">
        <f t="shared" si="2193"/>
        <v>Vietnam</v>
      </c>
      <c r="B4264" s="6" t="str">
        <f t="shared" si="2200"/>
        <v>$ APE from Agents in X tenure in 2-3M</v>
      </c>
      <c r="C4264" s="4" t="str">
        <f>CHOOSE(2, "5462030031", "Jul 26")</f>
        <v>Jul 26</v>
      </c>
      <c r="D4264" s="14">
        <v>640142.65179640008</v>
      </c>
    </row>
    <row r="4265" spans="1:4" x14ac:dyDescent="0.35">
      <c r="A4265" s="8" t="str">
        <f t="shared" si="2193"/>
        <v>Vietnam</v>
      </c>
      <c r="B4265" s="3" t="str">
        <f t="shared" ref="B4265:B4266" si="2201">CHOOSE(2, "1395000000702", "$ APE from Agents in X tenure in 4-12M")</f>
        <v>$ APE from Agents in X tenure in 4-12M</v>
      </c>
      <c r="C4265" s="4" t="str">
        <f>CHOOSE(2, "5461730030", "Jun 26")</f>
        <v>Jun 26</v>
      </c>
      <c r="D4265" s="14">
        <v>1302235.5097866</v>
      </c>
    </row>
    <row r="4266" spans="1:4" x14ac:dyDescent="0.35">
      <c r="A4266" s="8" t="str">
        <f t="shared" si="2193"/>
        <v>Vietnam</v>
      </c>
      <c r="B4266" s="6" t="str">
        <f t="shared" si="2201"/>
        <v>$ APE from Agents in X tenure in 4-12M</v>
      </c>
      <c r="C4266" s="4" t="str">
        <f>CHOOSE(2, "5462030031", "Jul 26")</f>
        <v>Jul 26</v>
      </c>
      <c r="D4266" s="14">
        <v>960213.97769460012</v>
      </c>
    </row>
    <row r="4267" spans="1:4" x14ac:dyDescent="0.35">
      <c r="A4267" s="8" t="str">
        <f t="shared" si="2193"/>
        <v>Vietnam</v>
      </c>
      <c r="B4267" s="3" t="str">
        <f t="shared" ref="B4267:B4268" si="2202">CHOOSE(2, "1395000000701", "$ APE from Agents in X tenure 13+M")</f>
        <v>$ APE from Agents in X tenure 13+M</v>
      </c>
      <c r="C4267" s="4" t="str">
        <f>CHOOSE(2, "5461730030", "Jun 26")</f>
        <v>Jun 26</v>
      </c>
      <c r="D4267" s="14">
        <v>1736314.0130488002</v>
      </c>
    </row>
    <row r="4268" spans="1:4" x14ac:dyDescent="0.35">
      <c r="A4268" s="8" t="str">
        <f t="shared" si="2193"/>
        <v>Vietnam</v>
      </c>
      <c r="B4268" s="6" t="str">
        <f t="shared" si="2202"/>
        <v>$ APE from Agents in X tenure 13+M</v>
      </c>
      <c r="C4268" s="4" t="str">
        <f>CHOOSE(2, "5462030031", "Jul 26")</f>
        <v>Jul 26</v>
      </c>
      <c r="D4268" s="14">
        <v>1280285.3035928002</v>
      </c>
    </row>
    <row r="4269" spans="1:4" x14ac:dyDescent="0.35">
      <c r="A4269" s="8" t="str">
        <f t="shared" si="2193"/>
        <v>Vietnam</v>
      </c>
      <c r="B4269" s="3" t="str">
        <f t="shared" ref="B4269:B4270" si="2203">CHOOSE(2, "1395000000700", "Total agent headcount (end of period)")</f>
        <v>Total agent headcount (end of period)</v>
      </c>
      <c r="C4269" s="4" t="str">
        <f>CHOOSE(2, "5461730030", "Jun 26")</f>
        <v>Jun 26</v>
      </c>
      <c r="D4269" s="14">
        <v>52241</v>
      </c>
    </row>
    <row r="4270" spans="1:4" x14ac:dyDescent="0.35">
      <c r="A4270" s="8" t="str">
        <f t="shared" si="2193"/>
        <v>Vietnam</v>
      </c>
      <c r="B4270" s="6" t="str">
        <f t="shared" si="2203"/>
        <v>Total agent headcount (end of period)</v>
      </c>
      <c r="C4270" s="4" t="str">
        <f>CHOOSE(2, "5462030031", "Jul 26")</f>
        <v>Jul 26</v>
      </c>
      <c r="D4270" s="14">
        <v>52665</v>
      </c>
    </row>
    <row r="4271" spans="1:4" x14ac:dyDescent="0.35">
      <c r="A4271" s="8" t="str">
        <f t="shared" si="2193"/>
        <v>Vietnam</v>
      </c>
      <c r="B4271" s="3" t="str">
        <f t="shared" ref="B4271:B4272" si="2204">CHOOSE(2, "1395000000699", "Total agent headcount (end of period) in 0-1M")</f>
        <v>Total agent headcount (end of period) in 0-1M</v>
      </c>
      <c r="C4271" s="4" t="str">
        <f>CHOOSE(2, "5461730030", "Jun 26")</f>
        <v>Jun 26</v>
      </c>
      <c r="D4271" s="14">
        <v>495</v>
      </c>
    </row>
    <row r="4272" spans="1:4" x14ac:dyDescent="0.35">
      <c r="A4272" s="8" t="str">
        <f t="shared" si="2193"/>
        <v>Vietnam</v>
      </c>
      <c r="B4272" s="6" t="str">
        <f t="shared" si="2204"/>
        <v>Total agent headcount (end of period) in 0-1M</v>
      </c>
      <c r="C4272" s="4" t="str">
        <f>CHOOSE(2, "5462030031", "Jul 26")</f>
        <v>Jul 26</v>
      </c>
      <c r="D4272" s="14">
        <v>476</v>
      </c>
    </row>
    <row r="4273" spans="1:4" x14ac:dyDescent="0.35">
      <c r="A4273" s="8" t="str">
        <f t="shared" si="2193"/>
        <v>Vietnam</v>
      </c>
      <c r="B4273" s="3" t="str">
        <f t="shared" ref="B4273:B4274" si="2205">CHOOSE(2, "1395000000698", "Total agent headcount (end of period) in 2-3M")</f>
        <v>Total agent headcount (end of period) in 2-3M</v>
      </c>
      <c r="C4273" s="4" t="str">
        <f>CHOOSE(2, "5461730030", "Jun 26")</f>
        <v>Jun 26</v>
      </c>
      <c r="D4273" s="14">
        <v>954</v>
      </c>
    </row>
    <row r="4274" spans="1:4" x14ac:dyDescent="0.35">
      <c r="A4274" s="8" t="str">
        <f t="shared" si="2193"/>
        <v>Vietnam</v>
      </c>
      <c r="B4274" s="6" t="str">
        <f t="shared" si="2205"/>
        <v>Total agent headcount (end of period) in 2-3M</v>
      </c>
      <c r="C4274" s="4" t="str">
        <f>CHOOSE(2, "5462030031", "Jul 26")</f>
        <v>Jul 26</v>
      </c>
      <c r="D4274" s="14">
        <v>982</v>
      </c>
    </row>
    <row r="4275" spans="1:4" x14ac:dyDescent="0.35">
      <c r="A4275" s="8" t="str">
        <f t="shared" si="2193"/>
        <v>Vietnam</v>
      </c>
      <c r="B4275" s="3" t="str">
        <f t="shared" ref="B4275:B4276" si="2206">CHOOSE(2, "1395000000697", "Total agent headcount (end of period) in 4-12M")</f>
        <v>Total agent headcount (end of period) in 4-12M</v>
      </c>
      <c r="C4275" s="4" t="str">
        <f>CHOOSE(2, "5461730030", "Jun 26")</f>
        <v>Jun 26</v>
      </c>
      <c r="D4275" s="14">
        <v>4047</v>
      </c>
    </row>
    <row r="4276" spans="1:4" x14ac:dyDescent="0.35">
      <c r="A4276" s="8" t="str">
        <f t="shared" si="2193"/>
        <v>Vietnam</v>
      </c>
      <c r="B4276" s="6" t="str">
        <f t="shared" si="2206"/>
        <v>Total agent headcount (end of period) in 4-12M</v>
      </c>
      <c r="C4276" s="4" t="str">
        <f>CHOOSE(2, "5462030031", "Jul 26")</f>
        <v>Jul 26</v>
      </c>
      <c r="D4276" s="14">
        <v>3954</v>
      </c>
    </row>
    <row r="4277" spans="1:4" x14ac:dyDescent="0.35">
      <c r="A4277" s="8" t="str">
        <f t="shared" si="2193"/>
        <v>Vietnam</v>
      </c>
      <c r="B4277" s="3" t="str">
        <f t="shared" ref="B4277:B4278" si="2207">CHOOSE(2, "1395000000696", "Total agent headcount (end of period) 13+M")</f>
        <v>Total agent headcount (end of period) 13+M</v>
      </c>
      <c r="C4277" s="4" t="str">
        <f>CHOOSE(2, "5461730030", "Jun 26")</f>
        <v>Jun 26</v>
      </c>
      <c r="D4277" s="14">
        <v>46745</v>
      </c>
    </row>
    <row r="4278" spans="1:4" x14ac:dyDescent="0.35">
      <c r="A4278" s="8" t="str">
        <f t="shared" si="2193"/>
        <v>Vietnam</v>
      </c>
      <c r="B4278" s="6" t="str">
        <f t="shared" si="2207"/>
        <v>Total agent headcount (end of period) 13+M</v>
      </c>
      <c r="C4278" s="4" t="str">
        <f>CHOOSE(2, "5462030031", "Jul 26")</f>
        <v>Jul 26</v>
      </c>
      <c r="D4278" s="14">
        <v>47253</v>
      </c>
    </row>
    <row r="4279" spans="1:4" x14ac:dyDescent="0.35">
      <c r="A4279" s="8" t="str">
        <f t="shared" si="2193"/>
        <v>Vietnam</v>
      </c>
      <c r="B4279" s="3" t="str">
        <f t="shared" ref="B4279:B4280" si="2208">CHOOSE(2, "1395000000695", "Total agent headcount (end of period) in FA or equivalent")</f>
        <v>Total agent headcount (end of period) in FA or equivalent</v>
      </c>
      <c r="C4279" s="4" t="str">
        <f>CHOOSE(2, "5461730030", "Jun 26")</f>
        <v>Jun 26</v>
      </c>
      <c r="D4279" s="14">
        <v>50650</v>
      </c>
    </row>
    <row r="4280" spans="1:4" x14ac:dyDescent="0.35">
      <c r="A4280" s="8" t="str">
        <f t="shared" si="2193"/>
        <v>Vietnam</v>
      </c>
      <c r="B4280" s="6" t="str">
        <f t="shared" si="2208"/>
        <v>Total agent headcount (end of period) in FA or equivalent</v>
      </c>
      <c r="C4280" s="4" t="str">
        <f>CHOOSE(2, "5462030031", "Jul 26")</f>
        <v>Jul 26</v>
      </c>
      <c r="D4280" s="14">
        <v>51003</v>
      </c>
    </row>
    <row r="4281" spans="1:4" x14ac:dyDescent="0.35">
      <c r="A4281" s="8" t="str">
        <f t="shared" si="2193"/>
        <v>Vietnam</v>
      </c>
      <c r="B4281" s="3" t="str">
        <f t="shared" ref="B4281:B4282" si="2209">CHOOSE(2, "1395000000694", "Total agent headcount (end of period) in UM")</f>
        <v>Total agent headcount (end of period) in UM</v>
      </c>
      <c r="C4281" s="4" t="str">
        <f>CHOOSE(2, "5461730030", "Jun 26")</f>
        <v>Jun 26</v>
      </c>
      <c r="D4281" s="14">
        <v>826</v>
      </c>
    </row>
    <row r="4282" spans="1:4" x14ac:dyDescent="0.35">
      <c r="A4282" s="8" t="str">
        <f t="shared" si="2193"/>
        <v>Vietnam</v>
      </c>
      <c r="B4282" s="6" t="str">
        <f t="shared" si="2209"/>
        <v>Total agent headcount (end of period) in UM</v>
      </c>
      <c r="C4282" s="4" t="str">
        <f>CHOOSE(2, "5462030031", "Jul 26")</f>
        <v>Jul 26</v>
      </c>
      <c r="D4282" s="14">
        <v>841</v>
      </c>
    </row>
    <row r="4283" spans="1:4" x14ac:dyDescent="0.35">
      <c r="A4283" s="8" t="str">
        <f t="shared" si="2193"/>
        <v>Vietnam</v>
      </c>
      <c r="B4283" s="3" t="str">
        <f t="shared" ref="B4283:B4284" si="2210">CHOOSE(2, "1395000000693", "Total agent headcount (end of period) in Leaders above UM")</f>
        <v>Total agent headcount (end of period) in Leaders above UM</v>
      </c>
      <c r="C4283" s="4" t="str">
        <f>CHOOSE(2, "5461730030", "Jun 26")</f>
        <v>Jun 26</v>
      </c>
      <c r="D4283" s="14">
        <v>765</v>
      </c>
    </row>
    <row r="4284" spans="1:4" x14ac:dyDescent="0.35">
      <c r="A4284" s="8" t="str">
        <f t="shared" si="2193"/>
        <v>Vietnam</v>
      </c>
      <c r="B4284" s="6" t="str">
        <f t="shared" si="2210"/>
        <v>Total agent headcount (end of period) in Leaders above UM</v>
      </c>
      <c r="C4284" s="4" t="str">
        <f>CHOOSE(2, "5462030031", "Jul 26")</f>
        <v>Jul 26</v>
      </c>
      <c r="D4284" s="14">
        <v>821</v>
      </c>
    </row>
    <row r="4285" spans="1:4" x14ac:dyDescent="0.35">
      <c r="A4285" s="8" t="str">
        <f t="shared" si="2193"/>
        <v>Vietnam</v>
      </c>
      <c r="B4285" s="3" t="str">
        <f t="shared" ref="B4285:B4286" si="2211">CHOOSE(2, "1395000000692", "Total agent headcount (end of period) in Top-tier agents")</f>
        <v>Total agent headcount (end of period) in Top-tier agents</v>
      </c>
      <c r="C4285" s="4" t="str">
        <f>CHOOSE(2, "5461730030", "Jun 26")</f>
        <v>Jun 26</v>
      </c>
      <c r="D4285" s="14">
        <v>888</v>
      </c>
    </row>
    <row r="4286" spans="1:4" x14ac:dyDescent="0.35">
      <c r="A4286" s="8" t="str">
        <f t="shared" si="2193"/>
        <v>Vietnam</v>
      </c>
      <c r="B4286" s="6" t="str">
        <f t="shared" si="2211"/>
        <v>Total agent headcount (end of period) in Top-tier agents</v>
      </c>
      <c r="C4286" s="4" t="str">
        <f>CHOOSE(2, "5462030031", "Jul 26")</f>
        <v>Jul 26</v>
      </c>
      <c r="D4286" s="14">
        <v>793</v>
      </c>
    </row>
    <row r="4287" spans="1:4" x14ac:dyDescent="0.35">
      <c r="A4287" s="8" t="str">
        <f t="shared" si="2193"/>
        <v>Vietnam</v>
      </c>
      <c r="B4287" s="3" t="str">
        <f t="shared" ref="B4287:B4288" si="2212">CHOOSE(2, "1395000000691", "Total agent headcount  in pro-rated MDRT agents (&gt;100%)")</f>
        <v>Total agent headcount  in pro-rated MDRT agents (&gt;100%)</v>
      </c>
      <c r="C4287" s="4" t="str">
        <f>CHOOSE(2, "5461730030", "Jun 26")</f>
        <v>Jun 26</v>
      </c>
      <c r="D4287" s="14">
        <v>432</v>
      </c>
    </row>
    <row r="4288" spans="1:4" x14ac:dyDescent="0.35">
      <c r="A4288" s="8" t="str">
        <f t="shared" si="2193"/>
        <v>Vietnam</v>
      </c>
      <c r="B4288" s="6" t="str">
        <f t="shared" si="2212"/>
        <v>Total agent headcount  in pro-rated MDRT agents (&gt;100%)</v>
      </c>
      <c r="C4288" s="4" t="str">
        <f>CHOOSE(2, "5462030031", "Jul 26")</f>
        <v>Jul 26</v>
      </c>
      <c r="D4288" s="14">
        <v>344</v>
      </c>
    </row>
    <row r="4289" spans="1:4" x14ac:dyDescent="0.35">
      <c r="A4289" s="8" t="str">
        <f t="shared" si="2193"/>
        <v>Vietnam</v>
      </c>
      <c r="B4289" s="3" t="str">
        <f t="shared" ref="B4289:B4290" si="2213">CHOOSE(2, "1395000000690", "Total agent headcount  in pro-rated MDRT agents (70-99%)")</f>
        <v>Total agent headcount  in pro-rated MDRT agents (70-99%)</v>
      </c>
      <c r="C4289" s="4" t="str">
        <f>CHOOSE(2, "5461730030", "Jun 26")</f>
        <v>Jun 26</v>
      </c>
      <c r="D4289" s="14">
        <v>236</v>
      </c>
    </row>
    <row r="4290" spans="1:4" x14ac:dyDescent="0.35">
      <c r="A4290" s="8" t="str">
        <f t="shared" si="2193"/>
        <v>Vietnam</v>
      </c>
      <c r="B4290" s="6" t="str">
        <f t="shared" si="2213"/>
        <v>Total agent headcount  in pro-rated MDRT agents (70-99%)</v>
      </c>
      <c r="C4290" s="4" t="str">
        <f>CHOOSE(2, "5462030031", "Jul 26")</f>
        <v>Jul 26</v>
      </c>
      <c r="D4290" s="14">
        <v>267</v>
      </c>
    </row>
    <row r="4291" spans="1:4" x14ac:dyDescent="0.35">
      <c r="A4291" s="8" t="str">
        <f t="shared" si="2193"/>
        <v>Vietnam</v>
      </c>
      <c r="B4291" s="3" t="str">
        <f t="shared" ref="B4291:B4292" si="2214">CHOOSE(2, "1395000000689", "Total agent headcount  in pro-rated MDRT agents (50-69%)")</f>
        <v>Total agent headcount  in pro-rated MDRT agents (50-69%)</v>
      </c>
      <c r="C4291" s="4" t="str">
        <f>CHOOSE(2, "5461730030", "Jun 26")</f>
        <v>Jun 26</v>
      </c>
      <c r="D4291" s="14">
        <v>220</v>
      </c>
    </row>
    <row r="4292" spans="1:4" x14ac:dyDescent="0.35">
      <c r="A4292" s="8" t="str">
        <f t="shared" si="2193"/>
        <v>Vietnam</v>
      </c>
      <c r="B4292" s="6" t="str">
        <f t="shared" si="2214"/>
        <v>Total agent headcount  in pro-rated MDRT agents (50-69%)</v>
      </c>
      <c r="C4292" s="4" t="str">
        <f>CHOOSE(2, "5462030031", "Jul 26")</f>
        <v>Jul 26</v>
      </c>
      <c r="D4292" s="14">
        <v>182</v>
      </c>
    </row>
    <row r="4293" spans="1:4" x14ac:dyDescent="0.35">
      <c r="A4293" s="8" t="str">
        <f t="shared" si="2193"/>
        <v>Vietnam</v>
      </c>
      <c r="B4293" s="3" t="str">
        <f t="shared" ref="B4293:B4294" si="2215">CHOOSE(2, "1395000000688", "Total agent headcount  in Manulife Pro Qualifiers - Total")</f>
        <v>Total agent headcount  in Manulife Pro Qualifiers - Total</v>
      </c>
      <c r="C4293" s="4" t="str">
        <f>CHOOSE(2, "5461730030", "Jun 26")</f>
        <v>Jun 26</v>
      </c>
      <c r="D4293" s="14">
        <v>3513</v>
      </c>
    </row>
    <row r="4294" spans="1:4" x14ac:dyDescent="0.35">
      <c r="A4294" s="8" t="str">
        <f t="shared" si="2193"/>
        <v>Vietnam</v>
      </c>
      <c r="B4294" s="6" t="str">
        <f t="shared" si="2215"/>
        <v>Total agent headcount  in Manulife Pro Qualifiers - Total</v>
      </c>
      <c r="C4294" s="4" t="str">
        <f>CHOOSE(2, "5462030031", "Jul 26")</f>
        <v>Jul 26</v>
      </c>
      <c r="D4294" s="14">
        <v>3283</v>
      </c>
    </row>
    <row r="4295" spans="1:4" x14ac:dyDescent="0.35">
      <c r="A4295" s="8" t="str">
        <f t="shared" si="2193"/>
        <v>Vietnam</v>
      </c>
      <c r="B4295" s="3" t="str">
        <f t="shared" ref="B4295:B4296" si="2216">CHOOSE(2, "1395000000687", "New recruits")</f>
        <v>New recruits</v>
      </c>
      <c r="C4295" s="4" t="str">
        <f>CHOOSE(2, "5461730030", "Jun 26")</f>
        <v>Jun 26</v>
      </c>
      <c r="D4295" s="14">
        <v>495</v>
      </c>
    </row>
    <row r="4296" spans="1:4" x14ac:dyDescent="0.35">
      <c r="A4296" s="8" t="str">
        <f t="shared" si="2193"/>
        <v>Vietnam</v>
      </c>
      <c r="B4296" s="6" t="str">
        <f t="shared" si="2216"/>
        <v>New recruits</v>
      </c>
      <c r="C4296" s="4" t="str">
        <f>CHOOSE(2, "5462030031", "Jul 26")</f>
        <v>Jul 26</v>
      </c>
      <c r="D4296" s="14">
        <v>476</v>
      </c>
    </row>
    <row r="4297" spans="1:4" x14ac:dyDescent="0.35">
      <c r="A4297" s="8" t="str">
        <f t="shared" si="2193"/>
        <v>Vietnam</v>
      </c>
      <c r="B4297" s="3" t="str">
        <f t="shared" ref="B4297:B4298" si="2217">CHOOSE(2, "1395000000686", "New recruits - Leader level")</f>
        <v>New recruits - Leader level</v>
      </c>
      <c r="C4297" s="4" t="str">
        <f>CHOOSE(2, "5461730030", "Jun 26")</f>
        <v>Jun 26</v>
      </c>
      <c r="D4297" s="2" t="s">
        <v>5</v>
      </c>
    </row>
    <row r="4298" spans="1:4" x14ac:dyDescent="0.35">
      <c r="A4298" s="8" t="str">
        <f t="shared" si="2193"/>
        <v>Vietnam</v>
      </c>
      <c r="B4298" s="6" t="str">
        <f t="shared" si="2217"/>
        <v>New recruits - Leader level</v>
      </c>
      <c r="C4298" s="4" t="str">
        <f>CHOOSE(2, "5462030031", "Jul 26")</f>
        <v>Jul 26</v>
      </c>
      <c r="D4298" s="2" t="s">
        <v>5</v>
      </c>
    </row>
    <row r="4299" spans="1:4" x14ac:dyDescent="0.35">
      <c r="A4299" s="8" t="str">
        <f t="shared" si="2193"/>
        <v>Vietnam</v>
      </c>
      <c r="B4299" s="3" t="str">
        <f t="shared" ref="B4299:B4300" si="2218">CHOOSE(2, "1395000000685", "New recruits - FA or equivalent")</f>
        <v>New recruits - FA or equivalent</v>
      </c>
      <c r="C4299" s="4" t="str">
        <f>CHOOSE(2, "5461730030", "Jun 26")</f>
        <v>Jun 26</v>
      </c>
      <c r="D4299" s="14">
        <v>489</v>
      </c>
    </row>
    <row r="4300" spans="1:4" x14ac:dyDescent="0.35">
      <c r="A4300" s="8" t="str">
        <f t="shared" si="2193"/>
        <v>Vietnam</v>
      </c>
      <c r="B4300" s="6" t="str">
        <f t="shared" si="2218"/>
        <v>New recruits - FA or equivalent</v>
      </c>
      <c r="C4300" s="4" t="str">
        <f>CHOOSE(2, "5462030031", "Jul 26")</f>
        <v>Jul 26</v>
      </c>
      <c r="D4300" s="14">
        <v>476</v>
      </c>
    </row>
    <row r="4301" spans="1:4" x14ac:dyDescent="0.35">
      <c r="A4301" s="8" t="str">
        <f t="shared" si="2193"/>
        <v>Vietnam</v>
      </c>
      <c r="B4301" s="3" t="str">
        <f t="shared" ref="B4301:B4302" si="2219">CHOOSE(2, "1395000000684", "New recruits in UM")</f>
        <v>New recruits in UM</v>
      </c>
      <c r="C4301" s="4" t="str">
        <f>CHOOSE(2, "5461730030", "Jun 26")</f>
        <v>Jun 26</v>
      </c>
      <c r="D4301" s="14">
        <v>5</v>
      </c>
    </row>
    <row r="4302" spans="1:4" x14ac:dyDescent="0.35">
      <c r="A4302" s="8" t="str">
        <f t="shared" si="2193"/>
        <v>Vietnam</v>
      </c>
      <c r="B4302" s="6" t="str">
        <f t="shared" si="2219"/>
        <v>New recruits in UM</v>
      </c>
      <c r="C4302" s="4" t="str">
        <f>CHOOSE(2, "5462030031", "Jul 26")</f>
        <v>Jul 26</v>
      </c>
      <c r="D4302" s="14">
        <v>0</v>
      </c>
    </row>
    <row r="4303" spans="1:4" x14ac:dyDescent="0.35">
      <c r="A4303" s="8" t="str">
        <f t="shared" si="2193"/>
        <v>Vietnam</v>
      </c>
      <c r="B4303" s="3" t="str">
        <f t="shared" ref="B4303:B4304" si="2220">CHOOSE(2, "1395000000683", "New recruits in Leaders above UM")</f>
        <v>New recruits in Leaders above UM</v>
      </c>
      <c r="C4303" s="4" t="str">
        <f>CHOOSE(2, "5461730030", "Jun 26")</f>
        <v>Jun 26</v>
      </c>
      <c r="D4303" s="14">
        <v>1</v>
      </c>
    </row>
    <row r="4304" spans="1:4" x14ac:dyDescent="0.35">
      <c r="A4304" s="8" t="str">
        <f t="shared" si="2193"/>
        <v>Vietnam</v>
      </c>
      <c r="B4304" s="6" t="str">
        <f t="shared" si="2220"/>
        <v>New recruits in Leaders above UM</v>
      </c>
      <c r="C4304" s="4" t="str">
        <f>CHOOSE(2, "5462030031", "Jul 26")</f>
        <v>Jul 26</v>
      </c>
      <c r="D4304" s="14">
        <v>0</v>
      </c>
    </row>
    <row r="4305" spans="1:4" x14ac:dyDescent="0.35">
      <c r="A4305" s="8" t="str">
        <f t="shared" si="2193"/>
        <v>Vietnam</v>
      </c>
      <c r="B4305" s="3" t="str">
        <f t="shared" ref="B4305:B4306" si="2221">CHOOSE(2, "1395000000682", "# of 6-90 agents")</f>
        <v># of 6-90 agents</v>
      </c>
      <c r="C4305" s="4" t="str">
        <f>CHOOSE(2, "5461730030", "Jun 26")</f>
        <v>Jun 26</v>
      </c>
      <c r="D4305" s="14">
        <v>4</v>
      </c>
    </row>
    <row r="4306" spans="1:4" x14ac:dyDescent="0.35">
      <c r="A4306" s="8" t="str">
        <f t="shared" si="2193"/>
        <v>Vietnam</v>
      </c>
      <c r="B4306" s="6" t="str">
        <f t="shared" si="2221"/>
        <v># of 6-90 agents</v>
      </c>
      <c r="C4306" s="4" t="str">
        <f>CHOOSE(2, "5462030031", "Jul 26")</f>
        <v>Jul 26</v>
      </c>
      <c r="D4306" s="14">
        <v>50</v>
      </c>
    </row>
    <row r="4307" spans="1:4" x14ac:dyDescent="0.35">
      <c r="A4307" s="8" t="str">
        <f t="shared" si="2193"/>
        <v>Vietnam</v>
      </c>
      <c r="B4307" s="3" t="str">
        <f t="shared" ref="B4307:B4308" si="2222">CHOOSE(2, "1395000000681", "New Recruits 3M Activation #")</f>
        <v>New Recruits 3M Activation #</v>
      </c>
      <c r="C4307" s="4" t="str">
        <f>CHOOSE(2, "5461730030", "Jun 26")</f>
        <v>Jun 26</v>
      </c>
      <c r="D4307" s="14">
        <v>429</v>
      </c>
    </row>
    <row r="4308" spans="1:4" x14ac:dyDescent="0.35">
      <c r="A4308" s="8" t="str">
        <f t="shared" si="2193"/>
        <v>Vietnam</v>
      </c>
      <c r="B4308" s="6" t="str">
        <f t="shared" si="2222"/>
        <v>New Recruits 3M Activation #</v>
      </c>
      <c r="C4308" s="4" t="str">
        <f>CHOOSE(2, "5462030031", "Jul 26")</f>
        <v>Jul 26</v>
      </c>
      <c r="D4308" s="14">
        <v>291</v>
      </c>
    </row>
    <row r="4309" spans="1:4" x14ac:dyDescent="0.35">
      <c r="A4309" s="8" t="str">
        <f t="shared" si="2193"/>
        <v>Vietnam</v>
      </c>
      <c r="B4309" s="3" t="str">
        <f t="shared" ref="B4309:B4310" si="2223">CHOOSE(2, "1395000000680", "No of Terminations")</f>
        <v>No of Terminations</v>
      </c>
      <c r="C4309" s="4" t="str">
        <f>CHOOSE(2, "5461730030", "Jun 26")</f>
        <v>Jun 26</v>
      </c>
      <c r="D4309" s="14">
        <v>94</v>
      </c>
    </row>
    <row r="4310" spans="1:4" x14ac:dyDescent="0.35">
      <c r="A4310" s="8" t="str">
        <f t="shared" si="2193"/>
        <v>Vietnam</v>
      </c>
      <c r="B4310" s="6" t="str">
        <f t="shared" si="2223"/>
        <v>No of Terminations</v>
      </c>
      <c r="C4310" s="4" t="str">
        <f>CHOOSE(2, "5462030031", "Jul 26")</f>
        <v>Jul 26</v>
      </c>
      <c r="D4310" s="14">
        <v>69</v>
      </c>
    </row>
    <row r="4311" spans="1:4" x14ac:dyDescent="0.35">
      <c r="A4311" s="8" t="str">
        <f t="shared" si="2193"/>
        <v>Vietnam</v>
      </c>
      <c r="B4311" s="3" t="str">
        <f t="shared" ref="B4311:B4312" si="2224">CHOOSE(2, "1395000000679", "No of Terminations in FA or equivalent")</f>
        <v>No of Terminations in FA or equivalent</v>
      </c>
      <c r="C4311" s="4" t="str">
        <f>CHOOSE(2, "5461730030", "Jun 26")</f>
        <v>Jun 26</v>
      </c>
      <c r="D4311" s="14">
        <v>93</v>
      </c>
    </row>
    <row r="4312" spans="1:4" x14ac:dyDescent="0.35">
      <c r="A4312" s="8" t="str">
        <f t="shared" si="2193"/>
        <v>Vietnam</v>
      </c>
      <c r="B4312" s="6" t="str">
        <f t="shared" si="2224"/>
        <v>No of Terminations in FA or equivalent</v>
      </c>
      <c r="C4312" s="4" t="str">
        <f>CHOOSE(2, "5462030031", "Jul 26")</f>
        <v>Jul 26</v>
      </c>
      <c r="D4312" s="14">
        <v>66</v>
      </c>
    </row>
    <row r="4313" spans="1:4" x14ac:dyDescent="0.35">
      <c r="A4313" s="8" t="str">
        <f t="shared" si="2193"/>
        <v>Vietnam</v>
      </c>
      <c r="B4313" s="3" t="str">
        <f t="shared" ref="B4313:B4314" si="2225">CHOOSE(2, "1395000000678", "No of Terminations in UM")</f>
        <v>No of Terminations in UM</v>
      </c>
      <c r="C4313" s="4" t="str">
        <f>CHOOSE(2, "5461730030", "Jun 26")</f>
        <v>Jun 26</v>
      </c>
      <c r="D4313" s="14">
        <v>0</v>
      </c>
    </row>
    <row r="4314" spans="1:4" x14ac:dyDescent="0.35">
      <c r="A4314" s="8" t="str">
        <f t="shared" si="2193"/>
        <v>Vietnam</v>
      </c>
      <c r="B4314" s="6" t="str">
        <f t="shared" si="2225"/>
        <v>No of Terminations in UM</v>
      </c>
      <c r="C4314" s="4" t="str">
        <f>CHOOSE(2, "5462030031", "Jul 26")</f>
        <v>Jul 26</v>
      </c>
      <c r="D4314" s="14">
        <v>2</v>
      </c>
    </row>
    <row r="4315" spans="1:4" x14ac:dyDescent="0.35">
      <c r="A4315" s="8" t="str">
        <f t="shared" ref="A4315:A4378" si="2226">CHOOSE(2, "204000000005", "Vietnam")</f>
        <v>Vietnam</v>
      </c>
      <c r="B4315" s="3" t="str">
        <f t="shared" ref="B4315:B4316" si="2227">CHOOSE(2, "1395000000677", "No of Terminations in Leaders above UM")</f>
        <v>No of Terminations in Leaders above UM</v>
      </c>
      <c r="C4315" s="4" t="str">
        <f>CHOOSE(2, "5461730030", "Jun 26")</f>
        <v>Jun 26</v>
      </c>
      <c r="D4315" s="14">
        <v>1</v>
      </c>
    </row>
    <row r="4316" spans="1:4" x14ac:dyDescent="0.35">
      <c r="A4316" s="8" t="str">
        <f t="shared" si="2226"/>
        <v>Vietnam</v>
      </c>
      <c r="B4316" s="6" t="str">
        <f t="shared" si="2227"/>
        <v>No of Terminations in Leaders above UM</v>
      </c>
      <c r="C4316" s="4" t="str">
        <f>CHOOSE(2, "5462030031", "Jul 26")</f>
        <v>Jul 26</v>
      </c>
      <c r="D4316" s="14">
        <v>1</v>
      </c>
    </row>
    <row r="4317" spans="1:4" x14ac:dyDescent="0.35">
      <c r="A4317" s="8" t="str">
        <f t="shared" si="2226"/>
        <v>Vietnam</v>
      </c>
      <c r="B4317" s="3" t="str">
        <f t="shared" ref="B4317:B4318" si="2228">CHOOSE(2, "1395000000676", "No of Terminations in Top-tier Agents")</f>
        <v>No of Terminations in Top-tier Agents</v>
      </c>
      <c r="C4317" s="4" t="str">
        <f>CHOOSE(2, "5461730030", "Jun 26")</f>
        <v>Jun 26</v>
      </c>
      <c r="D4317" s="14">
        <v>0</v>
      </c>
    </row>
    <row r="4318" spans="1:4" x14ac:dyDescent="0.35">
      <c r="A4318" s="8" t="str">
        <f t="shared" si="2226"/>
        <v>Vietnam</v>
      </c>
      <c r="B4318" s="6" t="str">
        <f t="shared" si="2228"/>
        <v>No of Terminations in Top-tier Agents</v>
      </c>
      <c r="C4318" s="4" t="str">
        <f>CHOOSE(2, "5462030031", "Jul 26")</f>
        <v>Jul 26</v>
      </c>
      <c r="D4318" s="14">
        <v>1</v>
      </c>
    </row>
    <row r="4319" spans="1:4" x14ac:dyDescent="0.35">
      <c r="A4319" s="8" t="str">
        <f t="shared" si="2226"/>
        <v>Vietnam</v>
      </c>
      <c r="B4319" s="3" t="str">
        <f t="shared" ref="B4319:B4320" si="2229">CHOOSE(2, "1395000000675", "No of Terminations in pro-rated MDRT agents (&gt;100%)")</f>
        <v>No of Terminations in pro-rated MDRT agents (&gt;100%)</v>
      </c>
      <c r="C4319" s="4" t="str">
        <f>CHOOSE(2, "5461730030", "Jun 26")</f>
        <v>Jun 26</v>
      </c>
      <c r="D4319" s="14">
        <v>0</v>
      </c>
    </row>
    <row r="4320" spans="1:4" x14ac:dyDescent="0.35">
      <c r="A4320" s="8" t="str">
        <f t="shared" si="2226"/>
        <v>Vietnam</v>
      </c>
      <c r="B4320" s="6" t="str">
        <f t="shared" si="2229"/>
        <v>No of Terminations in pro-rated MDRT agents (&gt;100%)</v>
      </c>
      <c r="C4320" s="4" t="str">
        <f>CHOOSE(2, "5462030031", "Jul 26")</f>
        <v>Jul 26</v>
      </c>
      <c r="D4320" s="14">
        <v>0</v>
      </c>
    </row>
    <row r="4321" spans="1:4" x14ac:dyDescent="0.35">
      <c r="A4321" s="8" t="str">
        <f t="shared" si="2226"/>
        <v>Vietnam</v>
      </c>
      <c r="B4321" s="3" t="str">
        <f t="shared" ref="B4321:B4322" si="2230">CHOOSE(2, "1395000000674", "No of Terminations in pro-rated MDRT agents (70-99%)")</f>
        <v>No of Terminations in pro-rated MDRT agents (70-99%)</v>
      </c>
      <c r="C4321" s="4" t="str">
        <f>CHOOSE(2, "5461730030", "Jun 26")</f>
        <v>Jun 26</v>
      </c>
      <c r="D4321" s="14">
        <v>0</v>
      </c>
    </row>
    <row r="4322" spans="1:4" x14ac:dyDescent="0.35">
      <c r="A4322" s="8" t="str">
        <f t="shared" si="2226"/>
        <v>Vietnam</v>
      </c>
      <c r="B4322" s="6" t="str">
        <f t="shared" si="2230"/>
        <v>No of Terminations in pro-rated MDRT agents (70-99%)</v>
      </c>
      <c r="C4322" s="4" t="str">
        <f>CHOOSE(2, "5462030031", "Jul 26")</f>
        <v>Jul 26</v>
      </c>
      <c r="D4322" s="14">
        <v>0</v>
      </c>
    </row>
    <row r="4323" spans="1:4" x14ac:dyDescent="0.35">
      <c r="A4323" s="8" t="str">
        <f t="shared" si="2226"/>
        <v>Vietnam</v>
      </c>
      <c r="B4323" s="3" t="str">
        <f t="shared" ref="B4323:B4324" si="2231">CHOOSE(2, "1395000000673", "No of Terminations in pro-rated MDRT agents (50-69%)")</f>
        <v>No of Terminations in pro-rated MDRT agents (50-69%)</v>
      </c>
      <c r="C4323" s="4" t="str">
        <f>CHOOSE(2, "5461730030", "Jun 26")</f>
        <v>Jun 26</v>
      </c>
      <c r="D4323" s="14">
        <v>0</v>
      </c>
    </row>
    <row r="4324" spans="1:4" x14ac:dyDescent="0.35">
      <c r="A4324" s="8" t="str">
        <f t="shared" si="2226"/>
        <v>Vietnam</v>
      </c>
      <c r="B4324" s="6" t="str">
        <f t="shared" si="2231"/>
        <v>No of Terminations in pro-rated MDRT agents (50-69%)</v>
      </c>
      <c r="C4324" s="4" t="str">
        <f>CHOOSE(2, "5462030031", "Jul 26")</f>
        <v>Jul 26</v>
      </c>
      <c r="D4324" s="14">
        <v>1</v>
      </c>
    </row>
    <row r="4325" spans="1:4" x14ac:dyDescent="0.35">
      <c r="A4325" s="8" t="str">
        <f t="shared" si="2226"/>
        <v>Vietnam</v>
      </c>
      <c r="B4325" s="3" t="str">
        <f t="shared" ref="B4325:B4326" si="2232">CHOOSE(2, "1395000000672", "No of Terminations in Manulife Pro Qualifiers - Total")</f>
        <v>No of Terminations in Manulife Pro Qualifiers - Total</v>
      </c>
      <c r="C4325" s="4" t="str">
        <f>CHOOSE(2, "5461730030", "Jun 26")</f>
        <v>Jun 26</v>
      </c>
      <c r="D4325" s="14">
        <v>3</v>
      </c>
    </row>
    <row r="4326" spans="1:4" x14ac:dyDescent="0.35">
      <c r="A4326" s="8" t="str">
        <f t="shared" si="2226"/>
        <v>Vietnam</v>
      </c>
      <c r="B4326" s="6" t="str">
        <f t="shared" si="2232"/>
        <v>No of Terminations in Manulife Pro Qualifiers - Total</v>
      </c>
      <c r="C4326" s="4" t="str">
        <f>CHOOSE(2, "5462030031", "Jul 26")</f>
        <v>Jul 26</v>
      </c>
      <c r="D4326" s="14">
        <v>6</v>
      </c>
    </row>
    <row r="4327" spans="1:4" x14ac:dyDescent="0.35">
      <c r="A4327" s="8" t="str">
        <f t="shared" si="2226"/>
        <v>Vietnam</v>
      </c>
      <c r="B4327" s="3" t="str">
        <f t="shared" ref="B4327:B4328" si="2233">CHOOSE(2, "1395000000671", "First Year Agents Terminated without Sales")</f>
        <v>First Year Agents Terminated without Sales</v>
      </c>
      <c r="C4327" s="4" t="str">
        <f>CHOOSE(2, "5461730030", "Jun 26")</f>
        <v>Jun 26</v>
      </c>
      <c r="D4327" s="14">
        <v>19</v>
      </c>
    </row>
    <row r="4328" spans="1:4" x14ac:dyDescent="0.35">
      <c r="A4328" s="8" t="str">
        <f t="shared" si="2226"/>
        <v>Vietnam</v>
      </c>
      <c r="B4328" s="6" t="str">
        <f t="shared" si="2233"/>
        <v>First Year Agents Terminated without Sales</v>
      </c>
      <c r="C4328" s="4" t="str">
        <f>CHOOSE(2, "5462030031", "Jul 26")</f>
        <v>Jul 26</v>
      </c>
      <c r="D4328" s="14">
        <v>15</v>
      </c>
    </row>
    <row r="4329" spans="1:4" x14ac:dyDescent="0.35">
      <c r="A4329" s="8" t="str">
        <f t="shared" si="2226"/>
        <v>Vietnam</v>
      </c>
      <c r="B4329" s="3" t="str">
        <f t="shared" ref="B4329:B4330" si="2234">CHOOSE(2, "1395000000670", "6mth Agency Retention Ratio")</f>
        <v>6mth Agency Retention Ratio</v>
      </c>
      <c r="C4329" s="4" t="str">
        <f>CHOOSE(2, "5461730030", "Jun 26")</f>
        <v>Jun 26</v>
      </c>
      <c r="D4329" s="14">
        <v>0.93480600000000003</v>
      </c>
    </row>
    <row r="4330" spans="1:4" x14ac:dyDescent="0.35">
      <c r="A4330" s="8" t="str">
        <f t="shared" si="2226"/>
        <v>Vietnam</v>
      </c>
      <c r="B4330" s="6" t="str">
        <f t="shared" si="2234"/>
        <v>6mth Agency Retention Ratio</v>
      </c>
      <c r="C4330" s="4" t="str">
        <f>CHOOSE(2, "5462030031", "Jul 26")</f>
        <v>Jul 26</v>
      </c>
      <c r="D4330" s="14">
        <v>0.93959999999999999</v>
      </c>
    </row>
    <row r="4331" spans="1:4" x14ac:dyDescent="0.35">
      <c r="A4331" s="8" t="str">
        <f t="shared" si="2226"/>
        <v>Vietnam</v>
      </c>
      <c r="B4331" s="3" t="str">
        <f t="shared" ref="B4331:B4332" si="2235">CHOOSE(2, "1395000000669", "12mth Agency Retention Ratio")</f>
        <v>12mth Agency Retention Ratio</v>
      </c>
      <c r="C4331" s="4" t="str">
        <f>CHOOSE(2, "5461730030", "Jun 26")</f>
        <v>Jun 26</v>
      </c>
      <c r="D4331" s="14">
        <v>0.15121999999999999</v>
      </c>
    </row>
    <row r="4332" spans="1:4" x14ac:dyDescent="0.35">
      <c r="A4332" s="8" t="str">
        <f t="shared" si="2226"/>
        <v>Vietnam</v>
      </c>
      <c r="B4332" s="6" t="str">
        <f t="shared" si="2235"/>
        <v>12mth Agency Retention Ratio</v>
      </c>
      <c r="C4332" s="4" t="str">
        <f>CHOOSE(2, "5462030031", "Jul 26")</f>
        <v>Jul 26</v>
      </c>
      <c r="D4332" s="14">
        <v>0.14863799999999999</v>
      </c>
    </row>
    <row r="4333" spans="1:4" x14ac:dyDescent="0.35">
      <c r="A4333" s="8" t="str">
        <f t="shared" si="2226"/>
        <v>Vietnam</v>
      </c>
      <c r="B4333" s="3" t="str">
        <f t="shared" ref="B4333:B4334" si="2236">CHOOSE(2, "1395000000668", "24mth Agency Retention Ratio")</f>
        <v>24mth Agency Retention Ratio</v>
      </c>
      <c r="C4333" s="4" t="str">
        <f>CHOOSE(2, "5461730030", "Jun 26")</f>
        <v>Jun 26</v>
      </c>
      <c r="D4333" s="14">
        <v>4.6304999999999999E-2</v>
      </c>
    </row>
    <row r="4334" spans="1:4" x14ac:dyDescent="0.35">
      <c r="A4334" s="8" t="str">
        <f t="shared" si="2226"/>
        <v>Vietnam</v>
      </c>
      <c r="B4334" s="6" t="str">
        <f t="shared" si="2236"/>
        <v>24mth Agency Retention Ratio</v>
      </c>
      <c r="C4334" s="4" t="str">
        <f>CHOOSE(2, "5462030031", "Jul 26")</f>
        <v>Jul 26</v>
      </c>
      <c r="D4334" s="14">
        <v>4.9786999999999998E-2</v>
      </c>
    </row>
    <row r="4335" spans="1:4" x14ac:dyDescent="0.35">
      <c r="A4335" s="8" t="str">
        <f t="shared" si="2226"/>
        <v>Vietnam</v>
      </c>
      <c r="B4335" s="3" t="str">
        <f t="shared" ref="B4335:B4336" si="2237">CHOOSE(2, "1395000000667", "Total # of Leaders (end of period)")</f>
        <v>Total # of Leaders (end of period)</v>
      </c>
      <c r="C4335" s="4" t="str">
        <f>CHOOSE(2, "5461730030", "Jun 26")</f>
        <v>Jun 26</v>
      </c>
      <c r="D4335" s="14">
        <v>1591</v>
      </c>
    </row>
    <row r="4336" spans="1:4" x14ac:dyDescent="0.35">
      <c r="A4336" s="8" t="str">
        <f t="shared" si="2226"/>
        <v>Vietnam</v>
      </c>
      <c r="B4336" s="6" t="str">
        <f t="shared" si="2237"/>
        <v>Total # of Leaders (end of period)</v>
      </c>
      <c r="C4336" s="4" t="str">
        <f>CHOOSE(2, "5462030031", "Jul 26")</f>
        <v>Jul 26</v>
      </c>
      <c r="D4336" s="14">
        <v>1662</v>
      </c>
    </row>
    <row r="4337" spans="1:4" x14ac:dyDescent="0.35">
      <c r="A4337" s="8" t="str">
        <f t="shared" si="2226"/>
        <v>Vietnam</v>
      </c>
      <c r="B4337" s="3" t="str">
        <f t="shared" ref="B4337:B4338" si="2238">CHOOSE(2, "1395000000666", "Total # of Unit Managers")</f>
        <v>Total # of Unit Managers</v>
      </c>
      <c r="C4337" s="4" t="str">
        <f>CHOOSE(2, "5461730030", "Jun 26")</f>
        <v>Jun 26</v>
      </c>
      <c r="D4337" s="14">
        <v>826</v>
      </c>
    </row>
    <row r="4338" spans="1:4" x14ac:dyDescent="0.35">
      <c r="A4338" s="8" t="str">
        <f t="shared" si="2226"/>
        <v>Vietnam</v>
      </c>
      <c r="B4338" s="6" t="str">
        <f t="shared" si="2238"/>
        <v>Total # of Unit Managers</v>
      </c>
      <c r="C4338" s="4" t="str">
        <f>CHOOSE(2, "5462030031", "Jul 26")</f>
        <v>Jul 26</v>
      </c>
      <c r="D4338" s="14">
        <v>841</v>
      </c>
    </row>
    <row r="4339" spans="1:4" x14ac:dyDescent="0.35">
      <c r="A4339" s="8" t="str">
        <f t="shared" si="2226"/>
        <v>Vietnam</v>
      </c>
      <c r="B4339" s="3" t="str">
        <f t="shared" ref="B4339:B4340" si="2239">CHOOSE(2, "1395000000665", "Total # of Leaders above Unit Manager level")</f>
        <v>Total # of Leaders above Unit Manager level</v>
      </c>
      <c r="C4339" s="4" t="str">
        <f>CHOOSE(2, "5461730030", "Jun 26")</f>
        <v>Jun 26</v>
      </c>
      <c r="D4339" s="14">
        <v>765</v>
      </c>
    </row>
    <row r="4340" spans="1:4" x14ac:dyDescent="0.35">
      <c r="A4340" s="8" t="str">
        <f t="shared" si="2226"/>
        <v>Vietnam</v>
      </c>
      <c r="B4340" s="6" t="str">
        <f t="shared" si="2239"/>
        <v>Total # of Leaders above Unit Manager level</v>
      </c>
      <c r="C4340" s="4" t="str">
        <f>CHOOSE(2, "5462030031", "Jul 26")</f>
        <v>Jul 26</v>
      </c>
      <c r="D4340" s="14">
        <v>821</v>
      </c>
    </row>
    <row r="4341" spans="1:4" x14ac:dyDescent="0.35">
      <c r="A4341" s="8" t="str">
        <f t="shared" si="2226"/>
        <v>Vietnam</v>
      </c>
      <c r="B4341" s="3" t="str">
        <f t="shared" ref="B4341:B4342" si="2240">CHOOSE(2, "1395000000664", "Total # of Agents below Unit Manager level (end of period)")</f>
        <v>Total # of Agents below Unit Manager level (end of period)</v>
      </c>
      <c r="C4341" s="4" t="str">
        <f>CHOOSE(2, "5461730030", "Jun 26")</f>
        <v>Jun 26</v>
      </c>
      <c r="D4341" s="14">
        <v>50650</v>
      </c>
    </row>
    <row r="4342" spans="1:4" x14ac:dyDescent="0.35">
      <c r="A4342" s="8" t="str">
        <f t="shared" si="2226"/>
        <v>Vietnam</v>
      </c>
      <c r="B4342" s="6" t="str">
        <f t="shared" si="2240"/>
        <v>Total # of Agents below Unit Manager level (end of period)</v>
      </c>
      <c r="C4342" s="4" t="str">
        <f>CHOOSE(2, "5462030031", "Jul 26")</f>
        <v>Jul 26</v>
      </c>
      <c r="D4342" s="14">
        <v>51003</v>
      </c>
    </row>
    <row r="4343" spans="1:4" x14ac:dyDescent="0.35">
      <c r="A4343" s="8" t="str">
        <f t="shared" si="2226"/>
        <v>Vietnam</v>
      </c>
      <c r="B4343" s="3" t="str">
        <f t="shared" ref="B4343:B4344" si="2241">CHOOSE(2, "1395000000663", "# of Active Recruiting Leaders")</f>
        <v># of Active Recruiting Leaders</v>
      </c>
      <c r="C4343" s="4" t="str">
        <f>CHOOSE(2, "5461730030", "Jun 26")</f>
        <v>Jun 26</v>
      </c>
      <c r="D4343" s="14">
        <v>166</v>
      </c>
    </row>
    <row r="4344" spans="1:4" x14ac:dyDescent="0.35">
      <c r="A4344" s="8" t="str">
        <f t="shared" si="2226"/>
        <v>Vietnam</v>
      </c>
      <c r="B4344" s="6" t="str">
        <f t="shared" si="2241"/>
        <v># of Active Recruiting Leaders</v>
      </c>
      <c r="C4344" s="4" t="str">
        <f>CHOOSE(2, "5462030031", "Jul 26")</f>
        <v>Jul 26</v>
      </c>
      <c r="D4344" s="14">
        <v>170</v>
      </c>
    </row>
    <row r="4345" spans="1:4" x14ac:dyDescent="0.35">
      <c r="A4345" s="8" t="str">
        <f t="shared" si="2226"/>
        <v>Vietnam</v>
      </c>
      <c r="B4345" s="3" t="str">
        <f t="shared" ref="B4345:B4346" si="2242">CHOOSE(2, "1395000000662", "# of leaders with &gt;1 YTD recruit")</f>
        <v># of leaders with &gt;1 YTD recruit</v>
      </c>
      <c r="C4345" s="4" t="str">
        <f>CHOOSE(2, "5461730030", "Jun 26")</f>
        <v>Jun 26</v>
      </c>
      <c r="D4345" s="14">
        <v>657</v>
      </c>
    </row>
    <row r="4346" spans="1:4" x14ac:dyDescent="0.35">
      <c r="A4346" s="8" t="str">
        <f t="shared" si="2226"/>
        <v>Vietnam</v>
      </c>
      <c r="B4346" s="6" t="str">
        <f t="shared" si="2242"/>
        <v># of leaders with &gt;1 YTD recruit</v>
      </c>
      <c r="C4346" s="4" t="str">
        <f>CHOOSE(2, "5462030031", "Jul 26")</f>
        <v>Jul 26</v>
      </c>
      <c r="D4346" s="14">
        <v>743</v>
      </c>
    </row>
    <row r="4347" spans="1:4" x14ac:dyDescent="0.35">
      <c r="A4347" s="8" t="str">
        <f t="shared" si="2226"/>
        <v>Vietnam</v>
      </c>
      <c r="B4347" s="3" t="str">
        <f t="shared" ref="B4347:B4348" si="2243">CHOOSE(2, "1395000000661", "Income ratio from personal sales (UM)")</f>
        <v>Income ratio from personal sales (UM)</v>
      </c>
      <c r="C4347" s="4" t="str">
        <f>CHOOSE(2, "5461730030", "Jun 26")</f>
        <v>Jun 26</v>
      </c>
      <c r="D4347" s="14">
        <v>0.88191948320282321</v>
      </c>
    </row>
    <row r="4348" spans="1:4" x14ac:dyDescent="0.35">
      <c r="A4348" s="8" t="str">
        <f t="shared" si="2226"/>
        <v>Vietnam</v>
      </c>
      <c r="B4348" s="6" t="str">
        <f t="shared" si="2243"/>
        <v>Income ratio from personal sales (UM)</v>
      </c>
      <c r="C4348" s="4" t="str">
        <f>CHOOSE(2, "5462030031", "Jul 26")</f>
        <v>Jul 26</v>
      </c>
      <c r="D4348" s="14">
        <v>0.92679404515336894</v>
      </c>
    </row>
    <row r="4349" spans="1:4" x14ac:dyDescent="0.35">
      <c r="A4349" s="8" t="str">
        <f t="shared" si="2226"/>
        <v>Vietnam</v>
      </c>
      <c r="B4349" s="3" t="str">
        <f t="shared" ref="B4349:B4350" si="2244">CHOOSE(2, "1395000000660", "Income ratio from personal sales (UM) (numerator)")</f>
        <v>Income ratio from personal sales (UM) (numerator)</v>
      </c>
      <c r="C4349" s="4" t="str">
        <f>CHOOSE(2, "5461730030", "Jun 26")</f>
        <v>Jun 26</v>
      </c>
      <c r="D4349" s="14">
        <v>469128.73742000002</v>
      </c>
    </row>
    <row r="4350" spans="1:4" x14ac:dyDescent="0.35">
      <c r="A4350" s="8" t="str">
        <f t="shared" si="2226"/>
        <v>Vietnam</v>
      </c>
      <c r="B4350" s="6" t="str">
        <f t="shared" si="2244"/>
        <v>Income ratio from personal sales (UM) (numerator)</v>
      </c>
      <c r="C4350" s="4" t="str">
        <f>CHOOSE(2, "5462030031", "Jul 26")</f>
        <v>Jul 26</v>
      </c>
      <c r="D4350" s="14">
        <v>355661.07296000002</v>
      </c>
    </row>
    <row r="4351" spans="1:4" x14ac:dyDescent="0.35">
      <c r="A4351" s="8" t="str">
        <f t="shared" si="2226"/>
        <v>Vietnam</v>
      </c>
      <c r="B4351" s="3" t="str">
        <f t="shared" ref="B4351:B4352" si="2245">CHOOSE(2, "1395000000659", "Income ratio from personal sales (UM) (denominator)")</f>
        <v>Income ratio from personal sales (UM) (denominator)</v>
      </c>
      <c r="C4351" s="4" t="str">
        <f>CHOOSE(2, "5461730030", "Jun 26")</f>
        <v>Jun 26</v>
      </c>
      <c r="D4351" s="14">
        <v>531940.55279999995</v>
      </c>
    </row>
    <row r="4352" spans="1:4" x14ac:dyDescent="0.35">
      <c r="A4352" s="8" t="str">
        <f t="shared" si="2226"/>
        <v>Vietnam</v>
      </c>
      <c r="B4352" s="6" t="str">
        <f t="shared" si="2245"/>
        <v>Income ratio from personal sales (UM) (denominator)</v>
      </c>
      <c r="C4352" s="4" t="str">
        <f>CHOOSE(2, "5462030031", "Jul 26")</f>
        <v>Jul 26</v>
      </c>
      <c r="D4352" s="14">
        <v>383754.16288000002</v>
      </c>
    </row>
    <row r="4353" spans="1:4" x14ac:dyDescent="0.35">
      <c r="A4353" s="8" t="str">
        <f t="shared" si="2226"/>
        <v>Vietnam</v>
      </c>
      <c r="B4353" s="3" t="str">
        <f t="shared" ref="B4353:B4354" si="2246">CHOOSE(2, "1395000000658", "Income ratio from personal sales (Leader above UM)")</f>
        <v>Income ratio from personal sales (Leader above UM)</v>
      </c>
      <c r="C4353" s="4" t="str">
        <f>CHOOSE(2, "5461730030", "Jun 26")</f>
        <v>Jun 26</v>
      </c>
      <c r="D4353" s="14">
        <v>0.73890015832333089</v>
      </c>
    </row>
    <row r="4354" spans="1:4" x14ac:dyDescent="0.35">
      <c r="A4354" s="8" t="str">
        <f t="shared" si="2226"/>
        <v>Vietnam</v>
      </c>
      <c r="B4354" s="6" t="str">
        <f t="shared" si="2246"/>
        <v>Income ratio from personal sales (Leader above UM)</v>
      </c>
      <c r="C4354" s="4" t="str">
        <f>CHOOSE(2, "5462030031", "Jul 26")</f>
        <v>Jul 26</v>
      </c>
      <c r="D4354" s="14">
        <v>0.8325335599736422</v>
      </c>
    </row>
    <row r="4355" spans="1:4" x14ac:dyDescent="0.35">
      <c r="A4355" s="8" t="str">
        <f t="shared" si="2226"/>
        <v>Vietnam</v>
      </c>
      <c r="B4355" s="3" t="str">
        <f t="shared" ref="B4355:B4356" si="2247">CHOOSE(2, "1395000000657", "Income ratio from personal sales (Leader above UM) (num)")</f>
        <v>Income ratio from personal sales (Leader above UM) (num)</v>
      </c>
      <c r="C4355" s="4" t="str">
        <f>CHOOSE(2, "5461730030", "Jun 26")</f>
        <v>Jun 26</v>
      </c>
      <c r="D4355" s="14">
        <v>803651.15327999997</v>
      </c>
    </row>
    <row r="4356" spans="1:4" x14ac:dyDescent="0.35">
      <c r="A4356" s="8" t="str">
        <f t="shared" si="2226"/>
        <v>Vietnam</v>
      </c>
      <c r="B4356" s="6" t="str">
        <f t="shared" si="2247"/>
        <v>Income ratio from personal sales (Leader above UM) (num)</v>
      </c>
      <c r="C4356" s="4" t="str">
        <f>CHOOSE(2, "5462030031", "Jul 26")</f>
        <v>Jul 26</v>
      </c>
      <c r="D4356" s="14">
        <v>533163.75684000005</v>
      </c>
    </row>
    <row r="4357" spans="1:4" x14ac:dyDescent="0.35">
      <c r="A4357" s="8" t="str">
        <f t="shared" si="2226"/>
        <v>Vietnam</v>
      </c>
      <c r="B4357" s="3" t="str">
        <f t="shared" ref="B4357:B4358" si="2248">CHOOSE(2, "1395000000656", "Income ratio from personal sales (Leader above UM) (den)")</f>
        <v>Income ratio from personal sales (Leader above UM) (den)</v>
      </c>
      <c r="C4357" s="4" t="str">
        <f>CHOOSE(2, "5461730030", "Jun 26")</f>
        <v>Jun 26</v>
      </c>
      <c r="D4357" s="14">
        <v>1087631.5889600001</v>
      </c>
    </row>
    <row r="4358" spans="1:4" x14ac:dyDescent="0.35">
      <c r="A4358" s="8" t="str">
        <f t="shared" si="2226"/>
        <v>Vietnam</v>
      </c>
      <c r="B4358" s="6" t="str">
        <f t="shared" si="2248"/>
        <v>Income ratio from personal sales (Leader above UM) (den)</v>
      </c>
      <c r="C4358" s="4" t="str">
        <f>CHOOSE(2, "5462030031", "Jul 26")</f>
        <v>Jul 26</v>
      </c>
      <c r="D4358" s="14">
        <v>640411.12872000004</v>
      </c>
    </row>
    <row r="4359" spans="1:4" x14ac:dyDescent="0.35">
      <c r="A4359" s="8" t="str">
        <f t="shared" si="2226"/>
        <v>Vietnam</v>
      </c>
      <c r="B4359" s="3" t="str">
        <f t="shared" ref="B4359:B4360" si="2249">CHOOSE(2, "1395000000655", "Total agent earnings")</f>
        <v>Total agent earnings</v>
      </c>
      <c r="C4359" s="4" t="str">
        <f>CHOOSE(2, "5461730030", "Jun 26")</f>
        <v>Jun 26</v>
      </c>
      <c r="D4359" s="14">
        <v>127.7502369086</v>
      </c>
    </row>
    <row r="4360" spans="1:4" x14ac:dyDescent="0.35">
      <c r="A4360" s="8" t="str">
        <f t="shared" si="2226"/>
        <v>Vietnam</v>
      </c>
      <c r="B4360" s="6" t="str">
        <f t="shared" si="2249"/>
        <v>Total agent earnings</v>
      </c>
      <c r="C4360" s="4" t="str">
        <f>CHOOSE(2, "5462030031", "Jul 26")</f>
        <v>Jul 26</v>
      </c>
      <c r="D4360" s="14">
        <v>85.95115709912001</v>
      </c>
    </row>
    <row r="4361" spans="1:4" x14ac:dyDescent="0.35">
      <c r="A4361" s="8" t="str">
        <f t="shared" si="2226"/>
        <v>Vietnam</v>
      </c>
      <c r="B4361" s="3" t="str">
        <f t="shared" ref="B4361:B4362" si="2250">CHOOSE(2, "1395000000654", "Total agent earnings in FA or equivalent")</f>
        <v>Total agent earnings in FA or equivalent</v>
      </c>
      <c r="C4361" s="4" t="str">
        <f>CHOOSE(2, "5461730030", "Jun 26")</f>
        <v>Jun 26</v>
      </c>
      <c r="D4361" s="14">
        <v>66.206495521720001</v>
      </c>
    </row>
    <row r="4362" spans="1:4" x14ac:dyDescent="0.35">
      <c r="A4362" s="8" t="str">
        <f t="shared" si="2226"/>
        <v>Vietnam</v>
      </c>
      <c r="B4362" s="6" t="str">
        <f t="shared" si="2250"/>
        <v>Total agent earnings in FA or equivalent</v>
      </c>
      <c r="C4362" s="4" t="str">
        <f>CHOOSE(2, "5462030031", "Jul 26")</f>
        <v>Jul 26</v>
      </c>
      <c r="D4362" s="14">
        <v>47.032876018320003</v>
      </c>
    </row>
    <row r="4363" spans="1:4" x14ac:dyDescent="0.35">
      <c r="A4363" s="8" t="str">
        <f t="shared" si="2226"/>
        <v>Vietnam</v>
      </c>
      <c r="B4363" s="3" t="str">
        <f t="shared" ref="B4363:B4364" si="2251">CHOOSE(2, "1395000000653", "Total agent earnings in UM")</f>
        <v>Total agent earnings in UM</v>
      </c>
      <c r="C4363" s="4" t="str">
        <f>CHOOSE(2, "5461730030", "Jun 26")</f>
        <v>Jun 26</v>
      </c>
      <c r="D4363" s="14">
        <v>20.213741006399999</v>
      </c>
    </row>
    <row r="4364" spans="1:4" x14ac:dyDescent="0.35">
      <c r="A4364" s="8" t="str">
        <f t="shared" si="2226"/>
        <v>Vietnam</v>
      </c>
      <c r="B4364" s="6" t="str">
        <f t="shared" si="2251"/>
        <v>Total agent earnings in UM</v>
      </c>
      <c r="C4364" s="4" t="str">
        <f>CHOOSE(2, "5462030031", "Jul 26")</f>
        <v>Jul 26</v>
      </c>
      <c r="D4364" s="14">
        <v>14.582658189440002</v>
      </c>
    </row>
    <row r="4365" spans="1:4" x14ac:dyDescent="0.35">
      <c r="A4365" s="8" t="str">
        <f t="shared" si="2226"/>
        <v>Vietnam</v>
      </c>
      <c r="B4365" s="3" t="str">
        <f t="shared" ref="B4365:B4366" si="2252">CHOOSE(2, "1395000000652", "Total agent earnings in Leaders above UM")</f>
        <v>Total agent earnings in Leaders above UM</v>
      </c>
      <c r="C4365" s="4" t="str">
        <f>CHOOSE(2, "5461730030", "Jun 26")</f>
        <v>Jun 26</v>
      </c>
      <c r="D4365" s="14">
        <v>41.330000380480008</v>
      </c>
    </row>
    <row r="4366" spans="1:4" x14ac:dyDescent="0.35">
      <c r="A4366" s="8" t="str">
        <f t="shared" si="2226"/>
        <v>Vietnam</v>
      </c>
      <c r="B4366" s="6" t="str">
        <f t="shared" si="2252"/>
        <v>Total agent earnings in Leaders above UM</v>
      </c>
      <c r="C4366" s="4" t="str">
        <f>CHOOSE(2, "5462030031", "Jul 26")</f>
        <v>Jul 26</v>
      </c>
      <c r="D4366" s="14">
        <v>24.335622891360003</v>
      </c>
    </row>
    <row r="4367" spans="1:4" x14ac:dyDescent="0.35">
      <c r="A4367" s="8" t="str">
        <f t="shared" si="2226"/>
        <v>Vietnam</v>
      </c>
      <c r="B4367" s="3" t="str">
        <f t="shared" ref="B4367:B4368" si="2253">CHOOSE(2, "1395000000651", "# of Newly Promoted UM")</f>
        <v># of Newly Promoted UM</v>
      </c>
      <c r="C4367" s="4" t="str">
        <f>CHOOSE(2, "5461730030", "Jun 26")</f>
        <v>Jun 26</v>
      </c>
      <c r="D4367" s="14">
        <v>41</v>
      </c>
    </row>
    <row r="4368" spans="1:4" x14ac:dyDescent="0.35">
      <c r="A4368" s="8" t="str">
        <f t="shared" si="2226"/>
        <v>Vietnam</v>
      </c>
      <c r="B4368" s="6" t="str">
        <f t="shared" si="2253"/>
        <v># of Newly Promoted UM</v>
      </c>
      <c r="C4368" s="4" t="str">
        <f>CHOOSE(2, "5462030031", "Jul 26")</f>
        <v>Jul 26</v>
      </c>
      <c r="D4368" s="14">
        <v>266</v>
      </c>
    </row>
    <row r="4369" spans="1:4" x14ac:dyDescent="0.35">
      <c r="A4369" s="8" t="str">
        <f t="shared" si="2226"/>
        <v>Vietnam</v>
      </c>
      <c r="B4369" s="3" t="str">
        <f t="shared" ref="B4369:B4370" si="2254">CHOOSE(2, "1395000000650", "# of Newly Promoted Leaders above UM")</f>
        <v># of Newly Promoted Leaders above UM</v>
      </c>
      <c r="C4369" s="4" t="str">
        <f>CHOOSE(2, "5461730030", "Jun 26")</f>
        <v>Jun 26</v>
      </c>
      <c r="D4369" s="14">
        <v>8</v>
      </c>
    </row>
    <row r="4370" spans="1:4" x14ac:dyDescent="0.35">
      <c r="A4370" s="8" t="str">
        <f t="shared" si="2226"/>
        <v>Vietnam</v>
      </c>
      <c r="B4370" s="6" t="str">
        <f t="shared" si="2254"/>
        <v># of Newly Promoted Leaders above UM</v>
      </c>
      <c r="C4370" s="4" t="str">
        <f>CHOOSE(2, "5462030031", "Jul 26")</f>
        <v>Jul 26</v>
      </c>
      <c r="D4370" s="14">
        <v>10</v>
      </c>
    </row>
    <row r="4371" spans="1:4" x14ac:dyDescent="0.35">
      <c r="A4371" s="8" t="str">
        <f t="shared" si="2226"/>
        <v>Vietnam</v>
      </c>
      <c r="B4371" s="3" t="str">
        <f t="shared" ref="B4371:B4372" si="2255">CHOOSE(2, "1395000000649", "# of Total Leader Promotions")</f>
        <v># of Total Leader Promotions</v>
      </c>
      <c r="C4371" s="4" t="str">
        <f>CHOOSE(2, "5461730030", "Jun 26")</f>
        <v>Jun 26</v>
      </c>
      <c r="D4371" s="14">
        <v>49</v>
      </c>
    </row>
    <row r="4372" spans="1:4" x14ac:dyDescent="0.35">
      <c r="A4372" s="8" t="str">
        <f t="shared" si="2226"/>
        <v>Vietnam</v>
      </c>
      <c r="B4372" s="6" t="str">
        <f t="shared" si="2255"/>
        <v># of Total Leader Promotions</v>
      </c>
      <c r="C4372" s="4" t="str">
        <f>CHOOSE(2, "5462030031", "Jul 26")</f>
        <v>Jul 26</v>
      </c>
      <c r="D4372" s="14">
        <v>276</v>
      </c>
    </row>
    <row r="4373" spans="1:4" x14ac:dyDescent="0.35">
      <c r="A4373" s="8" t="str">
        <f t="shared" si="2226"/>
        <v>Vietnam</v>
      </c>
      <c r="B4373" s="3" t="str">
        <f t="shared" ref="B4373:B4374" si="2256">CHOOSE(2, "1395000000648", "# of Newly Demoted UM")</f>
        <v># of Newly Demoted UM</v>
      </c>
      <c r="C4373" s="4" t="str">
        <f>CHOOSE(2, "5461730030", "Jun 26")</f>
        <v>Jun 26</v>
      </c>
      <c r="D4373" s="14">
        <v>6</v>
      </c>
    </row>
    <row r="4374" spans="1:4" x14ac:dyDescent="0.35">
      <c r="A4374" s="8" t="str">
        <f t="shared" si="2226"/>
        <v>Vietnam</v>
      </c>
      <c r="B4374" s="6" t="str">
        <f t="shared" si="2256"/>
        <v># of Newly Demoted UM</v>
      </c>
      <c r="C4374" s="4" t="str">
        <f>CHOOSE(2, "5462030031", "Jul 26")</f>
        <v>Jul 26</v>
      </c>
      <c r="D4374" s="14">
        <v>4</v>
      </c>
    </row>
    <row r="4375" spans="1:4" x14ac:dyDescent="0.35">
      <c r="A4375" s="8" t="str">
        <f t="shared" si="2226"/>
        <v>Vietnam</v>
      </c>
      <c r="B4375" s="3" t="str">
        <f t="shared" ref="B4375:B4376" si="2257">CHOOSE(2, "1395000000647", "# of Newly Demoted Leaders above UM")</f>
        <v># of Newly Demoted Leaders above UM</v>
      </c>
      <c r="C4375" s="4" t="str">
        <f>CHOOSE(2, "5461730030", "Jun 26")</f>
        <v>Jun 26</v>
      </c>
      <c r="D4375" s="14">
        <v>5</v>
      </c>
    </row>
    <row r="4376" spans="1:4" x14ac:dyDescent="0.35">
      <c r="A4376" s="8" t="str">
        <f t="shared" si="2226"/>
        <v>Vietnam</v>
      </c>
      <c r="B4376" s="6" t="str">
        <f t="shared" si="2257"/>
        <v># of Newly Demoted Leaders above UM</v>
      </c>
      <c r="C4376" s="4" t="str">
        <f>CHOOSE(2, "5462030031", "Jul 26")</f>
        <v>Jul 26</v>
      </c>
      <c r="D4376" s="14">
        <v>42</v>
      </c>
    </row>
    <row r="4377" spans="1:4" x14ac:dyDescent="0.35">
      <c r="A4377" s="8" t="str">
        <f t="shared" si="2226"/>
        <v>Vietnam</v>
      </c>
      <c r="B4377" s="3" t="str">
        <f t="shared" ref="B4377:B4378" si="2258">CHOOSE(2, "1395000000646", "# of Total Leader Demotions")</f>
        <v># of Total Leader Demotions</v>
      </c>
      <c r="C4377" s="4" t="str">
        <f>CHOOSE(2, "5461730030", "Jun 26")</f>
        <v>Jun 26</v>
      </c>
      <c r="D4377" s="14">
        <v>11</v>
      </c>
    </row>
    <row r="4378" spans="1:4" x14ac:dyDescent="0.35">
      <c r="A4378" s="8" t="str">
        <f t="shared" si="2226"/>
        <v>Vietnam</v>
      </c>
      <c r="B4378" s="6" t="str">
        <f t="shared" si="2258"/>
        <v># of Total Leader Demotions</v>
      </c>
      <c r="C4378" s="4" t="str">
        <f>CHOOSE(2, "5462030031", "Jul 26")</f>
        <v>Jul 26</v>
      </c>
      <c r="D4378" s="14">
        <v>46</v>
      </c>
    </row>
    <row r="4379" spans="1:4" x14ac:dyDescent="0.35">
      <c r="A4379" s="8" t="str">
        <f t="shared" ref="A4379:A4442" si="2259">CHOOSE(2, "204000000005", "Vietnam")</f>
        <v>Vietnam</v>
      </c>
      <c r="B4379" s="3" t="str">
        <f t="shared" ref="B4379:B4380" si="2260">CHOOSE(2, "1395000000645", "# of agents meeting MOC")</f>
        <v># of agents meeting MOC</v>
      </c>
      <c r="C4379" s="4" t="str">
        <f>CHOOSE(2, "5461730030", "Jun 26")</f>
        <v>Jun 26</v>
      </c>
      <c r="D4379" s="14">
        <v>51683</v>
      </c>
    </row>
    <row r="4380" spans="1:4" x14ac:dyDescent="0.35">
      <c r="A4380" s="8" t="str">
        <f t="shared" si="2259"/>
        <v>Vietnam</v>
      </c>
      <c r="B4380" s="6" t="str">
        <f t="shared" si="2260"/>
        <v># of agents meeting MOC</v>
      </c>
      <c r="C4380" s="4" t="str">
        <f>CHOOSE(2, "5462030031", "Jul 26")</f>
        <v>Jul 26</v>
      </c>
      <c r="D4380" s="14">
        <v>52060</v>
      </c>
    </row>
    <row r="4381" spans="1:4" x14ac:dyDescent="0.35">
      <c r="A4381" s="8" t="str">
        <f t="shared" si="2259"/>
        <v>Vietnam</v>
      </c>
      <c r="B4381" s="3" t="str">
        <f t="shared" ref="B4381:B4382" si="2261">CHOOSE(2, "1395000000644", "# of agents meeting MOC in FA or equivalent")</f>
        <v># of agents meeting MOC in FA or equivalent</v>
      </c>
      <c r="C4381" s="4" t="str">
        <f>CHOOSE(2, "5461730030", "Jun 26")</f>
        <v>Jun 26</v>
      </c>
      <c r="D4381" s="14">
        <v>50154</v>
      </c>
    </row>
    <row r="4382" spans="1:4" x14ac:dyDescent="0.35">
      <c r="A4382" s="8" t="str">
        <f t="shared" si="2259"/>
        <v>Vietnam</v>
      </c>
      <c r="B4382" s="6" t="str">
        <f t="shared" si="2261"/>
        <v># of agents meeting MOC in FA or equivalent</v>
      </c>
      <c r="C4382" s="4" t="str">
        <f>CHOOSE(2, "5462030031", "Jul 26")</f>
        <v>Jul 26</v>
      </c>
      <c r="D4382" s="14">
        <v>50522</v>
      </c>
    </row>
    <row r="4383" spans="1:4" x14ac:dyDescent="0.35">
      <c r="A4383" s="8" t="str">
        <f t="shared" si="2259"/>
        <v>Vietnam</v>
      </c>
      <c r="B4383" s="3" t="str">
        <f t="shared" ref="B4383:B4384" si="2262">CHOOSE(2, "1395000000643", "# of agents meeting MOC in UM")</f>
        <v># of agents meeting MOC in UM</v>
      </c>
      <c r="C4383" s="4" t="str">
        <f>CHOOSE(2, "5461730030", "Jun 26")</f>
        <v>Jun 26</v>
      </c>
      <c r="D4383" s="14">
        <v>777</v>
      </c>
    </row>
    <row r="4384" spans="1:4" x14ac:dyDescent="0.35">
      <c r="A4384" s="8" t="str">
        <f t="shared" si="2259"/>
        <v>Vietnam</v>
      </c>
      <c r="B4384" s="6" t="str">
        <f t="shared" si="2262"/>
        <v># of agents meeting MOC in UM</v>
      </c>
      <c r="C4384" s="4" t="str">
        <f>CHOOSE(2, "5462030031", "Jul 26")</f>
        <v>Jul 26</v>
      </c>
      <c r="D4384" s="14">
        <v>778</v>
      </c>
    </row>
    <row r="4385" spans="1:4" x14ac:dyDescent="0.35">
      <c r="A4385" s="8" t="str">
        <f t="shared" si="2259"/>
        <v>Vietnam</v>
      </c>
      <c r="B4385" s="3" t="str">
        <f t="shared" ref="B4385:B4386" si="2263">CHOOSE(2, "1395000000642", "# of agents meeting MOC in Leaders above UM")</f>
        <v># of agents meeting MOC in Leaders above UM</v>
      </c>
      <c r="C4385" s="4" t="str">
        <f>CHOOSE(2, "5461730030", "Jun 26")</f>
        <v>Jun 26</v>
      </c>
      <c r="D4385" s="14">
        <v>752</v>
      </c>
    </row>
    <row r="4386" spans="1:4" x14ac:dyDescent="0.35">
      <c r="A4386" s="8" t="str">
        <f t="shared" si="2259"/>
        <v>Vietnam</v>
      </c>
      <c r="B4386" s="6" t="str">
        <f t="shared" si="2263"/>
        <v># of agents meeting MOC in Leaders above UM</v>
      </c>
      <c r="C4386" s="4" t="str">
        <f>CHOOSE(2, "5462030031", "Jul 26")</f>
        <v>Jul 26</v>
      </c>
      <c r="D4386" s="14">
        <v>760</v>
      </c>
    </row>
    <row r="4387" spans="1:4" x14ac:dyDescent="0.35">
      <c r="A4387" s="8" t="str">
        <f t="shared" si="2259"/>
        <v>Vietnam</v>
      </c>
      <c r="B4387" s="3" t="str">
        <f t="shared" ref="B4387:B4388" si="2264">CHOOSE(2, "1395000000641", "New Leaders 3M Activation Rate (by cohort)")</f>
        <v>New Leaders 3M Activation Rate (by cohort)</v>
      </c>
      <c r="C4387" s="4" t="str">
        <f>CHOOSE(2, "5461730030", "Jun 26")</f>
        <v>Jun 26</v>
      </c>
      <c r="D4387" s="14">
        <v>0.33333333333333331</v>
      </c>
    </row>
    <row r="4388" spans="1:4" x14ac:dyDescent="0.35">
      <c r="A4388" s="8" t="str">
        <f t="shared" si="2259"/>
        <v>Vietnam</v>
      </c>
      <c r="B4388" s="6" t="str">
        <f t="shared" si="2264"/>
        <v>New Leaders 3M Activation Rate (by cohort)</v>
      </c>
      <c r="C4388" s="4" t="str">
        <f>CHOOSE(2, "5462030031", "Jul 26")</f>
        <v>Jul 26</v>
      </c>
      <c r="D4388" s="14">
        <v>0.29411764705882354</v>
      </c>
    </row>
    <row r="4389" spans="1:4" x14ac:dyDescent="0.35">
      <c r="A4389" s="8" t="str">
        <f t="shared" si="2259"/>
        <v>Vietnam</v>
      </c>
      <c r="B4389" s="3" t="str">
        <f t="shared" ref="B4389:B4390" si="2265">CHOOSE(2, "1395000000640", "New Leaders 3M Activation Rate (by cohort) (numerator)")</f>
        <v>New Leaders 3M Activation Rate (by cohort) (numerator)</v>
      </c>
      <c r="C4389" s="4" t="str">
        <f>CHOOSE(2, "5461730030", "Jun 26")</f>
        <v>Jun 26</v>
      </c>
      <c r="D4389" s="14">
        <v>3</v>
      </c>
    </row>
    <row r="4390" spans="1:4" x14ac:dyDescent="0.35">
      <c r="A4390" s="8" t="str">
        <f t="shared" si="2259"/>
        <v>Vietnam</v>
      </c>
      <c r="B4390" s="6" t="str">
        <f t="shared" si="2265"/>
        <v>New Leaders 3M Activation Rate (by cohort) (numerator)</v>
      </c>
      <c r="C4390" s="4" t="str">
        <f>CHOOSE(2, "5462030031", "Jul 26")</f>
        <v>Jul 26</v>
      </c>
      <c r="D4390" s="14">
        <v>10</v>
      </c>
    </row>
    <row r="4391" spans="1:4" x14ac:dyDescent="0.35">
      <c r="A4391" s="8" t="str">
        <f t="shared" si="2259"/>
        <v>Vietnam</v>
      </c>
      <c r="B4391" s="3" t="str">
        <f t="shared" ref="B4391:B4392" si="2266">CHOOSE(2, "1395000000639", "New Leaders 3M Activation Rate (by cohort) (denominator)")</f>
        <v>New Leaders 3M Activation Rate (by cohort) (denominator)</v>
      </c>
      <c r="C4391" s="4" t="str">
        <f>CHOOSE(2, "5461730030", "Jun 26")</f>
        <v>Jun 26</v>
      </c>
      <c r="D4391" s="14">
        <v>9</v>
      </c>
    </row>
    <row r="4392" spans="1:4" x14ac:dyDescent="0.35">
      <c r="A4392" s="8" t="str">
        <f t="shared" si="2259"/>
        <v>Vietnam</v>
      </c>
      <c r="B4392" s="6" t="str">
        <f t="shared" si="2266"/>
        <v>New Leaders 3M Activation Rate (by cohort) (denominator)</v>
      </c>
      <c r="C4392" s="4" t="str">
        <f>CHOOSE(2, "5462030031", "Jul 26")</f>
        <v>Jul 26</v>
      </c>
      <c r="D4392" s="14">
        <v>34</v>
      </c>
    </row>
    <row r="4393" spans="1:4" x14ac:dyDescent="0.35">
      <c r="A4393" s="8" t="str">
        <f t="shared" si="2259"/>
        <v>Vietnam</v>
      </c>
      <c r="B4393" s="3" t="str">
        <f t="shared" ref="B4393:B4394" si="2267">CHOOSE(2, "1395000000638", "# of pro-rated MDRT agents (100%)")</f>
        <v># of pro-rated MDRT agents (100%)</v>
      </c>
      <c r="C4393" s="4" t="str">
        <f>CHOOSE(2, "5461730030", "Jun 26")</f>
        <v>Jun 26</v>
      </c>
      <c r="D4393" s="14">
        <v>432</v>
      </c>
    </row>
    <row r="4394" spans="1:4" x14ac:dyDescent="0.35">
      <c r="A4394" s="8" t="str">
        <f t="shared" si="2259"/>
        <v>Vietnam</v>
      </c>
      <c r="B4394" s="6" t="str">
        <f t="shared" si="2267"/>
        <v># of pro-rated MDRT agents (100%)</v>
      </c>
      <c r="C4394" s="4" t="str">
        <f>CHOOSE(2, "5462030031", "Jul 26")</f>
        <v>Jul 26</v>
      </c>
      <c r="D4394" s="14">
        <v>344</v>
      </c>
    </row>
    <row r="4395" spans="1:4" x14ac:dyDescent="0.35">
      <c r="A4395" s="8" t="str">
        <f t="shared" si="2259"/>
        <v>Vietnam</v>
      </c>
      <c r="B4395" s="3" t="str">
        <f t="shared" ref="B4395:B4396" si="2268">CHOOSE(2, "1395000000637", "# of pro-rated MDRT agents (90%-99%)")</f>
        <v># of pro-rated MDRT agents (90%-99%)</v>
      </c>
      <c r="C4395" s="4" t="str">
        <f>CHOOSE(2, "5461730030", "Jun 26")</f>
        <v>Jun 26</v>
      </c>
      <c r="D4395" s="2" t="s">
        <v>5</v>
      </c>
    </row>
    <row r="4396" spans="1:4" x14ac:dyDescent="0.35">
      <c r="A4396" s="8" t="str">
        <f t="shared" si="2259"/>
        <v>Vietnam</v>
      </c>
      <c r="B4396" s="6" t="str">
        <f t="shared" si="2268"/>
        <v># of pro-rated MDRT agents (90%-99%)</v>
      </c>
      <c r="C4396" s="4" t="str">
        <f>CHOOSE(2, "5462030031", "Jul 26")</f>
        <v>Jul 26</v>
      </c>
      <c r="D4396" s="2" t="s">
        <v>5</v>
      </c>
    </row>
    <row r="4397" spans="1:4" x14ac:dyDescent="0.35">
      <c r="A4397" s="8" t="str">
        <f t="shared" si="2259"/>
        <v>Vietnam</v>
      </c>
      <c r="B4397" s="3" t="str">
        <f t="shared" ref="B4397:B4398" si="2269">CHOOSE(2, "1395000000636", "# of pro-rated MDRT agents (70%-90%)")</f>
        <v># of pro-rated MDRT agents (70%-90%)</v>
      </c>
      <c r="C4397" s="4" t="str">
        <f>CHOOSE(2, "5461730030", "Jun 26")</f>
        <v>Jun 26</v>
      </c>
      <c r="D4397" s="2" t="s">
        <v>5</v>
      </c>
    </row>
    <row r="4398" spans="1:4" x14ac:dyDescent="0.35">
      <c r="A4398" s="8" t="str">
        <f t="shared" si="2259"/>
        <v>Vietnam</v>
      </c>
      <c r="B4398" s="6" t="str">
        <f t="shared" si="2269"/>
        <v># of pro-rated MDRT agents (70%-90%)</v>
      </c>
      <c r="C4398" s="4" t="str">
        <f>CHOOSE(2, "5462030031", "Jul 26")</f>
        <v>Jul 26</v>
      </c>
      <c r="D4398" s="2" t="s">
        <v>5</v>
      </c>
    </row>
    <row r="4399" spans="1:4" x14ac:dyDescent="0.35">
      <c r="A4399" s="8" t="str">
        <f t="shared" si="2259"/>
        <v>Vietnam</v>
      </c>
      <c r="B4399" s="3" t="str">
        <f t="shared" ref="B4399:B4400" si="2270">CHOOSE(2, "1395000000635", "# of pro-rated MDRT agents (&lt;70%)")</f>
        <v># of pro-rated MDRT agents (&lt;70%)</v>
      </c>
      <c r="C4399" s="4" t="str">
        <f>CHOOSE(2, "5461730030", "Jun 26")</f>
        <v>Jun 26</v>
      </c>
      <c r="D4399" s="2" t="s">
        <v>5</v>
      </c>
    </row>
    <row r="4400" spans="1:4" x14ac:dyDescent="0.35">
      <c r="A4400" s="8" t="str">
        <f t="shared" si="2259"/>
        <v>Vietnam</v>
      </c>
      <c r="B4400" s="6" t="str">
        <f t="shared" si="2270"/>
        <v># of pro-rated MDRT agents (&lt;70%)</v>
      </c>
      <c r="C4400" s="4" t="str">
        <f>CHOOSE(2, "5462030031", "Jul 26")</f>
        <v>Jul 26</v>
      </c>
      <c r="D4400" s="2" t="s">
        <v>5</v>
      </c>
    </row>
    <row r="4401" spans="1:4" x14ac:dyDescent="0.35">
      <c r="A4401" s="8" t="str">
        <f t="shared" si="2259"/>
        <v>Vietnam</v>
      </c>
      <c r="B4401" s="3" t="str">
        <f t="shared" ref="B4401:B4402" si="2271">CHOOSE(2, "1395000000634", "# of pro-rated MDRT agents (50%-70%)")</f>
        <v># of pro-rated MDRT agents (50%-70%)</v>
      </c>
      <c r="C4401" s="4" t="str">
        <f>CHOOSE(2, "5461730030", "Jun 26")</f>
        <v>Jun 26</v>
      </c>
      <c r="D4401" s="2" t="s">
        <v>5</v>
      </c>
    </row>
    <row r="4402" spans="1:4" x14ac:dyDescent="0.35">
      <c r="A4402" s="8" t="str">
        <f t="shared" si="2259"/>
        <v>Vietnam</v>
      </c>
      <c r="B4402" s="6" t="str">
        <f t="shared" si="2271"/>
        <v># of pro-rated MDRT agents (50%-70%)</v>
      </c>
      <c r="C4402" s="4" t="str">
        <f>CHOOSE(2, "5462030031", "Jul 26")</f>
        <v>Jul 26</v>
      </c>
      <c r="D4402" s="2" t="s">
        <v>5</v>
      </c>
    </row>
    <row r="4403" spans="1:4" x14ac:dyDescent="0.35">
      <c r="A4403" s="8" t="str">
        <f t="shared" si="2259"/>
        <v>Vietnam</v>
      </c>
      <c r="B4403" s="3" t="str">
        <f t="shared" ref="B4403:B4404" si="2272">CHOOSE(2, "1395000000633", "# of pro-rated MDRT agents (&lt;50%)")</f>
        <v># of pro-rated MDRT agents (&lt;50%)</v>
      </c>
      <c r="C4403" s="4" t="str">
        <f>CHOOSE(2, "5461730030", "Jun 26")</f>
        <v>Jun 26</v>
      </c>
      <c r="D4403" s="2" t="s">
        <v>5</v>
      </c>
    </row>
    <row r="4404" spans="1:4" x14ac:dyDescent="0.35">
      <c r="A4404" s="8" t="str">
        <f t="shared" si="2259"/>
        <v>Vietnam</v>
      </c>
      <c r="B4404" s="6" t="str">
        <f t="shared" si="2272"/>
        <v># of pro-rated MDRT agents (&lt;50%)</v>
      </c>
      <c r="C4404" s="4" t="str">
        <f>CHOOSE(2, "5462030031", "Jul 26")</f>
        <v>Jul 26</v>
      </c>
      <c r="D4404" s="2" t="s">
        <v>5</v>
      </c>
    </row>
    <row r="4405" spans="1:4" x14ac:dyDescent="0.35">
      <c r="A4405" s="8" t="str">
        <f t="shared" si="2259"/>
        <v>Vietnam</v>
      </c>
      <c r="B4405" s="3" t="str">
        <f t="shared" ref="B4405:B4406" si="2273">CHOOSE(2, "1395000000632", "# of pro-rated MDRT agents (70-99%)")</f>
        <v># of pro-rated MDRT agents (70-99%)</v>
      </c>
      <c r="C4405" s="4" t="str">
        <f>CHOOSE(2, "5461730030", "Jun 26")</f>
        <v>Jun 26</v>
      </c>
      <c r="D4405" s="14">
        <v>236</v>
      </c>
    </row>
    <row r="4406" spans="1:4" x14ac:dyDescent="0.35">
      <c r="A4406" s="8" t="str">
        <f t="shared" si="2259"/>
        <v>Vietnam</v>
      </c>
      <c r="B4406" s="6" t="str">
        <f t="shared" si="2273"/>
        <v># of pro-rated MDRT agents (70-99%)</v>
      </c>
      <c r="C4406" s="4" t="str">
        <f>CHOOSE(2, "5462030031", "Jul 26")</f>
        <v>Jul 26</v>
      </c>
      <c r="D4406" s="14">
        <v>267</v>
      </c>
    </row>
    <row r="4407" spans="1:4" x14ac:dyDescent="0.35">
      <c r="A4407" s="8" t="str">
        <f t="shared" si="2259"/>
        <v>Vietnam</v>
      </c>
      <c r="B4407" s="3" t="str">
        <f t="shared" ref="B4407:B4408" si="2274">CHOOSE(2, "1395000000631", "# of pro-rated MDRT agents (50-69%)")</f>
        <v># of pro-rated MDRT agents (50-69%)</v>
      </c>
      <c r="C4407" s="4" t="str">
        <f>CHOOSE(2, "5461730030", "Jun 26")</f>
        <v>Jun 26</v>
      </c>
      <c r="D4407" s="14">
        <v>220</v>
      </c>
    </row>
    <row r="4408" spans="1:4" x14ac:dyDescent="0.35">
      <c r="A4408" s="8" t="str">
        <f t="shared" si="2259"/>
        <v>Vietnam</v>
      </c>
      <c r="B4408" s="6" t="str">
        <f t="shared" si="2274"/>
        <v># of pro-rated MDRT agents (50-69%)</v>
      </c>
      <c r="C4408" s="4" t="str">
        <f>CHOOSE(2, "5462030031", "Jul 26")</f>
        <v>Jul 26</v>
      </c>
      <c r="D4408" s="14">
        <v>182</v>
      </c>
    </row>
    <row r="4409" spans="1:4" x14ac:dyDescent="0.35">
      <c r="A4409" s="8" t="str">
        <f t="shared" si="2259"/>
        <v>Vietnam</v>
      </c>
      <c r="B4409" s="3" t="str">
        <f t="shared" ref="B4409:B4410" si="2275">CHOOSE(2, "1395000000630", "# of Top-tier agents")</f>
        <v># of Top-tier agents</v>
      </c>
      <c r="C4409" s="4" t="str">
        <f>CHOOSE(2, "5461730030", "Jun 26")</f>
        <v>Jun 26</v>
      </c>
      <c r="D4409" s="14">
        <v>888</v>
      </c>
    </row>
    <row r="4410" spans="1:4" x14ac:dyDescent="0.35">
      <c r="A4410" s="8" t="str">
        <f t="shared" si="2259"/>
        <v>Vietnam</v>
      </c>
      <c r="B4410" s="6" t="str">
        <f t="shared" si="2275"/>
        <v># of Top-tier agents</v>
      </c>
      <c r="C4410" s="4" t="str">
        <f>CHOOSE(2, "5462030031", "Jul 26")</f>
        <v>Jul 26</v>
      </c>
      <c r="D4410" s="14">
        <v>793</v>
      </c>
    </row>
    <row r="4411" spans="1:4" x14ac:dyDescent="0.35">
      <c r="A4411" s="8" t="str">
        <f t="shared" si="2259"/>
        <v>Vietnam</v>
      </c>
      <c r="B4411" s="3" t="str">
        <f t="shared" ref="B4411:B4412" si="2276">CHOOSE(2, "1395000000629", "$ APE from pro-rated MDRT agents (100%)")</f>
        <v>$ APE from pro-rated MDRT agents (100%)</v>
      </c>
      <c r="C4411" s="4" t="str">
        <f>CHOOSE(2, "5461730030", "Jun 26")</f>
        <v>Jun 26</v>
      </c>
      <c r="D4411" s="14">
        <v>2157772.6344400002</v>
      </c>
    </row>
    <row r="4412" spans="1:4" x14ac:dyDescent="0.35">
      <c r="A4412" s="8" t="str">
        <f t="shared" si="2259"/>
        <v>Vietnam</v>
      </c>
      <c r="B4412" s="6" t="str">
        <f t="shared" si="2276"/>
        <v>$ APE from pro-rated MDRT agents (100%)</v>
      </c>
      <c r="C4412" s="4" t="str">
        <f>CHOOSE(2, "5462030031", "Jul 26")</f>
        <v>Jul 26</v>
      </c>
      <c r="D4412" s="14">
        <v>1176220.7358800001</v>
      </c>
    </row>
    <row r="4413" spans="1:4" x14ac:dyDescent="0.35">
      <c r="A4413" s="8" t="str">
        <f t="shared" si="2259"/>
        <v>Vietnam</v>
      </c>
      <c r="B4413" s="3" t="str">
        <f t="shared" ref="B4413:B4414" si="2277">CHOOSE(2, "1395000000628", "$ APE from pro-rated MDRT agents (70-99%)")</f>
        <v>$ APE from pro-rated MDRT agents (70-99%)</v>
      </c>
      <c r="C4413" s="4" t="str">
        <f>CHOOSE(2, "5461730030", "Jun 26")</f>
        <v>Jun 26</v>
      </c>
      <c r="D4413" s="14">
        <v>409870.91687999998</v>
      </c>
    </row>
    <row r="4414" spans="1:4" x14ac:dyDescent="0.35">
      <c r="A4414" s="8" t="str">
        <f t="shared" si="2259"/>
        <v>Vietnam</v>
      </c>
      <c r="B4414" s="6" t="str">
        <f t="shared" si="2277"/>
        <v>$ APE from pro-rated MDRT agents (70-99%)</v>
      </c>
      <c r="C4414" s="4" t="str">
        <f>CHOOSE(2, "5462030031", "Jul 26")</f>
        <v>Jul 26</v>
      </c>
      <c r="D4414" s="14">
        <v>358047.88563999999</v>
      </c>
    </row>
    <row r="4415" spans="1:4" x14ac:dyDescent="0.35">
      <c r="A4415" s="8" t="str">
        <f t="shared" si="2259"/>
        <v>Vietnam</v>
      </c>
      <c r="B4415" s="3" t="str">
        <f t="shared" ref="B4415:B4416" si="2278">CHOOSE(2, "1395000000627", "$ APE from pro-rated MDRT agents (50-69%)")</f>
        <v>$ APE from pro-rated MDRT agents (50-69%)</v>
      </c>
      <c r="C4415" s="4" t="str">
        <f>CHOOSE(2, "5461730030", "Jun 26")</f>
        <v>Jun 26</v>
      </c>
      <c r="D4415" s="14">
        <v>333340.51439999999</v>
      </c>
    </row>
    <row r="4416" spans="1:4" x14ac:dyDescent="0.35">
      <c r="A4416" s="8" t="str">
        <f t="shared" si="2259"/>
        <v>Vietnam</v>
      </c>
      <c r="B4416" s="6" t="str">
        <f t="shared" si="2278"/>
        <v>$ APE from pro-rated MDRT agents (50-69%)</v>
      </c>
      <c r="C4416" s="4" t="str">
        <f>CHOOSE(2, "5462030031", "Jul 26")</f>
        <v>Jul 26</v>
      </c>
      <c r="D4416" s="14">
        <v>239587.34151999999</v>
      </c>
    </row>
    <row r="4417" spans="1:4" x14ac:dyDescent="0.35">
      <c r="A4417" s="8" t="str">
        <f t="shared" si="2259"/>
        <v>Vietnam</v>
      </c>
      <c r="B4417" s="3" t="str">
        <f t="shared" ref="B4417:B4418" si="2279">CHOOSE(2, "1395000000626", "$ APE from Top-tier agents")</f>
        <v>$ APE from Top-tier agents</v>
      </c>
      <c r="C4417" s="4" t="str">
        <f>CHOOSE(2, "5461730030", "Jun 26")</f>
        <v>Jun 26</v>
      </c>
      <c r="D4417" s="14">
        <v>2900984.0657199998</v>
      </c>
    </row>
    <row r="4418" spans="1:4" x14ac:dyDescent="0.35">
      <c r="A4418" s="8" t="str">
        <f t="shared" si="2259"/>
        <v>Vietnam</v>
      </c>
      <c r="B4418" s="6" t="str">
        <f t="shared" si="2279"/>
        <v>$ APE from Top-tier agents</v>
      </c>
      <c r="C4418" s="4" t="str">
        <f>CHOOSE(2, "5462030031", "Jul 26")</f>
        <v>Jul 26</v>
      </c>
      <c r="D4418" s="14">
        <v>1773855.9630400001</v>
      </c>
    </row>
    <row r="4419" spans="1:4" x14ac:dyDescent="0.35">
      <c r="A4419" s="8" t="str">
        <f t="shared" si="2259"/>
        <v>Vietnam</v>
      </c>
      <c r="B4419" s="3" t="str">
        <f t="shared" ref="B4419:B4420" si="2280">CHOOSE(2, "1395000000625", "# of MDRT qualifiers - YTD")</f>
        <v># of MDRT qualifiers - YTD</v>
      </c>
      <c r="C4419" s="4" t="str">
        <f>CHOOSE(2, "5461730030", "Jun 26")</f>
        <v>Jun 26</v>
      </c>
      <c r="D4419" s="14">
        <v>64</v>
      </c>
    </row>
    <row r="4420" spans="1:4" x14ac:dyDescent="0.35">
      <c r="A4420" s="8" t="str">
        <f t="shared" si="2259"/>
        <v>Vietnam</v>
      </c>
      <c r="B4420" s="6" t="str">
        <f t="shared" si="2280"/>
        <v># of MDRT qualifiers - YTD</v>
      </c>
      <c r="C4420" s="4" t="str">
        <f>CHOOSE(2, "5462030031", "Jul 26")</f>
        <v>Jul 26</v>
      </c>
      <c r="D4420" s="14">
        <v>81</v>
      </c>
    </row>
    <row r="4421" spans="1:4" x14ac:dyDescent="0.35">
      <c r="A4421" s="8" t="str">
        <f t="shared" si="2259"/>
        <v>Vietnam</v>
      </c>
      <c r="B4421" s="3" t="str">
        <f t="shared" ref="B4421:B4422" si="2281">CHOOSE(2, "1395000000624", "# of MDRT COT qualifiers - YTD")</f>
        <v># of MDRT COT qualifiers - YTD</v>
      </c>
      <c r="C4421" s="4" t="str">
        <f>CHOOSE(2, "5461730030", "Jun 26")</f>
        <v>Jun 26</v>
      </c>
      <c r="D4421" s="14">
        <v>1</v>
      </c>
    </row>
    <row r="4422" spans="1:4" x14ac:dyDescent="0.35">
      <c r="A4422" s="8" t="str">
        <f t="shared" si="2259"/>
        <v>Vietnam</v>
      </c>
      <c r="B4422" s="6" t="str">
        <f t="shared" si="2281"/>
        <v># of MDRT COT qualifiers - YTD</v>
      </c>
      <c r="C4422" s="4" t="str">
        <f>CHOOSE(2, "5462030031", "Jul 26")</f>
        <v>Jul 26</v>
      </c>
      <c r="D4422" s="14">
        <v>1</v>
      </c>
    </row>
    <row r="4423" spans="1:4" x14ac:dyDescent="0.35">
      <c r="A4423" s="8" t="str">
        <f t="shared" si="2259"/>
        <v>Vietnam</v>
      </c>
      <c r="B4423" s="3" t="str">
        <f t="shared" ref="B4423:B4424" si="2282">CHOOSE(2, "1395000000623", "# of MDRT TOT qualifiers - YTD")</f>
        <v># of MDRT TOT qualifiers - YTD</v>
      </c>
      <c r="C4423" s="4" t="str">
        <f>CHOOSE(2, "5461730030", "Jun 26")</f>
        <v>Jun 26</v>
      </c>
      <c r="D4423" s="14">
        <v>1</v>
      </c>
    </row>
    <row r="4424" spans="1:4" x14ac:dyDescent="0.35">
      <c r="A4424" s="8" t="str">
        <f t="shared" si="2259"/>
        <v>Vietnam</v>
      </c>
      <c r="B4424" s="6" t="str">
        <f t="shared" si="2282"/>
        <v># of MDRT TOT qualifiers - YTD</v>
      </c>
      <c r="C4424" s="4" t="str">
        <f>CHOOSE(2, "5462030031", "Jul 26")</f>
        <v>Jul 26</v>
      </c>
      <c r="D4424" s="14">
        <v>1</v>
      </c>
    </row>
    <row r="4425" spans="1:4" x14ac:dyDescent="0.35">
      <c r="A4425" s="8" t="str">
        <f t="shared" si="2259"/>
        <v>Vietnam</v>
      </c>
      <c r="B4425" s="3" t="str">
        <f t="shared" ref="B4425:B4426" si="2283">CHOOSE(2, "1395000000622", "Manulife Pro Qualifiers - Total")</f>
        <v>Manulife Pro Qualifiers - Total</v>
      </c>
      <c r="C4425" s="4" t="str">
        <f>CHOOSE(2, "5461730030", "Jun 26")</f>
        <v>Jun 26</v>
      </c>
      <c r="D4425" s="14">
        <v>3513</v>
      </c>
    </row>
    <row r="4426" spans="1:4" x14ac:dyDescent="0.35">
      <c r="A4426" s="8" t="str">
        <f t="shared" si="2259"/>
        <v>Vietnam</v>
      </c>
      <c r="B4426" s="6" t="str">
        <f t="shared" si="2283"/>
        <v>Manulife Pro Qualifiers - Total</v>
      </c>
      <c r="C4426" s="4" t="str">
        <f>CHOOSE(2, "5462030031", "Jul 26")</f>
        <v>Jul 26</v>
      </c>
      <c r="D4426" s="14">
        <v>3283</v>
      </c>
    </row>
    <row r="4427" spans="1:4" x14ac:dyDescent="0.35">
      <c r="A4427" s="8" t="str">
        <f t="shared" si="2259"/>
        <v>Vietnam</v>
      </c>
      <c r="B4427" s="3" t="str">
        <f t="shared" ref="B4427:B4428" si="2284">CHOOSE(2, "1395000000621", "Manulife Pro Qualifiers - Silver")</f>
        <v>Manulife Pro Qualifiers - Silver</v>
      </c>
      <c r="C4427" s="4" t="str">
        <f>CHOOSE(2, "5461730030", "Jun 26")</f>
        <v>Jun 26</v>
      </c>
      <c r="D4427" s="2" t="s">
        <v>5</v>
      </c>
    </row>
    <row r="4428" spans="1:4" x14ac:dyDescent="0.35">
      <c r="A4428" s="8" t="str">
        <f t="shared" si="2259"/>
        <v>Vietnam</v>
      </c>
      <c r="B4428" s="6" t="str">
        <f t="shared" si="2284"/>
        <v>Manulife Pro Qualifiers - Silver</v>
      </c>
      <c r="C4428" s="4" t="str">
        <f>CHOOSE(2, "5462030031", "Jul 26")</f>
        <v>Jul 26</v>
      </c>
      <c r="D4428" s="2" t="s">
        <v>5</v>
      </c>
    </row>
    <row r="4429" spans="1:4" x14ac:dyDescent="0.35">
      <c r="A4429" s="8" t="str">
        <f t="shared" si="2259"/>
        <v>Vietnam</v>
      </c>
      <c r="B4429" s="3" t="str">
        <f t="shared" ref="B4429:B4430" si="2285">CHOOSE(2, "1395000000620", "Manulife Pro Qualifiers - Gold")</f>
        <v>Manulife Pro Qualifiers - Gold</v>
      </c>
      <c r="C4429" s="4" t="str">
        <f>CHOOSE(2, "5461730030", "Jun 26")</f>
        <v>Jun 26</v>
      </c>
      <c r="D4429" s="2" t="s">
        <v>5</v>
      </c>
    </row>
    <row r="4430" spans="1:4" x14ac:dyDescent="0.35">
      <c r="A4430" s="8" t="str">
        <f t="shared" si="2259"/>
        <v>Vietnam</v>
      </c>
      <c r="B4430" s="6" t="str">
        <f t="shared" si="2285"/>
        <v>Manulife Pro Qualifiers - Gold</v>
      </c>
      <c r="C4430" s="4" t="str">
        <f>CHOOSE(2, "5462030031", "Jul 26")</f>
        <v>Jul 26</v>
      </c>
      <c r="D4430" s="2" t="s">
        <v>5</v>
      </c>
    </row>
    <row r="4431" spans="1:4" x14ac:dyDescent="0.35">
      <c r="A4431" s="8" t="str">
        <f t="shared" si="2259"/>
        <v>Vietnam</v>
      </c>
      <c r="B4431" s="3" t="str">
        <f t="shared" ref="B4431:B4432" si="2286">CHOOSE(2, "1395000000619", "Manulife Pro Qualifiers  - Platinum")</f>
        <v>Manulife Pro Qualifiers  - Platinum</v>
      </c>
      <c r="C4431" s="4" t="str">
        <f>CHOOSE(2, "5461730030", "Jun 26")</f>
        <v>Jun 26</v>
      </c>
      <c r="D4431" s="2" t="s">
        <v>5</v>
      </c>
    </row>
    <row r="4432" spans="1:4" x14ac:dyDescent="0.35">
      <c r="A4432" s="8" t="str">
        <f t="shared" si="2259"/>
        <v>Vietnam</v>
      </c>
      <c r="B4432" s="6" t="str">
        <f t="shared" si="2286"/>
        <v>Manulife Pro Qualifiers  - Platinum</v>
      </c>
      <c r="C4432" s="4" t="str">
        <f>CHOOSE(2, "5462030031", "Jul 26")</f>
        <v>Jul 26</v>
      </c>
      <c r="D4432" s="2" t="s">
        <v>5</v>
      </c>
    </row>
    <row r="4433" spans="1:4" x14ac:dyDescent="0.35">
      <c r="A4433" s="8" t="str">
        <f t="shared" si="2259"/>
        <v>Vietnam</v>
      </c>
      <c r="B4433" s="3" t="str">
        <f t="shared" ref="B4433:B4434" si="2287">CHOOSE(2, "1395000000618", "$ APE from Manulife Pro - Total")</f>
        <v>$ APE from Manulife Pro - Total</v>
      </c>
      <c r="C4433" s="4" t="str">
        <f>CHOOSE(2, "5461730030", "Jun 26")</f>
        <v>Jun 26</v>
      </c>
      <c r="D4433" s="14">
        <v>3468029.50226</v>
      </c>
    </row>
    <row r="4434" spans="1:4" x14ac:dyDescent="0.35">
      <c r="A4434" s="8" t="str">
        <f t="shared" si="2259"/>
        <v>Vietnam</v>
      </c>
      <c r="B4434" s="6" t="str">
        <f t="shared" si="2287"/>
        <v>$ APE from Manulife Pro - Total</v>
      </c>
      <c r="C4434" s="4" t="str">
        <f>CHOOSE(2, "5462030031", "Jul 26")</f>
        <v>Jul 26</v>
      </c>
      <c r="D4434" s="14">
        <v>2339418.3640800002</v>
      </c>
    </row>
    <row r="4435" spans="1:4" x14ac:dyDescent="0.35">
      <c r="A4435" s="8" t="str">
        <f t="shared" si="2259"/>
        <v>Vietnam</v>
      </c>
      <c r="B4435" s="3" t="str">
        <f t="shared" ref="B4435:B4436" si="2288">CHOOSE(2, "1395000000617", "$ APE from Manulife Pro - Silver")</f>
        <v>$ APE from Manulife Pro - Silver</v>
      </c>
      <c r="C4435" s="4" t="str">
        <f>CHOOSE(2, "5461730030", "Jun 26")</f>
        <v>Jun 26</v>
      </c>
      <c r="D4435" s="2" t="s">
        <v>5</v>
      </c>
    </row>
    <row r="4436" spans="1:4" x14ac:dyDescent="0.35">
      <c r="A4436" s="8" t="str">
        <f t="shared" si="2259"/>
        <v>Vietnam</v>
      </c>
      <c r="B4436" s="6" t="str">
        <f t="shared" si="2288"/>
        <v>$ APE from Manulife Pro - Silver</v>
      </c>
      <c r="C4436" s="4" t="str">
        <f>CHOOSE(2, "5462030031", "Jul 26")</f>
        <v>Jul 26</v>
      </c>
      <c r="D4436" s="2" t="s">
        <v>5</v>
      </c>
    </row>
    <row r="4437" spans="1:4" x14ac:dyDescent="0.35">
      <c r="A4437" s="8" t="str">
        <f t="shared" si="2259"/>
        <v>Vietnam</v>
      </c>
      <c r="B4437" s="3" t="str">
        <f t="shared" ref="B4437:B4438" si="2289">CHOOSE(2, "1395000000616", "$ APE from Manulife Pro - Gold")</f>
        <v>$ APE from Manulife Pro - Gold</v>
      </c>
      <c r="C4437" s="4" t="str">
        <f>CHOOSE(2, "5461730030", "Jun 26")</f>
        <v>Jun 26</v>
      </c>
      <c r="D4437" s="2" t="s">
        <v>5</v>
      </c>
    </row>
    <row r="4438" spans="1:4" x14ac:dyDescent="0.35">
      <c r="A4438" s="8" t="str">
        <f t="shared" si="2259"/>
        <v>Vietnam</v>
      </c>
      <c r="B4438" s="6" t="str">
        <f t="shared" si="2289"/>
        <v>$ APE from Manulife Pro - Gold</v>
      </c>
      <c r="C4438" s="4" t="str">
        <f>CHOOSE(2, "5462030031", "Jul 26")</f>
        <v>Jul 26</v>
      </c>
      <c r="D4438" s="2" t="s">
        <v>5</v>
      </c>
    </row>
    <row r="4439" spans="1:4" x14ac:dyDescent="0.35">
      <c r="A4439" s="8" t="str">
        <f t="shared" si="2259"/>
        <v>Vietnam</v>
      </c>
      <c r="B4439" s="3" t="str">
        <f t="shared" ref="B4439:B4440" si="2290">CHOOSE(2, "1395000000615", "$ APE from Manulife Pro  - Platinum")</f>
        <v>$ APE from Manulife Pro  - Platinum</v>
      </c>
      <c r="C4439" s="4" t="str">
        <f>CHOOSE(2, "5461730030", "Jun 26")</f>
        <v>Jun 26</v>
      </c>
      <c r="D4439" s="2" t="s">
        <v>5</v>
      </c>
    </row>
    <row r="4440" spans="1:4" x14ac:dyDescent="0.35">
      <c r="A4440" s="8" t="str">
        <f t="shared" si="2259"/>
        <v>Vietnam</v>
      </c>
      <c r="B4440" s="6" t="str">
        <f t="shared" si="2290"/>
        <v>$ APE from Manulife Pro  - Platinum</v>
      </c>
      <c r="C4440" s="4" t="str">
        <f>CHOOSE(2, "5462030031", "Jul 26")</f>
        <v>Jul 26</v>
      </c>
      <c r="D4440" s="2" t="s">
        <v>5</v>
      </c>
    </row>
    <row r="4441" spans="1:4" x14ac:dyDescent="0.35">
      <c r="A4441" s="8" t="str">
        <f t="shared" si="2259"/>
        <v>Vietnam</v>
      </c>
      <c r="B4441" s="3" t="str">
        <f t="shared" ref="B4441:B4442" si="2291">CHOOSE(2, "1395000000614", "Issued APE")</f>
        <v>Issued APE</v>
      </c>
      <c r="C4441" s="4" t="str">
        <f>CHOOSE(2, "5461730030", "Jun 26")</f>
        <v>Jun 26</v>
      </c>
      <c r="D4441" s="14">
        <v>4340785.0326220002</v>
      </c>
    </row>
    <row r="4442" spans="1:4" x14ac:dyDescent="0.35">
      <c r="A4442" s="8" t="str">
        <f t="shared" si="2259"/>
        <v>Vietnam</v>
      </c>
      <c r="B4442" s="6" t="str">
        <f t="shared" si="2291"/>
        <v>Issued APE</v>
      </c>
      <c r="C4442" s="4" t="str">
        <f>CHOOSE(2, "5462030031", "Jul 26")</f>
        <v>Jul 26</v>
      </c>
      <c r="D4442" s="14">
        <v>3200713.2589820004</v>
      </c>
    </row>
    <row r="4443" spans="1:4" x14ac:dyDescent="0.35">
      <c r="A4443" s="8" t="str">
        <f t="shared" ref="A4443:A4506" si="2292">CHOOSE(2, "204000000005", "Vietnam")</f>
        <v>Vietnam</v>
      </c>
      <c r="B4443" s="3" t="str">
        <f t="shared" ref="B4443:B4444" si="2293">CHOOSE(2, "1395000000613", "Post-MI APE")</f>
        <v>Post-MI APE</v>
      </c>
      <c r="C4443" s="4" t="str">
        <f>CHOOSE(2, "5461730030", "Jun 26")</f>
        <v>Jun 26</v>
      </c>
      <c r="D4443" s="14">
        <v>4340785.0326220002</v>
      </c>
    </row>
    <row r="4444" spans="1:4" x14ac:dyDescent="0.35">
      <c r="A4444" s="8" t="str">
        <f t="shared" si="2292"/>
        <v>Vietnam</v>
      </c>
      <c r="B4444" s="6" t="str">
        <f t="shared" si="2293"/>
        <v>Post-MI APE</v>
      </c>
      <c r="C4444" s="4" t="str">
        <f>CHOOSE(2, "5462030031", "Jul 26")</f>
        <v>Jul 26</v>
      </c>
      <c r="D4444" s="14">
        <v>3200713.2589820004</v>
      </c>
    </row>
    <row r="4445" spans="1:4" x14ac:dyDescent="0.35">
      <c r="A4445" s="8" t="str">
        <f t="shared" si="2292"/>
        <v>Vietnam</v>
      </c>
      <c r="B4445" s="3" t="str">
        <f t="shared" ref="B4445:B4446" si="2294">CHOOSE(2, "1395000000610", "Pre-gap NBV")</f>
        <v>Pre-gap NBV</v>
      </c>
      <c r="C4445" s="4" t="str">
        <f>CHOOSE(2, "5461730030", "Jun 26")</f>
        <v>Jun 26</v>
      </c>
      <c r="D4445" s="14">
        <v>1384002.7507824199</v>
      </c>
    </row>
    <row r="4446" spans="1:4" x14ac:dyDescent="0.35">
      <c r="A4446" s="8" t="str">
        <f t="shared" si="2292"/>
        <v>Vietnam</v>
      </c>
      <c r="B4446" s="6" t="str">
        <f t="shared" si="2294"/>
        <v>Pre-gap NBV</v>
      </c>
      <c r="C4446" s="4" t="str">
        <f>CHOOSE(2, "5462030031", "Jul 26")</f>
        <v>Jul 26</v>
      </c>
      <c r="D4446" s="14">
        <v>1104852.1663952002</v>
      </c>
    </row>
    <row r="4447" spans="1:4" x14ac:dyDescent="0.35">
      <c r="A4447" s="8" t="str">
        <f t="shared" si="2292"/>
        <v>Vietnam</v>
      </c>
      <c r="B4447" s="3" t="str">
        <f t="shared" ref="B4447:B4448" si="2295">CHOOSE(2, "1395000000609", "Pre-gap NBV Margin %")</f>
        <v>Pre-gap NBV Margin %</v>
      </c>
      <c r="C4447" s="4" t="str">
        <f>CHOOSE(2, "5461730030", "Jun 26")</f>
        <v>Jun 26</v>
      </c>
      <c r="D4447" s="14">
        <v>0.31883697082009826</v>
      </c>
    </row>
    <row r="4448" spans="1:4" x14ac:dyDescent="0.35">
      <c r="A4448" s="8" t="str">
        <f t="shared" si="2292"/>
        <v>Vietnam</v>
      </c>
      <c r="B4448" s="6" t="str">
        <f t="shared" si="2295"/>
        <v>Pre-gap NBV Margin %</v>
      </c>
      <c r="C4448" s="4" t="str">
        <f>CHOOSE(2, "5462030031", "Jul 26")</f>
        <v>Jul 26</v>
      </c>
      <c r="D4448" s="14">
        <v>0.34518936155705582</v>
      </c>
    </row>
    <row r="4449" spans="1:4" x14ac:dyDescent="0.35">
      <c r="A4449" s="8" t="str">
        <f t="shared" si="2292"/>
        <v>Vietnam</v>
      </c>
      <c r="B4449" s="3" t="str">
        <f t="shared" ref="B4449:B4450" si="2296">CHOOSE(2, "1395000000608", "Post-gap NBV")</f>
        <v>Post-gap NBV</v>
      </c>
      <c r="C4449" s="4" t="str">
        <f>CHOOSE(2, "5461730030", "Jun 26")</f>
        <v>Jun 26</v>
      </c>
      <c r="D4449" s="14">
        <v>1384002.7507824199</v>
      </c>
    </row>
    <row r="4450" spans="1:4" x14ac:dyDescent="0.35">
      <c r="A4450" s="8" t="str">
        <f t="shared" si="2292"/>
        <v>Vietnam</v>
      </c>
      <c r="B4450" s="6" t="str">
        <f t="shared" si="2296"/>
        <v>Post-gap NBV</v>
      </c>
      <c r="C4450" s="4" t="str">
        <f>CHOOSE(2, "5462030031", "Jul 26")</f>
        <v>Jul 26</v>
      </c>
      <c r="D4450" s="14">
        <v>1104852.1663952002</v>
      </c>
    </row>
    <row r="4451" spans="1:4" x14ac:dyDescent="0.35">
      <c r="A4451" s="8" t="str">
        <f t="shared" si="2292"/>
        <v>Vietnam</v>
      </c>
      <c r="B4451" s="3" t="str">
        <f t="shared" ref="B4451:B4452" si="2297">CHOOSE(2, "1395000000607", "Post-gap NBV Margin %")</f>
        <v>Post-gap NBV Margin %</v>
      </c>
      <c r="C4451" s="4" t="str">
        <f>CHOOSE(2, "5461730030", "Jun 26")</f>
        <v>Jun 26</v>
      </c>
      <c r="D4451" s="14">
        <v>0.31883697082009826</v>
      </c>
    </row>
    <row r="4452" spans="1:4" x14ac:dyDescent="0.35">
      <c r="A4452" s="8" t="str">
        <f t="shared" si="2292"/>
        <v>Vietnam</v>
      </c>
      <c r="B4452" s="6" t="str">
        <f t="shared" si="2297"/>
        <v>Post-gap NBV Margin %</v>
      </c>
      <c r="C4452" s="4" t="str">
        <f>CHOOSE(2, "5462030031", "Jul 26")</f>
        <v>Jul 26</v>
      </c>
      <c r="D4452" s="14">
        <v>0.34518936155705582</v>
      </c>
    </row>
    <row r="4453" spans="1:4" x14ac:dyDescent="0.35">
      <c r="A4453" s="8" t="str">
        <f t="shared" si="2292"/>
        <v>Vietnam</v>
      </c>
      <c r="B4453" s="3" t="str">
        <f t="shared" ref="B4453:B4454" si="2298">CHOOSE(2, "1395000000606", "NB CSM")</f>
        <v>NB CSM</v>
      </c>
      <c r="C4453" s="4" t="str">
        <f>CHOOSE(2, "5461730030", "Jun 26")</f>
        <v>Jun 26</v>
      </c>
      <c r="D4453" s="14">
        <v>2745182.6879125801</v>
      </c>
    </row>
    <row r="4454" spans="1:4" x14ac:dyDescent="0.35">
      <c r="A4454" s="8" t="str">
        <f t="shared" si="2292"/>
        <v>Vietnam</v>
      </c>
      <c r="B4454" s="6" t="str">
        <f t="shared" si="2298"/>
        <v>NB CSM</v>
      </c>
      <c r="C4454" s="4" t="str">
        <f>CHOOSE(2, "5462030031", "Jul 26")</f>
        <v>Jul 26</v>
      </c>
      <c r="D4454" s="14">
        <v>2372339.1290723002</v>
      </c>
    </row>
    <row r="4455" spans="1:4" x14ac:dyDescent="0.35">
      <c r="A4455" s="8" t="str">
        <f t="shared" si="2292"/>
        <v>Vietnam</v>
      </c>
      <c r="B4455" s="3" t="str">
        <f t="shared" ref="B4455:B4456" si="2299">CHOOSE(2, "1395000000605", "NB CSM Margin %")</f>
        <v>NB CSM Margin %</v>
      </c>
      <c r="C4455" s="4" t="str">
        <f>CHOOSE(2, "5461730030", "Jun 26")</f>
        <v>Jun 26</v>
      </c>
      <c r="D4455" s="14">
        <v>0.6324161798573068</v>
      </c>
    </row>
    <row r="4456" spans="1:4" x14ac:dyDescent="0.35">
      <c r="A4456" s="8" t="str">
        <f t="shared" si="2292"/>
        <v>Vietnam</v>
      </c>
      <c r="B4456" s="6" t="str">
        <f t="shared" si="2299"/>
        <v>NB CSM Margin %</v>
      </c>
      <c r="C4456" s="4" t="str">
        <f>CHOOSE(2, "5462030031", "Jul 26")</f>
        <v>Jul 26</v>
      </c>
      <c r="D4456" s="14">
        <v>0.74119077128040889</v>
      </c>
    </row>
    <row r="4457" spans="1:4" x14ac:dyDescent="0.35">
      <c r="A4457" s="8" t="str">
        <f t="shared" si="2292"/>
        <v>Vietnam</v>
      </c>
      <c r="B4457" s="3" t="str">
        <f t="shared" ref="B4457:B4458" si="2300">CHOOSE(2, "1395000000604", "PRE")</f>
        <v>PRE</v>
      </c>
      <c r="C4457" s="4" t="str">
        <f>CHOOSE(2, "5461730030", "Jun 26")</f>
        <v>Jun 26</v>
      </c>
      <c r="D4457" s="14">
        <v>450000</v>
      </c>
    </row>
    <row r="4458" spans="1:4" x14ac:dyDescent="0.35">
      <c r="A4458" s="8" t="str">
        <f t="shared" si="2292"/>
        <v>Vietnam</v>
      </c>
      <c r="B4458" s="6" t="str">
        <f t="shared" si="2300"/>
        <v>PRE</v>
      </c>
      <c r="C4458" s="4" t="str">
        <f>CHOOSE(2, "5462030031", "Jul 26")</f>
        <v>Jul 26</v>
      </c>
      <c r="D4458" s="14">
        <v>1709999.9999999998</v>
      </c>
    </row>
    <row r="4459" spans="1:4" x14ac:dyDescent="0.35">
      <c r="A4459" s="8" t="str">
        <f t="shared" si="2292"/>
        <v>Vietnam</v>
      </c>
      <c r="B4459" s="3" t="str">
        <f t="shared" ref="B4459:B4460" si="2301">CHOOSE(2, "1395000000603", "ContEx")</f>
        <v>ContEx</v>
      </c>
      <c r="C4459" s="4" t="str">
        <f>CHOOSE(2, "5461730030", "Jun 26")</f>
        <v>Jun 26</v>
      </c>
      <c r="D4459" s="14">
        <v>0</v>
      </c>
    </row>
    <row r="4460" spans="1:4" x14ac:dyDescent="0.35">
      <c r="A4460" s="8" t="str">
        <f t="shared" si="2292"/>
        <v>Vietnam</v>
      </c>
      <c r="B4460" s="6" t="str">
        <f t="shared" si="2301"/>
        <v>ContEx</v>
      </c>
      <c r="C4460" s="4" t="str">
        <f>CHOOSE(2, "5462030031", "Jul 26")</f>
        <v>Jul 26</v>
      </c>
      <c r="D4460" s="14">
        <v>0</v>
      </c>
    </row>
    <row r="4461" spans="1:4" x14ac:dyDescent="0.35">
      <c r="A4461" s="8" t="str">
        <f t="shared" si="2292"/>
        <v>Vietnam</v>
      </c>
      <c r="B4461" s="3" t="str">
        <f t="shared" ref="B4461:B4462" si="2302">CHOOSE(2, "1395000000602", "% of 6-90 agents")</f>
        <v>% of 6-90 agents</v>
      </c>
      <c r="C4461" s="4" t="str">
        <f>CHOOSE(2, "5461730030", "Jun 26")</f>
        <v>Jun 26</v>
      </c>
      <c r="D4461" s="14">
        <v>2.7416038382453737E-3</v>
      </c>
    </row>
    <row r="4462" spans="1:4" x14ac:dyDescent="0.35">
      <c r="A4462" s="8" t="str">
        <f t="shared" si="2292"/>
        <v>Vietnam</v>
      </c>
      <c r="B4462" s="6" t="str">
        <f t="shared" si="2302"/>
        <v>% of 6-90 agents</v>
      </c>
      <c r="C4462" s="4" t="str">
        <f>CHOOSE(2, "5462030031", "Jul 26")</f>
        <v>Jul 26</v>
      </c>
      <c r="D4462" s="14">
        <v>3.4246575342465752E-2</v>
      </c>
    </row>
    <row r="4463" spans="1:4" x14ac:dyDescent="0.35">
      <c r="A4463" s="8" t="str">
        <f t="shared" si="2292"/>
        <v>Vietnam</v>
      </c>
      <c r="B4463" s="3" t="str">
        <f t="shared" ref="B4463:B4464" si="2303">CHOOSE(2, "1395000000601", "New Recruits 3M Activation Rate")</f>
        <v>New Recruits 3M Activation Rate</v>
      </c>
      <c r="C4463" s="4" t="str">
        <f>CHOOSE(2, "5461730030", "Jun 26")</f>
        <v>Jun 26</v>
      </c>
      <c r="D4463" s="14">
        <v>0.70909090909090911</v>
      </c>
    </row>
    <row r="4464" spans="1:4" x14ac:dyDescent="0.35">
      <c r="A4464" s="8" t="str">
        <f t="shared" si="2292"/>
        <v>Vietnam</v>
      </c>
      <c r="B4464" s="6" t="str">
        <f t="shared" si="2303"/>
        <v>New Recruits 3M Activation Rate</v>
      </c>
      <c r="C4464" s="4" t="str">
        <f>CHOOSE(2, "5462030031", "Jul 26")</f>
        <v>Jul 26</v>
      </c>
      <c r="D4464" s="14">
        <v>0.61263157894736842</v>
      </c>
    </row>
    <row r="4465" spans="1:4" x14ac:dyDescent="0.35">
      <c r="A4465" s="8" t="str">
        <f t="shared" si="2292"/>
        <v>Vietnam</v>
      </c>
      <c r="B4465" s="3" t="str">
        <f t="shared" ref="B4465:B4466" si="2304">CHOOSE(2, "1395000000600", "No. of Recruits from leaders")</f>
        <v>No. of Recruits from leaders</v>
      </c>
      <c r="C4465" s="4" t="str">
        <f>CHOOSE(2, "5461730030", "Jun 26")</f>
        <v>Jun 26</v>
      </c>
      <c r="D4465" s="2" t="s">
        <v>5</v>
      </c>
    </row>
    <row r="4466" spans="1:4" x14ac:dyDescent="0.35">
      <c r="A4466" s="8" t="str">
        <f t="shared" si="2292"/>
        <v>Vietnam</v>
      </c>
      <c r="B4466" s="6" t="str">
        <f t="shared" si="2304"/>
        <v>No. of Recruits from leaders</v>
      </c>
      <c r="C4466" s="4" t="str">
        <f>CHOOSE(2, "5462030031", "Jul 26")</f>
        <v>Jul 26</v>
      </c>
      <c r="D4466" s="2" t="s">
        <v>5</v>
      </c>
    </row>
    <row r="4467" spans="1:4" x14ac:dyDescent="0.35">
      <c r="A4467" s="8" t="str">
        <f t="shared" si="2292"/>
        <v>Vietnam</v>
      </c>
      <c r="B4467" s="3" t="str">
        <f t="shared" ref="B4467:B4468" si="2305">CHOOSE(2, "1395000000599", "No. of Recruits per Active Recruiting Leader per month")</f>
        <v>No. of Recruits per Active Recruiting Leader per month</v>
      </c>
      <c r="C4467" s="4" t="str">
        <f>CHOOSE(2, "5461730030", "Jun 26")</f>
        <v>Jun 26</v>
      </c>
      <c r="D4467" s="14">
        <v>0</v>
      </c>
    </row>
    <row r="4468" spans="1:4" x14ac:dyDescent="0.35">
      <c r="A4468" s="8" t="str">
        <f t="shared" si="2292"/>
        <v>Vietnam</v>
      </c>
      <c r="B4468" s="6" t="str">
        <f t="shared" si="2305"/>
        <v>No. of Recruits per Active Recruiting Leader per month</v>
      </c>
      <c r="C4468" s="4" t="str">
        <f>CHOOSE(2, "5462030031", "Jul 26")</f>
        <v>Jul 26</v>
      </c>
      <c r="D4468" s="14">
        <v>0</v>
      </c>
    </row>
    <row r="4469" spans="1:4" x14ac:dyDescent="0.35">
      <c r="A4469" s="8" t="str">
        <f t="shared" si="2292"/>
        <v>Vietnam</v>
      </c>
      <c r="B4469" s="3" t="str">
        <f t="shared" ref="B4469:B4470" si="2306">CHOOSE(2, "1395000000598", "PRE as % of APE")</f>
        <v>PRE as % of APE</v>
      </c>
      <c r="C4469" s="4" t="str">
        <f>CHOOSE(2, "5461730030", "Jun 26")</f>
        <v>Jun 26</v>
      </c>
      <c r="D4469" s="14">
        <v>0.10366788417720442</v>
      </c>
    </row>
    <row r="4470" spans="1:4" x14ac:dyDescent="0.35">
      <c r="A4470" s="8" t="str">
        <f t="shared" si="2292"/>
        <v>Vietnam</v>
      </c>
      <c r="B4470" s="6" t="str">
        <f t="shared" si="2306"/>
        <v>PRE as % of APE</v>
      </c>
      <c r="C4470" s="4" t="str">
        <f>CHOOSE(2, "5462030031", "Jul 26")</f>
        <v>Jul 26</v>
      </c>
      <c r="D4470" s="14">
        <v>0.5342559178649674</v>
      </c>
    </row>
    <row r="4471" spans="1:4" x14ac:dyDescent="0.35">
      <c r="A4471" s="8" t="str">
        <f t="shared" si="2292"/>
        <v>Vietnam</v>
      </c>
      <c r="B4471" s="3" t="str">
        <f t="shared" ref="B4471:B4472" si="2307">CHOOSE(2, "1395000000597", "ContEx as % of APE")</f>
        <v>ContEx as % of APE</v>
      </c>
      <c r="C4471" s="4" t="str">
        <f>CHOOSE(2, "5461730030", "Jun 26")</f>
        <v>Jun 26</v>
      </c>
      <c r="D4471" s="14">
        <v>0</v>
      </c>
    </row>
    <row r="4472" spans="1:4" x14ac:dyDescent="0.35">
      <c r="A4472" s="8" t="str">
        <f t="shared" si="2292"/>
        <v>Vietnam</v>
      </c>
      <c r="B4472" s="6" t="str">
        <f t="shared" si="2307"/>
        <v>ContEx as % of APE</v>
      </c>
      <c r="C4472" s="4" t="str">
        <f>CHOOSE(2, "5462030031", "Jul 26")</f>
        <v>Jul 26</v>
      </c>
      <c r="D4472" s="14">
        <v>0</v>
      </c>
    </row>
    <row r="4473" spans="1:4" x14ac:dyDescent="0.35">
      <c r="A4473" s="8" t="str">
        <f t="shared" si="2292"/>
        <v>Vietnam</v>
      </c>
      <c r="B4473" s="3" t="str">
        <f t="shared" ref="B4473:B4474" si="2308">CHOOSE(2, "1395000000596", "% of 1-Month Active Agents")</f>
        <v>% of 1-Month Active Agents</v>
      </c>
      <c r="C4473" s="4" t="str">
        <f>CHOOSE(2, "5461730030", "Jun 26")</f>
        <v>Jun 26</v>
      </c>
      <c r="D4473" s="14">
        <v>3.9413487490668246E-2</v>
      </c>
    </row>
    <row r="4474" spans="1:4" x14ac:dyDescent="0.35">
      <c r="A4474" s="8" t="str">
        <f t="shared" si="2292"/>
        <v>Vietnam</v>
      </c>
      <c r="B4474" s="6" t="str">
        <f t="shared" si="2308"/>
        <v>% of 1-Month Active Agents</v>
      </c>
      <c r="C4474" s="4" t="str">
        <f>CHOOSE(2, "5462030031", "Jul 26")</f>
        <v>Jul 26</v>
      </c>
      <c r="D4474" s="14">
        <v>3.4709959175923288E-2</v>
      </c>
    </row>
    <row r="4475" spans="1:4" x14ac:dyDescent="0.35">
      <c r="A4475" s="8" t="str">
        <f t="shared" si="2292"/>
        <v>Vietnam</v>
      </c>
      <c r="B4475" s="3" t="str">
        <f t="shared" ref="B4475:B4476" si="2309">CHOOSE(2, "1395000000595", "% of 3-Month Active Agents")</f>
        <v>% of 3-Month Active Agents</v>
      </c>
      <c r="C4475" s="4" t="str">
        <f>CHOOSE(2, "5461730030", "Jun 26")</f>
        <v>Jun 26</v>
      </c>
      <c r="D4475" s="14">
        <v>2.5372779238816624E-2</v>
      </c>
    </row>
    <row r="4476" spans="1:4" x14ac:dyDescent="0.35">
      <c r="A4476" s="8" t="str">
        <f t="shared" si="2292"/>
        <v>Vietnam</v>
      </c>
      <c r="B4476" s="6" t="str">
        <f t="shared" si="2309"/>
        <v>% of 3-Month Active Agents</v>
      </c>
      <c r="C4476" s="4" t="str">
        <f>CHOOSE(2, "5462030031", "Jul 26")</f>
        <v>Jul 26</v>
      </c>
      <c r="D4476" s="14">
        <v>2.493332822927433E-2</v>
      </c>
    </row>
    <row r="4477" spans="1:4" x14ac:dyDescent="0.35">
      <c r="A4477" s="8" t="str">
        <f t="shared" si="2292"/>
        <v>Vietnam</v>
      </c>
      <c r="B4477" s="3" t="str">
        <f t="shared" ref="B4477:B4478" si="2310">CHOOSE(2, "1395000000594", "Active agents per active leader")</f>
        <v>Active agents per active leader</v>
      </c>
      <c r="C4477" s="4" t="str">
        <f>CHOOSE(2, "5461730030", "Jun 26")</f>
        <v>Jun 26</v>
      </c>
      <c r="D4477" s="14">
        <v>12.403614457831326</v>
      </c>
    </row>
    <row r="4478" spans="1:4" x14ac:dyDescent="0.35">
      <c r="A4478" s="8" t="str">
        <f t="shared" si="2292"/>
        <v>Vietnam</v>
      </c>
      <c r="B4478" s="6" t="str">
        <f t="shared" si="2310"/>
        <v>Active agents per active leader</v>
      </c>
      <c r="C4478" s="4" t="str">
        <f>CHOOSE(2, "5462030031", "Jul 26")</f>
        <v>Jul 26</v>
      </c>
      <c r="D4478" s="14">
        <v>10.752941176470591</v>
      </c>
    </row>
    <row r="4479" spans="1:4" x14ac:dyDescent="0.35">
      <c r="A4479" s="8" t="str">
        <f t="shared" si="2292"/>
        <v>Vietnam</v>
      </c>
      <c r="B4479" s="3" t="str">
        <f t="shared" ref="B4479:B4480" si="2311">CHOOSE(2, "1395000000593", "Avg. Case count per 1-Month Active Agent")</f>
        <v>Avg. Case count per 1-Month Active Agent</v>
      </c>
      <c r="C4479" s="4" t="str">
        <f>CHOOSE(2, "5461730030", "Jun 26")</f>
        <v>Jun 26</v>
      </c>
      <c r="D4479" s="14">
        <v>1.5604662457503642</v>
      </c>
    </row>
    <row r="4480" spans="1:4" x14ac:dyDescent="0.35">
      <c r="A4480" s="8" t="str">
        <f t="shared" si="2292"/>
        <v>Vietnam</v>
      </c>
      <c r="B4480" s="6" t="str">
        <f t="shared" si="2311"/>
        <v>Avg. Case count per 1-Month Active Agent</v>
      </c>
      <c r="C4480" s="4" t="str">
        <f>CHOOSE(2, "5462030031", "Jul 26")</f>
        <v>Jul 26</v>
      </c>
      <c r="D4480" s="14">
        <v>1.4781181619256019</v>
      </c>
    </row>
    <row r="4481" spans="1:4" x14ac:dyDescent="0.35">
      <c r="A4481" s="8" t="str">
        <f t="shared" si="2292"/>
        <v>Vietnam</v>
      </c>
      <c r="B4481" s="3" t="str">
        <f t="shared" ref="B4481:B4482" si="2312">CHOOSE(2, "1395000000592", "Avg. Case size")</f>
        <v>Avg. Case size</v>
      </c>
      <c r="C4481" s="4" t="str">
        <f>CHOOSE(2, "5461730030", "Jun 26")</f>
        <v>Jun 26</v>
      </c>
      <c r="D4481" s="14">
        <v>1351.0068573364458</v>
      </c>
    </row>
    <row r="4482" spans="1:4" x14ac:dyDescent="0.35">
      <c r="A4482" s="8" t="str">
        <f t="shared" si="2292"/>
        <v>Vietnam</v>
      </c>
      <c r="B4482" s="6" t="str">
        <f t="shared" si="2312"/>
        <v>Avg. Case size</v>
      </c>
      <c r="C4482" s="4" t="str">
        <f>CHOOSE(2, "5462030031", "Jul 26")</f>
        <v>Jul 26</v>
      </c>
      <c r="D4482" s="14">
        <v>1184.5718945159142</v>
      </c>
    </row>
    <row r="4483" spans="1:4" x14ac:dyDescent="0.35">
      <c r="A4483" s="8" t="str">
        <f t="shared" si="2292"/>
        <v>Vietnam</v>
      </c>
      <c r="B4483" s="3" t="str">
        <f t="shared" ref="B4483:B4484" si="2313">CHOOSE(2, "1395000000591", "APE per 1-Month Active Agent")</f>
        <v>APE per 1-Month Active Agent</v>
      </c>
      <c r="C4483" s="4" t="str">
        <f>CHOOSE(2, "5461730030", "Jun 26")</f>
        <v>Jun 26</v>
      </c>
      <c r="D4483" s="14">
        <v>2108.2005986508016</v>
      </c>
    </row>
    <row r="4484" spans="1:4" x14ac:dyDescent="0.35">
      <c r="A4484" s="8" t="str">
        <f t="shared" si="2292"/>
        <v>Vietnam</v>
      </c>
      <c r="B4484" s="6" t="str">
        <f t="shared" si="2313"/>
        <v>APE per 1-Month Active Agent</v>
      </c>
      <c r="C4484" s="4" t="str">
        <f>CHOOSE(2, "5462030031", "Jul 26")</f>
        <v>Jul 26</v>
      </c>
      <c r="D4484" s="14">
        <v>1750.937231390591</v>
      </c>
    </row>
    <row r="4485" spans="1:4" x14ac:dyDescent="0.35">
      <c r="A4485" s="8" t="str">
        <f t="shared" si="2292"/>
        <v>Vietnam</v>
      </c>
      <c r="B4485" s="3" t="str">
        <f t="shared" ref="B4485:B4486" si="2314">CHOOSE(2, "1395000000590", "% Conversion of Proposals to cases")</f>
        <v>% Conversion of Proposals to cases</v>
      </c>
      <c r="C4485" s="4" t="str">
        <f>CHOOSE(2, "5461730030", "Jun 26")</f>
        <v>Jun 26</v>
      </c>
      <c r="D4485" s="14">
        <v>0.16059379217273953</v>
      </c>
    </row>
    <row r="4486" spans="1:4" x14ac:dyDescent="0.35">
      <c r="A4486" s="8" t="str">
        <f t="shared" si="2292"/>
        <v>Vietnam</v>
      </c>
      <c r="B4486" s="6" t="str">
        <f t="shared" si="2314"/>
        <v>% Conversion of Proposals to cases</v>
      </c>
      <c r="C4486" s="4" t="str">
        <f>CHOOSE(2, "5462030031", "Jul 26")</f>
        <v>Jul 26</v>
      </c>
      <c r="D4486" s="14">
        <v>9.7792254795512124E-2</v>
      </c>
    </row>
    <row r="4487" spans="1:4" x14ac:dyDescent="0.35">
      <c r="A4487" s="8" t="str">
        <f t="shared" si="2292"/>
        <v>Vietnam</v>
      </c>
      <c r="B4487" s="3" t="str">
        <f t="shared" ref="B4487:B4488" si="2315">CHOOSE(2, "1395000000588", "% APE from Agents in X tenure")</f>
        <v>% APE from Agents in X tenure</v>
      </c>
      <c r="C4487" s="4" t="str">
        <f>CHOOSE(2, "5461730030", "Jun 26")</f>
        <v>Jun 26</v>
      </c>
      <c r="D4487" s="14">
        <v>1</v>
      </c>
    </row>
    <row r="4488" spans="1:4" x14ac:dyDescent="0.35">
      <c r="A4488" s="8" t="str">
        <f t="shared" si="2292"/>
        <v>Vietnam</v>
      </c>
      <c r="B4488" s="6" t="str">
        <f t="shared" si="2315"/>
        <v>% APE from Agents in X tenure</v>
      </c>
      <c r="C4488" s="4" t="str">
        <f>CHOOSE(2, "5462030031", "Jul 26")</f>
        <v>Jul 26</v>
      </c>
      <c r="D4488" s="14">
        <v>1</v>
      </c>
    </row>
    <row r="4489" spans="1:4" x14ac:dyDescent="0.35">
      <c r="A4489" s="8" t="str">
        <f t="shared" si="2292"/>
        <v>Vietnam</v>
      </c>
      <c r="B4489" s="3" t="str">
        <f t="shared" ref="B4489:B4490" si="2316">CHOOSE(2, "1395000000587", "% APE from Agents in X tenure in 0-1M")</f>
        <v>% APE from Agents in X tenure in 0-1M</v>
      </c>
      <c r="C4489" s="4" t="str">
        <f>CHOOSE(2, "5461730030", "Jun 26")</f>
        <v>Jun 26</v>
      </c>
      <c r="D4489" s="14">
        <v>0.1</v>
      </c>
    </row>
    <row r="4490" spans="1:4" x14ac:dyDescent="0.35">
      <c r="A4490" s="8" t="str">
        <f t="shared" si="2292"/>
        <v>Vietnam</v>
      </c>
      <c r="B4490" s="6" t="str">
        <f t="shared" si="2316"/>
        <v>% APE from Agents in X tenure in 0-1M</v>
      </c>
      <c r="C4490" s="4" t="str">
        <f>CHOOSE(2, "5462030031", "Jul 26")</f>
        <v>Jul 26</v>
      </c>
      <c r="D4490" s="14">
        <v>0.1</v>
      </c>
    </row>
    <row r="4491" spans="1:4" x14ac:dyDescent="0.35">
      <c r="A4491" s="8" t="str">
        <f t="shared" si="2292"/>
        <v>Vietnam</v>
      </c>
      <c r="B4491" s="3" t="str">
        <f t="shared" ref="B4491:B4492" si="2317">CHOOSE(2, "1395000000586", "% APE from Agents in X tenure in 2-3M")</f>
        <v>% APE from Agents in X tenure in 2-3M</v>
      </c>
      <c r="C4491" s="4" t="str">
        <f>CHOOSE(2, "5461730030", "Jun 26")</f>
        <v>Jun 26</v>
      </c>
      <c r="D4491" s="14">
        <v>0.2</v>
      </c>
    </row>
    <row r="4492" spans="1:4" x14ac:dyDescent="0.35">
      <c r="A4492" s="8" t="str">
        <f t="shared" si="2292"/>
        <v>Vietnam</v>
      </c>
      <c r="B4492" s="6" t="str">
        <f t="shared" si="2317"/>
        <v>% APE from Agents in X tenure in 2-3M</v>
      </c>
      <c r="C4492" s="4" t="str">
        <f>CHOOSE(2, "5462030031", "Jul 26")</f>
        <v>Jul 26</v>
      </c>
      <c r="D4492" s="14">
        <v>0.2</v>
      </c>
    </row>
    <row r="4493" spans="1:4" x14ac:dyDescent="0.35">
      <c r="A4493" s="8" t="str">
        <f t="shared" si="2292"/>
        <v>Vietnam</v>
      </c>
      <c r="B4493" s="3" t="str">
        <f t="shared" ref="B4493:B4494" si="2318">CHOOSE(2, "1395000000585", "% APE from Agents in X tenure in 4-12M")</f>
        <v>% APE from Agents in X tenure in 4-12M</v>
      </c>
      <c r="C4493" s="4" t="str">
        <f>CHOOSE(2, "5461730030", "Jun 26")</f>
        <v>Jun 26</v>
      </c>
      <c r="D4493" s="14">
        <v>0.3</v>
      </c>
    </row>
    <row r="4494" spans="1:4" x14ac:dyDescent="0.35">
      <c r="A4494" s="8" t="str">
        <f t="shared" si="2292"/>
        <v>Vietnam</v>
      </c>
      <c r="B4494" s="6" t="str">
        <f t="shared" si="2318"/>
        <v>% APE from Agents in X tenure in 4-12M</v>
      </c>
      <c r="C4494" s="4" t="str">
        <f>CHOOSE(2, "5462030031", "Jul 26")</f>
        <v>Jul 26</v>
      </c>
      <c r="D4494" s="14">
        <v>0.3</v>
      </c>
    </row>
    <row r="4495" spans="1:4" x14ac:dyDescent="0.35">
      <c r="A4495" s="8" t="str">
        <f t="shared" si="2292"/>
        <v>Vietnam</v>
      </c>
      <c r="B4495" s="3" t="str">
        <f t="shared" ref="B4495:B4496" si="2319">CHOOSE(2, "1395000000584", "% APE from Agents in X tenure 13+M")</f>
        <v>% APE from Agents in X tenure 13+M</v>
      </c>
      <c r="C4495" s="4" t="str">
        <f>CHOOSE(2, "5461730030", "Jun 26")</f>
        <v>Jun 26</v>
      </c>
      <c r="D4495" s="14">
        <v>0.4</v>
      </c>
    </row>
    <row r="4496" spans="1:4" x14ac:dyDescent="0.35">
      <c r="A4496" s="8" t="str">
        <f t="shared" si="2292"/>
        <v>Vietnam</v>
      </c>
      <c r="B4496" s="6" t="str">
        <f t="shared" si="2319"/>
        <v>% APE from Agents in X tenure 13+M</v>
      </c>
      <c r="C4496" s="4" t="str">
        <f>CHOOSE(2, "5462030031", "Jul 26")</f>
        <v>Jul 26</v>
      </c>
      <c r="D4496" s="14">
        <v>0.4</v>
      </c>
    </row>
    <row r="4497" spans="1:4" x14ac:dyDescent="0.35">
      <c r="A4497" s="8" t="str">
        <f t="shared" si="2292"/>
        <v>Vietnam</v>
      </c>
      <c r="B4497" s="3" t="str">
        <f t="shared" ref="B4497:B4498" si="2320">CHOOSE(2, "1395000000583", "% APE from pro-rated MDRT agents (100%)")</f>
        <v>% APE from pro-rated MDRT agents (100%)</v>
      </c>
      <c r="C4497" s="4" t="str">
        <f>CHOOSE(2, "5461730030", "Jun 26")</f>
        <v>Jun 26</v>
      </c>
      <c r="D4497" s="14">
        <v>0.49709271899526042</v>
      </c>
    </row>
    <row r="4498" spans="1:4" x14ac:dyDescent="0.35">
      <c r="A4498" s="8" t="str">
        <f t="shared" si="2292"/>
        <v>Vietnam</v>
      </c>
      <c r="B4498" s="6" t="str">
        <f t="shared" si="2320"/>
        <v>% APE from pro-rated MDRT agents (100%)</v>
      </c>
      <c r="C4498" s="4" t="str">
        <f>CHOOSE(2, "5462030031", "Jul 26")</f>
        <v>Jul 26</v>
      </c>
      <c r="D4498" s="14">
        <v>0.36748706950840754</v>
      </c>
    </row>
    <row r="4499" spans="1:4" x14ac:dyDescent="0.35">
      <c r="A4499" s="8" t="str">
        <f t="shared" si="2292"/>
        <v>Vietnam</v>
      </c>
      <c r="B4499" s="3" t="str">
        <f t="shared" ref="B4499:B4500" si="2321">CHOOSE(2, "1395000000582", "% APE from pro-rated MDRT agents (70-99%)")</f>
        <v>% APE from pro-rated MDRT agents (70-99%)</v>
      </c>
      <c r="C4499" s="4" t="str">
        <f>CHOOSE(2, "5461730030", "Jun 26")</f>
        <v>Jun 26</v>
      </c>
      <c r="D4499" s="14">
        <v>9.4423223863823139E-2</v>
      </c>
    </row>
    <row r="4500" spans="1:4" x14ac:dyDescent="0.35">
      <c r="A4500" s="8" t="str">
        <f t="shared" si="2292"/>
        <v>Vietnam</v>
      </c>
      <c r="B4500" s="6" t="str">
        <f t="shared" si="2321"/>
        <v>% APE from pro-rated MDRT agents (70-99%)</v>
      </c>
      <c r="C4500" s="4" t="str">
        <f>CHOOSE(2, "5462030031", "Jul 26")</f>
        <v>Jul 26</v>
      </c>
      <c r="D4500" s="14">
        <v>0.11186503028199363</v>
      </c>
    </row>
    <row r="4501" spans="1:4" x14ac:dyDescent="0.35">
      <c r="A4501" s="8" t="str">
        <f t="shared" si="2292"/>
        <v>Vietnam</v>
      </c>
      <c r="B4501" s="3" t="str">
        <f t="shared" ref="B4501:B4502" si="2322">CHOOSE(2, "1395000000581", "% APE from pro-rated MDRT agents (50-69%)")</f>
        <v>% APE from pro-rated MDRT agents (50-69%)</v>
      </c>
      <c r="C4501" s="4" t="str">
        <f>CHOOSE(2, "5461730030", "Jun 26")</f>
        <v>Jun 26</v>
      </c>
      <c r="D4501" s="14">
        <v>7.6792679640864309E-2</v>
      </c>
    </row>
    <row r="4502" spans="1:4" x14ac:dyDescent="0.35">
      <c r="A4502" s="8" t="str">
        <f t="shared" si="2292"/>
        <v>Vietnam</v>
      </c>
      <c r="B4502" s="6" t="str">
        <f t="shared" si="2322"/>
        <v>% APE from pro-rated MDRT agents (50-69%)</v>
      </c>
      <c r="C4502" s="4" t="str">
        <f>CHOOSE(2, "5462030031", "Jul 26")</f>
        <v>Jul 26</v>
      </c>
      <c r="D4502" s="14">
        <v>7.4854359679880134E-2</v>
      </c>
    </row>
    <row r="4503" spans="1:4" x14ac:dyDescent="0.35">
      <c r="A4503" s="8" t="str">
        <f t="shared" si="2292"/>
        <v>Vietnam</v>
      </c>
      <c r="B4503" s="3" t="str">
        <f t="shared" ref="B4503:B4504" si="2323">CHOOSE(2, "1395000000580", "% APE from Top-tier agents")</f>
        <v>% APE from Top-tier agents</v>
      </c>
      <c r="C4503" s="4" t="str">
        <f>CHOOSE(2, "5461730030", "Jun 26")</f>
        <v>Jun 26</v>
      </c>
      <c r="D4503" s="14">
        <v>0.66830862249994782</v>
      </c>
    </row>
    <row r="4504" spans="1:4" x14ac:dyDescent="0.35">
      <c r="A4504" s="8" t="str">
        <f t="shared" si="2292"/>
        <v>Vietnam</v>
      </c>
      <c r="B4504" s="6" t="str">
        <f t="shared" si="2323"/>
        <v>% APE from Top-tier agents</v>
      </c>
      <c r="C4504" s="4" t="str">
        <f>CHOOSE(2, "5462030031", "Jul 26")</f>
        <v>Jul 26</v>
      </c>
      <c r="D4504" s="14">
        <v>0.55420645947028135</v>
      </c>
    </row>
    <row r="4505" spans="1:4" x14ac:dyDescent="0.35">
      <c r="A4505" s="8" t="str">
        <f t="shared" si="2292"/>
        <v>Vietnam</v>
      </c>
      <c r="B4505" s="3" t="str">
        <f t="shared" ref="B4505:B4506" si="2324">CHOOSE(2, "1395000000579", "% of Active Recruiting Leaders")</f>
        <v>% of Active Recruiting Leaders</v>
      </c>
      <c r="C4505" s="4" t="str">
        <f>CHOOSE(2, "5461730030", "Jun 26")</f>
        <v>Jun 26</v>
      </c>
      <c r="D4505" s="14">
        <v>0.10433689503456946</v>
      </c>
    </row>
    <row r="4506" spans="1:4" x14ac:dyDescent="0.35">
      <c r="A4506" s="8" t="str">
        <f t="shared" si="2292"/>
        <v>Vietnam</v>
      </c>
      <c r="B4506" s="6" t="str">
        <f t="shared" si="2324"/>
        <v>% of Active Recruiting Leaders</v>
      </c>
      <c r="C4506" s="4" t="str">
        <f>CHOOSE(2, "5462030031", "Jul 26")</f>
        <v>Jul 26</v>
      </c>
      <c r="D4506" s="14">
        <v>0.1022864019253911</v>
      </c>
    </row>
    <row r="4507" spans="1:4" x14ac:dyDescent="0.35">
      <c r="A4507" s="8" t="str">
        <f t="shared" ref="A4507:A4570" si="2325">CHOOSE(2, "204000000005", "Vietnam")</f>
        <v>Vietnam</v>
      </c>
      <c r="B4507" s="3" t="str">
        <f t="shared" ref="B4507:B4508" si="2326">CHOOSE(2, "1395000000578", "% of leaders with &gt;1 YTD recruit")</f>
        <v>% of leaders with &gt;1 YTD recruit</v>
      </c>
      <c r="C4507" s="4" t="str">
        <f>CHOOSE(2, "5461730030", "Jun 26")</f>
        <v>Jun 26</v>
      </c>
      <c r="D4507" s="14">
        <v>0.41294783155248271</v>
      </c>
    </row>
    <row r="4508" spans="1:4" x14ac:dyDescent="0.35">
      <c r="A4508" s="8" t="str">
        <f t="shared" si="2325"/>
        <v>Vietnam</v>
      </c>
      <c r="B4508" s="6" t="str">
        <f t="shared" si="2326"/>
        <v>% of leaders with &gt;1 YTD recruit</v>
      </c>
      <c r="C4508" s="4" t="str">
        <f>CHOOSE(2, "5462030031", "Jul 26")</f>
        <v>Jul 26</v>
      </c>
      <c r="D4508" s="14">
        <v>0.44705174488567989</v>
      </c>
    </row>
    <row r="4509" spans="1:4" x14ac:dyDescent="0.35">
      <c r="A4509" s="8" t="str">
        <f t="shared" si="2325"/>
        <v>Vietnam</v>
      </c>
      <c r="B4509" s="3" t="str">
        <f t="shared" ref="B4509:B4510" si="2327">CHOOSE(2, "1395000000577", "% of 1-Month Active Top-tier agents")</f>
        <v>% of 1-Month Active Top-tier agents</v>
      </c>
      <c r="C4509" s="4" t="str">
        <f>CHOOSE(2, "5461730030", "Jun 26")</f>
        <v>Jun 26</v>
      </c>
      <c r="D4509" s="14">
        <v>0.74774774774774777</v>
      </c>
    </row>
    <row r="4510" spans="1:4" x14ac:dyDescent="0.35">
      <c r="A4510" s="8" t="str">
        <f t="shared" si="2325"/>
        <v>Vietnam</v>
      </c>
      <c r="B4510" s="6" t="str">
        <f t="shared" si="2327"/>
        <v>% of 1-Month Active Top-tier agents</v>
      </c>
      <c r="C4510" s="4" t="str">
        <f>CHOOSE(2, "5462030031", "Jul 26")</f>
        <v>Jul 26</v>
      </c>
      <c r="D4510" s="14">
        <v>0.69987389659520804</v>
      </c>
    </row>
    <row r="4511" spans="1:4" x14ac:dyDescent="0.35">
      <c r="A4511" s="8" t="str">
        <f t="shared" si="2325"/>
        <v>Vietnam</v>
      </c>
      <c r="B4511" s="3" t="str">
        <f t="shared" ref="B4511:B4512" si="2328">CHOOSE(2, "1395000000576", "% APE from Manulife Pro - Total")</f>
        <v>% APE from Manulife Pro - Total</v>
      </c>
      <c r="C4511" s="4" t="str">
        <f>CHOOSE(2, "5461730030", "Jun 26")</f>
        <v>Jun 26</v>
      </c>
      <c r="D4511" s="14">
        <v>0.79894062391870568</v>
      </c>
    </row>
    <row r="4512" spans="1:4" x14ac:dyDescent="0.35">
      <c r="A4512" s="8" t="str">
        <f t="shared" si="2325"/>
        <v>Vietnam</v>
      </c>
      <c r="B4512" s="6" t="str">
        <f t="shared" si="2328"/>
        <v>% APE from Manulife Pro - Total</v>
      </c>
      <c r="C4512" s="4" t="str">
        <f>CHOOSE(2, "5462030031", "Jul 26")</f>
        <v>Jul 26</v>
      </c>
      <c r="D4512" s="14">
        <v>0.73090532477878434</v>
      </c>
    </row>
    <row r="4513" spans="1:4" x14ac:dyDescent="0.35">
      <c r="A4513" s="8" t="str">
        <f t="shared" si="2325"/>
        <v>Vietnam</v>
      </c>
      <c r="B4513" s="3" t="str">
        <f t="shared" ref="B4513:B4514" si="2329">CHOOSE(2, "1395000000575", "% of 1-Month Active Agents Manulife Pro Qualifiers - Total")</f>
        <v>% of 1-Month Active Agents Manulife Pro Qualifiers - Total</v>
      </c>
      <c r="C4513" s="4" t="str">
        <f>CHOOSE(2, "5461730030", "Jun 26")</f>
        <v>Jun 26</v>
      </c>
      <c r="D4513" s="14">
        <v>0.33760318815826929</v>
      </c>
    </row>
    <row r="4514" spans="1:4" x14ac:dyDescent="0.35">
      <c r="A4514" s="8" t="str">
        <f t="shared" si="2325"/>
        <v>Vietnam</v>
      </c>
      <c r="B4514" s="6" t="str">
        <f t="shared" si="2329"/>
        <v>% of 1-Month Active Agents Manulife Pro Qualifiers - Total</v>
      </c>
      <c r="C4514" s="4" t="str">
        <f>CHOOSE(2, "5462030031", "Jul 26")</f>
        <v>Jul 26</v>
      </c>
      <c r="D4514" s="14">
        <v>0.31861102650015227</v>
      </c>
    </row>
    <row r="4515" spans="1:4" x14ac:dyDescent="0.35">
      <c r="A4515" s="8" t="str">
        <f t="shared" si="2325"/>
        <v>Vietnam</v>
      </c>
      <c r="B4515" s="3" t="str">
        <f t="shared" ref="B4515:B4516" si="2330">CHOOSE(2, "1395000000574", "% of Newly Demoted UM")</f>
        <v>% of Newly Demoted UM</v>
      </c>
      <c r="C4515" s="4" t="str">
        <f>CHOOSE(2, "5461730030", "Jun 26")</f>
        <v>Jun 26</v>
      </c>
      <c r="D4515" s="14">
        <v>7.2639225181598066E-3</v>
      </c>
    </row>
    <row r="4516" spans="1:4" x14ac:dyDescent="0.35">
      <c r="A4516" s="8" t="str">
        <f t="shared" si="2325"/>
        <v>Vietnam</v>
      </c>
      <c r="B4516" s="6" t="str">
        <f t="shared" si="2330"/>
        <v>% of Newly Demoted UM</v>
      </c>
      <c r="C4516" s="4" t="str">
        <f>CHOOSE(2, "5462030031", "Jul 26")</f>
        <v>Jul 26</v>
      </c>
      <c r="D4516" s="14">
        <v>4.7562425683709865E-3</v>
      </c>
    </row>
    <row r="4517" spans="1:4" x14ac:dyDescent="0.35">
      <c r="A4517" s="8" t="str">
        <f t="shared" si="2325"/>
        <v>Vietnam</v>
      </c>
      <c r="B4517" s="3" t="str">
        <f t="shared" ref="B4517:B4518" si="2331">CHOOSE(2, "1395000000573", "% of Newly Demoted Leaders above UM")</f>
        <v>% of Newly Demoted Leaders above UM</v>
      </c>
      <c r="C4517" s="4" t="str">
        <f>CHOOSE(2, "5461730030", "Jun 26")</f>
        <v>Jun 26</v>
      </c>
      <c r="D4517" s="14">
        <v>6.5359477124183009E-3</v>
      </c>
    </row>
    <row r="4518" spans="1:4" x14ac:dyDescent="0.35">
      <c r="A4518" s="8" t="str">
        <f t="shared" si="2325"/>
        <v>Vietnam</v>
      </c>
      <c r="B4518" s="6" t="str">
        <f t="shared" si="2331"/>
        <v>% of Newly Demoted Leaders above UM</v>
      </c>
      <c r="C4518" s="4" t="str">
        <f>CHOOSE(2, "5462030031", "Jul 26")</f>
        <v>Jul 26</v>
      </c>
      <c r="D4518" s="14">
        <v>5.1157125456760051E-2</v>
      </c>
    </row>
    <row r="4519" spans="1:4" x14ac:dyDescent="0.35">
      <c r="A4519" s="8" t="str">
        <f t="shared" si="2325"/>
        <v>Vietnam</v>
      </c>
      <c r="B4519" s="3" t="str">
        <f t="shared" ref="B4519:B4520" si="2332">CHOOSE(2, "1395000000572", "Avg. Earning per agent")</f>
        <v>Avg. Earning per agent</v>
      </c>
      <c r="C4519" s="4" t="str">
        <f>CHOOSE(2, "5461730030", "Jun 26")</f>
        <v>Jun 26</v>
      </c>
      <c r="D4519" s="14">
        <v>2.4454018282307E-3</v>
      </c>
    </row>
    <row r="4520" spans="1:4" x14ac:dyDescent="0.35">
      <c r="A4520" s="8" t="str">
        <f t="shared" si="2325"/>
        <v>Vietnam</v>
      </c>
      <c r="B4520" s="6" t="str">
        <f t="shared" si="2332"/>
        <v>Avg. Earning per agent</v>
      </c>
      <c r="C4520" s="4" t="str">
        <f>CHOOSE(2, "5462030031", "Jul 26")</f>
        <v>Jul 26</v>
      </c>
      <c r="D4520" s="14">
        <v>1.6320356422504512E-3</v>
      </c>
    </row>
    <row r="4521" spans="1:4" x14ac:dyDescent="0.35">
      <c r="A4521" s="8" t="str">
        <f t="shared" si="2325"/>
        <v>Vietnam</v>
      </c>
      <c r="B4521" s="3" t="str">
        <f t="shared" ref="B4521:B4522" si="2333">CHOOSE(2, "1395000000571", "Avg. Earning per agent in FA or equivalent")</f>
        <v>Avg. Earning per agent in FA or equivalent</v>
      </c>
      <c r="C4521" s="4" t="str">
        <f>CHOOSE(2, "5461730030", "Jun 26")</f>
        <v>Jun 26</v>
      </c>
      <c r="D4521" s="14">
        <v>1.3071371277733465E-3</v>
      </c>
    </row>
    <row r="4522" spans="1:4" x14ac:dyDescent="0.35">
      <c r="A4522" s="8" t="str">
        <f t="shared" si="2325"/>
        <v>Vietnam</v>
      </c>
      <c r="B4522" s="6" t="str">
        <f t="shared" si="2333"/>
        <v>Avg. Earning per agent in FA or equivalent</v>
      </c>
      <c r="C4522" s="4" t="str">
        <f>CHOOSE(2, "5462030031", "Jul 26")</f>
        <v>Jul 26</v>
      </c>
      <c r="D4522" s="14">
        <v>9.2215901061349335E-4</v>
      </c>
    </row>
    <row r="4523" spans="1:4" x14ac:dyDescent="0.35">
      <c r="A4523" s="8" t="str">
        <f t="shared" si="2325"/>
        <v>Vietnam</v>
      </c>
      <c r="B4523" s="3" t="str">
        <f t="shared" ref="B4523:B4524" si="2334">CHOOSE(2, "1395000000570", "Avg. Earning per agent in UM")</f>
        <v>Avg. Earning per agent in UM</v>
      </c>
      <c r="C4523" s="4" t="str">
        <f>CHOOSE(2, "5461730030", "Jun 26")</f>
        <v>Jun 26</v>
      </c>
      <c r="D4523" s="14">
        <v>2.4471841412106538E-2</v>
      </c>
    </row>
    <row r="4524" spans="1:4" x14ac:dyDescent="0.35">
      <c r="A4524" s="8" t="str">
        <f t="shared" si="2325"/>
        <v>Vietnam</v>
      </c>
      <c r="B4524" s="6" t="str">
        <f t="shared" si="2334"/>
        <v>Avg. Earning per agent in UM</v>
      </c>
      <c r="C4524" s="4" t="str">
        <f>CHOOSE(2, "5462030031", "Jul 26")</f>
        <v>Jul 26</v>
      </c>
      <c r="D4524" s="14">
        <v>1.7339664910154581E-2</v>
      </c>
    </row>
    <row r="4525" spans="1:4" x14ac:dyDescent="0.35">
      <c r="A4525" s="8" t="str">
        <f t="shared" si="2325"/>
        <v>Vietnam</v>
      </c>
      <c r="B4525" s="3" t="str">
        <f t="shared" ref="B4525:B4526" si="2335">CHOOSE(2, "1395000000569", "Avg. Earning per agent in Leaders above UM")</f>
        <v>Avg. Earning per agent in Leaders above UM</v>
      </c>
      <c r="C4525" s="4" t="str">
        <f>CHOOSE(2, "5461730030", "Jun 26")</f>
        <v>Jun 26</v>
      </c>
      <c r="D4525" s="14">
        <v>5.4026144288209163E-2</v>
      </c>
    </row>
    <row r="4526" spans="1:4" x14ac:dyDescent="0.35">
      <c r="A4526" s="8" t="str">
        <f t="shared" si="2325"/>
        <v>Vietnam</v>
      </c>
      <c r="B4526" s="6" t="str">
        <f t="shared" si="2335"/>
        <v>Avg. Earning per agent in Leaders above UM</v>
      </c>
      <c r="C4526" s="4" t="str">
        <f>CHOOSE(2, "5462030031", "Jul 26")</f>
        <v>Jul 26</v>
      </c>
      <c r="D4526" s="14">
        <v>2.9641440793373938E-2</v>
      </c>
    </row>
    <row r="4527" spans="1:4" x14ac:dyDescent="0.35">
      <c r="A4527" s="8" t="str">
        <f t="shared" si="2325"/>
        <v>Vietnam</v>
      </c>
      <c r="B4527" s="3" t="str">
        <f t="shared" ref="B4527:B4528" si="2336">CHOOSE(2, "1395000000568", "% of 1-Month Active Agents 0-1M")</f>
        <v>% of 1-Month Active Agents 0-1M</v>
      </c>
      <c r="C4527" s="4" t="str">
        <f>CHOOSE(2, "5461730030", "Jun 26")</f>
        <v>Jun 26</v>
      </c>
      <c r="D4527" s="14">
        <v>0.46868686868686871</v>
      </c>
    </row>
    <row r="4528" spans="1:4" x14ac:dyDescent="0.35">
      <c r="A4528" s="8" t="str">
        <f t="shared" si="2325"/>
        <v>Vietnam</v>
      </c>
      <c r="B4528" s="6" t="str">
        <f t="shared" si="2336"/>
        <v>% of 1-Month Active Agents 0-1M</v>
      </c>
      <c r="C4528" s="4" t="str">
        <f>CHOOSE(2, "5462030031", "Jul 26")</f>
        <v>Jul 26</v>
      </c>
      <c r="D4528" s="14">
        <v>0.3172268907563025</v>
      </c>
    </row>
    <row r="4529" spans="1:4" x14ac:dyDescent="0.35">
      <c r="A4529" s="8" t="str">
        <f t="shared" si="2325"/>
        <v>Vietnam</v>
      </c>
      <c r="B4529" s="3" t="str">
        <f t="shared" ref="B4529:B4530" si="2337">CHOOSE(2, "1395000000567", "% of 1-Month Active Agents in 2-3M")</f>
        <v>% of 1-Month Active Agents in 2-3M</v>
      </c>
      <c r="C4529" s="4" t="str">
        <f>CHOOSE(2, "5461730030", "Jun 26")</f>
        <v>Jun 26</v>
      </c>
      <c r="D4529" s="14">
        <v>0.23165618448637318</v>
      </c>
    </row>
    <row r="4530" spans="1:4" x14ac:dyDescent="0.35">
      <c r="A4530" s="8" t="str">
        <f t="shared" si="2325"/>
        <v>Vietnam</v>
      </c>
      <c r="B4530" s="6" t="str">
        <f t="shared" si="2337"/>
        <v>% of 1-Month Active Agents in 2-3M</v>
      </c>
      <c r="C4530" s="4" t="str">
        <f>CHOOSE(2, "5462030031", "Jul 26")</f>
        <v>Jul 26</v>
      </c>
      <c r="D4530" s="14">
        <v>0.21384928716904278</v>
      </c>
    </row>
    <row r="4531" spans="1:4" x14ac:dyDescent="0.35">
      <c r="A4531" s="8" t="str">
        <f t="shared" si="2325"/>
        <v>Vietnam</v>
      </c>
      <c r="B4531" s="3" t="str">
        <f t="shared" ref="B4531:B4532" si="2338">CHOOSE(2, "1395000000566", "% of 1-Month Active Agents 4-12M")</f>
        <v>% of 1-Month Active Agents 4-12M</v>
      </c>
      <c r="C4531" s="4" t="str">
        <f>CHOOSE(2, "5461730030", "Jun 26")</f>
        <v>Jun 26</v>
      </c>
      <c r="D4531" s="14">
        <v>4.0523844823325918E-2</v>
      </c>
    </row>
    <row r="4532" spans="1:4" x14ac:dyDescent="0.35">
      <c r="A4532" s="8" t="str">
        <f t="shared" si="2325"/>
        <v>Vietnam</v>
      </c>
      <c r="B4532" s="6" t="str">
        <f t="shared" si="2338"/>
        <v>% of 1-Month Active Agents 4-12M</v>
      </c>
      <c r="C4532" s="4" t="str">
        <f>CHOOSE(2, "5462030031", "Jul 26")</f>
        <v>Jul 26</v>
      </c>
      <c r="D4532" s="14">
        <v>3.5154274152756702E-2</v>
      </c>
    </row>
    <row r="4533" spans="1:4" x14ac:dyDescent="0.35">
      <c r="A4533" s="8" t="str">
        <f t="shared" si="2325"/>
        <v>Vietnam</v>
      </c>
      <c r="B4533" s="3" t="str">
        <f t="shared" ref="B4533:B4534" si="2339">CHOOSE(2, "1395000000565", "% of 1-Month Active Agents 13+M")</f>
        <v>% of 1-Month Active Agents 13+M</v>
      </c>
      <c r="C4533" s="4" t="str">
        <f>CHOOSE(2, "5461730030", "Jun 26")</f>
        <v>Jun 26</v>
      </c>
      <c r="D4533" s="14">
        <v>3.0848219060862124E-2</v>
      </c>
    </row>
    <row r="4534" spans="1:4" x14ac:dyDescent="0.35">
      <c r="A4534" s="8" t="str">
        <f t="shared" si="2325"/>
        <v>Vietnam</v>
      </c>
      <c r="B4534" s="6" t="str">
        <f t="shared" si="2339"/>
        <v>% of 1-Month Active Agents 13+M</v>
      </c>
      <c r="C4534" s="4" t="str">
        <f>CHOOSE(2, "5462030031", "Jul 26")</f>
        <v>Jul 26</v>
      </c>
      <c r="D4534" s="14">
        <v>2.8104035722599622E-2</v>
      </c>
    </row>
    <row r="4535" spans="1:4" x14ac:dyDescent="0.35">
      <c r="A4535" s="8" t="str">
        <f t="shared" si="2325"/>
        <v>Vietnam</v>
      </c>
      <c r="B4535" s="3" t="str">
        <f t="shared" ref="B4535:B4536" si="2340">CHOOSE(2, "1395000000564", "% of 3-Month Active Agents 0-1M")</f>
        <v>% of 3-Month Active Agents 0-1M</v>
      </c>
      <c r="C4535" s="4" t="str">
        <f>CHOOSE(2, "5461730030", "Jun 26")</f>
        <v>Jun 26</v>
      </c>
      <c r="D4535" s="14">
        <v>0.46868686868686871</v>
      </c>
    </row>
    <row r="4536" spans="1:4" x14ac:dyDescent="0.35">
      <c r="A4536" s="8" t="str">
        <f t="shared" si="2325"/>
        <v>Vietnam</v>
      </c>
      <c r="B4536" s="6" t="str">
        <f t="shared" si="2340"/>
        <v>% of 3-Month Active Agents 0-1M</v>
      </c>
      <c r="C4536" s="4" t="str">
        <f>CHOOSE(2, "5462030031", "Jul 26")</f>
        <v>Jul 26</v>
      </c>
      <c r="D4536" s="14">
        <v>0.3172268907563025</v>
      </c>
    </row>
    <row r="4537" spans="1:4" x14ac:dyDescent="0.35">
      <c r="A4537" s="8" t="str">
        <f t="shared" si="2325"/>
        <v>Vietnam</v>
      </c>
      <c r="B4537" s="3" t="str">
        <f t="shared" ref="B4537:B4538" si="2341">CHOOSE(2, "1395000000563", "% of 3-Month Active Agents in 2-3M")</f>
        <v>% of 3-Month Active Agents in 2-3M</v>
      </c>
      <c r="C4537" s="4" t="str">
        <f>CHOOSE(2, "5461730030", "Jun 26")</f>
        <v>Jun 26</v>
      </c>
      <c r="D4537" s="14">
        <v>0.61006289308176098</v>
      </c>
    </row>
    <row r="4538" spans="1:4" x14ac:dyDescent="0.35">
      <c r="A4538" s="8" t="str">
        <f t="shared" si="2325"/>
        <v>Vietnam</v>
      </c>
      <c r="B4538" s="6" t="str">
        <f t="shared" si="2341"/>
        <v>% of 3-Month Active Agents in 2-3M</v>
      </c>
      <c r="C4538" s="4" t="str">
        <f>CHOOSE(2, "5462030031", "Jul 26")</f>
        <v>Jul 26</v>
      </c>
      <c r="D4538" s="14">
        <v>0.60285132382892059</v>
      </c>
    </row>
    <row r="4539" spans="1:4" x14ac:dyDescent="0.35">
      <c r="A4539" s="8" t="str">
        <f t="shared" si="2325"/>
        <v>Vietnam</v>
      </c>
      <c r="B4539" s="3" t="str">
        <f t="shared" ref="B4539:B4540" si="2342">CHOOSE(2, "1395000000562", "% of 3-Month Active Agents 4-12M")</f>
        <v>% of 3-Month Active Agents 4-12M</v>
      </c>
      <c r="C4539" s="4" t="str">
        <f>CHOOSE(2, "5461730030", "Jun 26")</f>
        <v>Jun 26</v>
      </c>
      <c r="D4539" s="14">
        <v>0.10896960711638251</v>
      </c>
    </row>
    <row r="4540" spans="1:4" x14ac:dyDescent="0.35">
      <c r="A4540" s="8" t="str">
        <f t="shared" si="2325"/>
        <v>Vietnam</v>
      </c>
      <c r="B4540" s="6" t="str">
        <f t="shared" si="2342"/>
        <v>% of 3-Month Active Agents 4-12M</v>
      </c>
      <c r="C4540" s="4" t="str">
        <f>CHOOSE(2, "5462030031", "Jul 26")</f>
        <v>Jul 26</v>
      </c>
      <c r="D4540" s="14">
        <v>0.12721294891249368</v>
      </c>
    </row>
    <row r="4541" spans="1:4" x14ac:dyDescent="0.35">
      <c r="A4541" s="8" t="str">
        <f t="shared" si="2325"/>
        <v>Vietnam</v>
      </c>
      <c r="B4541" s="3" t="str">
        <f t="shared" ref="B4541:B4542" si="2343">CHOOSE(2, "1395000000561", "% of 3-Month Active Agents 13+M")</f>
        <v>% of 3-Month Active Agents 13+M</v>
      </c>
      <c r="C4541" s="4" t="str">
        <f>CHOOSE(2, "5461730030", "Jun 26")</f>
        <v>Jun 26</v>
      </c>
      <c r="D4541" s="14">
        <v>5.7567654294576963E-2</v>
      </c>
    </row>
    <row r="4542" spans="1:4" x14ac:dyDescent="0.35">
      <c r="A4542" s="8" t="str">
        <f t="shared" si="2325"/>
        <v>Vietnam</v>
      </c>
      <c r="B4542" s="6" t="str">
        <f t="shared" si="2343"/>
        <v>% of 3-Month Active Agents 13+M</v>
      </c>
      <c r="C4542" s="4" t="str">
        <f>CHOOSE(2, "5462030031", "Jul 26")</f>
        <v>Jul 26</v>
      </c>
      <c r="D4542" s="14">
        <v>5.6335047510210991E-2</v>
      </c>
    </row>
    <row r="4543" spans="1:4" x14ac:dyDescent="0.35">
      <c r="A4543" s="8" t="str">
        <f t="shared" si="2325"/>
        <v>Vietnam</v>
      </c>
      <c r="B4543" s="3" t="str">
        <f t="shared" ref="B4543:B4544" si="2344">CHOOSE(2, "1395000000560", "Avg. Case count per 1-Month Active Agent 0-1M")</f>
        <v>Avg. Case count per 1-Month Active Agent 0-1M</v>
      </c>
      <c r="C4543" s="4" t="str">
        <f>CHOOSE(2, "5461730030", "Jun 26")</f>
        <v>Jun 26</v>
      </c>
      <c r="D4543" s="14">
        <v>1.0818965517241379</v>
      </c>
    </row>
    <row r="4544" spans="1:4" x14ac:dyDescent="0.35">
      <c r="A4544" s="8" t="str">
        <f t="shared" si="2325"/>
        <v>Vietnam</v>
      </c>
      <c r="B4544" s="6" t="str">
        <f t="shared" si="2344"/>
        <v>Avg. Case count per 1-Month Active Agent 0-1M</v>
      </c>
      <c r="C4544" s="4" t="str">
        <f>CHOOSE(2, "5462030031", "Jul 26")</f>
        <v>Jul 26</v>
      </c>
      <c r="D4544" s="14">
        <v>1.1324503311258278</v>
      </c>
    </row>
    <row r="4545" spans="1:4" x14ac:dyDescent="0.35">
      <c r="A4545" s="8" t="str">
        <f t="shared" si="2325"/>
        <v>Vietnam</v>
      </c>
      <c r="B4545" s="3" t="str">
        <f t="shared" ref="B4545:B4546" si="2345">CHOOSE(2, "1395000000559", "Avg. Case count per 1-Month Active Agent in 2-3M")</f>
        <v>Avg. Case count per 1-Month Active Agent in 2-3M</v>
      </c>
      <c r="C4545" s="4" t="str">
        <f>CHOOSE(2, "5461730030", "Jun 26")</f>
        <v>Jun 26</v>
      </c>
      <c r="D4545" s="14">
        <v>1.407239819004525</v>
      </c>
    </row>
    <row r="4546" spans="1:4" x14ac:dyDescent="0.35">
      <c r="A4546" s="8" t="str">
        <f t="shared" si="2325"/>
        <v>Vietnam</v>
      </c>
      <c r="B4546" s="6" t="str">
        <f t="shared" si="2345"/>
        <v>Avg. Case count per 1-Month Active Agent in 2-3M</v>
      </c>
      <c r="C4546" s="4" t="str">
        <f>CHOOSE(2, "5462030031", "Jul 26")</f>
        <v>Jul 26</v>
      </c>
      <c r="D4546" s="14">
        <v>1.3095238095238095</v>
      </c>
    </row>
    <row r="4547" spans="1:4" x14ac:dyDescent="0.35">
      <c r="A4547" s="8" t="str">
        <f t="shared" si="2325"/>
        <v>Vietnam</v>
      </c>
      <c r="B4547" s="3" t="str">
        <f t="shared" ref="B4547:B4548" si="2346">CHOOSE(2, "1395000000558", "Avg. Case count per 1-Month Active Agent 4-12M")</f>
        <v>Avg. Case count per 1-Month Active Agent 4-12M</v>
      </c>
      <c r="C4547" s="4" t="str">
        <f>CHOOSE(2, "5461730030", "Jun 26")</f>
        <v>Jun 26</v>
      </c>
      <c r="D4547" s="14">
        <v>1.4329268292682926</v>
      </c>
    </row>
    <row r="4548" spans="1:4" x14ac:dyDescent="0.35">
      <c r="A4548" s="8" t="str">
        <f t="shared" si="2325"/>
        <v>Vietnam</v>
      </c>
      <c r="B4548" s="6" t="str">
        <f t="shared" si="2346"/>
        <v>Avg. Case count per 1-Month Active Agent 4-12M</v>
      </c>
      <c r="C4548" s="4" t="str">
        <f>CHOOSE(2, "5462030031", "Jul 26")</f>
        <v>Jul 26</v>
      </c>
      <c r="D4548" s="14">
        <v>1.2661870503597121</v>
      </c>
    </row>
    <row r="4549" spans="1:4" x14ac:dyDescent="0.35">
      <c r="A4549" s="8" t="str">
        <f t="shared" si="2325"/>
        <v>Vietnam</v>
      </c>
      <c r="B4549" s="3" t="str">
        <f t="shared" ref="B4549:B4550" si="2347">CHOOSE(2, "1395000000557", "Avg. Case count per 1-Month Active Agent 13+M")</f>
        <v>Avg. Case count per 1-Month Active Agent 13+M</v>
      </c>
      <c r="C4549" s="4" t="str">
        <f>CHOOSE(2, "5461730030", "Jun 26")</f>
        <v>Jun 26</v>
      </c>
      <c r="D4549" s="14">
        <v>1.6754507628294035</v>
      </c>
    </row>
    <row r="4550" spans="1:4" x14ac:dyDescent="0.35">
      <c r="A4550" s="8" t="str">
        <f t="shared" si="2325"/>
        <v>Vietnam</v>
      </c>
      <c r="B4550" s="6" t="str">
        <f t="shared" si="2347"/>
        <v>Avg. Case count per 1-Month Active Agent 13+M</v>
      </c>
      <c r="C4550" s="4" t="str">
        <f>CHOOSE(2, "5462030031", "Jul 26")</f>
        <v>Jul 26</v>
      </c>
      <c r="D4550" s="14">
        <v>1.5662650602409638</v>
      </c>
    </row>
    <row r="4551" spans="1:4" x14ac:dyDescent="0.35">
      <c r="A4551" s="8" t="str">
        <f t="shared" si="2325"/>
        <v>Vietnam</v>
      </c>
      <c r="B4551" s="3" t="str">
        <f t="shared" ref="B4551:B4552" si="2348">CHOOSE(2, "1395000000556", "Avg. Case size 0-1M")</f>
        <v>Avg. Case size 0-1M</v>
      </c>
      <c r="C4551" s="4" t="str">
        <f>CHOOSE(2, "5461730030", "Jun 26")</f>
        <v>Jun 26</v>
      </c>
      <c r="D4551" s="14">
        <v>1729.3964273394424</v>
      </c>
    </row>
    <row r="4552" spans="1:4" x14ac:dyDescent="0.35">
      <c r="A4552" s="8" t="str">
        <f t="shared" si="2325"/>
        <v>Vietnam</v>
      </c>
      <c r="B4552" s="6" t="str">
        <f t="shared" si="2348"/>
        <v>Avg. Case size 0-1M</v>
      </c>
      <c r="C4552" s="4" t="str">
        <f>CHOOSE(2, "5462030031", "Jul 26")</f>
        <v>Jul 26</v>
      </c>
      <c r="D4552" s="14">
        <v>1871.7621397555558</v>
      </c>
    </row>
    <row r="4553" spans="1:4" x14ac:dyDescent="0.35">
      <c r="A4553" s="8" t="str">
        <f t="shared" si="2325"/>
        <v>Vietnam</v>
      </c>
      <c r="B4553" s="3" t="str">
        <f t="shared" ref="B4553:B4554" si="2349">CHOOSE(2, "1395000000555", "Avg. Case size in 2-3M")</f>
        <v>Avg. Case size in 2-3M</v>
      </c>
      <c r="C4553" s="4" t="str">
        <f>CHOOSE(2, "5461730030", "Jun 26")</f>
        <v>Jun 26</v>
      </c>
      <c r="D4553" s="14">
        <v>2791.5016286958203</v>
      </c>
    </row>
    <row r="4554" spans="1:4" x14ac:dyDescent="0.35">
      <c r="A4554" s="8" t="str">
        <f t="shared" si="2325"/>
        <v>Vietnam</v>
      </c>
      <c r="B4554" s="6" t="str">
        <f t="shared" si="2349"/>
        <v>Avg. Case size in 2-3M</v>
      </c>
      <c r="C4554" s="4" t="str">
        <f>CHOOSE(2, "5462030031", "Jul 26")</f>
        <v>Jul 26</v>
      </c>
      <c r="D4554" s="14">
        <v>2327.7914610778184</v>
      </c>
    </row>
    <row r="4555" spans="1:4" x14ac:dyDescent="0.35">
      <c r="A4555" s="8" t="str">
        <f t="shared" si="2325"/>
        <v>Vietnam</v>
      </c>
      <c r="B4555" s="3" t="str">
        <f t="shared" ref="B4555:B4556" si="2350">CHOOSE(2, "1395000000554", "Avg. Case size 4-12M")</f>
        <v>Avg. Case size 4-12M</v>
      </c>
      <c r="C4555" s="4" t="str">
        <f>CHOOSE(2, "5461730030", "Jun 26")</f>
        <v>Jun 26</v>
      </c>
      <c r="D4555" s="14">
        <v>5541.4277012195744</v>
      </c>
    </row>
    <row r="4556" spans="1:4" x14ac:dyDescent="0.35">
      <c r="A4556" s="8" t="str">
        <f t="shared" si="2325"/>
        <v>Vietnam</v>
      </c>
      <c r="B4556" s="6" t="str">
        <f t="shared" si="2350"/>
        <v>Avg. Case size 4-12M</v>
      </c>
      <c r="C4556" s="4" t="str">
        <f>CHOOSE(2, "5462030031", "Jul 26")</f>
        <v>Jul 26</v>
      </c>
      <c r="D4556" s="14">
        <v>5455.7612369011367</v>
      </c>
    </row>
    <row r="4557" spans="1:4" x14ac:dyDescent="0.35">
      <c r="A4557" s="8" t="str">
        <f t="shared" si="2325"/>
        <v>Vietnam</v>
      </c>
      <c r="B4557" s="3" t="str">
        <f t="shared" ref="B4557:B4558" si="2351">CHOOSE(2, "1395000000553", "Avg. Case size 13+M")</f>
        <v>Avg. Case size 13+M</v>
      </c>
      <c r="C4557" s="4" t="str">
        <f>CHOOSE(2, "5461730030", "Jun 26")</f>
        <v>Jun 26</v>
      </c>
      <c r="D4557" s="14">
        <v>718.67301864602655</v>
      </c>
    </row>
    <row r="4558" spans="1:4" x14ac:dyDescent="0.35">
      <c r="A4558" s="8" t="str">
        <f t="shared" si="2325"/>
        <v>Vietnam</v>
      </c>
      <c r="B4558" s="6" t="str">
        <f t="shared" si="2351"/>
        <v>Avg. Case size 13+M</v>
      </c>
      <c r="C4558" s="4" t="str">
        <f>CHOOSE(2, "5462030031", "Jul 26")</f>
        <v>Jul 26</v>
      </c>
      <c r="D4558" s="14">
        <v>615.52178057346157</v>
      </c>
    </row>
    <row r="4559" spans="1:4" x14ac:dyDescent="0.35">
      <c r="A4559" s="8" t="str">
        <f t="shared" si="2325"/>
        <v>Vietnam</v>
      </c>
      <c r="B4559" s="3" t="str">
        <f t="shared" ref="B4559:B4560" si="2352">CHOOSE(2, "1395000000552", "Avg. Case size UM")</f>
        <v>Avg. Case size UM</v>
      </c>
      <c r="C4559" s="4" t="str">
        <f>CHOOSE(2, "5461730030", "Jun 26")</f>
        <v>Jun 26</v>
      </c>
      <c r="D4559" s="14">
        <v>0</v>
      </c>
    </row>
    <row r="4560" spans="1:4" x14ac:dyDescent="0.35">
      <c r="A4560" s="8" t="str">
        <f t="shared" si="2325"/>
        <v>Vietnam</v>
      </c>
      <c r="B4560" s="6" t="str">
        <f t="shared" si="2352"/>
        <v>Avg. Case size UM</v>
      </c>
      <c r="C4560" s="4" t="str">
        <f>CHOOSE(2, "5462030031", "Jul 26")</f>
        <v>Jul 26</v>
      </c>
      <c r="D4560" s="14">
        <v>0</v>
      </c>
    </row>
    <row r="4561" spans="1:4" x14ac:dyDescent="0.35">
      <c r="A4561" s="8" t="str">
        <f t="shared" si="2325"/>
        <v>Vietnam</v>
      </c>
      <c r="B4561" s="3" t="str">
        <f t="shared" ref="B4561:B4562" si="2353">CHOOSE(2, "1395000000551", "Avg. Case size Leaders above UM")</f>
        <v>Avg. Case size Leaders above UM</v>
      </c>
      <c r="C4561" s="4" t="str">
        <f>CHOOSE(2, "5461730030", "Jun 26")</f>
        <v>Jun 26</v>
      </c>
      <c r="D4561" s="14">
        <v>0</v>
      </c>
    </row>
    <row r="4562" spans="1:4" x14ac:dyDescent="0.35">
      <c r="A4562" s="8" t="str">
        <f t="shared" si="2325"/>
        <v>Vietnam</v>
      </c>
      <c r="B4562" s="6" t="str">
        <f t="shared" si="2353"/>
        <v>Avg. Case size Leaders above UM</v>
      </c>
      <c r="C4562" s="4" t="str">
        <f>CHOOSE(2, "5462030031", "Jul 26")</f>
        <v>Jul 26</v>
      </c>
      <c r="D4562" s="14">
        <v>0</v>
      </c>
    </row>
    <row r="4563" spans="1:4" x14ac:dyDescent="0.35">
      <c r="A4563" s="8" t="str">
        <f t="shared" si="2325"/>
        <v>Vietnam</v>
      </c>
      <c r="B4563" s="3" t="str">
        <f t="shared" ref="B4563:B4564" si="2354">CHOOSE(2, "1395000000550", "Avg. Case size Top-tier agents")</f>
        <v>Avg. Case size Top-tier agents</v>
      </c>
      <c r="C4563" s="4" t="str">
        <f>CHOOSE(2, "5461730030", "Jun 26")</f>
        <v>Jun 26</v>
      </c>
      <c r="D4563" s="14">
        <v>1909.798594944042</v>
      </c>
    </row>
    <row r="4564" spans="1:4" x14ac:dyDescent="0.35">
      <c r="A4564" s="8" t="str">
        <f t="shared" si="2325"/>
        <v>Vietnam</v>
      </c>
      <c r="B4564" s="6" t="str">
        <f t="shared" si="2354"/>
        <v>Avg. Case size Top-tier agents</v>
      </c>
      <c r="C4564" s="4" t="str">
        <f>CHOOSE(2, "5462030031", "Jul 26")</f>
        <v>Jul 26</v>
      </c>
      <c r="D4564" s="14">
        <v>1554.6502743558283</v>
      </c>
    </row>
    <row r="4565" spans="1:4" x14ac:dyDescent="0.35">
      <c r="A4565" s="8" t="str">
        <f t="shared" si="2325"/>
        <v>Vietnam</v>
      </c>
      <c r="B4565" s="3" t="str">
        <f t="shared" ref="B4565:B4566" si="2355">CHOOSE(2, "1395000000549", "Avg. Case size Manulife Pro Qualifiers - Total")</f>
        <v>Avg. Case size Manulife Pro Qualifiers - Total</v>
      </c>
      <c r="C4565" s="4" t="str">
        <f>CHOOSE(2, "5461730030", "Jun 26")</f>
        <v>Jun 26</v>
      </c>
      <c r="D4565" s="14">
        <v>1580.6880137921605</v>
      </c>
    </row>
    <row r="4566" spans="1:4" x14ac:dyDescent="0.35">
      <c r="A4566" s="8" t="str">
        <f t="shared" si="2325"/>
        <v>Vietnam</v>
      </c>
      <c r="B4566" s="6" t="str">
        <f t="shared" si="2355"/>
        <v>Avg. Case size Manulife Pro Qualifiers - Total</v>
      </c>
      <c r="C4566" s="4" t="str">
        <f>CHOOSE(2, "5462030031", "Jul 26")</f>
        <v>Jul 26</v>
      </c>
      <c r="D4566" s="14">
        <v>1275.5825322137405</v>
      </c>
    </row>
    <row r="4567" spans="1:4" x14ac:dyDescent="0.35">
      <c r="A4567" s="8" t="str">
        <f t="shared" si="2325"/>
        <v>Vietnam</v>
      </c>
      <c r="B4567" s="3" t="str">
        <f t="shared" ref="B4567:B4568" si="2356">CHOOSE(2, "1395000000548", "Avg. Case size FA or equivalent")</f>
        <v>Avg. Case size FA or equivalent</v>
      </c>
      <c r="C4567" s="4" t="str">
        <f>CHOOSE(2, "5461730030", "Jun 26")</f>
        <v>Jun 26</v>
      </c>
      <c r="D4567" s="14">
        <v>0</v>
      </c>
    </row>
    <row r="4568" spans="1:4" x14ac:dyDescent="0.35">
      <c r="A4568" s="8" t="str">
        <f t="shared" si="2325"/>
        <v>Vietnam</v>
      </c>
      <c r="B4568" s="6" t="str">
        <f t="shared" si="2356"/>
        <v>Avg. Case size FA or equivalent</v>
      </c>
      <c r="C4568" s="4" t="str">
        <f>CHOOSE(2, "5462030031", "Jul 26")</f>
        <v>Jul 26</v>
      </c>
      <c r="D4568" s="14">
        <v>0</v>
      </c>
    </row>
    <row r="4569" spans="1:4" x14ac:dyDescent="0.35">
      <c r="A4569" s="8" t="str">
        <f t="shared" si="2325"/>
        <v>Vietnam</v>
      </c>
      <c r="B4569" s="3" t="str">
        <f t="shared" ref="B4569:B4570" si="2357">CHOOSE(2, "1395000000547", "Avg. Case size pro-rated MDRT agents (&gt;100%)")</f>
        <v>Avg. Case size pro-rated MDRT agents (&gt;100%)</v>
      </c>
      <c r="C4569" s="4" t="str">
        <f>CHOOSE(2, "5461730030", "Jun 26")</f>
        <v>Jun 26</v>
      </c>
      <c r="D4569" s="14">
        <v>2051.1146715209129</v>
      </c>
    </row>
    <row r="4570" spans="1:4" x14ac:dyDescent="0.35">
      <c r="A4570" s="8" t="str">
        <f t="shared" si="2325"/>
        <v>Vietnam</v>
      </c>
      <c r="B4570" s="6" t="str">
        <f t="shared" si="2357"/>
        <v>Avg. Case size pro-rated MDRT agents (&gt;100%)</v>
      </c>
      <c r="C4570" s="4" t="str">
        <f>CHOOSE(2, "5462030031", "Jul 26")</f>
        <v>Jul 26</v>
      </c>
      <c r="D4570" s="14">
        <v>1719.6209588888889</v>
      </c>
    </row>
    <row r="4571" spans="1:4" x14ac:dyDescent="0.35">
      <c r="A4571" s="8" t="str">
        <f t="shared" ref="A4571:A4604" si="2358">CHOOSE(2, "204000000005", "Vietnam")</f>
        <v>Vietnam</v>
      </c>
      <c r="B4571" s="3" t="str">
        <f t="shared" ref="B4571:B4572" si="2359">CHOOSE(2, "1395000000546", "Avg. Case size pro-rated MDRT agents (70-99%)")</f>
        <v>Avg. Case size pro-rated MDRT agents (70-99%)</v>
      </c>
      <c r="C4571" s="4" t="str">
        <f>CHOOSE(2, "5461730030", "Jun 26")</f>
        <v>Jun 26</v>
      </c>
      <c r="D4571" s="14">
        <v>1576.4266033846152</v>
      </c>
    </row>
    <row r="4572" spans="1:4" x14ac:dyDescent="0.35">
      <c r="A4572" s="8" t="str">
        <f t="shared" si="2358"/>
        <v>Vietnam</v>
      </c>
      <c r="B4572" s="6" t="str">
        <f t="shared" si="2359"/>
        <v>Avg. Case size pro-rated MDRT agents (70-99%)</v>
      </c>
      <c r="C4572" s="4" t="str">
        <f>CHOOSE(2, "5462030031", "Jul 26")</f>
        <v>Jul 26</v>
      </c>
      <c r="D4572" s="14">
        <v>1377.1072524615383</v>
      </c>
    </row>
    <row r="4573" spans="1:4" x14ac:dyDescent="0.35">
      <c r="A4573" s="8" t="str">
        <f t="shared" si="2358"/>
        <v>Vietnam</v>
      </c>
      <c r="B4573" s="3" t="str">
        <f t="shared" ref="B4573:B4574" si="2360">CHOOSE(2, "1395000000545", "Avg. Case size pro-rated MDRT agents (50-69%)")</f>
        <v>Avg. Case size pro-rated MDRT agents (50-69%)</v>
      </c>
      <c r="C4573" s="4" t="str">
        <f>CHOOSE(2, "5461730030", "Jun 26")</f>
        <v>Jun 26</v>
      </c>
      <c r="D4573" s="14">
        <v>1610.3406492753622</v>
      </c>
    </row>
    <row r="4574" spans="1:4" x14ac:dyDescent="0.35">
      <c r="A4574" s="8" t="str">
        <f t="shared" si="2358"/>
        <v>Vietnam</v>
      </c>
      <c r="B4574" s="6" t="str">
        <f t="shared" si="2360"/>
        <v>Avg. Case size pro-rated MDRT agents (50-69%)</v>
      </c>
      <c r="C4574" s="4" t="str">
        <f>CHOOSE(2, "5462030031", "Jul 26")</f>
        <v>Jul 26</v>
      </c>
      <c r="D4574" s="14">
        <v>1216.1793985786801</v>
      </c>
    </row>
    <row r="4575" spans="1:4" x14ac:dyDescent="0.35">
      <c r="A4575" s="8" t="str">
        <f t="shared" si="2358"/>
        <v>Vietnam</v>
      </c>
      <c r="B4575" s="3" t="str">
        <f t="shared" ref="B4575:B4576" si="2361">CHOOSE(2, "1395000000544", "% of 1-Month Active Agents UM")</f>
        <v>% of 1-Month Active Agents UM</v>
      </c>
      <c r="C4575" s="4" t="str">
        <f>CHOOSE(2, "5461730030", "Jun 26")</f>
        <v>Jun 26</v>
      </c>
      <c r="D4575" s="14">
        <v>0.32082324455205813</v>
      </c>
    </row>
    <row r="4576" spans="1:4" x14ac:dyDescent="0.35">
      <c r="A4576" s="8" t="str">
        <f t="shared" si="2358"/>
        <v>Vietnam</v>
      </c>
      <c r="B4576" s="6" t="str">
        <f t="shared" si="2361"/>
        <v>% of 1-Month Active Agents UM</v>
      </c>
      <c r="C4576" s="4" t="str">
        <f>CHOOSE(2, "5462030031", "Jul 26")</f>
        <v>Jul 26</v>
      </c>
      <c r="D4576" s="14">
        <v>0.30915576694411417</v>
      </c>
    </row>
    <row r="4577" spans="1:4" x14ac:dyDescent="0.35">
      <c r="A4577" s="8" t="str">
        <f t="shared" si="2358"/>
        <v>Vietnam</v>
      </c>
      <c r="B4577" s="3" t="str">
        <f t="shared" ref="B4577:B4578" si="2362">CHOOSE(2, "1395000000543", "% of 1-Month Active Agents Leaders above UM")</f>
        <v>% of 1-Month Active Agents Leaders above UM</v>
      </c>
      <c r="C4577" s="4" t="str">
        <f>CHOOSE(2, "5461730030", "Jun 26")</f>
        <v>Jun 26</v>
      </c>
      <c r="D4577" s="14">
        <v>0.43529411764705883</v>
      </c>
    </row>
    <row r="4578" spans="1:4" x14ac:dyDescent="0.35">
      <c r="A4578" s="8" t="str">
        <f t="shared" si="2358"/>
        <v>Vietnam</v>
      </c>
      <c r="B4578" s="6" t="str">
        <f t="shared" si="2362"/>
        <v>% of 1-Month Active Agents Leaders above UM</v>
      </c>
      <c r="C4578" s="4" t="str">
        <f>CHOOSE(2, "5462030031", "Jul 26")</f>
        <v>Jul 26</v>
      </c>
      <c r="D4578" s="14">
        <v>0.37880633373934225</v>
      </c>
    </row>
    <row r="4579" spans="1:4" x14ac:dyDescent="0.35">
      <c r="A4579" s="8" t="str">
        <f t="shared" si="2358"/>
        <v>Vietnam</v>
      </c>
      <c r="B4579" s="3" t="str">
        <f t="shared" ref="B4579:B4580" si="2363">CHOOSE(2, "1395000000542", "% of 1-Month Active Agents Top-tier agents")</f>
        <v>% of 1-Month Active Agents Top-tier agents</v>
      </c>
      <c r="C4579" s="4" t="str">
        <f>CHOOSE(2, "5461730030", "Jun 26")</f>
        <v>Jun 26</v>
      </c>
      <c r="D4579" s="14">
        <v>0.74774774774774777</v>
      </c>
    </row>
    <row r="4580" spans="1:4" x14ac:dyDescent="0.35">
      <c r="A4580" s="8" t="str">
        <f t="shared" si="2358"/>
        <v>Vietnam</v>
      </c>
      <c r="B4580" s="6" t="str">
        <f t="shared" si="2363"/>
        <v>% of 1-Month Active Agents Top-tier agents</v>
      </c>
      <c r="C4580" s="4" t="str">
        <f>CHOOSE(2, "5462030031", "Jul 26")</f>
        <v>Jul 26</v>
      </c>
      <c r="D4580" s="14">
        <v>0.69987389659520804</v>
      </c>
    </row>
    <row r="4581" spans="1:4" x14ac:dyDescent="0.35">
      <c r="A4581" s="8" t="str">
        <f t="shared" si="2358"/>
        <v>Vietnam</v>
      </c>
      <c r="B4581" s="3" t="str">
        <f t="shared" ref="B4581:B4582" si="2364">CHOOSE(2, "1395000000541", "% of 1-Month Active Agents FA or equivalent")</f>
        <v>% of 1-Month Active Agents FA or equivalent</v>
      </c>
      <c r="C4581" s="4" t="str">
        <f>CHOOSE(2, "5461730030", "Jun 26")</f>
        <v>Jun 26</v>
      </c>
      <c r="D4581" s="14">
        <v>2.8845014807502466E-2</v>
      </c>
    </row>
    <row r="4582" spans="1:4" x14ac:dyDescent="0.35">
      <c r="A4582" s="8" t="str">
        <f t="shared" si="2358"/>
        <v>Vietnam</v>
      </c>
      <c r="B4582" s="6" t="str">
        <f t="shared" si="2364"/>
        <v>% of 1-Month Active Agents FA or equivalent</v>
      </c>
      <c r="C4582" s="4" t="str">
        <f>CHOOSE(2, "5462030031", "Jul 26")</f>
        <v>Jul 26</v>
      </c>
      <c r="D4582" s="14">
        <v>2.4645609081818717E-2</v>
      </c>
    </row>
    <row r="4583" spans="1:4" x14ac:dyDescent="0.35">
      <c r="A4583" s="8" t="str">
        <f t="shared" si="2358"/>
        <v>Vietnam</v>
      </c>
      <c r="B4583" s="3" t="str">
        <f t="shared" ref="B4583:B4584" si="2365">CHOOSE(2, "1395000000540", "% of 1-Month Active Agents pro-rated MDRT agents (&gt;100%)")</f>
        <v>% of 1-Month Active Agents pro-rated MDRT agents (&gt;100%)</v>
      </c>
      <c r="C4583" s="4" t="str">
        <f>CHOOSE(2, "5461730030", "Jun 26")</f>
        <v>Jun 26</v>
      </c>
      <c r="D4583" s="14">
        <v>0.89814814814814814</v>
      </c>
    </row>
    <row r="4584" spans="1:4" x14ac:dyDescent="0.35">
      <c r="A4584" s="8" t="str">
        <f t="shared" si="2358"/>
        <v>Vietnam</v>
      </c>
      <c r="B4584" s="6" t="str">
        <f t="shared" si="2365"/>
        <v>% of 1-Month Active Agents pro-rated MDRT agents (&gt;100%)</v>
      </c>
      <c r="C4584" s="4" t="str">
        <f>CHOOSE(2, "5462030031", "Jul 26")</f>
        <v>Jul 26</v>
      </c>
      <c r="D4584" s="14">
        <v>0.82558139534883723</v>
      </c>
    </row>
    <row r="4585" spans="1:4" x14ac:dyDescent="0.35">
      <c r="A4585" s="8" t="str">
        <f t="shared" si="2358"/>
        <v>Vietnam</v>
      </c>
      <c r="B4585" s="3" t="str">
        <f t="shared" ref="B4585:B4586" si="2366">CHOOSE(2, "1395000000539", "% of 1-Month Active Agents pro-rated MDRT agents (70-99%)")</f>
        <v>% of 1-Month Active Agents pro-rated MDRT agents (70-99%)</v>
      </c>
      <c r="C4585" s="4" t="str">
        <f>CHOOSE(2, "5461730030", "Jun 26")</f>
        <v>Jun 26</v>
      </c>
      <c r="D4585" s="14">
        <v>0.63135593220338981</v>
      </c>
    </row>
    <row r="4586" spans="1:4" x14ac:dyDescent="0.35">
      <c r="A4586" s="8" t="str">
        <f t="shared" si="2358"/>
        <v>Vietnam</v>
      </c>
      <c r="B4586" s="6" t="str">
        <f t="shared" si="2366"/>
        <v>% of 1-Month Active Agents pro-rated MDRT agents (70-99%)</v>
      </c>
      <c r="C4586" s="4" t="str">
        <f>CHOOSE(2, "5462030031", "Jul 26")</f>
        <v>Jul 26</v>
      </c>
      <c r="D4586" s="14">
        <v>0.59176029962546817</v>
      </c>
    </row>
    <row r="4587" spans="1:4" x14ac:dyDescent="0.35">
      <c r="A4587" s="8" t="str">
        <f t="shared" si="2358"/>
        <v>Vietnam</v>
      </c>
      <c r="B4587" s="3" t="str">
        <f t="shared" ref="B4587:B4588" si="2367">CHOOSE(2, "1395000000538", "% of 1-Month Active Agents pro-rated MDRT agents (50-69%)")</f>
        <v>% of 1-Month Active Agents pro-rated MDRT agents (50-69%)</v>
      </c>
      <c r="C4587" s="4" t="str">
        <f>CHOOSE(2, "5461730030", "Jun 26")</f>
        <v>Jun 26</v>
      </c>
      <c r="D4587" s="14">
        <v>0.57727272727272727</v>
      </c>
    </row>
    <row r="4588" spans="1:4" x14ac:dyDescent="0.35">
      <c r="A4588" s="8" t="str">
        <f t="shared" si="2358"/>
        <v>Vietnam</v>
      </c>
      <c r="B4588" s="6" t="str">
        <f t="shared" si="2367"/>
        <v>% of 1-Month Active Agents pro-rated MDRT agents (50-69%)</v>
      </c>
      <c r="C4588" s="4" t="str">
        <f>CHOOSE(2, "5462030031", "Jul 26")</f>
        <v>Jul 26</v>
      </c>
      <c r="D4588" s="14">
        <v>0.62087912087912089</v>
      </c>
    </row>
    <row r="4589" spans="1:4" x14ac:dyDescent="0.35">
      <c r="A4589" s="8" t="str">
        <f t="shared" si="2358"/>
        <v>Vietnam</v>
      </c>
      <c r="B4589" s="3" t="str">
        <f t="shared" ref="B4589:B4590" si="2368">CHOOSE(2, "1395000000537", "Avg. Case count per 1-Month Active Agent UM")</f>
        <v>Avg. Case count per 1-Month Active Agent UM</v>
      </c>
      <c r="C4589" s="4" t="str">
        <f>CHOOSE(2, "5461730030", "Jun 26")</f>
        <v>Jun 26</v>
      </c>
      <c r="D4589" s="14">
        <v>1.6226415094339623</v>
      </c>
    </row>
    <row r="4590" spans="1:4" x14ac:dyDescent="0.35">
      <c r="A4590" s="8" t="str">
        <f t="shared" si="2358"/>
        <v>Vietnam</v>
      </c>
      <c r="B4590" s="6" t="str">
        <f t="shared" si="2368"/>
        <v>Avg. Case count per 1-Month Active Agent UM</v>
      </c>
      <c r="C4590" s="4" t="str">
        <f>CHOOSE(2, "5462030031", "Jul 26")</f>
        <v>Jul 26</v>
      </c>
      <c r="D4590" s="14">
        <v>1.726923076923077</v>
      </c>
    </row>
    <row r="4591" spans="1:4" x14ac:dyDescent="0.35">
      <c r="A4591" s="8" t="str">
        <f t="shared" si="2358"/>
        <v>Vietnam</v>
      </c>
      <c r="B4591" s="3" t="str">
        <f t="shared" ref="B4591:B4592" si="2369">CHOOSE(2, "1395000000536", "Avg. Case count per 1-Month Active Agent Leaders above UM")</f>
        <v>Avg. Case count per 1-Month Active Agent Leaders above UM</v>
      </c>
      <c r="C4591" s="4" t="str">
        <f>CHOOSE(2, "5461730030", "Jun 26")</f>
        <v>Jun 26</v>
      </c>
      <c r="D4591" s="14">
        <v>2.1501501501501501</v>
      </c>
    </row>
    <row r="4592" spans="1:4" x14ac:dyDescent="0.35">
      <c r="A4592" s="8" t="str">
        <f t="shared" si="2358"/>
        <v>Vietnam</v>
      </c>
      <c r="B4592" s="6" t="str">
        <f t="shared" si="2369"/>
        <v>Avg. Case count per 1-Month Active Agent Leaders above UM</v>
      </c>
      <c r="C4592" s="4" t="str">
        <f>CHOOSE(2, "5462030031", "Jul 26")</f>
        <v>Jul 26</v>
      </c>
      <c r="D4592" s="14">
        <v>1.9196141479099678</v>
      </c>
    </row>
    <row r="4593" spans="1:4" x14ac:dyDescent="0.35">
      <c r="A4593" s="8" t="str">
        <f t="shared" si="2358"/>
        <v>Vietnam</v>
      </c>
      <c r="B4593" s="3" t="str">
        <f t="shared" ref="B4593:B4594" si="2370">CHOOSE(2, "1395000000535", "Avg. Case count per 1-Month Active Agent Top-tier agents")</f>
        <v>Avg. Case count per 1-Month Active Agent Top-tier agents</v>
      </c>
      <c r="C4593" s="4" t="str">
        <f>CHOOSE(2, "5461730030", "Jun 26")</f>
        <v>Jun 26</v>
      </c>
      <c r="D4593" s="14">
        <v>2.2876506024096384</v>
      </c>
    </row>
    <row r="4594" spans="1:4" x14ac:dyDescent="0.35">
      <c r="A4594" s="8" t="str">
        <f t="shared" si="2358"/>
        <v>Vietnam</v>
      </c>
      <c r="B4594" s="6" t="str">
        <f t="shared" si="2370"/>
        <v>Avg. Case count per 1-Month Active Agent Top-tier agents</v>
      </c>
      <c r="C4594" s="4" t="str">
        <f>CHOOSE(2, "5462030031", "Jul 26")</f>
        <v>Jul 26</v>
      </c>
      <c r="D4594" s="14">
        <v>2.0558558558558557</v>
      </c>
    </row>
    <row r="4595" spans="1:4" x14ac:dyDescent="0.35">
      <c r="A4595" s="8" t="str">
        <f t="shared" si="2358"/>
        <v>Vietnam</v>
      </c>
      <c r="B4595" s="3" t="str">
        <f t="shared" ref="B4595:B4596" si="2371">CHOOSE(2, "1395000000534", "Avg. Case count per 1-Month Manulife Pro Qualifiers - Total")</f>
        <v>Avg. Case count per 1-Month Manulife Pro Qualifiers - Total</v>
      </c>
      <c r="C4595" s="4" t="str">
        <f>CHOOSE(2, "5461730030", "Jun 26")</f>
        <v>Jun 26</v>
      </c>
      <c r="D4595" s="14">
        <v>1.8499156829679595</v>
      </c>
    </row>
    <row r="4596" spans="1:4" x14ac:dyDescent="0.35">
      <c r="A4596" s="8" t="str">
        <f t="shared" si="2358"/>
        <v>Vietnam</v>
      </c>
      <c r="B4596" s="6" t="str">
        <f t="shared" si="2371"/>
        <v>Avg. Case count per 1-Month Manulife Pro Qualifiers - Total</v>
      </c>
      <c r="C4596" s="4" t="str">
        <f>CHOOSE(2, "5462030031", "Jul 26")</f>
        <v>Jul 26</v>
      </c>
      <c r="D4596" s="14">
        <v>1.7533460803059273</v>
      </c>
    </row>
    <row r="4597" spans="1:4" x14ac:dyDescent="0.35">
      <c r="A4597" s="8" t="str">
        <f t="shared" si="2358"/>
        <v>Vietnam</v>
      </c>
      <c r="B4597" s="3" t="str">
        <f t="shared" ref="B4597:B4598" si="2372">CHOOSE(2, "1395000000533", "Avg. Case count per 1-Month Active Agent FA or equivalent")</f>
        <v>Avg. Case count per 1-Month Active Agent FA or equivalent</v>
      </c>
      <c r="C4597" s="4" t="str">
        <f>CHOOSE(2, "5461730030", "Jun 26")</f>
        <v>Jun 26</v>
      </c>
      <c r="D4597" s="14">
        <v>1.4147843942505134</v>
      </c>
    </row>
    <row r="4598" spans="1:4" x14ac:dyDescent="0.35">
      <c r="A4598" s="8" t="str">
        <f t="shared" si="2358"/>
        <v>Vietnam</v>
      </c>
      <c r="B4598" s="6" t="str">
        <f t="shared" si="2372"/>
        <v>Avg. Case count per 1-Month Active Agent FA or equivalent</v>
      </c>
      <c r="C4598" s="4" t="str">
        <f>CHOOSE(2, "5462030031", "Jul 26")</f>
        <v>Jul 26</v>
      </c>
      <c r="D4598" s="14">
        <v>1.3174224343675418</v>
      </c>
    </row>
    <row r="4599" spans="1:4" x14ac:dyDescent="0.35">
      <c r="A4599" s="8" t="str">
        <f t="shared" si="2358"/>
        <v>Vietnam</v>
      </c>
      <c r="B4599" s="3" t="str">
        <f t="shared" ref="B4599:B4600" si="2373">CHOOSE(2, "1395000000532", "Avg. Case count per 1-Month pro-rated MDRT agents (&gt;100%)")</f>
        <v>Avg. Case count per 1-Month pro-rated MDRT agents (&gt;100%)</v>
      </c>
      <c r="C4599" s="4" t="str">
        <f>CHOOSE(2, "5461730030", "Jun 26")</f>
        <v>Jun 26</v>
      </c>
      <c r="D4599" s="14">
        <v>2.7113402061855671</v>
      </c>
    </row>
    <row r="4600" spans="1:4" x14ac:dyDescent="0.35">
      <c r="A4600" s="8" t="str">
        <f t="shared" si="2358"/>
        <v>Vietnam</v>
      </c>
      <c r="B4600" s="6" t="str">
        <f t="shared" si="2373"/>
        <v>Avg. Case count per 1-Month pro-rated MDRT agents (&gt;100%)</v>
      </c>
      <c r="C4600" s="4" t="str">
        <f>CHOOSE(2, "5462030031", "Jul 26")</f>
        <v>Jul 26</v>
      </c>
      <c r="D4600" s="14">
        <v>2.408450704225352</v>
      </c>
    </row>
    <row r="4601" spans="1:4" x14ac:dyDescent="0.35">
      <c r="A4601" s="8" t="str">
        <f t="shared" si="2358"/>
        <v>Vietnam</v>
      </c>
      <c r="B4601" s="3" t="str">
        <f t="shared" ref="B4601:B4602" si="2374">CHOOSE(2, "1395000000531", "Avg. Case count per 1-Month pro-rated MDRT agents (70-99%)")</f>
        <v>Avg. Case count per 1-Month pro-rated MDRT agents (70-99%)</v>
      </c>
      <c r="C4601" s="4" t="str">
        <f>CHOOSE(2, "5461730030", "Jun 26")</f>
        <v>Jun 26</v>
      </c>
      <c r="D4601" s="14">
        <v>1.7449664429530201</v>
      </c>
    </row>
    <row r="4602" spans="1:4" x14ac:dyDescent="0.35">
      <c r="A4602" s="8" t="str">
        <f t="shared" si="2358"/>
        <v>Vietnam</v>
      </c>
      <c r="B4602" s="6" t="str">
        <f t="shared" si="2374"/>
        <v>Avg. Case count per 1-Month pro-rated MDRT agents (70-99%)</v>
      </c>
      <c r="C4602" s="4" t="str">
        <f>CHOOSE(2, "5462030031", "Jul 26")</f>
        <v>Jul 26</v>
      </c>
      <c r="D4602" s="14">
        <v>1.6455696202531647</v>
      </c>
    </row>
    <row r="4603" spans="1:4" x14ac:dyDescent="0.35">
      <c r="A4603" s="8" t="str">
        <f t="shared" si="2358"/>
        <v>Vietnam</v>
      </c>
      <c r="B4603" s="3" t="str">
        <f t="shared" ref="B4603:B4604" si="2375">CHOOSE(2, "1395000000530", "Avg. Case count per 1-Month pro-rated MDRT agents (50-69%)")</f>
        <v>Avg. Case count per 1-Month pro-rated MDRT agents (50-69%)</v>
      </c>
      <c r="C4603" s="4" t="str">
        <f>CHOOSE(2, "5461730030", "Jun 26")</f>
        <v>Jun 26</v>
      </c>
      <c r="D4603" s="14">
        <v>1.6299212598425197</v>
      </c>
    </row>
    <row r="4604" spans="1:4" x14ac:dyDescent="0.35">
      <c r="A4604" s="9" t="str">
        <f t="shared" si="2358"/>
        <v>Vietnam</v>
      </c>
      <c r="B4604" s="6" t="str">
        <f t="shared" si="2375"/>
        <v>Avg. Case count per 1-Month pro-rated MDRT agents (50-69%)</v>
      </c>
      <c r="C4604" s="4" t="str">
        <f>CHOOSE(2, "5462030031", "Jul 26")</f>
        <v>Jul 26</v>
      </c>
      <c r="D4604" s="14">
        <v>1.7433628318584071</v>
      </c>
    </row>
    <row r="4605" spans="1:4" x14ac:dyDescent="0.35">
      <c r="A4605" s="3" t="str">
        <f t="shared" ref="A4605:A4668" si="2376">CHOOSE(2, "1260000000005", "BRANCH")</f>
        <v>BRANCH</v>
      </c>
      <c r="B4605" s="3" t="str">
        <f t="shared" ref="B4605:B4606" si="2377">CHOOSE(2, "1395000000741", "Submitted APE")</f>
        <v>Submitted APE</v>
      </c>
      <c r="C4605" s="4" t="str">
        <f>CHOOSE(2, "5461730030", "Jun 26")</f>
        <v>Jun 26</v>
      </c>
      <c r="D4605" s="14">
        <v>1.3246811400000001E-4</v>
      </c>
    </row>
    <row r="4606" spans="1:4" x14ac:dyDescent="0.35">
      <c r="A4606" s="5" t="str">
        <f t="shared" si="2376"/>
        <v>BRANCH</v>
      </c>
      <c r="B4606" s="6" t="str">
        <f t="shared" si="2377"/>
        <v>Submitted APE</v>
      </c>
      <c r="C4606" s="4" t="str">
        <f>CHOOSE(2, "5462030031", "Jul 26")</f>
        <v>Jul 26</v>
      </c>
      <c r="D4606" s="14">
        <v>1.27035957E-4</v>
      </c>
    </row>
    <row r="4607" spans="1:4" x14ac:dyDescent="0.35">
      <c r="A4607" s="5" t="str">
        <f t="shared" si="2376"/>
        <v>BRANCH</v>
      </c>
      <c r="B4607" s="3" t="str">
        <f t="shared" ref="B4607:B4608" si="2378">CHOOSE(2, "1395000000740", "# of 1-Month Active Agents")</f>
        <v># of 1-Month Active Agents</v>
      </c>
      <c r="C4607" s="4" t="str">
        <f>CHOOSE(2, "5461730030", "Jun 26")</f>
        <v>Jun 26</v>
      </c>
      <c r="D4607" s="14">
        <v>1377</v>
      </c>
    </row>
    <row r="4608" spans="1:4" x14ac:dyDescent="0.35">
      <c r="A4608" s="5" t="str">
        <f t="shared" si="2376"/>
        <v>BRANCH</v>
      </c>
      <c r="B4608" s="6" t="str">
        <f t="shared" si="2378"/>
        <v># of 1-Month Active Agents</v>
      </c>
      <c r="C4608" s="4" t="str">
        <f>CHOOSE(2, "5462030031", "Jul 26")</f>
        <v>Jul 26</v>
      </c>
      <c r="D4608" s="14">
        <v>1178</v>
      </c>
    </row>
    <row r="4609" spans="1:4" x14ac:dyDescent="0.35">
      <c r="A4609" s="5" t="str">
        <f t="shared" si="2376"/>
        <v>BRANCH</v>
      </c>
      <c r="B4609" s="3" t="str">
        <f t="shared" ref="B4609:B4610" si="2379">CHOOSE(2, "1395000000739", "# of 1-Month Active Agents in 0-1M")</f>
        <v># of 1-Month Active Agents in 0-1M</v>
      </c>
      <c r="C4609" s="4" t="str">
        <f>CHOOSE(2, "5461730030", "Jun 26")</f>
        <v>Jun 26</v>
      </c>
      <c r="D4609" s="14">
        <v>48</v>
      </c>
    </row>
    <row r="4610" spans="1:4" x14ac:dyDescent="0.35">
      <c r="A4610" s="5" t="str">
        <f t="shared" si="2376"/>
        <v>BRANCH</v>
      </c>
      <c r="B4610" s="6" t="str">
        <f t="shared" si="2379"/>
        <v># of 1-Month Active Agents in 0-1M</v>
      </c>
      <c r="C4610" s="4" t="str">
        <f>CHOOSE(2, "5462030031", "Jul 26")</f>
        <v>Jul 26</v>
      </c>
      <c r="D4610" s="14">
        <v>50</v>
      </c>
    </row>
    <row r="4611" spans="1:4" x14ac:dyDescent="0.35">
      <c r="A4611" s="5" t="str">
        <f t="shared" si="2376"/>
        <v>BRANCH</v>
      </c>
      <c r="B4611" s="3" t="str">
        <f t="shared" ref="B4611:B4612" si="2380">CHOOSE(2, "1395000000738", "# of 1-Month Active Agents in 2-3M")</f>
        <v># of 1-Month Active Agents in 2-3M</v>
      </c>
      <c r="C4611" s="4" t="str">
        <f>CHOOSE(2, "5461730030", "Jun 26")</f>
        <v>Jun 26</v>
      </c>
      <c r="D4611" s="14">
        <v>119</v>
      </c>
    </row>
    <row r="4612" spans="1:4" x14ac:dyDescent="0.35">
      <c r="A4612" s="5" t="str">
        <f t="shared" si="2376"/>
        <v>BRANCH</v>
      </c>
      <c r="B4612" s="6" t="str">
        <f t="shared" si="2380"/>
        <v># of 1-Month Active Agents in 2-3M</v>
      </c>
      <c r="C4612" s="4" t="str">
        <f>CHOOSE(2, "5462030031", "Jul 26")</f>
        <v>Jul 26</v>
      </c>
      <c r="D4612" s="14">
        <v>101</v>
      </c>
    </row>
    <row r="4613" spans="1:4" x14ac:dyDescent="0.35">
      <c r="A4613" s="5" t="str">
        <f t="shared" si="2376"/>
        <v>BRANCH</v>
      </c>
      <c r="B4613" s="3" t="str">
        <f t="shared" ref="B4613:B4614" si="2381">CHOOSE(2, "1395000000737", "# of 1-Month Active Agents in 4-12M")</f>
        <v># of 1-Month Active Agents in 4-12M</v>
      </c>
      <c r="C4613" s="4" t="str">
        <f>CHOOSE(2, "5461730030", "Jun 26")</f>
        <v>Jun 26</v>
      </c>
      <c r="D4613" s="14">
        <v>136</v>
      </c>
    </row>
    <row r="4614" spans="1:4" x14ac:dyDescent="0.35">
      <c r="A4614" s="5" t="str">
        <f t="shared" si="2376"/>
        <v>BRANCH</v>
      </c>
      <c r="B4614" s="6" t="str">
        <f t="shared" si="2381"/>
        <v># of 1-Month Active Agents in 4-12M</v>
      </c>
      <c r="C4614" s="4" t="str">
        <f>CHOOSE(2, "5462030031", "Jul 26")</f>
        <v>Jul 26</v>
      </c>
      <c r="D4614" s="14">
        <v>109</v>
      </c>
    </row>
    <row r="4615" spans="1:4" x14ac:dyDescent="0.35">
      <c r="A4615" s="5" t="str">
        <f t="shared" si="2376"/>
        <v>BRANCH</v>
      </c>
      <c r="B4615" s="3" t="str">
        <f t="shared" ref="B4615:B4616" si="2382">CHOOSE(2, "1395000000736", "# of 1-Month Active Agents 13+M")</f>
        <v># of 1-Month Active Agents 13+M</v>
      </c>
      <c r="C4615" s="4" t="str">
        <f>CHOOSE(2, "5461730030", "Jun 26")</f>
        <v>Jun 26</v>
      </c>
      <c r="D4615" s="14">
        <v>1074</v>
      </c>
    </row>
    <row r="4616" spans="1:4" x14ac:dyDescent="0.35">
      <c r="A4616" s="5" t="str">
        <f t="shared" si="2376"/>
        <v>BRANCH</v>
      </c>
      <c r="B4616" s="6" t="str">
        <f t="shared" si="2382"/>
        <v># of 1-Month Active Agents 13+M</v>
      </c>
      <c r="C4616" s="4" t="str">
        <f>CHOOSE(2, "5462030031", "Jul 26")</f>
        <v>Jul 26</v>
      </c>
      <c r="D4616" s="14">
        <v>918</v>
      </c>
    </row>
    <row r="4617" spans="1:4" x14ac:dyDescent="0.35">
      <c r="A4617" s="5" t="str">
        <f t="shared" si="2376"/>
        <v>BRANCH</v>
      </c>
      <c r="B4617" s="3" t="str">
        <f t="shared" ref="B4617:B4618" si="2383">CHOOSE(2, "1395000000735", "# of 1-Month Active Agents in FA or equivalent")</f>
        <v># of 1-Month Active Agents in FA or equivalent</v>
      </c>
      <c r="C4617" s="4" t="str">
        <f>CHOOSE(2, "5461730030", "Jun 26")</f>
        <v>Jun 26</v>
      </c>
      <c r="D4617" s="14">
        <v>1114</v>
      </c>
    </row>
    <row r="4618" spans="1:4" x14ac:dyDescent="0.35">
      <c r="A4618" s="5" t="str">
        <f t="shared" si="2376"/>
        <v>BRANCH</v>
      </c>
      <c r="B4618" s="6" t="str">
        <f t="shared" si="2383"/>
        <v># of 1-Month Active Agents in FA or equivalent</v>
      </c>
      <c r="C4618" s="4" t="str">
        <f>CHOOSE(2, "5462030031", "Jul 26")</f>
        <v>Jul 26</v>
      </c>
      <c r="D4618" s="14">
        <v>892</v>
      </c>
    </row>
    <row r="4619" spans="1:4" x14ac:dyDescent="0.35">
      <c r="A4619" s="5" t="str">
        <f t="shared" si="2376"/>
        <v>BRANCH</v>
      </c>
      <c r="B4619" s="3" t="str">
        <f t="shared" ref="B4619:B4620" si="2384">CHOOSE(2, "1395000000734", "# of 1-Month Active Agents in UM")</f>
        <v># of 1-Month Active Agents in UM</v>
      </c>
      <c r="C4619" s="4" t="str">
        <f>CHOOSE(2, "5461730030", "Jun 26")</f>
        <v>Jun 26</v>
      </c>
      <c r="D4619" s="14">
        <v>139</v>
      </c>
    </row>
    <row r="4620" spans="1:4" x14ac:dyDescent="0.35">
      <c r="A4620" s="5" t="str">
        <f t="shared" si="2376"/>
        <v>BRANCH</v>
      </c>
      <c r="B4620" s="6" t="str">
        <f t="shared" si="2384"/>
        <v># of 1-Month Active Agents in UM</v>
      </c>
      <c r="C4620" s="4" t="str">
        <f>CHOOSE(2, "5462030031", "Jul 26")</f>
        <v>Jul 26</v>
      </c>
      <c r="D4620" s="14">
        <v>147</v>
      </c>
    </row>
    <row r="4621" spans="1:4" x14ac:dyDescent="0.35">
      <c r="A4621" s="5" t="str">
        <f t="shared" si="2376"/>
        <v>BRANCH</v>
      </c>
      <c r="B4621" s="3" t="str">
        <f t="shared" ref="B4621:B4622" si="2385">CHOOSE(2, "1395000000733", "# of 1-Month Active Agents in Leaders above UM")</f>
        <v># of 1-Month Active Agents in Leaders above UM</v>
      </c>
      <c r="C4621" s="4" t="str">
        <f>CHOOSE(2, "5461730030", "Jun 26")</f>
        <v>Jun 26</v>
      </c>
      <c r="D4621" s="14">
        <v>124</v>
      </c>
    </row>
    <row r="4622" spans="1:4" x14ac:dyDescent="0.35">
      <c r="A4622" s="5" t="str">
        <f t="shared" si="2376"/>
        <v>BRANCH</v>
      </c>
      <c r="B4622" s="6" t="str">
        <f t="shared" si="2385"/>
        <v># of 1-Month Active Agents in Leaders above UM</v>
      </c>
      <c r="C4622" s="4" t="str">
        <f>CHOOSE(2, "5462030031", "Jul 26")</f>
        <v>Jul 26</v>
      </c>
      <c r="D4622" s="14">
        <v>139</v>
      </c>
    </row>
    <row r="4623" spans="1:4" x14ac:dyDescent="0.35">
      <c r="A4623" s="5" t="str">
        <f t="shared" si="2376"/>
        <v>BRANCH</v>
      </c>
      <c r="B4623" s="3" t="str">
        <f t="shared" ref="B4623:B4624" si="2386">CHOOSE(2, "1395000000732", "# of 1-Month Active Top-tier Agents")</f>
        <v># of 1-Month Active Top-tier Agents</v>
      </c>
      <c r="C4623" s="4" t="str">
        <f>CHOOSE(2, "5461730030", "Jun 26")</f>
        <v>Jun 26</v>
      </c>
      <c r="D4623" s="14">
        <v>99</v>
      </c>
    </row>
    <row r="4624" spans="1:4" x14ac:dyDescent="0.35">
      <c r="A4624" s="5" t="str">
        <f t="shared" si="2376"/>
        <v>BRANCH</v>
      </c>
      <c r="B4624" s="6" t="str">
        <f t="shared" si="2386"/>
        <v># of 1-Month Active Top-tier Agents</v>
      </c>
      <c r="C4624" s="4" t="str">
        <f>CHOOSE(2, "5462030031", "Jul 26")</f>
        <v>Jul 26</v>
      </c>
      <c r="D4624" s="14">
        <v>113</v>
      </c>
    </row>
    <row r="4625" spans="1:4" x14ac:dyDescent="0.35">
      <c r="A4625" s="5" t="str">
        <f t="shared" si="2376"/>
        <v>BRANCH</v>
      </c>
      <c r="B4625" s="3" t="str">
        <f t="shared" ref="B4625:B4626" si="2387">CHOOSE(2, "1395000000731", "# of 1-Month Active Agents in pro-rated MDRT agents (&gt;100%)")</f>
        <v># of 1-Month Active Agents in pro-rated MDRT agents (&gt;100%)</v>
      </c>
      <c r="C4625" s="4" t="str">
        <f>CHOOSE(2, "5461730030", "Jun 26")</f>
        <v>Jun 26</v>
      </c>
      <c r="D4625" s="14">
        <v>51</v>
      </c>
    </row>
    <row r="4626" spans="1:4" x14ac:dyDescent="0.35">
      <c r="A4626" s="5" t="str">
        <f t="shared" si="2376"/>
        <v>BRANCH</v>
      </c>
      <c r="B4626" s="6" t="str">
        <f t="shared" si="2387"/>
        <v># of 1-Month Active Agents in pro-rated MDRT agents (&gt;100%)</v>
      </c>
      <c r="C4626" s="4" t="str">
        <f>CHOOSE(2, "5462030031", "Jul 26")</f>
        <v>Jul 26</v>
      </c>
      <c r="D4626" s="14">
        <v>50</v>
      </c>
    </row>
    <row r="4627" spans="1:4" x14ac:dyDescent="0.35">
      <c r="A4627" s="5" t="str">
        <f t="shared" si="2376"/>
        <v>BRANCH</v>
      </c>
      <c r="B4627" s="3" t="str">
        <f t="shared" ref="B4627:B4628" si="2388">CHOOSE(2, "1395000000730", "# of 1-Month Active Agents in pro-rated MDRT agents (70-99%)")</f>
        <v># of 1-Month Active Agents in pro-rated MDRT agents (70-99%)</v>
      </c>
      <c r="C4627" s="4" t="str">
        <f>CHOOSE(2, "5461730030", "Jun 26")</f>
        <v>Jun 26</v>
      </c>
      <c r="D4627" s="14">
        <v>24</v>
      </c>
    </row>
    <row r="4628" spans="1:4" x14ac:dyDescent="0.35">
      <c r="A4628" s="5" t="str">
        <f t="shared" si="2376"/>
        <v>BRANCH</v>
      </c>
      <c r="B4628" s="6" t="str">
        <f t="shared" si="2388"/>
        <v># of 1-Month Active Agents in pro-rated MDRT agents (70-99%)</v>
      </c>
      <c r="C4628" s="4" t="str">
        <f>CHOOSE(2, "5462030031", "Jul 26")</f>
        <v>Jul 26</v>
      </c>
      <c r="D4628" s="14">
        <v>23</v>
      </c>
    </row>
    <row r="4629" spans="1:4" x14ac:dyDescent="0.35">
      <c r="A4629" s="5" t="str">
        <f t="shared" si="2376"/>
        <v>BRANCH</v>
      </c>
      <c r="B4629" s="3" t="str">
        <f t="shared" ref="B4629:B4630" si="2389">CHOOSE(2, "1395000000729", "# of 1-Month Active Agents in pro-rated MDRT agents (50-69%)")</f>
        <v># of 1-Month Active Agents in pro-rated MDRT agents (50-69%)</v>
      </c>
      <c r="C4629" s="4" t="str">
        <f>CHOOSE(2, "5461730030", "Jun 26")</f>
        <v>Jun 26</v>
      </c>
      <c r="D4629" s="14">
        <v>24</v>
      </c>
    </row>
    <row r="4630" spans="1:4" x14ac:dyDescent="0.35">
      <c r="A4630" s="5" t="str">
        <f t="shared" si="2376"/>
        <v>BRANCH</v>
      </c>
      <c r="B4630" s="6" t="str">
        <f t="shared" si="2389"/>
        <v># of 1-Month Active Agents in pro-rated MDRT agents (50-69%)</v>
      </c>
      <c r="C4630" s="4" t="str">
        <f>CHOOSE(2, "5462030031", "Jul 26")</f>
        <v>Jul 26</v>
      </c>
      <c r="D4630" s="14">
        <v>40</v>
      </c>
    </row>
    <row r="4631" spans="1:4" x14ac:dyDescent="0.35">
      <c r="A4631" s="5" t="str">
        <f t="shared" si="2376"/>
        <v>BRANCH</v>
      </c>
      <c r="B4631" s="3" t="str">
        <f t="shared" ref="B4631:B4632" si="2390">CHOOSE(2, "1395000000728", "# of 1-Month Active Agents in Manulife Pro Qualifiers -Total")</f>
        <v># of 1-Month Active Agents in Manulife Pro Qualifiers -Total</v>
      </c>
      <c r="C4631" s="4" t="str">
        <f>CHOOSE(2, "5461730030", "Jun 26")</f>
        <v>Jun 26</v>
      </c>
      <c r="D4631" s="14">
        <v>51</v>
      </c>
    </row>
    <row r="4632" spans="1:4" x14ac:dyDescent="0.35">
      <c r="A4632" s="5" t="str">
        <f t="shared" si="2376"/>
        <v>BRANCH</v>
      </c>
      <c r="B4632" s="6" t="str">
        <f t="shared" si="2390"/>
        <v># of 1-Month Active Agents in Manulife Pro Qualifiers -Total</v>
      </c>
      <c r="C4632" s="4" t="str">
        <f>CHOOSE(2, "5462030031", "Jul 26")</f>
        <v>Jul 26</v>
      </c>
      <c r="D4632" s="14">
        <v>60</v>
      </c>
    </row>
    <row r="4633" spans="1:4" x14ac:dyDescent="0.35">
      <c r="A4633" s="5" t="str">
        <f t="shared" si="2376"/>
        <v>BRANCH</v>
      </c>
      <c r="B4633" s="3" t="str">
        <f t="shared" ref="B4633:B4634" si="2391">CHOOSE(2, "1395000000727", "# of 3-Month Active Agents")</f>
        <v># of 3-Month Active Agents</v>
      </c>
      <c r="C4633" s="4" t="str">
        <f>CHOOSE(2, "5461730030", "Jun 26")</f>
        <v>Jun 26</v>
      </c>
      <c r="D4633" s="14">
        <v>2568</v>
      </c>
    </row>
    <row r="4634" spans="1:4" x14ac:dyDescent="0.35">
      <c r="A4634" s="5" t="str">
        <f t="shared" si="2376"/>
        <v>BRANCH</v>
      </c>
      <c r="B4634" s="6" t="str">
        <f t="shared" si="2391"/>
        <v># of 3-Month Active Agents</v>
      </c>
      <c r="C4634" s="4" t="str">
        <f>CHOOSE(2, "5462030031", "Jul 26")</f>
        <v>Jul 26</v>
      </c>
      <c r="D4634" s="14">
        <v>2696</v>
      </c>
    </row>
    <row r="4635" spans="1:4" x14ac:dyDescent="0.35">
      <c r="A4635" s="5" t="str">
        <f t="shared" si="2376"/>
        <v>BRANCH</v>
      </c>
      <c r="B4635" s="3" t="str">
        <f t="shared" ref="B4635:B4636" si="2392">CHOOSE(2, "1395000000726", "# of 3-Month Active Agents in 0-1M")</f>
        <v># of 3-Month Active Agents in 0-1M</v>
      </c>
      <c r="C4635" s="4" t="str">
        <f>CHOOSE(2, "5461730030", "Jun 26")</f>
        <v>Jun 26</v>
      </c>
      <c r="D4635" s="14">
        <v>49</v>
      </c>
    </row>
    <row r="4636" spans="1:4" x14ac:dyDescent="0.35">
      <c r="A4636" s="5" t="str">
        <f t="shared" si="2376"/>
        <v>BRANCH</v>
      </c>
      <c r="B4636" s="6" t="str">
        <f t="shared" si="2392"/>
        <v># of 3-Month Active Agents in 0-1M</v>
      </c>
      <c r="C4636" s="4" t="str">
        <f>CHOOSE(2, "5462030031", "Jul 26")</f>
        <v>Jul 26</v>
      </c>
      <c r="D4636" s="14">
        <v>50</v>
      </c>
    </row>
    <row r="4637" spans="1:4" x14ac:dyDescent="0.35">
      <c r="A4637" s="5" t="str">
        <f t="shared" si="2376"/>
        <v>BRANCH</v>
      </c>
      <c r="B4637" s="3" t="str">
        <f t="shared" ref="B4637:B4638" si="2393">CHOOSE(2, "1395000000725", "# of 3-Month Active Agents in 2-3M")</f>
        <v># of 3-Month Active Agents in 2-3M</v>
      </c>
      <c r="C4637" s="4" t="str">
        <f>CHOOSE(2, "5461730030", "Jun 26")</f>
        <v>Jun 26</v>
      </c>
      <c r="D4637" s="14">
        <v>203</v>
      </c>
    </row>
    <row r="4638" spans="1:4" x14ac:dyDescent="0.35">
      <c r="A4638" s="5" t="str">
        <f t="shared" si="2376"/>
        <v>BRANCH</v>
      </c>
      <c r="B4638" s="6" t="str">
        <f t="shared" si="2393"/>
        <v># of 3-Month Active Agents in 2-3M</v>
      </c>
      <c r="C4638" s="4" t="str">
        <f>CHOOSE(2, "5462030031", "Jul 26")</f>
        <v>Jul 26</v>
      </c>
      <c r="D4638" s="14">
        <v>218</v>
      </c>
    </row>
    <row r="4639" spans="1:4" x14ac:dyDescent="0.35">
      <c r="A4639" s="5" t="str">
        <f t="shared" si="2376"/>
        <v>BRANCH</v>
      </c>
      <c r="B4639" s="3" t="str">
        <f t="shared" ref="B4639:B4640" si="2394">CHOOSE(2, "1395000000724", "# of 3-Month Active Agents in 4-12M")</f>
        <v># of 3-Month Active Agents in 4-12M</v>
      </c>
      <c r="C4639" s="4" t="str">
        <f>CHOOSE(2, "5461730030", "Jun 26")</f>
        <v>Jun 26</v>
      </c>
      <c r="D4639" s="14">
        <v>328</v>
      </c>
    </row>
    <row r="4640" spans="1:4" x14ac:dyDescent="0.35">
      <c r="A4640" s="5" t="str">
        <f t="shared" si="2376"/>
        <v>BRANCH</v>
      </c>
      <c r="B4640" s="6" t="str">
        <f t="shared" si="2394"/>
        <v># of 3-Month Active Agents in 4-12M</v>
      </c>
      <c r="C4640" s="4" t="str">
        <f>CHOOSE(2, "5462030031", "Jul 26")</f>
        <v>Jul 26</v>
      </c>
      <c r="D4640" s="14">
        <v>334</v>
      </c>
    </row>
    <row r="4641" spans="1:4" x14ac:dyDescent="0.35">
      <c r="A4641" s="5" t="str">
        <f t="shared" si="2376"/>
        <v>BRANCH</v>
      </c>
      <c r="B4641" s="3" t="str">
        <f t="shared" ref="B4641:B4642" si="2395">CHOOSE(2, "1395000000723", "# of 3-Month Active Agents 13+M")</f>
        <v># of 3-Month Active Agents 13+M</v>
      </c>
      <c r="C4641" s="4" t="str">
        <f>CHOOSE(2, "5461730030", "Jun 26")</f>
        <v>Jun 26</v>
      </c>
      <c r="D4641" s="14">
        <v>1988</v>
      </c>
    </row>
    <row r="4642" spans="1:4" x14ac:dyDescent="0.35">
      <c r="A4642" s="5" t="str">
        <f t="shared" si="2376"/>
        <v>BRANCH</v>
      </c>
      <c r="B4642" s="6" t="str">
        <f t="shared" si="2395"/>
        <v># of 3-Month Active Agents 13+M</v>
      </c>
      <c r="C4642" s="4" t="str">
        <f>CHOOSE(2, "5462030031", "Jul 26")</f>
        <v>Jul 26</v>
      </c>
      <c r="D4642" s="14">
        <v>2094</v>
      </c>
    </row>
    <row r="4643" spans="1:4" x14ac:dyDescent="0.35">
      <c r="A4643" s="5" t="str">
        <f t="shared" si="2376"/>
        <v>BRANCH</v>
      </c>
      <c r="B4643" s="3" t="str">
        <f t="shared" ref="B4643:B4644" si="2396">CHOOSE(2, "1395000000722", "# of 3-Month Active Agents in UM")</f>
        <v># of 3-Month Active Agents in UM</v>
      </c>
      <c r="C4643" s="4" t="str">
        <f>CHOOSE(2, "5461730030", "Jun 26")</f>
        <v>Jun 26</v>
      </c>
      <c r="D4643" s="2" t="s">
        <v>5</v>
      </c>
    </row>
    <row r="4644" spans="1:4" x14ac:dyDescent="0.35">
      <c r="A4644" s="5" t="str">
        <f t="shared" si="2376"/>
        <v>BRANCH</v>
      </c>
      <c r="B4644" s="6" t="str">
        <f t="shared" si="2396"/>
        <v># of 3-Month Active Agents in UM</v>
      </c>
      <c r="C4644" s="4" t="str">
        <f>CHOOSE(2, "5462030031", "Jul 26")</f>
        <v>Jul 26</v>
      </c>
      <c r="D4644" s="2" t="s">
        <v>5</v>
      </c>
    </row>
    <row r="4645" spans="1:4" x14ac:dyDescent="0.35">
      <c r="A4645" s="5" t="str">
        <f t="shared" si="2376"/>
        <v>BRANCH</v>
      </c>
      <c r="B4645" s="3" t="str">
        <f t="shared" ref="B4645:B4646" si="2397">CHOOSE(2, "1395000000721", "# of 3-Month Active Agents in Leaders above UM")</f>
        <v># of 3-Month Active Agents in Leaders above UM</v>
      </c>
      <c r="C4645" s="4" t="str">
        <f>CHOOSE(2, "5461730030", "Jun 26")</f>
        <v>Jun 26</v>
      </c>
      <c r="D4645" s="2" t="s">
        <v>5</v>
      </c>
    </row>
    <row r="4646" spans="1:4" x14ac:dyDescent="0.35">
      <c r="A4646" s="5" t="str">
        <f t="shared" si="2376"/>
        <v>BRANCH</v>
      </c>
      <c r="B4646" s="6" t="str">
        <f t="shared" si="2397"/>
        <v># of 3-Month Active Agents in Leaders above UM</v>
      </c>
      <c r="C4646" s="4" t="str">
        <f>CHOOSE(2, "5462030031", "Jul 26")</f>
        <v>Jul 26</v>
      </c>
      <c r="D4646" s="2" t="s">
        <v>5</v>
      </c>
    </row>
    <row r="4647" spans="1:4" x14ac:dyDescent="0.35">
      <c r="A4647" s="5" t="str">
        <f t="shared" si="2376"/>
        <v>BRANCH</v>
      </c>
      <c r="B4647" s="3" t="str">
        <f t="shared" ref="B4647:B4648" si="2398">CHOOSE(2, "1395000000720", "# of 3-Month Active Agents in FA or equivalent")</f>
        <v># of 3-Month Active Agents in FA or equivalent</v>
      </c>
      <c r="C4647" s="4" t="str">
        <f>CHOOSE(2, "5461730030", "Jun 26")</f>
        <v>Jun 26</v>
      </c>
      <c r="D4647" s="2" t="s">
        <v>5</v>
      </c>
    </row>
    <row r="4648" spans="1:4" x14ac:dyDescent="0.35">
      <c r="A4648" s="5" t="str">
        <f t="shared" si="2376"/>
        <v>BRANCH</v>
      </c>
      <c r="B4648" s="6" t="str">
        <f t="shared" si="2398"/>
        <v># of 3-Month Active Agents in FA or equivalent</v>
      </c>
      <c r="C4648" s="4" t="str">
        <f>CHOOSE(2, "5462030031", "Jul 26")</f>
        <v>Jul 26</v>
      </c>
      <c r="D4648" s="2" t="s">
        <v>5</v>
      </c>
    </row>
    <row r="4649" spans="1:4" x14ac:dyDescent="0.35">
      <c r="A4649" s="5" t="str">
        <f t="shared" si="2376"/>
        <v>BRANCH</v>
      </c>
      <c r="B4649" s="3" t="str">
        <f t="shared" ref="B4649:B4650" si="2399">CHOOSE(2, "1395000000719", "Net Case Count - Agency")</f>
        <v>Net Case Count - Agency</v>
      </c>
      <c r="C4649" s="4" t="str">
        <f>CHOOSE(2, "5461730030", "Jun 26")</f>
        <v>Jun 26</v>
      </c>
      <c r="D4649" s="14">
        <v>1624.5</v>
      </c>
    </row>
    <row r="4650" spans="1:4" x14ac:dyDescent="0.35">
      <c r="A4650" s="5" t="str">
        <f t="shared" si="2376"/>
        <v>BRANCH</v>
      </c>
      <c r="B4650" s="6" t="str">
        <f t="shared" si="2399"/>
        <v>Net Case Count - Agency</v>
      </c>
      <c r="C4650" s="4" t="str">
        <f>CHOOSE(2, "5462030031", "Jul 26")</f>
        <v>Jul 26</v>
      </c>
      <c r="D4650" s="14">
        <v>1698</v>
      </c>
    </row>
    <row r="4651" spans="1:4" x14ac:dyDescent="0.35">
      <c r="A4651" s="5" t="str">
        <f t="shared" si="2376"/>
        <v>BRANCH</v>
      </c>
      <c r="B4651" s="3" t="str">
        <f t="shared" ref="B4651:B4652" si="2400">CHOOSE(2, "1395000000718", "Net Case Count - Agency in 0-1M")</f>
        <v>Net Case Count - Agency in 0-1M</v>
      </c>
      <c r="C4651" s="4" t="str">
        <f>CHOOSE(2, "5461730030", "Jun 26")</f>
        <v>Jun 26</v>
      </c>
      <c r="D4651" s="14">
        <v>81</v>
      </c>
    </row>
    <row r="4652" spans="1:4" x14ac:dyDescent="0.35">
      <c r="A4652" s="5" t="str">
        <f t="shared" si="2376"/>
        <v>BRANCH</v>
      </c>
      <c r="B4652" s="6" t="str">
        <f t="shared" si="2400"/>
        <v>Net Case Count - Agency in 0-1M</v>
      </c>
      <c r="C4652" s="4" t="str">
        <f>CHOOSE(2, "5462030031", "Jul 26")</f>
        <v>Jul 26</v>
      </c>
      <c r="D4652" s="14">
        <v>81</v>
      </c>
    </row>
    <row r="4653" spans="1:4" x14ac:dyDescent="0.35">
      <c r="A4653" s="5" t="str">
        <f t="shared" si="2376"/>
        <v>BRANCH</v>
      </c>
      <c r="B4653" s="3" t="str">
        <f t="shared" ref="B4653:B4654" si="2401">CHOOSE(2, "1395000000717", "Net Case Count - Agency in 2-3M")</f>
        <v>Net Case Count - Agency in 2-3M</v>
      </c>
      <c r="C4653" s="4" t="str">
        <f>CHOOSE(2, "5461730030", "Jun 26")</f>
        <v>Jun 26</v>
      </c>
      <c r="D4653" s="14">
        <v>157</v>
      </c>
    </row>
    <row r="4654" spans="1:4" x14ac:dyDescent="0.35">
      <c r="A4654" s="5" t="str">
        <f t="shared" si="2376"/>
        <v>BRANCH</v>
      </c>
      <c r="B4654" s="6" t="str">
        <f t="shared" si="2401"/>
        <v>Net Case Count - Agency in 2-3M</v>
      </c>
      <c r="C4654" s="4" t="str">
        <f>CHOOSE(2, "5462030031", "Jul 26")</f>
        <v>Jul 26</v>
      </c>
      <c r="D4654" s="14">
        <v>133</v>
      </c>
    </row>
    <row r="4655" spans="1:4" x14ac:dyDescent="0.35">
      <c r="A4655" s="5" t="str">
        <f t="shared" si="2376"/>
        <v>BRANCH</v>
      </c>
      <c r="B4655" s="3" t="str">
        <f t="shared" ref="B4655:B4656" si="2402">CHOOSE(2, "1395000000716", "Net Case Count - Agency in 4-12M")</f>
        <v>Net Case Count - Agency in 4-12M</v>
      </c>
      <c r="C4655" s="4" t="str">
        <f>CHOOSE(2, "5461730030", "Jun 26")</f>
        <v>Jun 26</v>
      </c>
      <c r="D4655" s="14">
        <v>156</v>
      </c>
    </row>
    <row r="4656" spans="1:4" x14ac:dyDescent="0.35">
      <c r="A4656" s="5" t="str">
        <f t="shared" si="2376"/>
        <v>BRANCH</v>
      </c>
      <c r="B4656" s="6" t="str">
        <f t="shared" si="2402"/>
        <v>Net Case Count - Agency in 4-12M</v>
      </c>
      <c r="C4656" s="4" t="str">
        <f>CHOOSE(2, "5462030031", "Jul 26")</f>
        <v>Jul 26</v>
      </c>
      <c r="D4656" s="14">
        <v>90</v>
      </c>
    </row>
    <row r="4657" spans="1:4" x14ac:dyDescent="0.35">
      <c r="A4657" s="5" t="str">
        <f t="shared" si="2376"/>
        <v>BRANCH</v>
      </c>
      <c r="B4657" s="3" t="str">
        <f t="shared" ref="B4657:B4658" si="2403">CHOOSE(2, "1395000000715", "Net Case Count - Agency 13+M")</f>
        <v>Net Case Count - Agency 13+M</v>
      </c>
      <c r="C4657" s="4" t="str">
        <f>CHOOSE(2, "5461730030", "Jun 26")</f>
        <v>Jun 26</v>
      </c>
      <c r="D4657" s="14">
        <v>1230.5</v>
      </c>
    </row>
    <row r="4658" spans="1:4" x14ac:dyDescent="0.35">
      <c r="A4658" s="5" t="str">
        <f t="shared" si="2376"/>
        <v>BRANCH</v>
      </c>
      <c r="B4658" s="6" t="str">
        <f t="shared" si="2403"/>
        <v>Net Case Count - Agency 13+M</v>
      </c>
      <c r="C4658" s="4" t="str">
        <f>CHOOSE(2, "5462030031", "Jul 26")</f>
        <v>Jul 26</v>
      </c>
      <c r="D4658" s="14">
        <v>1153.5</v>
      </c>
    </row>
    <row r="4659" spans="1:4" x14ac:dyDescent="0.35">
      <c r="A4659" s="5" t="str">
        <f t="shared" si="2376"/>
        <v>BRANCH</v>
      </c>
      <c r="B4659" s="3" t="str">
        <f t="shared" ref="B4659:B4660" si="2404">CHOOSE(2, "1395000000714", "Net Case Count - Agency in FA or equivalent")</f>
        <v>Net Case Count - Agency in FA or equivalent</v>
      </c>
      <c r="C4659" s="4" t="str">
        <f>CHOOSE(2, "5461730030", "Jun 26")</f>
        <v>Jun 26</v>
      </c>
      <c r="D4659" s="14">
        <v>1191.5</v>
      </c>
    </row>
    <row r="4660" spans="1:4" x14ac:dyDescent="0.35">
      <c r="A4660" s="5" t="str">
        <f t="shared" si="2376"/>
        <v>BRANCH</v>
      </c>
      <c r="B4660" s="6" t="str">
        <f t="shared" si="2404"/>
        <v>Net Case Count - Agency in FA or equivalent</v>
      </c>
      <c r="C4660" s="4" t="str">
        <f>CHOOSE(2, "5462030031", "Jul 26")</f>
        <v>Jul 26</v>
      </c>
      <c r="D4660" s="14">
        <v>991</v>
      </c>
    </row>
    <row r="4661" spans="1:4" x14ac:dyDescent="0.35">
      <c r="A4661" s="5" t="str">
        <f t="shared" si="2376"/>
        <v>BRANCH</v>
      </c>
      <c r="B4661" s="3" t="str">
        <f t="shared" ref="B4661:B4662" si="2405">CHOOSE(2, "1395000000713", "Net Case Count - Agency in UM")</f>
        <v>Net Case Count - Agency in UM</v>
      </c>
      <c r="C4661" s="4" t="str">
        <f>CHOOSE(2, "5461730030", "Jun 26")</f>
        <v>Jun 26</v>
      </c>
      <c r="D4661" s="14">
        <v>181.5</v>
      </c>
    </row>
    <row r="4662" spans="1:4" x14ac:dyDescent="0.35">
      <c r="A4662" s="5" t="str">
        <f t="shared" si="2376"/>
        <v>BRANCH</v>
      </c>
      <c r="B4662" s="6" t="str">
        <f t="shared" si="2405"/>
        <v>Net Case Count - Agency in UM</v>
      </c>
      <c r="C4662" s="4" t="str">
        <f>CHOOSE(2, "5462030031", "Jul 26")</f>
        <v>Jul 26</v>
      </c>
      <c r="D4662" s="14">
        <v>205</v>
      </c>
    </row>
    <row r="4663" spans="1:4" x14ac:dyDescent="0.35">
      <c r="A4663" s="5" t="str">
        <f t="shared" si="2376"/>
        <v>BRANCH</v>
      </c>
      <c r="B4663" s="3" t="str">
        <f t="shared" ref="B4663:B4664" si="2406">CHOOSE(2, "1395000000712", "Net Case Count - Agency in Leaders above UM")</f>
        <v>Net Case Count - Agency in Leaders above UM</v>
      </c>
      <c r="C4663" s="4" t="str">
        <f>CHOOSE(2, "5461730030", "Jun 26")</f>
        <v>Jun 26</v>
      </c>
      <c r="D4663" s="14">
        <v>251.5</v>
      </c>
    </row>
    <row r="4664" spans="1:4" x14ac:dyDescent="0.35">
      <c r="A4664" s="5" t="str">
        <f t="shared" si="2376"/>
        <v>BRANCH</v>
      </c>
      <c r="B4664" s="6" t="str">
        <f t="shared" si="2406"/>
        <v>Net Case Count - Agency in Leaders above UM</v>
      </c>
      <c r="C4664" s="4" t="str">
        <f>CHOOSE(2, "5462030031", "Jul 26")</f>
        <v>Jul 26</v>
      </c>
      <c r="D4664" s="14">
        <v>261.5</v>
      </c>
    </row>
    <row r="4665" spans="1:4" x14ac:dyDescent="0.35">
      <c r="A4665" s="5" t="str">
        <f t="shared" si="2376"/>
        <v>BRANCH</v>
      </c>
      <c r="B4665" s="3" t="str">
        <f t="shared" ref="B4665:B4666" si="2407">CHOOSE(2, "1395000000711", "Net Case Count - Agency in Top-tier Agents")</f>
        <v>Net Case Count - Agency in Top-tier Agents</v>
      </c>
      <c r="C4665" s="4" t="str">
        <f>CHOOSE(2, "5461730030", "Jun 26")</f>
        <v>Jun 26</v>
      </c>
      <c r="D4665" s="14">
        <v>221</v>
      </c>
    </row>
    <row r="4666" spans="1:4" x14ac:dyDescent="0.35">
      <c r="A4666" s="5" t="str">
        <f t="shared" si="2376"/>
        <v>BRANCH</v>
      </c>
      <c r="B4666" s="6" t="str">
        <f t="shared" si="2407"/>
        <v>Net Case Count - Agency in Top-tier Agents</v>
      </c>
      <c r="C4666" s="4" t="str">
        <f>CHOOSE(2, "5462030031", "Jul 26")</f>
        <v>Jul 26</v>
      </c>
      <c r="D4666" s="14">
        <v>261.5</v>
      </c>
    </row>
    <row r="4667" spans="1:4" x14ac:dyDescent="0.35">
      <c r="A4667" s="5" t="str">
        <f t="shared" si="2376"/>
        <v>BRANCH</v>
      </c>
      <c r="B4667" s="3" t="str">
        <f t="shared" ref="B4667:B4668" si="2408">CHOOSE(2, "1395000000710", "Net Case Count - Agency in pro-rated MDRT agents (&gt;100%)")</f>
        <v>Net Case Count - Agency in pro-rated MDRT agents (&gt;100%)</v>
      </c>
      <c r="C4667" s="4" t="str">
        <f>CHOOSE(2, "5461730030", "Jun 26")</f>
        <v>Jun 26</v>
      </c>
      <c r="D4667" s="14">
        <v>103</v>
      </c>
    </row>
    <row r="4668" spans="1:4" x14ac:dyDescent="0.35">
      <c r="A4668" s="5" t="str">
        <f t="shared" si="2376"/>
        <v>BRANCH</v>
      </c>
      <c r="B4668" s="6" t="str">
        <f t="shared" si="2408"/>
        <v>Net Case Count - Agency in pro-rated MDRT agents (&gt;100%)</v>
      </c>
      <c r="C4668" s="4" t="str">
        <f>CHOOSE(2, "5462030031", "Jul 26")</f>
        <v>Jul 26</v>
      </c>
      <c r="D4668" s="14">
        <v>129.5</v>
      </c>
    </row>
    <row r="4669" spans="1:4" x14ac:dyDescent="0.35">
      <c r="A4669" s="5" t="str">
        <f t="shared" ref="A4669:A4732" si="2409">CHOOSE(2, "1260000000005", "BRANCH")</f>
        <v>BRANCH</v>
      </c>
      <c r="B4669" s="3" t="str">
        <f t="shared" ref="B4669:B4670" si="2410">CHOOSE(2, "1395000000709", "Net Case Count - Agency in pro-rated MDRT agents (70-99%)")</f>
        <v>Net Case Count - Agency in pro-rated MDRT agents (70-99%)</v>
      </c>
      <c r="C4669" s="4" t="str">
        <f>CHOOSE(2, "5461730030", "Jun 26")</f>
        <v>Jun 26</v>
      </c>
      <c r="D4669" s="14">
        <v>58</v>
      </c>
    </row>
    <row r="4670" spans="1:4" x14ac:dyDescent="0.35">
      <c r="A4670" s="5" t="str">
        <f t="shared" si="2409"/>
        <v>BRANCH</v>
      </c>
      <c r="B4670" s="6" t="str">
        <f t="shared" si="2410"/>
        <v>Net Case Count - Agency in pro-rated MDRT agents (70-99%)</v>
      </c>
      <c r="C4670" s="4" t="str">
        <f>CHOOSE(2, "5462030031", "Jul 26")</f>
        <v>Jul 26</v>
      </c>
      <c r="D4670" s="14">
        <v>50.5</v>
      </c>
    </row>
    <row r="4671" spans="1:4" x14ac:dyDescent="0.35">
      <c r="A4671" s="5" t="str">
        <f t="shared" si="2409"/>
        <v>BRANCH</v>
      </c>
      <c r="B4671" s="3" t="str">
        <f t="shared" ref="B4671:B4672" si="2411">CHOOSE(2, "1395000000708", "Net Case Count - Agency in pro-rated MDRT agents (50-69%)")</f>
        <v>Net Case Count - Agency in pro-rated MDRT agents (50-69%)</v>
      </c>
      <c r="C4671" s="4" t="str">
        <f>CHOOSE(2, "5461730030", "Jun 26")</f>
        <v>Jun 26</v>
      </c>
      <c r="D4671" s="14">
        <v>60</v>
      </c>
    </row>
    <row r="4672" spans="1:4" x14ac:dyDescent="0.35">
      <c r="A4672" s="5" t="str">
        <f t="shared" si="2409"/>
        <v>BRANCH</v>
      </c>
      <c r="B4672" s="6" t="str">
        <f t="shared" si="2411"/>
        <v>Net Case Count - Agency in pro-rated MDRT agents (50-69%)</v>
      </c>
      <c r="C4672" s="4" t="str">
        <f>CHOOSE(2, "5462030031", "Jul 26")</f>
        <v>Jul 26</v>
      </c>
      <c r="D4672" s="14">
        <v>81.5</v>
      </c>
    </row>
    <row r="4673" spans="1:4" x14ac:dyDescent="0.35">
      <c r="A4673" s="5" t="str">
        <f t="shared" si="2409"/>
        <v>BRANCH</v>
      </c>
      <c r="B4673" s="3" t="str">
        <f t="shared" ref="B4673:B4674" si="2412">CHOOSE(2, "1395000000707", "Net Case Count - Agency in Manulife Pro Qualifiers - Total")</f>
        <v>Net Case Count - Agency in Manulife Pro Qualifiers - Total</v>
      </c>
      <c r="C4673" s="4" t="str">
        <f>CHOOSE(2, "5461730030", "Jun 26")</f>
        <v>Jun 26</v>
      </c>
      <c r="D4673" s="14">
        <v>103</v>
      </c>
    </row>
    <row r="4674" spans="1:4" x14ac:dyDescent="0.35">
      <c r="A4674" s="5" t="str">
        <f t="shared" si="2409"/>
        <v>BRANCH</v>
      </c>
      <c r="B4674" s="6" t="str">
        <f t="shared" si="2412"/>
        <v>Net Case Count - Agency in Manulife Pro Qualifiers - Total</v>
      </c>
      <c r="C4674" s="4" t="str">
        <f>CHOOSE(2, "5462030031", "Jul 26")</f>
        <v>Jul 26</v>
      </c>
      <c r="D4674" s="14">
        <v>150.5</v>
      </c>
    </row>
    <row r="4675" spans="1:4" x14ac:dyDescent="0.35">
      <c r="A4675" s="5" t="str">
        <f t="shared" si="2409"/>
        <v>BRANCH</v>
      </c>
      <c r="B4675" s="3" t="str">
        <f t="shared" ref="B4675:B4676" si="2413">CHOOSE(2, "1395000000706", "No. of Sales Proposal Generated")</f>
        <v>No. of Sales Proposal Generated</v>
      </c>
      <c r="C4675" s="4" t="str">
        <f>CHOOSE(2, "5461730030", "Jun 26")</f>
        <v>Jun 26</v>
      </c>
      <c r="D4675" s="2" t="s">
        <v>5</v>
      </c>
    </row>
    <row r="4676" spans="1:4" x14ac:dyDescent="0.35">
      <c r="A4676" s="5" t="str">
        <f t="shared" si="2409"/>
        <v>BRANCH</v>
      </c>
      <c r="B4676" s="6" t="str">
        <f t="shared" si="2413"/>
        <v>No. of Sales Proposal Generated</v>
      </c>
      <c r="C4676" s="4" t="str">
        <f>CHOOSE(2, "5462030031", "Jul 26")</f>
        <v>Jul 26</v>
      </c>
      <c r="D4676" s="2" t="s">
        <v>5</v>
      </c>
    </row>
    <row r="4677" spans="1:4" x14ac:dyDescent="0.35">
      <c r="A4677" s="5" t="str">
        <f t="shared" si="2409"/>
        <v>BRANCH</v>
      </c>
      <c r="B4677" s="3" t="str">
        <f t="shared" ref="B4677:B4678" si="2414">CHOOSE(2, "1395000000705", "$ APE from Agents in X tenure")</f>
        <v>$ APE from Agents in X tenure</v>
      </c>
      <c r="C4677" s="4" t="str">
        <f>CHOOSE(2, "5461730030", "Jun 26")</f>
        <v>Jun 26</v>
      </c>
      <c r="D4677" s="14">
        <v>1866421.6173359102</v>
      </c>
    </row>
    <row r="4678" spans="1:4" x14ac:dyDescent="0.35">
      <c r="A4678" s="5" t="str">
        <f t="shared" si="2409"/>
        <v>BRANCH</v>
      </c>
      <c r="B4678" s="6" t="str">
        <f t="shared" si="2414"/>
        <v>$ APE from Agents in X tenure</v>
      </c>
      <c r="C4678" s="4" t="str">
        <f>CHOOSE(2, "5462030031", "Jul 26")</f>
        <v>Jul 26</v>
      </c>
      <c r="D4678" s="14">
        <v>1954683.8450354701</v>
      </c>
    </row>
    <row r="4679" spans="1:4" x14ac:dyDescent="0.35">
      <c r="A4679" s="5" t="str">
        <f t="shared" si="2409"/>
        <v>BRANCH</v>
      </c>
      <c r="B4679" s="3" t="str">
        <f t="shared" ref="B4679:B4680" si="2415">CHOOSE(2, "1395000000704", "$ APE from Agents in X tenure in 0-1M")</f>
        <v>$ APE from Agents in X tenure in 0-1M</v>
      </c>
      <c r="C4679" s="4" t="str">
        <f>CHOOSE(2, "5461730030", "Jun 26")</f>
        <v>Jun 26</v>
      </c>
      <c r="D4679" s="14">
        <v>186642.16173359103</v>
      </c>
    </row>
    <row r="4680" spans="1:4" x14ac:dyDescent="0.35">
      <c r="A4680" s="5" t="str">
        <f t="shared" si="2409"/>
        <v>BRANCH</v>
      </c>
      <c r="B4680" s="6" t="str">
        <f t="shared" si="2415"/>
        <v>$ APE from Agents in X tenure in 0-1M</v>
      </c>
      <c r="C4680" s="4" t="str">
        <f>CHOOSE(2, "5462030031", "Jul 26")</f>
        <v>Jul 26</v>
      </c>
      <c r="D4680" s="14">
        <v>195468.38450354701</v>
      </c>
    </row>
    <row r="4681" spans="1:4" x14ac:dyDescent="0.35">
      <c r="A4681" s="5" t="str">
        <f t="shared" si="2409"/>
        <v>BRANCH</v>
      </c>
      <c r="B4681" s="3" t="str">
        <f t="shared" ref="B4681:B4682" si="2416">CHOOSE(2, "1395000000703", "$ APE from Agents in X tenure in 2-3M")</f>
        <v>$ APE from Agents in X tenure in 2-3M</v>
      </c>
      <c r="C4681" s="4" t="str">
        <f>CHOOSE(2, "5461730030", "Jun 26")</f>
        <v>Jun 26</v>
      </c>
      <c r="D4681" s="14">
        <v>373284.32346718205</v>
      </c>
    </row>
    <row r="4682" spans="1:4" x14ac:dyDescent="0.35">
      <c r="A4682" s="5" t="str">
        <f t="shared" si="2409"/>
        <v>BRANCH</v>
      </c>
      <c r="B4682" s="6" t="str">
        <f t="shared" si="2416"/>
        <v>$ APE from Agents in X tenure in 2-3M</v>
      </c>
      <c r="C4682" s="4" t="str">
        <f>CHOOSE(2, "5462030031", "Jul 26")</f>
        <v>Jul 26</v>
      </c>
      <c r="D4682" s="14">
        <v>390936.76900709403</v>
      </c>
    </row>
    <row r="4683" spans="1:4" x14ac:dyDescent="0.35">
      <c r="A4683" s="5" t="str">
        <f t="shared" si="2409"/>
        <v>BRANCH</v>
      </c>
      <c r="B4683" s="3" t="str">
        <f t="shared" ref="B4683:B4684" si="2417">CHOOSE(2, "1395000000702", "$ APE from Agents in X tenure in 4-12M")</f>
        <v>$ APE from Agents in X tenure in 4-12M</v>
      </c>
      <c r="C4683" s="4" t="str">
        <f>CHOOSE(2, "5461730030", "Jun 26")</f>
        <v>Jun 26</v>
      </c>
      <c r="D4683" s="14">
        <v>559926.48520077299</v>
      </c>
    </row>
    <row r="4684" spans="1:4" x14ac:dyDescent="0.35">
      <c r="A4684" s="5" t="str">
        <f t="shared" si="2409"/>
        <v>BRANCH</v>
      </c>
      <c r="B4684" s="6" t="str">
        <f t="shared" si="2417"/>
        <v>$ APE from Agents in X tenure in 4-12M</v>
      </c>
      <c r="C4684" s="4" t="str">
        <f>CHOOSE(2, "5462030031", "Jul 26")</f>
        <v>Jul 26</v>
      </c>
      <c r="D4684" s="14">
        <v>586405.15351064096</v>
      </c>
    </row>
    <row r="4685" spans="1:4" x14ac:dyDescent="0.35">
      <c r="A4685" s="5" t="str">
        <f t="shared" si="2409"/>
        <v>BRANCH</v>
      </c>
      <c r="B4685" s="3" t="str">
        <f t="shared" ref="B4685:B4686" si="2418">CHOOSE(2, "1395000000701", "$ APE from Agents in X tenure 13+M")</f>
        <v>$ APE from Agents in X tenure 13+M</v>
      </c>
      <c r="C4685" s="4" t="str">
        <f>CHOOSE(2, "5461730030", "Jun 26")</f>
        <v>Jun 26</v>
      </c>
      <c r="D4685" s="14">
        <v>746568.64693436411</v>
      </c>
    </row>
    <row r="4686" spans="1:4" x14ac:dyDescent="0.35">
      <c r="A4686" s="5" t="str">
        <f t="shared" si="2409"/>
        <v>BRANCH</v>
      </c>
      <c r="B4686" s="6" t="str">
        <f t="shared" si="2418"/>
        <v>$ APE from Agents in X tenure 13+M</v>
      </c>
      <c r="C4686" s="4" t="str">
        <f>CHOOSE(2, "5462030031", "Jul 26")</f>
        <v>Jul 26</v>
      </c>
      <c r="D4686" s="14">
        <v>781873.53801418806</v>
      </c>
    </row>
    <row r="4687" spans="1:4" x14ac:dyDescent="0.35">
      <c r="A4687" s="5" t="str">
        <f t="shared" si="2409"/>
        <v>BRANCH</v>
      </c>
      <c r="B4687" s="3" t="str">
        <f t="shared" ref="B4687:B4688" si="2419">CHOOSE(2, "1395000000700", "Total agent headcount (end of period)")</f>
        <v>Total agent headcount (end of period)</v>
      </c>
      <c r="C4687" s="4" t="str">
        <f>CHOOSE(2, "5461730030", "Jun 26")</f>
        <v>Jun 26</v>
      </c>
      <c r="D4687" s="14">
        <v>6171</v>
      </c>
    </row>
    <row r="4688" spans="1:4" x14ac:dyDescent="0.35">
      <c r="A4688" s="5" t="str">
        <f t="shared" si="2409"/>
        <v>BRANCH</v>
      </c>
      <c r="B4688" s="6" t="str">
        <f t="shared" si="2419"/>
        <v>Total agent headcount (end of period)</v>
      </c>
      <c r="C4688" s="4" t="str">
        <f>CHOOSE(2, "5462030031", "Jul 26")</f>
        <v>Jul 26</v>
      </c>
      <c r="D4688" s="14">
        <v>6197</v>
      </c>
    </row>
    <row r="4689" spans="1:4" x14ac:dyDescent="0.35">
      <c r="A4689" s="5" t="str">
        <f t="shared" si="2409"/>
        <v>BRANCH</v>
      </c>
      <c r="B4689" s="3" t="str">
        <f t="shared" ref="B4689:B4690" si="2420">CHOOSE(2, "1395000000699", "Total agent headcount (end of period) in 0-1M")</f>
        <v>Total agent headcount (end of period) in 0-1M</v>
      </c>
      <c r="C4689" s="4" t="str">
        <f>CHOOSE(2, "5461730030", "Jun 26")</f>
        <v>Jun 26</v>
      </c>
      <c r="D4689" s="14">
        <v>274</v>
      </c>
    </row>
    <row r="4690" spans="1:4" x14ac:dyDescent="0.35">
      <c r="A4690" s="5" t="str">
        <f t="shared" si="2409"/>
        <v>BRANCH</v>
      </c>
      <c r="B4690" s="6" t="str">
        <f t="shared" si="2420"/>
        <v>Total agent headcount (end of period) in 0-1M</v>
      </c>
      <c r="C4690" s="4" t="str">
        <f>CHOOSE(2, "5462030031", "Jul 26")</f>
        <v>Jul 26</v>
      </c>
      <c r="D4690" s="14">
        <v>272</v>
      </c>
    </row>
    <row r="4691" spans="1:4" x14ac:dyDescent="0.35">
      <c r="A4691" s="5" t="str">
        <f t="shared" si="2409"/>
        <v>BRANCH</v>
      </c>
      <c r="B4691" s="3" t="str">
        <f t="shared" ref="B4691:B4692" si="2421">CHOOSE(2, "1395000000698", "Total agent headcount (end of period) in 2-3M")</f>
        <v>Total agent headcount (end of period) in 2-3M</v>
      </c>
      <c r="C4691" s="4" t="str">
        <f>CHOOSE(2, "5461730030", "Jun 26")</f>
        <v>Jun 26</v>
      </c>
      <c r="D4691" s="14">
        <v>483</v>
      </c>
    </row>
    <row r="4692" spans="1:4" x14ac:dyDescent="0.35">
      <c r="A4692" s="5" t="str">
        <f t="shared" si="2409"/>
        <v>BRANCH</v>
      </c>
      <c r="B4692" s="6" t="str">
        <f t="shared" si="2421"/>
        <v>Total agent headcount (end of period) in 2-3M</v>
      </c>
      <c r="C4692" s="4" t="str">
        <f>CHOOSE(2, "5462030031", "Jul 26")</f>
        <v>Jul 26</v>
      </c>
      <c r="D4692" s="14">
        <v>512</v>
      </c>
    </row>
    <row r="4693" spans="1:4" x14ac:dyDescent="0.35">
      <c r="A4693" s="5" t="str">
        <f t="shared" si="2409"/>
        <v>BRANCH</v>
      </c>
      <c r="B4693" s="3" t="str">
        <f t="shared" ref="B4693:B4694" si="2422">CHOOSE(2, "1395000000697", "Total agent headcount (end of period) in 4-12M")</f>
        <v>Total agent headcount (end of period) in 4-12M</v>
      </c>
      <c r="C4693" s="4" t="str">
        <f>CHOOSE(2, "5461730030", "Jun 26")</f>
        <v>Jun 26</v>
      </c>
      <c r="D4693" s="14">
        <v>1605</v>
      </c>
    </row>
    <row r="4694" spans="1:4" x14ac:dyDescent="0.35">
      <c r="A4694" s="5" t="str">
        <f t="shared" si="2409"/>
        <v>BRANCH</v>
      </c>
      <c r="B4694" s="6" t="str">
        <f t="shared" si="2422"/>
        <v>Total agent headcount (end of period) in 4-12M</v>
      </c>
      <c r="C4694" s="4" t="str">
        <f>CHOOSE(2, "5462030031", "Jul 26")</f>
        <v>Jul 26</v>
      </c>
      <c r="D4694" s="14">
        <v>1643</v>
      </c>
    </row>
    <row r="4695" spans="1:4" x14ac:dyDescent="0.35">
      <c r="A4695" s="5" t="str">
        <f t="shared" si="2409"/>
        <v>BRANCH</v>
      </c>
      <c r="B4695" s="3" t="str">
        <f t="shared" ref="B4695:B4696" si="2423">CHOOSE(2, "1395000000696", "Total agent headcount (end of period) 13+M")</f>
        <v>Total agent headcount (end of period) 13+M</v>
      </c>
      <c r="C4695" s="4" t="str">
        <f>CHOOSE(2, "5461730030", "Jun 26")</f>
        <v>Jun 26</v>
      </c>
      <c r="D4695" s="14">
        <v>3809</v>
      </c>
    </row>
    <row r="4696" spans="1:4" x14ac:dyDescent="0.35">
      <c r="A4696" s="5" t="str">
        <f t="shared" si="2409"/>
        <v>BRANCH</v>
      </c>
      <c r="B4696" s="6" t="str">
        <f t="shared" si="2423"/>
        <v>Total agent headcount (end of period) 13+M</v>
      </c>
      <c r="C4696" s="4" t="str">
        <f>CHOOSE(2, "5462030031", "Jul 26")</f>
        <v>Jul 26</v>
      </c>
      <c r="D4696" s="14">
        <v>3770</v>
      </c>
    </row>
    <row r="4697" spans="1:4" x14ac:dyDescent="0.35">
      <c r="A4697" s="5" t="str">
        <f t="shared" si="2409"/>
        <v>BRANCH</v>
      </c>
      <c r="B4697" s="3" t="str">
        <f t="shared" ref="B4697:B4698" si="2424">CHOOSE(2, "1395000000695", "Total agent headcount (end of period) in FA or equivalent")</f>
        <v>Total agent headcount (end of period) in FA or equivalent</v>
      </c>
      <c r="C4697" s="4" t="str">
        <f>CHOOSE(2, "5461730030", "Jun 26")</f>
        <v>Jun 26</v>
      </c>
      <c r="D4697" s="14">
        <v>5491</v>
      </c>
    </row>
    <row r="4698" spans="1:4" x14ac:dyDescent="0.35">
      <c r="A4698" s="5" t="str">
        <f t="shared" si="2409"/>
        <v>BRANCH</v>
      </c>
      <c r="B4698" s="6" t="str">
        <f t="shared" si="2424"/>
        <v>Total agent headcount (end of period) in FA or equivalent</v>
      </c>
      <c r="C4698" s="4" t="str">
        <f>CHOOSE(2, "5462030031", "Jul 26")</f>
        <v>Jul 26</v>
      </c>
      <c r="D4698" s="14">
        <v>5489</v>
      </c>
    </row>
    <row r="4699" spans="1:4" x14ac:dyDescent="0.35">
      <c r="A4699" s="5" t="str">
        <f t="shared" si="2409"/>
        <v>BRANCH</v>
      </c>
      <c r="B4699" s="3" t="str">
        <f t="shared" ref="B4699:B4700" si="2425">CHOOSE(2, "1395000000694", "Total agent headcount (end of period) in UM")</f>
        <v>Total agent headcount (end of period) in UM</v>
      </c>
      <c r="C4699" s="4" t="str">
        <f>CHOOSE(2, "5461730030", "Jun 26")</f>
        <v>Jun 26</v>
      </c>
      <c r="D4699" s="14">
        <v>380</v>
      </c>
    </row>
    <row r="4700" spans="1:4" x14ac:dyDescent="0.35">
      <c r="A4700" s="5" t="str">
        <f t="shared" si="2409"/>
        <v>BRANCH</v>
      </c>
      <c r="B4700" s="6" t="str">
        <f t="shared" si="2425"/>
        <v>Total agent headcount (end of period) in UM</v>
      </c>
      <c r="C4700" s="4" t="str">
        <f>CHOOSE(2, "5462030031", "Jul 26")</f>
        <v>Jul 26</v>
      </c>
      <c r="D4700" s="14">
        <v>401</v>
      </c>
    </row>
    <row r="4701" spans="1:4" x14ac:dyDescent="0.35">
      <c r="A4701" s="5" t="str">
        <f t="shared" si="2409"/>
        <v>BRANCH</v>
      </c>
      <c r="B4701" s="3" t="str">
        <f t="shared" ref="B4701:B4702" si="2426">CHOOSE(2, "1395000000693", "Total agent headcount (end of period) in Leaders above UM")</f>
        <v>Total agent headcount (end of period) in Leaders above UM</v>
      </c>
      <c r="C4701" s="4" t="str">
        <f>CHOOSE(2, "5461730030", "Jun 26")</f>
        <v>Jun 26</v>
      </c>
      <c r="D4701" s="14">
        <v>300</v>
      </c>
    </row>
    <row r="4702" spans="1:4" x14ac:dyDescent="0.35">
      <c r="A4702" s="5" t="str">
        <f t="shared" si="2409"/>
        <v>BRANCH</v>
      </c>
      <c r="B4702" s="6" t="str">
        <f t="shared" si="2426"/>
        <v>Total agent headcount (end of period) in Leaders above UM</v>
      </c>
      <c r="C4702" s="4" t="str">
        <f>CHOOSE(2, "5462030031", "Jul 26")</f>
        <v>Jul 26</v>
      </c>
      <c r="D4702" s="14">
        <v>307</v>
      </c>
    </row>
    <row r="4703" spans="1:4" x14ac:dyDescent="0.35">
      <c r="A4703" s="5" t="str">
        <f t="shared" si="2409"/>
        <v>BRANCH</v>
      </c>
      <c r="B4703" s="3" t="str">
        <f t="shared" ref="B4703:B4704" si="2427">CHOOSE(2, "1395000000692", "Total agent headcount (end of period) in Top-tier agents")</f>
        <v>Total agent headcount (end of period) in Top-tier agents</v>
      </c>
      <c r="C4703" s="4" t="str">
        <f>CHOOSE(2, "5461730030", "Jun 26")</f>
        <v>Jun 26</v>
      </c>
      <c r="D4703" s="14">
        <v>146</v>
      </c>
    </row>
    <row r="4704" spans="1:4" x14ac:dyDescent="0.35">
      <c r="A4704" s="5" t="str">
        <f t="shared" si="2409"/>
        <v>BRANCH</v>
      </c>
      <c r="B4704" s="6" t="str">
        <f t="shared" si="2427"/>
        <v>Total agent headcount (end of period) in Top-tier agents</v>
      </c>
      <c r="C4704" s="4" t="str">
        <f>CHOOSE(2, "5462030031", "Jul 26")</f>
        <v>Jul 26</v>
      </c>
      <c r="D4704" s="14">
        <v>154</v>
      </c>
    </row>
    <row r="4705" spans="1:4" x14ac:dyDescent="0.35">
      <c r="A4705" s="5" t="str">
        <f t="shared" si="2409"/>
        <v>BRANCH</v>
      </c>
      <c r="B4705" s="3" t="str">
        <f t="shared" ref="B4705:B4706" si="2428">CHOOSE(2, "1395000000691", "Total agent headcount  in pro-rated MDRT agents (&gt;100%)")</f>
        <v>Total agent headcount  in pro-rated MDRT agents (&gt;100%)</v>
      </c>
      <c r="C4705" s="4" t="str">
        <f>CHOOSE(2, "5461730030", "Jun 26")</f>
        <v>Jun 26</v>
      </c>
      <c r="D4705" s="14">
        <v>72</v>
      </c>
    </row>
    <row r="4706" spans="1:4" x14ac:dyDescent="0.35">
      <c r="A4706" s="5" t="str">
        <f t="shared" si="2409"/>
        <v>BRANCH</v>
      </c>
      <c r="B4706" s="6" t="str">
        <f t="shared" si="2428"/>
        <v>Total agent headcount  in pro-rated MDRT agents (&gt;100%)</v>
      </c>
      <c r="C4706" s="4" t="str">
        <f>CHOOSE(2, "5462030031", "Jul 26")</f>
        <v>Jul 26</v>
      </c>
      <c r="D4706" s="14">
        <v>70</v>
      </c>
    </row>
    <row r="4707" spans="1:4" x14ac:dyDescent="0.35">
      <c r="A4707" s="5" t="str">
        <f t="shared" si="2409"/>
        <v>BRANCH</v>
      </c>
      <c r="B4707" s="3" t="str">
        <f t="shared" ref="B4707:B4708" si="2429">CHOOSE(2, "1395000000690", "Total agent headcount  in pro-rated MDRT agents (70-99%)")</f>
        <v>Total agent headcount  in pro-rated MDRT agents (70-99%)</v>
      </c>
      <c r="C4707" s="4" t="str">
        <f>CHOOSE(2, "5461730030", "Jun 26")</f>
        <v>Jun 26</v>
      </c>
      <c r="D4707" s="14">
        <v>34</v>
      </c>
    </row>
    <row r="4708" spans="1:4" x14ac:dyDescent="0.35">
      <c r="A4708" s="5" t="str">
        <f t="shared" si="2409"/>
        <v>BRANCH</v>
      </c>
      <c r="B4708" s="6" t="str">
        <f t="shared" si="2429"/>
        <v>Total agent headcount  in pro-rated MDRT agents (70-99%)</v>
      </c>
      <c r="C4708" s="4" t="str">
        <f>CHOOSE(2, "5462030031", "Jul 26")</f>
        <v>Jul 26</v>
      </c>
      <c r="D4708" s="14">
        <v>33</v>
      </c>
    </row>
    <row r="4709" spans="1:4" x14ac:dyDescent="0.35">
      <c r="A4709" s="5" t="str">
        <f t="shared" si="2409"/>
        <v>BRANCH</v>
      </c>
      <c r="B4709" s="3" t="str">
        <f t="shared" ref="B4709:B4710" si="2430">CHOOSE(2, "1395000000689", "Total agent headcount  in pro-rated MDRT agents (50-69%)")</f>
        <v>Total agent headcount  in pro-rated MDRT agents (50-69%)</v>
      </c>
      <c r="C4709" s="4" t="str">
        <f>CHOOSE(2, "5461730030", "Jun 26")</f>
        <v>Jun 26</v>
      </c>
      <c r="D4709" s="14">
        <v>40</v>
      </c>
    </row>
    <row r="4710" spans="1:4" x14ac:dyDescent="0.35">
      <c r="A4710" s="5" t="str">
        <f t="shared" si="2409"/>
        <v>BRANCH</v>
      </c>
      <c r="B4710" s="6" t="str">
        <f t="shared" si="2430"/>
        <v>Total agent headcount  in pro-rated MDRT agents (50-69%)</v>
      </c>
      <c r="C4710" s="4" t="str">
        <f>CHOOSE(2, "5462030031", "Jul 26")</f>
        <v>Jul 26</v>
      </c>
      <c r="D4710" s="14">
        <v>51</v>
      </c>
    </row>
    <row r="4711" spans="1:4" x14ac:dyDescent="0.35">
      <c r="A4711" s="5" t="str">
        <f t="shared" si="2409"/>
        <v>BRANCH</v>
      </c>
      <c r="B4711" s="3" t="str">
        <f t="shared" ref="B4711:B4712" si="2431">CHOOSE(2, "1395000000688", "Total agent headcount  in Manulife Pro Qualifiers - Total")</f>
        <v>Total agent headcount  in Manulife Pro Qualifiers - Total</v>
      </c>
      <c r="C4711" s="4" t="str">
        <f>CHOOSE(2, "5461730030", "Jun 26")</f>
        <v>Jun 26</v>
      </c>
      <c r="D4711" s="14">
        <v>72</v>
      </c>
    </row>
    <row r="4712" spans="1:4" x14ac:dyDescent="0.35">
      <c r="A4712" s="5" t="str">
        <f t="shared" si="2409"/>
        <v>BRANCH</v>
      </c>
      <c r="B4712" s="6" t="str">
        <f t="shared" si="2431"/>
        <v>Total agent headcount  in Manulife Pro Qualifiers - Total</v>
      </c>
      <c r="C4712" s="4" t="str">
        <f>CHOOSE(2, "5462030031", "Jul 26")</f>
        <v>Jul 26</v>
      </c>
      <c r="D4712" s="14">
        <v>86</v>
      </c>
    </row>
    <row r="4713" spans="1:4" x14ac:dyDescent="0.35">
      <c r="A4713" s="5" t="str">
        <f t="shared" si="2409"/>
        <v>BRANCH</v>
      </c>
      <c r="B4713" s="3" t="str">
        <f t="shared" ref="B4713:B4714" si="2432">CHOOSE(2, "1395000000687", "New recruits")</f>
        <v>New recruits</v>
      </c>
      <c r="C4713" s="4" t="str">
        <f>CHOOSE(2, "5461730030", "Jun 26")</f>
        <v>Jun 26</v>
      </c>
      <c r="D4713" s="14">
        <v>274</v>
      </c>
    </row>
    <row r="4714" spans="1:4" x14ac:dyDescent="0.35">
      <c r="A4714" s="5" t="str">
        <f t="shared" si="2409"/>
        <v>BRANCH</v>
      </c>
      <c r="B4714" s="6" t="str">
        <f t="shared" si="2432"/>
        <v>New recruits</v>
      </c>
      <c r="C4714" s="4" t="str">
        <f>CHOOSE(2, "5462030031", "Jul 26")</f>
        <v>Jul 26</v>
      </c>
      <c r="D4714" s="14">
        <v>272</v>
      </c>
    </row>
    <row r="4715" spans="1:4" x14ac:dyDescent="0.35">
      <c r="A4715" s="5" t="str">
        <f t="shared" si="2409"/>
        <v>BRANCH</v>
      </c>
      <c r="B4715" s="3" t="str">
        <f t="shared" ref="B4715:B4716" si="2433">CHOOSE(2, "1395000000686", "New recruits - Leader level")</f>
        <v>New recruits - Leader level</v>
      </c>
      <c r="C4715" s="4" t="str">
        <f>CHOOSE(2, "5461730030", "Jun 26")</f>
        <v>Jun 26</v>
      </c>
      <c r="D4715" s="2" t="s">
        <v>5</v>
      </c>
    </row>
    <row r="4716" spans="1:4" x14ac:dyDescent="0.35">
      <c r="A4716" s="5" t="str">
        <f t="shared" si="2409"/>
        <v>BRANCH</v>
      </c>
      <c r="B4716" s="6" t="str">
        <f t="shared" si="2433"/>
        <v>New recruits - Leader level</v>
      </c>
      <c r="C4716" s="4" t="str">
        <f>CHOOSE(2, "5462030031", "Jul 26")</f>
        <v>Jul 26</v>
      </c>
      <c r="D4716" s="2" t="s">
        <v>5</v>
      </c>
    </row>
    <row r="4717" spans="1:4" x14ac:dyDescent="0.35">
      <c r="A4717" s="5" t="str">
        <f t="shared" si="2409"/>
        <v>BRANCH</v>
      </c>
      <c r="B4717" s="3" t="str">
        <f t="shared" ref="B4717:B4718" si="2434">CHOOSE(2, "1395000000685", "New recruits - FA or equivalent")</f>
        <v>New recruits - FA or equivalent</v>
      </c>
      <c r="C4717" s="4" t="str">
        <f>CHOOSE(2, "5461730030", "Jun 26")</f>
        <v>Jun 26</v>
      </c>
      <c r="D4717" s="14">
        <v>270</v>
      </c>
    </row>
    <row r="4718" spans="1:4" x14ac:dyDescent="0.35">
      <c r="A4718" s="5" t="str">
        <f t="shared" si="2409"/>
        <v>BRANCH</v>
      </c>
      <c r="B4718" s="6" t="str">
        <f t="shared" si="2434"/>
        <v>New recruits - FA or equivalent</v>
      </c>
      <c r="C4718" s="4" t="str">
        <f>CHOOSE(2, "5462030031", "Jul 26")</f>
        <v>Jul 26</v>
      </c>
      <c r="D4718" s="14">
        <v>265</v>
      </c>
    </row>
    <row r="4719" spans="1:4" x14ac:dyDescent="0.35">
      <c r="A4719" s="5" t="str">
        <f t="shared" si="2409"/>
        <v>BRANCH</v>
      </c>
      <c r="B4719" s="3" t="str">
        <f t="shared" ref="B4719:B4720" si="2435">CHOOSE(2, "1395000000684", "New recruits in UM")</f>
        <v>New recruits in UM</v>
      </c>
      <c r="C4719" s="4" t="str">
        <f>CHOOSE(2, "5461730030", "Jun 26")</f>
        <v>Jun 26</v>
      </c>
      <c r="D4719" s="14">
        <v>3</v>
      </c>
    </row>
    <row r="4720" spans="1:4" x14ac:dyDescent="0.35">
      <c r="A4720" s="5" t="str">
        <f t="shared" si="2409"/>
        <v>BRANCH</v>
      </c>
      <c r="B4720" s="6" t="str">
        <f t="shared" si="2435"/>
        <v>New recruits in UM</v>
      </c>
      <c r="C4720" s="4" t="str">
        <f>CHOOSE(2, "5462030031", "Jul 26")</f>
        <v>Jul 26</v>
      </c>
      <c r="D4720" s="14">
        <v>5</v>
      </c>
    </row>
    <row r="4721" spans="1:4" x14ac:dyDescent="0.35">
      <c r="A4721" s="5" t="str">
        <f t="shared" si="2409"/>
        <v>BRANCH</v>
      </c>
      <c r="B4721" s="3" t="str">
        <f t="shared" ref="B4721:B4722" si="2436">CHOOSE(2, "1395000000683", "New recruits in Leaders above UM")</f>
        <v>New recruits in Leaders above UM</v>
      </c>
      <c r="C4721" s="4" t="str">
        <f>CHOOSE(2, "5461730030", "Jun 26")</f>
        <v>Jun 26</v>
      </c>
      <c r="D4721" s="14">
        <v>1</v>
      </c>
    </row>
    <row r="4722" spans="1:4" x14ac:dyDescent="0.35">
      <c r="A4722" s="5" t="str">
        <f t="shared" si="2409"/>
        <v>BRANCH</v>
      </c>
      <c r="B4722" s="6" t="str">
        <f t="shared" si="2436"/>
        <v>New recruits in Leaders above UM</v>
      </c>
      <c r="C4722" s="4" t="str">
        <f>CHOOSE(2, "5462030031", "Jul 26")</f>
        <v>Jul 26</v>
      </c>
      <c r="D4722" s="14">
        <v>2</v>
      </c>
    </row>
    <row r="4723" spans="1:4" x14ac:dyDescent="0.35">
      <c r="A4723" s="5" t="str">
        <f t="shared" si="2409"/>
        <v>BRANCH</v>
      </c>
      <c r="B4723" s="3" t="str">
        <f t="shared" ref="B4723:B4724" si="2437">CHOOSE(2, "1395000000682", "# of 6-90 agents")</f>
        <v># of 6-90 agents</v>
      </c>
      <c r="C4723" s="4" t="str">
        <f>CHOOSE(2, "5461730030", "Jun 26")</f>
        <v>Jun 26</v>
      </c>
      <c r="D4723" s="14">
        <v>7</v>
      </c>
    </row>
    <row r="4724" spans="1:4" x14ac:dyDescent="0.35">
      <c r="A4724" s="5" t="str">
        <f t="shared" si="2409"/>
        <v>BRANCH</v>
      </c>
      <c r="B4724" s="6" t="str">
        <f t="shared" si="2437"/>
        <v># of 6-90 agents</v>
      </c>
      <c r="C4724" s="4" t="str">
        <f>CHOOSE(2, "5462030031", "Jul 26")</f>
        <v>Jul 26</v>
      </c>
      <c r="D4724" s="14">
        <v>3</v>
      </c>
    </row>
    <row r="4725" spans="1:4" x14ac:dyDescent="0.35">
      <c r="A4725" s="5" t="str">
        <f t="shared" si="2409"/>
        <v>BRANCH</v>
      </c>
      <c r="B4725" s="3" t="str">
        <f t="shared" ref="B4725:B4726" si="2438">CHOOSE(2, "1395000000681", "New Recruits 3M Activation #")</f>
        <v>New Recruits 3M Activation #</v>
      </c>
      <c r="C4725" s="4" t="str">
        <f>CHOOSE(2, "5461730030", "Jun 26")</f>
        <v>Jun 26</v>
      </c>
      <c r="D4725" s="14">
        <v>116</v>
      </c>
    </row>
    <row r="4726" spans="1:4" x14ac:dyDescent="0.35">
      <c r="A4726" s="5" t="str">
        <f t="shared" si="2409"/>
        <v>BRANCH</v>
      </c>
      <c r="B4726" s="6" t="str">
        <f t="shared" si="2438"/>
        <v>New Recruits 3M Activation #</v>
      </c>
      <c r="C4726" s="4" t="str">
        <f>CHOOSE(2, "5462030031", "Jul 26")</f>
        <v>Jul 26</v>
      </c>
      <c r="D4726" s="14">
        <v>105</v>
      </c>
    </row>
    <row r="4727" spans="1:4" x14ac:dyDescent="0.35">
      <c r="A4727" s="5" t="str">
        <f t="shared" si="2409"/>
        <v>BRANCH</v>
      </c>
      <c r="B4727" s="3" t="str">
        <f t="shared" ref="B4727:B4728" si="2439">CHOOSE(2, "1395000000680", "No of Terminations")</f>
        <v>No of Terminations</v>
      </c>
      <c r="C4727" s="4" t="str">
        <f>CHOOSE(2, "5461730030", "Jun 26")</f>
        <v>Jun 26</v>
      </c>
      <c r="D4727" s="14">
        <v>183</v>
      </c>
    </row>
    <row r="4728" spans="1:4" x14ac:dyDescent="0.35">
      <c r="A4728" s="5" t="str">
        <f t="shared" si="2409"/>
        <v>BRANCH</v>
      </c>
      <c r="B4728" s="6" t="str">
        <f t="shared" si="2439"/>
        <v>No of Terminations</v>
      </c>
      <c r="C4728" s="4" t="str">
        <f>CHOOSE(2, "5462030031", "Jul 26")</f>
        <v>Jul 26</v>
      </c>
      <c r="D4728" s="14">
        <v>246</v>
      </c>
    </row>
    <row r="4729" spans="1:4" x14ac:dyDescent="0.35">
      <c r="A4729" s="5" t="str">
        <f t="shared" si="2409"/>
        <v>BRANCH</v>
      </c>
      <c r="B4729" s="3" t="str">
        <f t="shared" ref="B4729:B4730" si="2440">CHOOSE(2, "1395000000679", "No of Terminations in FA or equivalent")</f>
        <v>No of Terminations in FA or equivalent</v>
      </c>
      <c r="C4729" s="4" t="str">
        <f>CHOOSE(2, "5461730030", "Jun 26")</f>
        <v>Jun 26</v>
      </c>
      <c r="D4729" s="14">
        <v>183</v>
      </c>
    </row>
    <row r="4730" spans="1:4" x14ac:dyDescent="0.35">
      <c r="A4730" s="5" t="str">
        <f t="shared" si="2409"/>
        <v>BRANCH</v>
      </c>
      <c r="B4730" s="6" t="str">
        <f t="shared" si="2440"/>
        <v>No of Terminations in FA or equivalent</v>
      </c>
      <c r="C4730" s="4" t="str">
        <f>CHOOSE(2, "5462030031", "Jul 26")</f>
        <v>Jul 26</v>
      </c>
      <c r="D4730" s="14">
        <v>245</v>
      </c>
    </row>
    <row r="4731" spans="1:4" x14ac:dyDescent="0.35">
      <c r="A4731" s="5" t="str">
        <f t="shared" si="2409"/>
        <v>BRANCH</v>
      </c>
      <c r="B4731" s="3" t="str">
        <f t="shared" ref="B4731:B4732" si="2441">CHOOSE(2, "1395000000678", "No of Terminations in UM")</f>
        <v>No of Terminations in UM</v>
      </c>
      <c r="C4731" s="4" t="str">
        <f>CHOOSE(2, "5461730030", "Jun 26")</f>
        <v>Jun 26</v>
      </c>
      <c r="D4731" s="14">
        <v>0</v>
      </c>
    </row>
    <row r="4732" spans="1:4" x14ac:dyDescent="0.35">
      <c r="A4732" s="5" t="str">
        <f t="shared" si="2409"/>
        <v>BRANCH</v>
      </c>
      <c r="B4732" s="6" t="str">
        <f t="shared" si="2441"/>
        <v>No of Terminations in UM</v>
      </c>
      <c r="C4732" s="4" t="str">
        <f>CHOOSE(2, "5462030031", "Jul 26")</f>
        <v>Jul 26</v>
      </c>
      <c r="D4732" s="14">
        <v>1</v>
      </c>
    </row>
    <row r="4733" spans="1:4" x14ac:dyDescent="0.35">
      <c r="A4733" s="5" t="str">
        <f t="shared" ref="A4733:A4796" si="2442">CHOOSE(2, "1260000000005", "BRANCH")</f>
        <v>BRANCH</v>
      </c>
      <c r="B4733" s="3" t="str">
        <f t="shared" ref="B4733:B4734" si="2443">CHOOSE(2, "1395000000677", "No of Terminations in Leaders above UM")</f>
        <v>No of Terminations in Leaders above UM</v>
      </c>
      <c r="C4733" s="4" t="str">
        <f>CHOOSE(2, "5461730030", "Jun 26")</f>
        <v>Jun 26</v>
      </c>
      <c r="D4733" s="14">
        <v>0</v>
      </c>
    </row>
    <row r="4734" spans="1:4" x14ac:dyDescent="0.35">
      <c r="A4734" s="5" t="str">
        <f t="shared" si="2442"/>
        <v>BRANCH</v>
      </c>
      <c r="B4734" s="6" t="str">
        <f t="shared" si="2443"/>
        <v>No of Terminations in Leaders above UM</v>
      </c>
      <c r="C4734" s="4" t="str">
        <f>CHOOSE(2, "5462030031", "Jul 26")</f>
        <v>Jul 26</v>
      </c>
      <c r="D4734" s="14">
        <v>0</v>
      </c>
    </row>
    <row r="4735" spans="1:4" x14ac:dyDescent="0.35">
      <c r="A4735" s="5" t="str">
        <f t="shared" si="2442"/>
        <v>BRANCH</v>
      </c>
      <c r="B4735" s="3" t="str">
        <f t="shared" ref="B4735:B4736" si="2444">CHOOSE(2, "1395000000676", "No of Terminations in Top-tier Agents")</f>
        <v>No of Terminations in Top-tier Agents</v>
      </c>
      <c r="C4735" s="4" t="str">
        <f>CHOOSE(2, "5461730030", "Jun 26")</f>
        <v>Jun 26</v>
      </c>
      <c r="D4735" s="14">
        <v>0</v>
      </c>
    </row>
    <row r="4736" spans="1:4" x14ac:dyDescent="0.35">
      <c r="A4736" s="5" t="str">
        <f t="shared" si="2442"/>
        <v>BRANCH</v>
      </c>
      <c r="B4736" s="6" t="str">
        <f t="shared" si="2444"/>
        <v>No of Terminations in Top-tier Agents</v>
      </c>
      <c r="C4736" s="4" t="str">
        <f>CHOOSE(2, "5462030031", "Jul 26")</f>
        <v>Jul 26</v>
      </c>
      <c r="D4736" s="14">
        <v>0</v>
      </c>
    </row>
    <row r="4737" spans="1:4" x14ac:dyDescent="0.35">
      <c r="A4737" s="5" t="str">
        <f t="shared" si="2442"/>
        <v>BRANCH</v>
      </c>
      <c r="B4737" s="3" t="str">
        <f t="shared" ref="B4737:B4738" si="2445">CHOOSE(2, "1395000000675", "No of Terminations in pro-rated MDRT agents (&gt;100%)")</f>
        <v>No of Terminations in pro-rated MDRT agents (&gt;100%)</v>
      </c>
      <c r="C4737" s="4" t="str">
        <f>CHOOSE(2, "5461730030", "Jun 26")</f>
        <v>Jun 26</v>
      </c>
      <c r="D4737" s="14">
        <v>0</v>
      </c>
    </row>
    <row r="4738" spans="1:4" x14ac:dyDescent="0.35">
      <c r="A4738" s="5" t="str">
        <f t="shared" si="2442"/>
        <v>BRANCH</v>
      </c>
      <c r="B4738" s="6" t="str">
        <f t="shared" si="2445"/>
        <v>No of Terminations in pro-rated MDRT agents (&gt;100%)</v>
      </c>
      <c r="C4738" s="4" t="str">
        <f>CHOOSE(2, "5462030031", "Jul 26")</f>
        <v>Jul 26</v>
      </c>
      <c r="D4738" s="14">
        <v>0</v>
      </c>
    </row>
    <row r="4739" spans="1:4" x14ac:dyDescent="0.35">
      <c r="A4739" s="5" t="str">
        <f t="shared" si="2442"/>
        <v>BRANCH</v>
      </c>
      <c r="B4739" s="3" t="str">
        <f t="shared" ref="B4739:B4740" si="2446">CHOOSE(2, "1395000000674", "No of Terminations in pro-rated MDRT agents (70-99%)")</f>
        <v>No of Terminations in pro-rated MDRT agents (70-99%)</v>
      </c>
      <c r="C4739" s="4" t="str">
        <f>CHOOSE(2, "5461730030", "Jun 26")</f>
        <v>Jun 26</v>
      </c>
      <c r="D4739" s="14">
        <v>0</v>
      </c>
    </row>
    <row r="4740" spans="1:4" x14ac:dyDescent="0.35">
      <c r="A4740" s="5" t="str">
        <f t="shared" si="2442"/>
        <v>BRANCH</v>
      </c>
      <c r="B4740" s="6" t="str">
        <f t="shared" si="2446"/>
        <v>No of Terminations in pro-rated MDRT agents (70-99%)</v>
      </c>
      <c r="C4740" s="4" t="str">
        <f>CHOOSE(2, "5462030031", "Jul 26")</f>
        <v>Jul 26</v>
      </c>
      <c r="D4740" s="14">
        <v>0</v>
      </c>
    </row>
    <row r="4741" spans="1:4" x14ac:dyDescent="0.35">
      <c r="A4741" s="5" t="str">
        <f t="shared" si="2442"/>
        <v>BRANCH</v>
      </c>
      <c r="B4741" s="3" t="str">
        <f t="shared" ref="B4741:B4742" si="2447">CHOOSE(2, "1395000000673", "No of Terminations in pro-rated MDRT agents (50-69%)")</f>
        <v>No of Terminations in pro-rated MDRT agents (50-69%)</v>
      </c>
      <c r="C4741" s="4" t="str">
        <f>CHOOSE(2, "5461730030", "Jun 26")</f>
        <v>Jun 26</v>
      </c>
      <c r="D4741" s="14">
        <v>0</v>
      </c>
    </row>
    <row r="4742" spans="1:4" x14ac:dyDescent="0.35">
      <c r="A4742" s="5" t="str">
        <f t="shared" si="2442"/>
        <v>BRANCH</v>
      </c>
      <c r="B4742" s="6" t="str">
        <f t="shared" si="2447"/>
        <v>No of Terminations in pro-rated MDRT agents (50-69%)</v>
      </c>
      <c r="C4742" s="4" t="str">
        <f>CHOOSE(2, "5462030031", "Jul 26")</f>
        <v>Jul 26</v>
      </c>
      <c r="D4742" s="14">
        <v>0</v>
      </c>
    </row>
    <row r="4743" spans="1:4" x14ac:dyDescent="0.35">
      <c r="A4743" s="5" t="str">
        <f t="shared" si="2442"/>
        <v>BRANCH</v>
      </c>
      <c r="B4743" s="3" t="str">
        <f t="shared" ref="B4743:B4744" si="2448">CHOOSE(2, "1395000000672", "No of Terminations in Manulife Pro Qualifiers - Total")</f>
        <v>No of Terminations in Manulife Pro Qualifiers - Total</v>
      </c>
      <c r="C4743" s="4" t="str">
        <f>CHOOSE(2, "5461730030", "Jun 26")</f>
        <v>Jun 26</v>
      </c>
      <c r="D4743" s="14">
        <v>0</v>
      </c>
    </row>
    <row r="4744" spans="1:4" x14ac:dyDescent="0.35">
      <c r="A4744" s="5" t="str">
        <f t="shared" si="2442"/>
        <v>BRANCH</v>
      </c>
      <c r="B4744" s="6" t="str">
        <f t="shared" si="2448"/>
        <v>No of Terminations in Manulife Pro Qualifiers - Total</v>
      </c>
      <c r="C4744" s="4" t="str">
        <f>CHOOSE(2, "5462030031", "Jul 26")</f>
        <v>Jul 26</v>
      </c>
      <c r="D4744" s="14">
        <v>0</v>
      </c>
    </row>
    <row r="4745" spans="1:4" x14ac:dyDescent="0.35">
      <c r="A4745" s="5" t="str">
        <f t="shared" si="2442"/>
        <v>BRANCH</v>
      </c>
      <c r="B4745" s="3" t="str">
        <f t="shared" ref="B4745:B4746" si="2449">CHOOSE(2, "1395000000671", "First Year Agents Terminated without Sales")</f>
        <v>First Year Agents Terminated without Sales</v>
      </c>
      <c r="C4745" s="4" t="str">
        <f>CHOOSE(2, "5461730030", "Jun 26")</f>
        <v>Jun 26</v>
      </c>
      <c r="D4745" s="14">
        <v>6</v>
      </c>
    </row>
    <row r="4746" spans="1:4" x14ac:dyDescent="0.35">
      <c r="A4746" s="5" t="str">
        <f t="shared" si="2442"/>
        <v>BRANCH</v>
      </c>
      <c r="B4746" s="6" t="str">
        <f t="shared" si="2449"/>
        <v>First Year Agents Terminated without Sales</v>
      </c>
      <c r="C4746" s="4" t="str">
        <f>CHOOSE(2, "5462030031", "Jul 26")</f>
        <v>Jul 26</v>
      </c>
      <c r="D4746" s="14">
        <v>4</v>
      </c>
    </row>
    <row r="4747" spans="1:4" x14ac:dyDescent="0.35">
      <c r="A4747" s="5" t="str">
        <f t="shared" si="2442"/>
        <v>BRANCH</v>
      </c>
      <c r="B4747" s="3" t="str">
        <f t="shared" ref="B4747:B4748" si="2450">CHOOSE(2, "1395000000670", "6mth Agency Retention Ratio")</f>
        <v>6mth Agency Retention Ratio</v>
      </c>
      <c r="C4747" s="4" t="str">
        <f>CHOOSE(2, "5461730030", "Jun 26")</f>
        <v>Jun 26</v>
      </c>
      <c r="D4747" s="14">
        <v>0.97</v>
      </c>
    </row>
    <row r="4748" spans="1:4" x14ac:dyDescent="0.35">
      <c r="A4748" s="5" t="str">
        <f t="shared" si="2442"/>
        <v>BRANCH</v>
      </c>
      <c r="B4748" s="6" t="str">
        <f t="shared" si="2450"/>
        <v>6mth Agency Retention Ratio</v>
      </c>
      <c r="C4748" s="4" t="str">
        <f>CHOOSE(2, "5462030031", "Jul 26")</f>
        <v>Jul 26</v>
      </c>
      <c r="D4748" s="14">
        <v>0.97115399999999996</v>
      </c>
    </row>
    <row r="4749" spans="1:4" x14ac:dyDescent="0.35">
      <c r="A4749" s="5" t="str">
        <f t="shared" si="2442"/>
        <v>BRANCH</v>
      </c>
      <c r="B4749" s="3" t="str">
        <f t="shared" ref="B4749:B4750" si="2451">CHOOSE(2, "1395000000669", "12mth Agency Retention Ratio")</f>
        <v>12mth Agency Retention Ratio</v>
      </c>
      <c r="C4749" s="4" t="str">
        <f>CHOOSE(2, "5461730030", "Jun 26")</f>
        <v>Jun 26</v>
      </c>
      <c r="D4749" s="14">
        <v>0.58308700000000002</v>
      </c>
    </row>
    <row r="4750" spans="1:4" x14ac:dyDescent="0.35">
      <c r="A4750" s="5" t="str">
        <f t="shared" si="2442"/>
        <v>BRANCH</v>
      </c>
      <c r="B4750" s="6" t="str">
        <f t="shared" si="2451"/>
        <v>12mth Agency Retention Ratio</v>
      </c>
      <c r="C4750" s="4" t="str">
        <f>CHOOSE(2, "5462030031", "Jul 26")</f>
        <v>Jul 26</v>
      </c>
      <c r="D4750" s="14">
        <v>0.62939400000000001</v>
      </c>
    </row>
    <row r="4751" spans="1:4" x14ac:dyDescent="0.35">
      <c r="A4751" s="5" t="str">
        <f t="shared" si="2442"/>
        <v>BRANCH</v>
      </c>
      <c r="B4751" s="3" t="str">
        <f t="shared" ref="B4751:B4752" si="2452">CHOOSE(2, "1395000000668", "24mth Agency Retention Ratio")</f>
        <v>24mth Agency Retention Ratio</v>
      </c>
      <c r="C4751" s="4" t="str">
        <f>CHOOSE(2, "5461730030", "Jun 26")</f>
        <v>Jun 26</v>
      </c>
      <c r="D4751" s="14">
        <v>0.19394400000000001</v>
      </c>
    </row>
    <row r="4752" spans="1:4" x14ac:dyDescent="0.35">
      <c r="A4752" s="5" t="str">
        <f t="shared" si="2442"/>
        <v>BRANCH</v>
      </c>
      <c r="B4752" s="6" t="str">
        <f t="shared" si="2452"/>
        <v>24mth Agency Retention Ratio</v>
      </c>
      <c r="C4752" s="4" t="str">
        <f>CHOOSE(2, "5462030031", "Jul 26")</f>
        <v>Jul 26</v>
      </c>
      <c r="D4752" s="14">
        <v>0.192606</v>
      </c>
    </row>
    <row r="4753" spans="1:4" x14ac:dyDescent="0.35">
      <c r="A4753" s="5" t="str">
        <f t="shared" si="2442"/>
        <v>BRANCH</v>
      </c>
      <c r="B4753" s="3" t="str">
        <f t="shared" ref="B4753:B4754" si="2453">CHOOSE(2, "1395000000667", "Total # of Leaders (end of period)")</f>
        <v>Total # of Leaders (end of period)</v>
      </c>
      <c r="C4753" s="4" t="str">
        <f>CHOOSE(2, "5461730030", "Jun 26")</f>
        <v>Jun 26</v>
      </c>
      <c r="D4753" s="14">
        <v>680</v>
      </c>
    </row>
    <row r="4754" spans="1:4" x14ac:dyDescent="0.35">
      <c r="A4754" s="5" t="str">
        <f t="shared" si="2442"/>
        <v>BRANCH</v>
      </c>
      <c r="B4754" s="6" t="str">
        <f t="shared" si="2453"/>
        <v>Total # of Leaders (end of period)</v>
      </c>
      <c r="C4754" s="4" t="str">
        <f>CHOOSE(2, "5462030031", "Jul 26")</f>
        <v>Jul 26</v>
      </c>
      <c r="D4754" s="14">
        <v>708</v>
      </c>
    </row>
    <row r="4755" spans="1:4" x14ac:dyDescent="0.35">
      <c r="A4755" s="5" t="str">
        <f t="shared" si="2442"/>
        <v>BRANCH</v>
      </c>
      <c r="B4755" s="3" t="str">
        <f t="shared" ref="B4755:B4756" si="2454">CHOOSE(2, "1395000000666", "Total # of Unit Managers")</f>
        <v>Total # of Unit Managers</v>
      </c>
      <c r="C4755" s="4" t="str">
        <f>CHOOSE(2, "5461730030", "Jun 26")</f>
        <v>Jun 26</v>
      </c>
      <c r="D4755" s="14">
        <v>380</v>
      </c>
    </row>
    <row r="4756" spans="1:4" x14ac:dyDescent="0.35">
      <c r="A4756" s="5" t="str">
        <f t="shared" si="2442"/>
        <v>BRANCH</v>
      </c>
      <c r="B4756" s="6" t="str">
        <f t="shared" si="2454"/>
        <v>Total # of Unit Managers</v>
      </c>
      <c r="C4756" s="4" t="str">
        <f>CHOOSE(2, "5462030031", "Jul 26")</f>
        <v>Jul 26</v>
      </c>
      <c r="D4756" s="14">
        <v>401</v>
      </c>
    </row>
    <row r="4757" spans="1:4" x14ac:dyDescent="0.35">
      <c r="A4757" s="5" t="str">
        <f t="shared" si="2442"/>
        <v>BRANCH</v>
      </c>
      <c r="B4757" s="3" t="str">
        <f t="shared" ref="B4757:B4758" si="2455">CHOOSE(2, "1395000000665", "Total # of Leaders above Unit Manager level")</f>
        <v>Total # of Leaders above Unit Manager level</v>
      </c>
      <c r="C4757" s="4" t="str">
        <f>CHOOSE(2, "5461730030", "Jun 26")</f>
        <v>Jun 26</v>
      </c>
      <c r="D4757" s="14">
        <v>300</v>
      </c>
    </row>
    <row r="4758" spans="1:4" x14ac:dyDescent="0.35">
      <c r="A4758" s="5" t="str">
        <f t="shared" si="2442"/>
        <v>BRANCH</v>
      </c>
      <c r="B4758" s="6" t="str">
        <f t="shared" si="2455"/>
        <v>Total # of Leaders above Unit Manager level</v>
      </c>
      <c r="C4758" s="4" t="str">
        <f>CHOOSE(2, "5462030031", "Jul 26")</f>
        <v>Jul 26</v>
      </c>
      <c r="D4758" s="14">
        <v>307</v>
      </c>
    </row>
    <row r="4759" spans="1:4" x14ac:dyDescent="0.35">
      <c r="A4759" s="5" t="str">
        <f t="shared" si="2442"/>
        <v>BRANCH</v>
      </c>
      <c r="B4759" s="3" t="str">
        <f t="shared" ref="B4759:B4760" si="2456">CHOOSE(2, "1395000000664", "Total # of Agents below Unit Manager level (end of period)")</f>
        <v>Total # of Agents below Unit Manager level (end of period)</v>
      </c>
      <c r="C4759" s="4" t="str">
        <f>CHOOSE(2, "5461730030", "Jun 26")</f>
        <v>Jun 26</v>
      </c>
      <c r="D4759" s="14">
        <v>5491</v>
      </c>
    </row>
    <row r="4760" spans="1:4" x14ac:dyDescent="0.35">
      <c r="A4760" s="5" t="str">
        <f t="shared" si="2442"/>
        <v>BRANCH</v>
      </c>
      <c r="B4760" s="6" t="str">
        <f t="shared" si="2456"/>
        <v>Total # of Agents below Unit Manager level (end of period)</v>
      </c>
      <c r="C4760" s="4" t="str">
        <f>CHOOSE(2, "5462030031", "Jul 26")</f>
        <v>Jul 26</v>
      </c>
      <c r="D4760" s="14">
        <v>5489</v>
      </c>
    </row>
    <row r="4761" spans="1:4" x14ac:dyDescent="0.35">
      <c r="A4761" s="5" t="str">
        <f t="shared" si="2442"/>
        <v>BRANCH</v>
      </c>
      <c r="B4761" s="3" t="str">
        <f t="shared" ref="B4761:B4762" si="2457">CHOOSE(2, "1395000000663", "# of Active Recruiting Leaders")</f>
        <v># of Active Recruiting Leaders</v>
      </c>
      <c r="C4761" s="4" t="str">
        <f>CHOOSE(2, "5461730030", "Jun 26")</f>
        <v>Jun 26</v>
      </c>
      <c r="D4761" s="14">
        <v>110</v>
      </c>
    </row>
    <row r="4762" spans="1:4" x14ac:dyDescent="0.35">
      <c r="A4762" s="5" t="str">
        <f t="shared" si="2442"/>
        <v>BRANCH</v>
      </c>
      <c r="B4762" s="6" t="str">
        <f t="shared" si="2457"/>
        <v># of Active Recruiting Leaders</v>
      </c>
      <c r="C4762" s="4" t="str">
        <f>CHOOSE(2, "5462030031", "Jul 26")</f>
        <v>Jul 26</v>
      </c>
      <c r="D4762" s="14">
        <v>119</v>
      </c>
    </row>
    <row r="4763" spans="1:4" x14ac:dyDescent="0.35">
      <c r="A4763" s="5" t="str">
        <f t="shared" si="2442"/>
        <v>BRANCH</v>
      </c>
      <c r="B4763" s="3" t="str">
        <f t="shared" ref="B4763:B4764" si="2458">CHOOSE(2, "1395000000662", "# of leaders with &gt;1 YTD recruit")</f>
        <v># of leaders with &gt;1 YTD recruit</v>
      </c>
      <c r="C4763" s="4" t="str">
        <f>CHOOSE(2, "5461730030", "Jun 26")</f>
        <v>Jun 26</v>
      </c>
      <c r="D4763" s="14">
        <v>363</v>
      </c>
    </row>
    <row r="4764" spans="1:4" x14ac:dyDescent="0.35">
      <c r="A4764" s="5" t="str">
        <f t="shared" si="2442"/>
        <v>BRANCH</v>
      </c>
      <c r="B4764" s="6" t="str">
        <f t="shared" si="2458"/>
        <v># of leaders with &gt;1 YTD recruit</v>
      </c>
      <c r="C4764" s="4" t="str">
        <f>CHOOSE(2, "5462030031", "Jul 26")</f>
        <v>Jul 26</v>
      </c>
      <c r="D4764" s="14">
        <v>416</v>
      </c>
    </row>
    <row r="4765" spans="1:4" x14ac:dyDescent="0.35">
      <c r="A4765" s="5" t="str">
        <f t="shared" si="2442"/>
        <v>BRANCH</v>
      </c>
      <c r="B4765" s="3" t="str">
        <f t="shared" ref="B4765:B4766" si="2459">CHOOSE(2, "1395000000661", "Income ratio from personal sales (UM)")</f>
        <v>Income ratio from personal sales (UM)</v>
      </c>
      <c r="C4765" s="4" t="str">
        <f>CHOOSE(2, "5461730030", "Jun 26")</f>
        <v>Jun 26</v>
      </c>
      <c r="D4765" s="14">
        <v>0.98875429079273025</v>
      </c>
    </row>
    <row r="4766" spans="1:4" x14ac:dyDescent="0.35">
      <c r="A4766" s="5" t="str">
        <f t="shared" si="2442"/>
        <v>BRANCH</v>
      </c>
      <c r="B4766" s="6" t="str">
        <f t="shared" si="2459"/>
        <v>Income ratio from personal sales (UM)</v>
      </c>
      <c r="C4766" s="4" t="str">
        <f>CHOOSE(2, "5462030031", "Jul 26")</f>
        <v>Jul 26</v>
      </c>
      <c r="D4766" s="14">
        <v>0.97190416428525961</v>
      </c>
    </row>
    <row r="4767" spans="1:4" x14ac:dyDescent="0.35">
      <c r="A4767" s="5" t="str">
        <f t="shared" si="2442"/>
        <v>BRANCH</v>
      </c>
      <c r="B4767" s="3" t="str">
        <f t="shared" ref="B4767:B4768" si="2460">CHOOSE(2, "1395000000660", "Income ratio from personal sales (UM) (numerator)")</f>
        <v>Income ratio from personal sales (UM) (numerator)</v>
      </c>
      <c r="C4767" s="4" t="str">
        <f>CHOOSE(2, "5461730030", "Jun 26")</f>
        <v>Jun 26</v>
      </c>
      <c r="D4767" s="14">
        <v>210108.256608</v>
      </c>
    </row>
    <row r="4768" spans="1:4" x14ac:dyDescent="0.35">
      <c r="A4768" s="5" t="str">
        <f t="shared" si="2442"/>
        <v>BRANCH</v>
      </c>
      <c r="B4768" s="6" t="str">
        <f t="shared" si="2460"/>
        <v>Income ratio from personal sales (UM) (numerator)</v>
      </c>
      <c r="C4768" s="4" t="str">
        <f>CHOOSE(2, "5462030031", "Jul 26")</f>
        <v>Jul 26</v>
      </c>
      <c r="D4768" s="14">
        <v>235761.489909</v>
      </c>
    </row>
    <row r="4769" spans="1:4" x14ac:dyDescent="0.35">
      <c r="A4769" s="5" t="str">
        <f t="shared" si="2442"/>
        <v>BRANCH</v>
      </c>
      <c r="B4769" s="3" t="str">
        <f t="shared" ref="B4769:B4770" si="2461">CHOOSE(2, "1395000000659", "Income ratio from personal sales (UM) (denominator)")</f>
        <v>Income ratio from personal sales (UM) (denominator)</v>
      </c>
      <c r="C4769" s="4" t="str">
        <f>CHOOSE(2, "5461730030", "Jun 26")</f>
        <v>Jun 26</v>
      </c>
      <c r="D4769" s="14">
        <v>212497.94672400001</v>
      </c>
    </row>
    <row r="4770" spans="1:4" x14ac:dyDescent="0.35">
      <c r="A4770" s="5" t="str">
        <f t="shared" si="2442"/>
        <v>BRANCH</v>
      </c>
      <c r="B4770" s="6" t="str">
        <f t="shared" si="2461"/>
        <v>Income ratio from personal sales (UM) (denominator)</v>
      </c>
      <c r="C4770" s="4" t="str">
        <f>CHOOSE(2, "5462030031", "Jul 26")</f>
        <v>Jul 26</v>
      </c>
      <c r="D4770" s="14">
        <v>242576.890369</v>
      </c>
    </row>
    <row r="4771" spans="1:4" x14ac:dyDescent="0.35">
      <c r="A4771" s="5" t="str">
        <f t="shared" si="2442"/>
        <v>BRANCH</v>
      </c>
      <c r="B4771" s="3" t="str">
        <f t="shared" ref="B4771:B4772" si="2462">CHOOSE(2, "1395000000658", "Income ratio from personal sales (Leader above UM)")</f>
        <v>Income ratio from personal sales (Leader above UM)</v>
      </c>
      <c r="C4771" s="4" t="str">
        <f>CHOOSE(2, "5461730030", "Jun 26")</f>
        <v>Jun 26</v>
      </c>
      <c r="D4771" s="14">
        <v>0.78992604515313025</v>
      </c>
    </row>
    <row r="4772" spans="1:4" x14ac:dyDescent="0.35">
      <c r="A4772" s="5" t="str">
        <f t="shared" si="2442"/>
        <v>BRANCH</v>
      </c>
      <c r="B4772" s="6" t="str">
        <f t="shared" si="2462"/>
        <v>Income ratio from personal sales (Leader above UM)</v>
      </c>
      <c r="C4772" s="4" t="str">
        <f>CHOOSE(2, "5462030031", "Jul 26")</f>
        <v>Jul 26</v>
      </c>
      <c r="D4772" s="14">
        <v>0.78513584428549021</v>
      </c>
    </row>
    <row r="4773" spans="1:4" x14ac:dyDescent="0.35">
      <c r="A4773" s="5" t="str">
        <f t="shared" si="2442"/>
        <v>BRANCH</v>
      </c>
      <c r="B4773" s="3" t="str">
        <f t="shared" ref="B4773:B4774" si="2463">CHOOSE(2, "1395000000657", "Income ratio from personal sales (Leader above UM) (num)")</f>
        <v>Income ratio from personal sales (Leader above UM) (num)</v>
      </c>
      <c r="C4773" s="4" t="str">
        <f>CHOOSE(2, "5461730030", "Jun 26")</f>
        <v>Jun 26</v>
      </c>
      <c r="D4773" s="14">
        <v>265911.19960499997</v>
      </c>
    </row>
    <row r="4774" spans="1:4" x14ac:dyDescent="0.35">
      <c r="A4774" s="5" t="str">
        <f t="shared" si="2442"/>
        <v>BRANCH</v>
      </c>
      <c r="B4774" s="6" t="str">
        <f t="shared" si="2463"/>
        <v>Income ratio from personal sales (Leader above UM) (num)</v>
      </c>
      <c r="C4774" s="4" t="str">
        <f>CHOOSE(2, "5462030031", "Jul 26")</f>
        <v>Jul 26</v>
      </c>
      <c r="D4774" s="14">
        <v>271476.050552</v>
      </c>
    </row>
    <row r="4775" spans="1:4" x14ac:dyDescent="0.35">
      <c r="A4775" s="5" t="str">
        <f t="shared" si="2442"/>
        <v>BRANCH</v>
      </c>
      <c r="B4775" s="3" t="str">
        <f t="shared" ref="B4775:B4776" si="2464">CHOOSE(2, "1395000000656", "Income ratio from personal sales (Leader above UM) (den)")</f>
        <v>Income ratio from personal sales (Leader above UM) (den)</v>
      </c>
      <c r="C4775" s="4" t="str">
        <f>CHOOSE(2, "5461730030", "Jun 26")</f>
        <v>Jun 26</v>
      </c>
      <c r="D4775" s="14">
        <v>336627.96819599997</v>
      </c>
    </row>
    <row r="4776" spans="1:4" x14ac:dyDescent="0.35">
      <c r="A4776" s="5" t="str">
        <f t="shared" si="2442"/>
        <v>BRANCH</v>
      </c>
      <c r="B4776" s="6" t="str">
        <f t="shared" si="2464"/>
        <v>Income ratio from personal sales (Leader above UM) (den)</v>
      </c>
      <c r="C4776" s="4" t="str">
        <f>CHOOSE(2, "5462030031", "Jul 26")</f>
        <v>Jul 26</v>
      </c>
      <c r="D4776" s="14">
        <v>345769.52832799999</v>
      </c>
    </row>
    <row r="4777" spans="1:4" x14ac:dyDescent="0.35">
      <c r="A4777" s="5" t="str">
        <f t="shared" si="2442"/>
        <v>BRANCH</v>
      </c>
      <c r="B4777" s="3" t="str">
        <f t="shared" ref="B4777:B4778" si="2465">CHOOSE(2, "1395000000655", "Total agent earnings")</f>
        <v>Total agent earnings</v>
      </c>
      <c r="C4777" s="4" t="str">
        <f>CHOOSE(2, "5461730030", "Jun 26")</f>
        <v>Jun 26</v>
      </c>
      <c r="D4777" s="14">
        <v>68.660280739263001</v>
      </c>
    </row>
    <row r="4778" spans="1:4" x14ac:dyDescent="0.35">
      <c r="A4778" s="5" t="str">
        <f t="shared" si="2442"/>
        <v>BRANCH</v>
      </c>
      <c r="B4778" s="6" t="str">
        <f t="shared" si="2465"/>
        <v>Total agent earnings</v>
      </c>
      <c r="C4778" s="4" t="str">
        <f>CHOOSE(2, "5462030031", "Jul 26")</f>
        <v>Jul 26</v>
      </c>
      <c r="D4778" s="14">
        <v>70.461220338239997</v>
      </c>
    </row>
    <row r="4779" spans="1:4" x14ac:dyDescent="0.35">
      <c r="A4779" s="5" t="str">
        <f t="shared" si="2442"/>
        <v>BRANCH</v>
      </c>
      <c r="B4779" s="3" t="str">
        <f t="shared" ref="B4779:B4780" si="2466">CHOOSE(2, "1395000000654", "Total agent earnings in FA or equivalent")</f>
        <v>Total agent earnings in FA or equivalent</v>
      </c>
      <c r="C4779" s="4" t="str">
        <f>CHOOSE(2, "5461730030", "Jun 26")</f>
        <v>Jun 26</v>
      </c>
      <c r="D4779" s="14">
        <v>37.360103588823002</v>
      </c>
    </row>
    <row r="4780" spans="1:4" x14ac:dyDescent="0.35">
      <c r="A4780" s="5" t="str">
        <f t="shared" si="2442"/>
        <v>BRANCH</v>
      </c>
      <c r="B4780" s="6" t="str">
        <f t="shared" si="2466"/>
        <v>Total agent earnings in FA or equivalent</v>
      </c>
      <c r="C4780" s="4" t="str">
        <f>CHOOSE(2, "5462030031", "Jul 26")</f>
        <v>Jul 26</v>
      </c>
      <c r="D4780" s="14">
        <v>36.925474472510999</v>
      </c>
    </row>
    <row r="4781" spans="1:4" x14ac:dyDescent="0.35">
      <c r="A4781" s="5" t="str">
        <f t="shared" si="2442"/>
        <v>BRANCH</v>
      </c>
      <c r="B4781" s="3" t="str">
        <f t="shared" ref="B4781:B4782" si="2467">CHOOSE(2, "1395000000653", "Total agent earnings in UM")</f>
        <v>Total agent earnings in UM</v>
      </c>
      <c r="C4781" s="4" t="str">
        <f>CHOOSE(2, "5461730030", "Jun 26")</f>
        <v>Jun 26</v>
      </c>
      <c r="D4781" s="14">
        <v>12.112382963268001</v>
      </c>
    </row>
    <row r="4782" spans="1:4" x14ac:dyDescent="0.35">
      <c r="A4782" s="5" t="str">
        <f t="shared" si="2442"/>
        <v>BRANCH</v>
      </c>
      <c r="B4782" s="6" t="str">
        <f t="shared" si="2467"/>
        <v>Total agent earnings in UM</v>
      </c>
      <c r="C4782" s="4" t="str">
        <f>CHOOSE(2, "5462030031", "Jul 26")</f>
        <v>Jul 26</v>
      </c>
      <c r="D4782" s="14">
        <v>13.826882751033001</v>
      </c>
    </row>
    <row r="4783" spans="1:4" x14ac:dyDescent="0.35">
      <c r="A4783" s="5" t="str">
        <f t="shared" si="2442"/>
        <v>BRANCH</v>
      </c>
      <c r="B4783" s="3" t="str">
        <f t="shared" ref="B4783:B4784" si="2468">CHOOSE(2, "1395000000652", "Total agent earnings in Leaders above UM")</f>
        <v>Total agent earnings in Leaders above UM</v>
      </c>
      <c r="C4783" s="4" t="str">
        <f>CHOOSE(2, "5461730030", "Jun 26")</f>
        <v>Jun 26</v>
      </c>
      <c r="D4783" s="14">
        <v>19.187794187171999</v>
      </c>
    </row>
    <row r="4784" spans="1:4" x14ac:dyDescent="0.35">
      <c r="A4784" s="5" t="str">
        <f t="shared" si="2442"/>
        <v>BRANCH</v>
      </c>
      <c r="B4784" s="6" t="str">
        <f t="shared" si="2468"/>
        <v>Total agent earnings in Leaders above UM</v>
      </c>
      <c r="C4784" s="4" t="str">
        <f>CHOOSE(2, "5462030031", "Jul 26")</f>
        <v>Jul 26</v>
      </c>
      <c r="D4784" s="14">
        <v>19.708863114696001</v>
      </c>
    </row>
    <row r="4785" spans="1:4" x14ac:dyDescent="0.35">
      <c r="A4785" s="5" t="str">
        <f t="shared" si="2442"/>
        <v>BRANCH</v>
      </c>
      <c r="B4785" s="3" t="str">
        <f t="shared" ref="B4785:B4786" si="2469">CHOOSE(2, "1395000000651", "# of Newly Promoted UM")</f>
        <v># of Newly Promoted UM</v>
      </c>
      <c r="C4785" s="4" t="str">
        <f>CHOOSE(2, "5461730030", "Jun 26")</f>
        <v>Jun 26</v>
      </c>
      <c r="D4785" s="14">
        <v>8</v>
      </c>
    </row>
    <row r="4786" spans="1:4" x14ac:dyDescent="0.35">
      <c r="A4786" s="5" t="str">
        <f t="shared" si="2442"/>
        <v>BRANCH</v>
      </c>
      <c r="B4786" s="6" t="str">
        <f t="shared" si="2469"/>
        <v># of Newly Promoted UM</v>
      </c>
      <c r="C4786" s="4" t="str">
        <f>CHOOSE(2, "5462030031", "Jul 26")</f>
        <v>Jul 26</v>
      </c>
      <c r="D4786" s="14">
        <v>23</v>
      </c>
    </row>
    <row r="4787" spans="1:4" x14ac:dyDescent="0.35">
      <c r="A4787" s="5" t="str">
        <f t="shared" si="2442"/>
        <v>BRANCH</v>
      </c>
      <c r="B4787" s="3" t="str">
        <f t="shared" ref="B4787:B4788" si="2470">CHOOSE(2, "1395000000650", "# of Newly Promoted Leaders above UM")</f>
        <v># of Newly Promoted Leaders above UM</v>
      </c>
      <c r="C4787" s="4" t="str">
        <f>CHOOSE(2, "5461730030", "Jun 26")</f>
        <v>Jun 26</v>
      </c>
      <c r="D4787" s="14">
        <v>2</v>
      </c>
    </row>
    <row r="4788" spans="1:4" x14ac:dyDescent="0.35">
      <c r="A4788" s="5" t="str">
        <f t="shared" si="2442"/>
        <v>BRANCH</v>
      </c>
      <c r="B4788" s="6" t="str">
        <f t="shared" si="2470"/>
        <v># of Newly Promoted Leaders above UM</v>
      </c>
      <c r="C4788" s="4" t="str">
        <f>CHOOSE(2, "5462030031", "Jul 26")</f>
        <v>Jul 26</v>
      </c>
      <c r="D4788" s="14">
        <v>5</v>
      </c>
    </row>
    <row r="4789" spans="1:4" x14ac:dyDescent="0.35">
      <c r="A4789" s="5" t="str">
        <f t="shared" si="2442"/>
        <v>BRANCH</v>
      </c>
      <c r="B4789" s="3" t="str">
        <f t="shared" ref="B4789:B4790" si="2471">CHOOSE(2, "1395000000649", "# of Total Leader Promotions")</f>
        <v># of Total Leader Promotions</v>
      </c>
      <c r="C4789" s="4" t="str">
        <f>CHOOSE(2, "5461730030", "Jun 26")</f>
        <v>Jun 26</v>
      </c>
      <c r="D4789" s="14">
        <v>10</v>
      </c>
    </row>
    <row r="4790" spans="1:4" x14ac:dyDescent="0.35">
      <c r="A4790" s="5" t="str">
        <f t="shared" si="2442"/>
        <v>BRANCH</v>
      </c>
      <c r="B4790" s="6" t="str">
        <f t="shared" si="2471"/>
        <v># of Total Leader Promotions</v>
      </c>
      <c r="C4790" s="4" t="str">
        <f>CHOOSE(2, "5462030031", "Jul 26")</f>
        <v>Jul 26</v>
      </c>
      <c r="D4790" s="14">
        <v>28</v>
      </c>
    </row>
    <row r="4791" spans="1:4" x14ac:dyDescent="0.35">
      <c r="A4791" s="5" t="str">
        <f t="shared" si="2442"/>
        <v>BRANCH</v>
      </c>
      <c r="B4791" s="3" t="str">
        <f t="shared" ref="B4791:B4792" si="2472">CHOOSE(2, "1395000000648", "# of Newly Demoted UM")</f>
        <v># of Newly Demoted UM</v>
      </c>
      <c r="C4791" s="4" t="str">
        <f>CHOOSE(2, "5461730030", "Jun 26")</f>
        <v>Jun 26</v>
      </c>
      <c r="D4791" s="14">
        <v>0</v>
      </c>
    </row>
    <row r="4792" spans="1:4" x14ac:dyDescent="0.35">
      <c r="A4792" s="5" t="str">
        <f t="shared" si="2442"/>
        <v>BRANCH</v>
      </c>
      <c r="B4792" s="6" t="str">
        <f t="shared" si="2472"/>
        <v># of Newly Demoted UM</v>
      </c>
      <c r="C4792" s="4" t="str">
        <f>CHOOSE(2, "5462030031", "Jul 26")</f>
        <v>Jul 26</v>
      </c>
      <c r="D4792" s="14">
        <v>1</v>
      </c>
    </row>
    <row r="4793" spans="1:4" x14ac:dyDescent="0.35">
      <c r="A4793" s="5" t="str">
        <f t="shared" si="2442"/>
        <v>BRANCH</v>
      </c>
      <c r="B4793" s="3" t="str">
        <f t="shared" ref="B4793:B4794" si="2473">CHOOSE(2, "1395000000647", "# of Newly Demoted Leaders above UM")</f>
        <v># of Newly Demoted Leaders above UM</v>
      </c>
      <c r="C4793" s="4" t="str">
        <f>CHOOSE(2, "5461730030", "Jun 26")</f>
        <v>Jun 26</v>
      </c>
      <c r="D4793" s="14">
        <v>1</v>
      </c>
    </row>
    <row r="4794" spans="1:4" x14ac:dyDescent="0.35">
      <c r="A4794" s="5" t="str">
        <f t="shared" si="2442"/>
        <v>BRANCH</v>
      </c>
      <c r="B4794" s="6" t="str">
        <f t="shared" si="2473"/>
        <v># of Newly Demoted Leaders above UM</v>
      </c>
      <c r="C4794" s="4" t="str">
        <f>CHOOSE(2, "5462030031", "Jul 26")</f>
        <v>Jul 26</v>
      </c>
      <c r="D4794" s="14">
        <v>1</v>
      </c>
    </row>
    <row r="4795" spans="1:4" x14ac:dyDescent="0.35">
      <c r="A4795" s="5" t="str">
        <f t="shared" si="2442"/>
        <v>BRANCH</v>
      </c>
      <c r="B4795" s="3" t="str">
        <f t="shared" ref="B4795:B4796" si="2474">CHOOSE(2, "1395000000646", "# of Total Leader Demotions")</f>
        <v># of Total Leader Demotions</v>
      </c>
      <c r="C4795" s="4" t="str">
        <f>CHOOSE(2, "5461730030", "Jun 26")</f>
        <v>Jun 26</v>
      </c>
      <c r="D4795" s="14">
        <v>1</v>
      </c>
    </row>
    <row r="4796" spans="1:4" x14ac:dyDescent="0.35">
      <c r="A4796" s="5" t="str">
        <f t="shared" si="2442"/>
        <v>BRANCH</v>
      </c>
      <c r="B4796" s="6" t="str">
        <f t="shared" si="2474"/>
        <v># of Total Leader Demotions</v>
      </c>
      <c r="C4796" s="4" t="str">
        <f>CHOOSE(2, "5462030031", "Jul 26")</f>
        <v>Jul 26</v>
      </c>
      <c r="D4796" s="14">
        <v>2</v>
      </c>
    </row>
    <row r="4797" spans="1:4" x14ac:dyDescent="0.35">
      <c r="A4797" s="5" t="str">
        <f t="shared" ref="A4797:A4860" si="2475">CHOOSE(2, "1260000000005", "BRANCH")</f>
        <v>BRANCH</v>
      </c>
      <c r="B4797" s="3" t="str">
        <f t="shared" ref="B4797:B4798" si="2476">CHOOSE(2, "1395000000645", "# of agents meeting MOC")</f>
        <v># of agents meeting MOC</v>
      </c>
      <c r="C4797" s="4" t="str">
        <f>CHOOSE(2, "5461730030", "Jun 26")</f>
        <v>Jun 26</v>
      </c>
      <c r="D4797" s="14">
        <v>5886</v>
      </c>
    </row>
    <row r="4798" spans="1:4" x14ac:dyDescent="0.35">
      <c r="A4798" s="5" t="str">
        <f t="shared" si="2475"/>
        <v>BRANCH</v>
      </c>
      <c r="B4798" s="6" t="str">
        <f t="shared" si="2476"/>
        <v># of agents meeting MOC</v>
      </c>
      <c r="C4798" s="4" t="str">
        <f>CHOOSE(2, "5462030031", "Jul 26")</f>
        <v>Jul 26</v>
      </c>
      <c r="D4798" s="14">
        <v>5899</v>
      </c>
    </row>
    <row r="4799" spans="1:4" x14ac:dyDescent="0.35">
      <c r="A4799" s="5" t="str">
        <f t="shared" si="2475"/>
        <v>BRANCH</v>
      </c>
      <c r="B4799" s="3" t="str">
        <f t="shared" ref="B4799:B4800" si="2477">CHOOSE(2, "1395000000644", "# of agents meeting MOC in FA or equivalent")</f>
        <v># of agents meeting MOC in FA or equivalent</v>
      </c>
      <c r="C4799" s="4" t="str">
        <f>CHOOSE(2, "5461730030", "Jun 26")</f>
        <v>Jun 26</v>
      </c>
      <c r="D4799" s="14">
        <v>5221</v>
      </c>
    </row>
    <row r="4800" spans="1:4" x14ac:dyDescent="0.35">
      <c r="A4800" s="5" t="str">
        <f t="shared" si="2475"/>
        <v>BRANCH</v>
      </c>
      <c r="B4800" s="6" t="str">
        <f t="shared" si="2477"/>
        <v># of agents meeting MOC in FA or equivalent</v>
      </c>
      <c r="C4800" s="4" t="str">
        <f>CHOOSE(2, "5462030031", "Jul 26")</f>
        <v>Jul 26</v>
      </c>
      <c r="D4800" s="14">
        <v>5227</v>
      </c>
    </row>
    <row r="4801" spans="1:4" x14ac:dyDescent="0.35">
      <c r="A4801" s="5" t="str">
        <f t="shared" si="2475"/>
        <v>BRANCH</v>
      </c>
      <c r="B4801" s="3" t="str">
        <f t="shared" ref="B4801:B4802" si="2478">CHOOSE(2, "1395000000643", "# of agents meeting MOC in UM")</f>
        <v># of agents meeting MOC in UM</v>
      </c>
      <c r="C4801" s="4" t="str">
        <f>CHOOSE(2, "5461730030", "Jun 26")</f>
        <v>Jun 26</v>
      </c>
      <c r="D4801" s="14">
        <v>368</v>
      </c>
    </row>
    <row r="4802" spans="1:4" x14ac:dyDescent="0.35">
      <c r="A4802" s="5" t="str">
        <f t="shared" si="2475"/>
        <v>BRANCH</v>
      </c>
      <c r="B4802" s="6" t="str">
        <f t="shared" si="2478"/>
        <v># of agents meeting MOC in UM</v>
      </c>
      <c r="C4802" s="4" t="str">
        <f>CHOOSE(2, "5462030031", "Jul 26")</f>
        <v>Jul 26</v>
      </c>
      <c r="D4802" s="14">
        <v>372</v>
      </c>
    </row>
    <row r="4803" spans="1:4" x14ac:dyDescent="0.35">
      <c r="A4803" s="5" t="str">
        <f t="shared" si="2475"/>
        <v>BRANCH</v>
      </c>
      <c r="B4803" s="3" t="str">
        <f t="shared" ref="B4803:B4804" si="2479">CHOOSE(2, "1395000000642", "# of agents meeting MOC in Leaders above UM")</f>
        <v># of agents meeting MOC in Leaders above UM</v>
      </c>
      <c r="C4803" s="4" t="str">
        <f>CHOOSE(2, "5461730030", "Jun 26")</f>
        <v>Jun 26</v>
      </c>
      <c r="D4803" s="14">
        <v>297</v>
      </c>
    </row>
    <row r="4804" spans="1:4" x14ac:dyDescent="0.35">
      <c r="A4804" s="5" t="str">
        <f t="shared" si="2475"/>
        <v>BRANCH</v>
      </c>
      <c r="B4804" s="6" t="str">
        <f t="shared" si="2479"/>
        <v># of agents meeting MOC in Leaders above UM</v>
      </c>
      <c r="C4804" s="4" t="str">
        <f>CHOOSE(2, "5462030031", "Jul 26")</f>
        <v>Jul 26</v>
      </c>
      <c r="D4804" s="14">
        <v>300</v>
      </c>
    </row>
    <row r="4805" spans="1:4" x14ac:dyDescent="0.35">
      <c r="A4805" s="5" t="str">
        <f t="shared" si="2475"/>
        <v>BRANCH</v>
      </c>
      <c r="B4805" s="3" t="str">
        <f t="shared" ref="B4805:B4806" si="2480">CHOOSE(2, "1395000000641", "New Leaders 3M Activation Rate (by cohort)")</f>
        <v>New Leaders 3M Activation Rate (by cohort)</v>
      </c>
      <c r="C4805" s="4" t="str">
        <f>CHOOSE(2, "5461730030", "Jun 26")</f>
        <v>Jun 26</v>
      </c>
      <c r="D4805" s="14">
        <v>0.5</v>
      </c>
    </row>
    <row r="4806" spans="1:4" x14ac:dyDescent="0.35">
      <c r="A4806" s="5" t="str">
        <f t="shared" si="2475"/>
        <v>BRANCH</v>
      </c>
      <c r="B4806" s="6" t="str">
        <f t="shared" si="2480"/>
        <v>New Leaders 3M Activation Rate (by cohort)</v>
      </c>
      <c r="C4806" s="4" t="str">
        <f>CHOOSE(2, "5462030031", "Jul 26")</f>
        <v>Jul 26</v>
      </c>
      <c r="D4806" s="14">
        <v>0.5</v>
      </c>
    </row>
    <row r="4807" spans="1:4" x14ac:dyDescent="0.35">
      <c r="A4807" s="5" t="str">
        <f t="shared" si="2475"/>
        <v>BRANCH</v>
      </c>
      <c r="B4807" s="3" t="str">
        <f t="shared" ref="B4807:B4808" si="2481">CHOOSE(2, "1395000000640", "New Leaders 3M Activation Rate (by cohort) (numerator)")</f>
        <v>New Leaders 3M Activation Rate (by cohort) (numerator)</v>
      </c>
      <c r="C4807" s="4" t="str">
        <f>CHOOSE(2, "5461730030", "Jun 26")</f>
        <v>Jun 26</v>
      </c>
      <c r="D4807" s="14">
        <v>1</v>
      </c>
    </row>
    <row r="4808" spans="1:4" x14ac:dyDescent="0.35">
      <c r="A4808" s="5" t="str">
        <f t="shared" si="2475"/>
        <v>BRANCH</v>
      </c>
      <c r="B4808" s="6" t="str">
        <f t="shared" si="2481"/>
        <v>New Leaders 3M Activation Rate (by cohort) (numerator)</v>
      </c>
      <c r="C4808" s="4" t="str">
        <f>CHOOSE(2, "5462030031", "Jul 26")</f>
        <v>Jul 26</v>
      </c>
      <c r="D4808" s="14">
        <v>2</v>
      </c>
    </row>
    <row r="4809" spans="1:4" x14ac:dyDescent="0.35">
      <c r="A4809" s="5" t="str">
        <f t="shared" si="2475"/>
        <v>BRANCH</v>
      </c>
      <c r="B4809" s="3" t="str">
        <f t="shared" ref="B4809:B4810" si="2482">CHOOSE(2, "1395000000639", "New Leaders 3M Activation Rate (by cohort) (denominator)")</f>
        <v>New Leaders 3M Activation Rate (by cohort) (denominator)</v>
      </c>
      <c r="C4809" s="4" t="str">
        <f>CHOOSE(2, "5461730030", "Jun 26")</f>
        <v>Jun 26</v>
      </c>
      <c r="D4809" s="14">
        <v>2</v>
      </c>
    </row>
    <row r="4810" spans="1:4" x14ac:dyDescent="0.35">
      <c r="A4810" s="5" t="str">
        <f t="shared" si="2475"/>
        <v>BRANCH</v>
      </c>
      <c r="B4810" s="6" t="str">
        <f t="shared" si="2482"/>
        <v>New Leaders 3M Activation Rate (by cohort) (denominator)</v>
      </c>
      <c r="C4810" s="4" t="str">
        <f>CHOOSE(2, "5462030031", "Jul 26")</f>
        <v>Jul 26</v>
      </c>
      <c r="D4810" s="14">
        <v>4</v>
      </c>
    </row>
    <row r="4811" spans="1:4" x14ac:dyDescent="0.35">
      <c r="A4811" s="5" t="str">
        <f t="shared" si="2475"/>
        <v>BRANCH</v>
      </c>
      <c r="B4811" s="3" t="str">
        <f t="shared" ref="B4811:B4812" si="2483">CHOOSE(2, "1395000000638", "# of pro-rated MDRT agents (100%)")</f>
        <v># of pro-rated MDRT agents (100%)</v>
      </c>
      <c r="C4811" s="4" t="str">
        <f>CHOOSE(2, "5461730030", "Jun 26")</f>
        <v>Jun 26</v>
      </c>
      <c r="D4811" s="14">
        <v>72</v>
      </c>
    </row>
    <row r="4812" spans="1:4" x14ac:dyDescent="0.35">
      <c r="A4812" s="5" t="str">
        <f t="shared" si="2475"/>
        <v>BRANCH</v>
      </c>
      <c r="B4812" s="6" t="str">
        <f t="shared" si="2483"/>
        <v># of pro-rated MDRT agents (100%)</v>
      </c>
      <c r="C4812" s="4" t="str">
        <f>CHOOSE(2, "5462030031", "Jul 26")</f>
        <v>Jul 26</v>
      </c>
      <c r="D4812" s="14">
        <v>70</v>
      </c>
    </row>
    <row r="4813" spans="1:4" x14ac:dyDescent="0.35">
      <c r="A4813" s="5" t="str">
        <f t="shared" si="2475"/>
        <v>BRANCH</v>
      </c>
      <c r="B4813" s="3" t="str">
        <f t="shared" ref="B4813:B4814" si="2484">CHOOSE(2, "1395000000637", "# of pro-rated MDRT agents (90%-99%)")</f>
        <v># of pro-rated MDRT agents (90%-99%)</v>
      </c>
      <c r="C4813" s="4" t="str">
        <f>CHOOSE(2, "5461730030", "Jun 26")</f>
        <v>Jun 26</v>
      </c>
      <c r="D4813" s="2" t="s">
        <v>5</v>
      </c>
    </row>
    <row r="4814" spans="1:4" x14ac:dyDescent="0.35">
      <c r="A4814" s="5" t="str">
        <f t="shared" si="2475"/>
        <v>BRANCH</v>
      </c>
      <c r="B4814" s="6" t="str">
        <f t="shared" si="2484"/>
        <v># of pro-rated MDRT agents (90%-99%)</v>
      </c>
      <c r="C4814" s="4" t="str">
        <f>CHOOSE(2, "5462030031", "Jul 26")</f>
        <v>Jul 26</v>
      </c>
      <c r="D4814" s="2" t="s">
        <v>5</v>
      </c>
    </row>
    <row r="4815" spans="1:4" x14ac:dyDescent="0.35">
      <c r="A4815" s="5" t="str">
        <f t="shared" si="2475"/>
        <v>BRANCH</v>
      </c>
      <c r="B4815" s="3" t="str">
        <f t="shared" ref="B4815:B4816" si="2485">CHOOSE(2, "1395000000636", "# of pro-rated MDRT agents (70%-90%)")</f>
        <v># of pro-rated MDRT agents (70%-90%)</v>
      </c>
      <c r="C4815" s="4" t="str">
        <f>CHOOSE(2, "5461730030", "Jun 26")</f>
        <v>Jun 26</v>
      </c>
      <c r="D4815" s="2" t="s">
        <v>5</v>
      </c>
    </row>
    <row r="4816" spans="1:4" x14ac:dyDescent="0.35">
      <c r="A4816" s="5" t="str">
        <f t="shared" si="2475"/>
        <v>BRANCH</v>
      </c>
      <c r="B4816" s="6" t="str">
        <f t="shared" si="2485"/>
        <v># of pro-rated MDRT agents (70%-90%)</v>
      </c>
      <c r="C4816" s="4" t="str">
        <f>CHOOSE(2, "5462030031", "Jul 26")</f>
        <v>Jul 26</v>
      </c>
      <c r="D4816" s="2" t="s">
        <v>5</v>
      </c>
    </row>
    <row r="4817" spans="1:4" x14ac:dyDescent="0.35">
      <c r="A4817" s="5" t="str">
        <f t="shared" si="2475"/>
        <v>BRANCH</v>
      </c>
      <c r="B4817" s="3" t="str">
        <f t="shared" ref="B4817:B4818" si="2486">CHOOSE(2, "1395000000635", "# of pro-rated MDRT agents (&lt;70%)")</f>
        <v># of pro-rated MDRT agents (&lt;70%)</v>
      </c>
      <c r="C4817" s="4" t="str">
        <f>CHOOSE(2, "5461730030", "Jun 26")</f>
        <v>Jun 26</v>
      </c>
      <c r="D4817" s="2" t="s">
        <v>5</v>
      </c>
    </row>
    <row r="4818" spans="1:4" x14ac:dyDescent="0.35">
      <c r="A4818" s="5" t="str">
        <f t="shared" si="2475"/>
        <v>BRANCH</v>
      </c>
      <c r="B4818" s="6" t="str">
        <f t="shared" si="2486"/>
        <v># of pro-rated MDRT agents (&lt;70%)</v>
      </c>
      <c r="C4818" s="4" t="str">
        <f>CHOOSE(2, "5462030031", "Jul 26")</f>
        <v>Jul 26</v>
      </c>
      <c r="D4818" s="2" t="s">
        <v>5</v>
      </c>
    </row>
    <row r="4819" spans="1:4" x14ac:dyDescent="0.35">
      <c r="A4819" s="5" t="str">
        <f t="shared" si="2475"/>
        <v>BRANCH</v>
      </c>
      <c r="B4819" s="3" t="str">
        <f t="shared" ref="B4819:B4820" si="2487">CHOOSE(2, "1395000000634", "# of pro-rated MDRT agents (50%-70%)")</f>
        <v># of pro-rated MDRT agents (50%-70%)</v>
      </c>
      <c r="C4819" s="4" t="str">
        <f>CHOOSE(2, "5461730030", "Jun 26")</f>
        <v>Jun 26</v>
      </c>
      <c r="D4819" s="2" t="s">
        <v>5</v>
      </c>
    </row>
    <row r="4820" spans="1:4" x14ac:dyDescent="0.35">
      <c r="A4820" s="5" t="str">
        <f t="shared" si="2475"/>
        <v>BRANCH</v>
      </c>
      <c r="B4820" s="6" t="str">
        <f t="shared" si="2487"/>
        <v># of pro-rated MDRT agents (50%-70%)</v>
      </c>
      <c r="C4820" s="4" t="str">
        <f>CHOOSE(2, "5462030031", "Jul 26")</f>
        <v>Jul 26</v>
      </c>
      <c r="D4820" s="2" t="s">
        <v>5</v>
      </c>
    </row>
    <row r="4821" spans="1:4" x14ac:dyDescent="0.35">
      <c r="A4821" s="5" t="str">
        <f t="shared" si="2475"/>
        <v>BRANCH</v>
      </c>
      <c r="B4821" s="3" t="str">
        <f t="shared" ref="B4821:B4822" si="2488">CHOOSE(2, "1395000000633", "# of pro-rated MDRT agents (&lt;50%)")</f>
        <v># of pro-rated MDRT agents (&lt;50%)</v>
      </c>
      <c r="C4821" s="4" t="str">
        <f>CHOOSE(2, "5461730030", "Jun 26")</f>
        <v>Jun 26</v>
      </c>
      <c r="D4821" s="2" t="s">
        <v>5</v>
      </c>
    </row>
    <row r="4822" spans="1:4" x14ac:dyDescent="0.35">
      <c r="A4822" s="5" t="str">
        <f t="shared" si="2475"/>
        <v>BRANCH</v>
      </c>
      <c r="B4822" s="6" t="str">
        <f t="shared" si="2488"/>
        <v># of pro-rated MDRT agents (&lt;50%)</v>
      </c>
      <c r="C4822" s="4" t="str">
        <f>CHOOSE(2, "5462030031", "Jul 26")</f>
        <v>Jul 26</v>
      </c>
      <c r="D4822" s="2" t="s">
        <v>5</v>
      </c>
    </row>
    <row r="4823" spans="1:4" x14ac:dyDescent="0.35">
      <c r="A4823" s="5" t="str">
        <f t="shared" si="2475"/>
        <v>BRANCH</v>
      </c>
      <c r="B4823" s="3" t="str">
        <f t="shared" ref="B4823:B4824" si="2489">CHOOSE(2, "1395000000632", "# of pro-rated MDRT agents (70-99%)")</f>
        <v># of pro-rated MDRT agents (70-99%)</v>
      </c>
      <c r="C4823" s="4" t="str">
        <f>CHOOSE(2, "5461730030", "Jun 26")</f>
        <v>Jun 26</v>
      </c>
      <c r="D4823" s="14">
        <v>34</v>
      </c>
    </row>
    <row r="4824" spans="1:4" x14ac:dyDescent="0.35">
      <c r="A4824" s="5" t="str">
        <f t="shared" si="2475"/>
        <v>BRANCH</v>
      </c>
      <c r="B4824" s="6" t="str">
        <f t="shared" si="2489"/>
        <v># of pro-rated MDRT agents (70-99%)</v>
      </c>
      <c r="C4824" s="4" t="str">
        <f>CHOOSE(2, "5462030031", "Jul 26")</f>
        <v>Jul 26</v>
      </c>
      <c r="D4824" s="14">
        <v>33</v>
      </c>
    </row>
    <row r="4825" spans="1:4" x14ac:dyDescent="0.35">
      <c r="A4825" s="5" t="str">
        <f t="shared" si="2475"/>
        <v>BRANCH</v>
      </c>
      <c r="B4825" s="3" t="str">
        <f t="shared" ref="B4825:B4826" si="2490">CHOOSE(2, "1395000000631", "# of pro-rated MDRT agents (50-69%)")</f>
        <v># of pro-rated MDRT agents (50-69%)</v>
      </c>
      <c r="C4825" s="4" t="str">
        <f>CHOOSE(2, "5461730030", "Jun 26")</f>
        <v>Jun 26</v>
      </c>
      <c r="D4825" s="14">
        <v>40</v>
      </c>
    </row>
    <row r="4826" spans="1:4" x14ac:dyDescent="0.35">
      <c r="A4826" s="5" t="str">
        <f t="shared" si="2475"/>
        <v>BRANCH</v>
      </c>
      <c r="B4826" s="6" t="str">
        <f t="shared" si="2490"/>
        <v># of pro-rated MDRT agents (50-69%)</v>
      </c>
      <c r="C4826" s="4" t="str">
        <f>CHOOSE(2, "5462030031", "Jul 26")</f>
        <v>Jul 26</v>
      </c>
      <c r="D4826" s="14">
        <v>51</v>
      </c>
    </row>
    <row r="4827" spans="1:4" x14ac:dyDescent="0.35">
      <c r="A4827" s="5" t="str">
        <f t="shared" si="2475"/>
        <v>BRANCH</v>
      </c>
      <c r="B4827" s="3" t="str">
        <f t="shared" ref="B4827:B4828" si="2491">CHOOSE(2, "1395000000630", "# of Top-tier agents")</f>
        <v># of Top-tier agents</v>
      </c>
      <c r="C4827" s="4" t="str">
        <f>CHOOSE(2, "5461730030", "Jun 26")</f>
        <v>Jun 26</v>
      </c>
      <c r="D4827" s="14">
        <v>146</v>
      </c>
    </row>
    <row r="4828" spans="1:4" x14ac:dyDescent="0.35">
      <c r="A4828" s="5" t="str">
        <f t="shared" si="2475"/>
        <v>BRANCH</v>
      </c>
      <c r="B4828" s="6" t="str">
        <f t="shared" si="2491"/>
        <v># of Top-tier agents</v>
      </c>
      <c r="C4828" s="4" t="str">
        <f>CHOOSE(2, "5462030031", "Jul 26")</f>
        <v>Jul 26</v>
      </c>
      <c r="D4828" s="14">
        <v>154</v>
      </c>
    </row>
    <row r="4829" spans="1:4" x14ac:dyDescent="0.35">
      <c r="A4829" s="5" t="str">
        <f t="shared" si="2475"/>
        <v>BRANCH</v>
      </c>
      <c r="B4829" s="3" t="str">
        <f t="shared" ref="B4829:B4830" si="2492">CHOOSE(2, "1395000000629", "$ APE from pro-rated MDRT agents (100%)")</f>
        <v>$ APE from pro-rated MDRT agents (100%)</v>
      </c>
      <c r="C4829" s="4" t="str">
        <f>CHOOSE(2, "5461730030", "Jun 26")</f>
        <v>Jun 26</v>
      </c>
      <c r="D4829" s="14">
        <v>397117.06</v>
      </c>
    </row>
    <row r="4830" spans="1:4" x14ac:dyDescent="0.35">
      <c r="A4830" s="5" t="str">
        <f t="shared" si="2475"/>
        <v>BRANCH</v>
      </c>
      <c r="B4830" s="6" t="str">
        <f t="shared" si="2492"/>
        <v>$ APE from pro-rated MDRT agents (100%)</v>
      </c>
      <c r="C4830" s="4" t="str">
        <f>CHOOSE(2, "5462030031", "Jul 26")</f>
        <v>Jul 26</v>
      </c>
      <c r="D4830" s="14">
        <v>480460.52</v>
      </c>
    </row>
    <row r="4831" spans="1:4" x14ac:dyDescent="0.35">
      <c r="A4831" s="5" t="str">
        <f t="shared" si="2475"/>
        <v>BRANCH</v>
      </c>
      <c r="B4831" s="3" t="str">
        <f t="shared" ref="B4831:B4832" si="2493">CHOOSE(2, "1395000000628", "$ APE from pro-rated MDRT agents (70-99%)")</f>
        <v>$ APE from pro-rated MDRT agents (70-99%)</v>
      </c>
      <c r="C4831" s="4" t="str">
        <f>CHOOSE(2, "5461730030", "Jun 26")</f>
        <v>Jun 26</v>
      </c>
      <c r="D4831" s="14">
        <v>88302.8</v>
      </c>
    </row>
    <row r="4832" spans="1:4" x14ac:dyDescent="0.35">
      <c r="A4832" s="5" t="str">
        <f t="shared" si="2475"/>
        <v>BRANCH</v>
      </c>
      <c r="B4832" s="6" t="str">
        <f t="shared" si="2493"/>
        <v>$ APE from pro-rated MDRT agents (70-99%)</v>
      </c>
      <c r="C4832" s="4" t="str">
        <f>CHOOSE(2, "5462030031", "Jul 26")</f>
        <v>Jul 26</v>
      </c>
      <c r="D4832" s="14">
        <v>94009.19</v>
      </c>
    </row>
    <row r="4833" spans="1:4" x14ac:dyDescent="0.35">
      <c r="A4833" s="5" t="str">
        <f t="shared" si="2475"/>
        <v>BRANCH</v>
      </c>
      <c r="B4833" s="3" t="str">
        <f t="shared" ref="B4833:B4834" si="2494">CHOOSE(2, "1395000000627", "$ APE from pro-rated MDRT agents (50-69%)")</f>
        <v>$ APE from pro-rated MDRT agents (50-69%)</v>
      </c>
      <c r="C4833" s="4" t="str">
        <f>CHOOSE(2, "5461730030", "Jun 26")</f>
        <v>Jun 26</v>
      </c>
      <c r="D4833" s="14">
        <v>85351.96</v>
      </c>
    </row>
    <row r="4834" spans="1:4" x14ac:dyDescent="0.35">
      <c r="A4834" s="5" t="str">
        <f t="shared" si="2475"/>
        <v>BRANCH</v>
      </c>
      <c r="B4834" s="6" t="str">
        <f t="shared" si="2494"/>
        <v>$ APE from pro-rated MDRT agents (50-69%)</v>
      </c>
      <c r="C4834" s="4" t="str">
        <f>CHOOSE(2, "5462030031", "Jul 26")</f>
        <v>Jul 26</v>
      </c>
      <c r="D4834" s="14">
        <v>184453.13</v>
      </c>
    </row>
    <row r="4835" spans="1:4" x14ac:dyDescent="0.35">
      <c r="A4835" s="5" t="str">
        <f t="shared" si="2475"/>
        <v>BRANCH</v>
      </c>
      <c r="B4835" s="3" t="str">
        <f t="shared" ref="B4835:B4836" si="2495">CHOOSE(2, "1395000000626", "$ APE from Top-tier agents")</f>
        <v>$ APE from Top-tier agents</v>
      </c>
      <c r="C4835" s="4" t="str">
        <f>CHOOSE(2, "5461730030", "Jun 26")</f>
        <v>Jun 26</v>
      </c>
      <c r="D4835" s="14">
        <v>570771.81999999995</v>
      </c>
    </row>
    <row r="4836" spans="1:4" x14ac:dyDescent="0.35">
      <c r="A4836" s="5" t="str">
        <f t="shared" si="2475"/>
        <v>BRANCH</v>
      </c>
      <c r="B4836" s="6" t="str">
        <f t="shared" si="2495"/>
        <v>$ APE from Top-tier agents</v>
      </c>
      <c r="C4836" s="4" t="str">
        <f>CHOOSE(2, "5462030031", "Jul 26")</f>
        <v>Jul 26</v>
      </c>
      <c r="D4836" s="14">
        <v>758922.83</v>
      </c>
    </row>
    <row r="4837" spans="1:4" x14ac:dyDescent="0.35">
      <c r="A4837" s="5" t="str">
        <f t="shared" si="2475"/>
        <v>BRANCH</v>
      </c>
      <c r="B4837" s="3" t="str">
        <f t="shared" ref="B4837:B4838" si="2496">CHOOSE(2, "1395000000625", "# of MDRT qualifiers - YTD")</f>
        <v># of MDRT qualifiers - YTD</v>
      </c>
      <c r="C4837" s="4" t="str">
        <f>CHOOSE(2, "5461730030", "Jun 26")</f>
        <v>Jun 26</v>
      </c>
      <c r="D4837" s="14">
        <v>23</v>
      </c>
    </row>
    <row r="4838" spans="1:4" x14ac:dyDescent="0.35">
      <c r="A4838" s="5" t="str">
        <f t="shared" si="2475"/>
        <v>BRANCH</v>
      </c>
      <c r="B4838" s="6" t="str">
        <f t="shared" si="2496"/>
        <v># of MDRT qualifiers - YTD</v>
      </c>
      <c r="C4838" s="4" t="str">
        <f>CHOOSE(2, "5462030031", "Jul 26")</f>
        <v>Jul 26</v>
      </c>
      <c r="D4838" s="14">
        <v>28</v>
      </c>
    </row>
    <row r="4839" spans="1:4" x14ac:dyDescent="0.35">
      <c r="A4839" s="5" t="str">
        <f t="shared" si="2475"/>
        <v>BRANCH</v>
      </c>
      <c r="B4839" s="3" t="str">
        <f t="shared" ref="B4839:B4840" si="2497">CHOOSE(2, "1395000000624", "# of MDRT COT qualifiers - YTD")</f>
        <v># of MDRT COT qualifiers - YTD</v>
      </c>
      <c r="C4839" s="4" t="str">
        <f>CHOOSE(2, "5461730030", "Jun 26")</f>
        <v>Jun 26</v>
      </c>
      <c r="D4839" s="14">
        <v>1</v>
      </c>
    </row>
    <row r="4840" spans="1:4" x14ac:dyDescent="0.35">
      <c r="A4840" s="5" t="str">
        <f t="shared" si="2475"/>
        <v>BRANCH</v>
      </c>
      <c r="B4840" s="6" t="str">
        <f t="shared" si="2497"/>
        <v># of MDRT COT qualifiers - YTD</v>
      </c>
      <c r="C4840" s="4" t="str">
        <f>CHOOSE(2, "5462030031", "Jul 26")</f>
        <v>Jul 26</v>
      </c>
      <c r="D4840" s="14">
        <v>2</v>
      </c>
    </row>
    <row r="4841" spans="1:4" x14ac:dyDescent="0.35">
      <c r="A4841" s="5" t="str">
        <f t="shared" si="2475"/>
        <v>BRANCH</v>
      </c>
      <c r="B4841" s="3" t="str">
        <f t="shared" ref="B4841:B4842" si="2498">CHOOSE(2, "1395000000623", "# of MDRT TOT qualifiers - YTD")</f>
        <v># of MDRT TOT qualifiers - YTD</v>
      </c>
      <c r="C4841" s="4" t="str">
        <f>CHOOSE(2, "5461730030", "Jun 26")</f>
        <v>Jun 26</v>
      </c>
      <c r="D4841" s="14">
        <v>0</v>
      </c>
    </row>
    <row r="4842" spans="1:4" x14ac:dyDescent="0.35">
      <c r="A4842" s="5" t="str">
        <f t="shared" si="2475"/>
        <v>BRANCH</v>
      </c>
      <c r="B4842" s="6" t="str">
        <f t="shared" si="2498"/>
        <v># of MDRT TOT qualifiers - YTD</v>
      </c>
      <c r="C4842" s="4" t="str">
        <f>CHOOSE(2, "5462030031", "Jul 26")</f>
        <v>Jul 26</v>
      </c>
      <c r="D4842" s="14">
        <v>0</v>
      </c>
    </row>
    <row r="4843" spans="1:4" x14ac:dyDescent="0.35">
      <c r="A4843" s="5" t="str">
        <f t="shared" si="2475"/>
        <v>BRANCH</v>
      </c>
      <c r="B4843" s="3" t="str">
        <f t="shared" ref="B4843:B4844" si="2499">CHOOSE(2, "1395000000622", "Manulife Pro Qualifiers - Total")</f>
        <v>Manulife Pro Qualifiers - Total</v>
      </c>
      <c r="C4843" s="4" t="str">
        <f>CHOOSE(2, "5461730030", "Jun 26")</f>
        <v>Jun 26</v>
      </c>
      <c r="D4843" s="14">
        <v>72</v>
      </c>
    </row>
    <row r="4844" spans="1:4" x14ac:dyDescent="0.35">
      <c r="A4844" s="5" t="str">
        <f t="shared" si="2475"/>
        <v>BRANCH</v>
      </c>
      <c r="B4844" s="6" t="str">
        <f t="shared" si="2499"/>
        <v>Manulife Pro Qualifiers - Total</v>
      </c>
      <c r="C4844" s="4" t="str">
        <f>CHOOSE(2, "5462030031", "Jul 26")</f>
        <v>Jul 26</v>
      </c>
      <c r="D4844" s="14">
        <v>86</v>
      </c>
    </row>
    <row r="4845" spans="1:4" x14ac:dyDescent="0.35">
      <c r="A4845" s="5" t="str">
        <f t="shared" si="2475"/>
        <v>BRANCH</v>
      </c>
      <c r="B4845" s="3" t="str">
        <f t="shared" ref="B4845:B4846" si="2500">CHOOSE(2, "1395000000621", "Manulife Pro Qualifiers - Silver")</f>
        <v>Manulife Pro Qualifiers - Silver</v>
      </c>
      <c r="C4845" s="4" t="str">
        <f>CHOOSE(2, "5461730030", "Jun 26")</f>
        <v>Jun 26</v>
      </c>
      <c r="D4845" s="2" t="s">
        <v>5</v>
      </c>
    </row>
    <row r="4846" spans="1:4" x14ac:dyDescent="0.35">
      <c r="A4846" s="5" t="str">
        <f t="shared" si="2475"/>
        <v>BRANCH</v>
      </c>
      <c r="B4846" s="6" t="str">
        <f t="shared" si="2500"/>
        <v>Manulife Pro Qualifiers - Silver</v>
      </c>
      <c r="C4846" s="4" t="str">
        <f>CHOOSE(2, "5462030031", "Jul 26")</f>
        <v>Jul 26</v>
      </c>
      <c r="D4846" s="2" t="s">
        <v>5</v>
      </c>
    </row>
    <row r="4847" spans="1:4" x14ac:dyDescent="0.35">
      <c r="A4847" s="5" t="str">
        <f t="shared" si="2475"/>
        <v>BRANCH</v>
      </c>
      <c r="B4847" s="3" t="str">
        <f t="shared" ref="B4847:B4848" si="2501">CHOOSE(2, "1395000000620", "Manulife Pro Qualifiers - Gold")</f>
        <v>Manulife Pro Qualifiers - Gold</v>
      </c>
      <c r="C4847" s="4" t="str">
        <f>CHOOSE(2, "5461730030", "Jun 26")</f>
        <v>Jun 26</v>
      </c>
      <c r="D4847" s="2" t="s">
        <v>5</v>
      </c>
    </row>
    <row r="4848" spans="1:4" x14ac:dyDescent="0.35">
      <c r="A4848" s="5" t="str">
        <f t="shared" si="2475"/>
        <v>BRANCH</v>
      </c>
      <c r="B4848" s="6" t="str">
        <f t="shared" si="2501"/>
        <v>Manulife Pro Qualifiers - Gold</v>
      </c>
      <c r="C4848" s="4" t="str">
        <f>CHOOSE(2, "5462030031", "Jul 26")</f>
        <v>Jul 26</v>
      </c>
      <c r="D4848" s="2" t="s">
        <v>5</v>
      </c>
    </row>
    <row r="4849" spans="1:4" x14ac:dyDescent="0.35">
      <c r="A4849" s="5" t="str">
        <f t="shared" si="2475"/>
        <v>BRANCH</v>
      </c>
      <c r="B4849" s="3" t="str">
        <f t="shared" ref="B4849:B4850" si="2502">CHOOSE(2, "1395000000619", "Manulife Pro Qualifiers  - Platinum")</f>
        <v>Manulife Pro Qualifiers  - Platinum</v>
      </c>
      <c r="C4849" s="4" t="str">
        <f>CHOOSE(2, "5461730030", "Jun 26")</f>
        <v>Jun 26</v>
      </c>
      <c r="D4849" s="2" t="s">
        <v>5</v>
      </c>
    </row>
    <row r="4850" spans="1:4" x14ac:dyDescent="0.35">
      <c r="A4850" s="5" t="str">
        <f t="shared" si="2475"/>
        <v>BRANCH</v>
      </c>
      <c r="B4850" s="6" t="str">
        <f t="shared" si="2502"/>
        <v>Manulife Pro Qualifiers  - Platinum</v>
      </c>
      <c r="C4850" s="4" t="str">
        <f>CHOOSE(2, "5462030031", "Jul 26")</f>
        <v>Jul 26</v>
      </c>
      <c r="D4850" s="2" t="s">
        <v>5</v>
      </c>
    </row>
    <row r="4851" spans="1:4" x14ac:dyDescent="0.35">
      <c r="A4851" s="5" t="str">
        <f t="shared" si="2475"/>
        <v>BRANCH</v>
      </c>
      <c r="B4851" s="3" t="str">
        <f t="shared" ref="B4851:B4852" si="2503">CHOOSE(2, "1395000000618", "$ APE from Manulife Pro - Total")</f>
        <v>$ APE from Manulife Pro - Total</v>
      </c>
      <c r="C4851" s="4" t="str">
        <f>CHOOSE(2, "5461730030", "Jun 26")</f>
        <v>Jun 26</v>
      </c>
      <c r="D4851" s="14">
        <v>397117.05673800001</v>
      </c>
    </row>
    <row r="4852" spans="1:4" x14ac:dyDescent="0.35">
      <c r="A4852" s="5" t="str">
        <f t="shared" si="2475"/>
        <v>BRANCH</v>
      </c>
      <c r="B4852" s="6" t="str">
        <f t="shared" si="2503"/>
        <v>$ APE from Manulife Pro - Total</v>
      </c>
      <c r="C4852" s="4" t="str">
        <f>CHOOSE(2, "5462030031", "Jul 26")</f>
        <v>Jul 26</v>
      </c>
      <c r="D4852" s="14">
        <v>511891.75224599999</v>
      </c>
    </row>
    <row r="4853" spans="1:4" x14ac:dyDescent="0.35">
      <c r="A4853" s="5" t="str">
        <f t="shared" si="2475"/>
        <v>BRANCH</v>
      </c>
      <c r="B4853" s="3" t="str">
        <f t="shared" ref="B4853:B4854" si="2504">CHOOSE(2, "1395000000617", "$ APE from Manulife Pro - Silver")</f>
        <v>$ APE from Manulife Pro - Silver</v>
      </c>
      <c r="C4853" s="4" t="str">
        <f>CHOOSE(2, "5461730030", "Jun 26")</f>
        <v>Jun 26</v>
      </c>
      <c r="D4853" s="2" t="s">
        <v>5</v>
      </c>
    </row>
    <row r="4854" spans="1:4" x14ac:dyDescent="0.35">
      <c r="A4854" s="5" t="str">
        <f t="shared" si="2475"/>
        <v>BRANCH</v>
      </c>
      <c r="B4854" s="6" t="str">
        <f t="shared" si="2504"/>
        <v>$ APE from Manulife Pro - Silver</v>
      </c>
      <c r="C4854" s="4" t="str">
        <f>CHOOSE(2, "5462030031", "Jul 26")</f>
        <v>Jul 26</v>
      </c>
      <c r="D4854" s="2" t="s">
        <v>5</v>
      </c>
    </row>
    <row r="4855" spans="1:4" x14ac:dyDescent="0.35">
      <c r="A4855" s="5" t="str">
        <f t="shared" si="2475"/>
        <v>BRANCH</v>
      </c>
      <c r="B4855" s="3" t="str">
        <f t="shared" ref="B4855:B4856" si="2505">CHOOSE(2, "1395000000616", "$ APE from Manulife Pro - Gold")</f>
        <v>$ APE from Manulife Pro - Gold</v>
      </c>
      <c r="C4855" s="4" t="str">
        <f>CHOOSE(2, "5461730030", "Jun 26")</f>
        <v>Jun 26</v>
      </c>
      <c r="D4855" s="2" t="s">
        <v>5</v>
      </c>
    </row>
    <row r="4856" spans="1:4" x14ac:dyDescent="0.35">
      <c r="A4856" s="5" t="str">
        <f t="shared" si="2475"/>
        <v>BRANCH</v>
      </c>
      <c r="B4856" s="6" t="str">
        <f t="shared" si="2505"/>
        <v>$ APE from Manulife Pro - Gold</v>
      </c>
      <c r="C4856" s="4" t="str">
        <f>CHOOSE(2, "5462030031", "Jul 26")</f>
        <v>Jul 26</v>
      </c>
      <c r="D4856" s="2" t="s">
        <v>5</v>
      </c>
    </row>
    <row r="4857" spans="1:4" x14ac:dyDescent="0.35">
      <c r="A4857" s="5" t="str">
        <f t="shared" si="2475"/>
        <v>BRANCH</v>
      </c>
      <c r="B4857" s="3" t="str">
        <f t="shared" ref="B4857:B4858" si="2506">CHOOSE(2, "1395000000615", "$ APE from Manulife Pro  - Platinum")</f>
        <v>$ APE from Manulife Pro  - Platinum</v>
      </c>
      <c r="C4857" s="4" t="str">
        <f>CHOOSE(2, "5461730030", "Jun 26")</f>
        <v>Jun 26</v>
      </c>
      <c r="D4857" s="2" t="s">
        <v>5</v>
      </c>
    </row>
    <row r="4858" spans="1:4" x14ac:dyDescent="0.35">
      <c r="A4858" s="5" t="str">
        <f t="shared" si="2475"/>
        <v>BRANCH</v>
      </c>
      <c r="B4858" s="6" t="str">
        <f t="shared" si="2506"/>
        <v>$ APE from Manulife Pro  - Platinum</v>
      </c>
      <c r="C4858" s="4" t="str">
        <f>CHOOSE(2, "5462030031", "Jul 26")</f>
        <v>Jul 26</v>
      </c>
      <c r="D4858" s="2" t="s">
        <v>5</v>
      </c>
    </row>
    <row r="4859" spans="1:4" x14ac:dyDescent="0.35">
      <c r="A4859" s="5" t="str">
        <f t="shared" si="2475"/>
        <v>BRANCH</v>
      </c>
      <c r="B4859" s="3" t="str">
        <f t="shared" ref="B4859:B4860" si="2507">CHOOSE(2, "1395000000614", "Issued APE")</f>
        <v>Issued APE</v>
      </c>
      <c r="C4859" s="4" t="str">
        <f>CHOOSE(2, "5461730030", "Jun 26")</f>
        <v>Jun 26</v>
      </c>
      <c r="D4859" s="14">
        <v>1866421.6173359102</v>
      </c>
    </row>
    <row r="4860" spans="1:4" x14ac:dyDescent="0.35">
      <c r="A4860" s="5" t="str">
        <f t="shared" si="2475"/>
        <v>BRANCH</v>
      </c>
      <c r="B4860" s="6" t="str">
        <f t="shared" si="2507"/>
        <v>Issued APE</v>
      </c>
      <c r="C4860" s="4" t="str">
        <f>CHOOSE(2, "5462030031", "Jul 26")</f>
        <v>Jul 26</v>
      </c>
      <c r="D4860" s="14">
        <v>1954683.8450354701</v>
      </c>
    </row>
    <row r="4861" spans="1:4" x14ac:dyDescent="0.35">
      <c r="A4861" s="5" t="str">
        <f t="shared" ref="A4861:A4924" si="2508">CHOOSE(2, "1260000000005", "BRANCH")</f>
        <v>BRANCH</v>
      </c>
      <c r="B4861" s="3" t="str">
        <f t="shared" ref="B4861:B4862" si="2509">CHOOSE(2, "1395000000613", "Post-MI APE")</f>
        <v>Post-MI APE</v>
      </c>
      <c r="C4861" s="4" t="str">
        <f>CHOOSE(2, "5461730030", "Jun 26")</f>
        <v>Jun 26</v>
      </c>
      <c r="D4861" s="14">
        <v>1866421.6173359102</v>
      </c>
    </row>
    <row r="4862" spans="1:4" x14ac:dyDescent="0.35">
      <c r="A4862" s="5" t="str">
        <f t="shared" si="2508"/>
        <v>BRANCH</v>
      </c>
      <c r="B4862" s="6" t="str">
        <f t="shared" si="2509"/>
        <v>Post-MI APE</v>
      </c>
      <c r="C4862" s="4" t="str">
        <f>CHOOSE(2, "5462030031", "Jul 26")</f>
        <v>Jul 26</v>
      </c>
      <c r="D4862" s="14">
        <v>1954683.8450354701</v>
      </c>
    </row>
    <row r="4863" spans="1:4" x14ac:dyDescent="0.35">
      <c r="A4863" s="5" t="str">
        <f t="shared" si="2508"/>
        <v>BRANCH</v>
      </c>
      <c r="B4863" s="3" t="str">
        <f t="shared" ref="B4863:B4864" si="2510">CHOOSE(2, "1395000000610", "Pre-gap NBV")</f>
        <v>Pre-gap NBV</v>
      </c>
      <c r="C4863" s="4" t="str">
        <f>CHOOSE(2, "5461730030", "Jun 26")</f>
        <v>Jun 26</v>
      </c>
      <c r="D4863" s="14">
        <v>663914.14899756003</v>
      </c>
    </row>
    <row r="4864" spans="1:4" x14ac:dyDescent="0.35">
      <c r="A4864" s="5" t="str">
        <f t="shared" si="2508"/>
        <v>BRANCH</v>
      </c>
      <c r="B4864" s="6" t="str">
        <f t="shared" si="2510"/>
        <v>Pre-gap NBV</v>
      </c>
      <c r="C4864" s="4" t="str">
        <f>CHOOSE(2, "5462030031", "Jul 26")</f>
        <v>Jul 26</v>
      </c>
      <c r="D4864" s="14">
        <v>639610.93849272002</v>
      </c>
    </row>
    <row r="4865" spans="1:4" x14ac:dyDescent="0.35">
      <c r="A4865" s="5" t="str">
        <f t="shared" si="2508"/>
        <v>BRANCH</v>
      </c>
      <c r="B4865" s="3" t="str">
        <f t="shared" ref="B4865:B4866" si="2511">CHOOSE(2, "1395000000609", "Pre-gap NBV Margin %")</f>
        <v>Pre-gap NBV Margin %</v>
      </c>
      <c r="C4865" s="4" t="str">
        <f>CHOOSE(2, "5461730030", "Jun 26")</f>
        <v>Jun 26</v>
      </c>
      <c r="D4865" s="14">
        <v>0.35571499109896548</v>
      </c>
    </row>
    <row r="4866" spans="1:4" x14ac:dyDescent="0.35">
      <c r="A4866" s="5" t="str">
        <f t="shared" si="2508"/>
        <v>BRANCH</v>
      </c>
      <c r="B4866" s="6" t="str">
        <f t="shared" si="2511"/>
        <v>Pre-gap NBV Margin %</v>
      </c>
      <c r="C4866" s="4" t="str">
        <f>CHOOSE(2, "5462030031", "Jul 26")</f>
        <v>Jul 26</v>
      </c>
      <c r="D4866" s="14">
        <v>0.32721963713835961</v>
      </c>
    </row>
    <row r="4867" spans="1:4" x14ac:dyDescent="0.35">
      <c r="A4867" s="5" t="str">
        <f t="shared" si="2508"/>
        <v>BRANCH</v>
      </c>
      <c r="B4867" s="3" t="str">
        <f t="shared" ref="B4867:B4868" si="2512">CHOOSE(2, "1395000000608", "Post-gap NBV")</f>
        <v>Post-gap NBV</v>
      </c>
      <c r="C4867" s="4" t="str">
        <f>CHOOSE(2, "5461730030", "Jun 26")</f>
        <v>Jun 26</v>
      </c>
      <c r="D4867" s="14">
        <v>663914.14899756003</v>
      </c>
    </row>
    <row r="4868" spans="1:4" x14ac:dyDescent="0.35">
      <c r="A4868" s="5" t="str">
        <f t="shared" si="2508"/>
        <v>BRANCH</v>
      </c>
      <c r="B4868" s="6" t="str">
        <f t="shared" si="2512"/>
        <v>Post-gap NBV</v>
      </c>
      <c r="C4868" s="4" t="str">
        <f>CHOOSE(2, "5462030031", "Jul 26")</f>
        <v>Jul 26</v>
      </c>
      <c r="D4868" s="14">
        <v>639610.93849272002</v>
      </c>
    </row>
    <row r="4869" spans="1:4" x14ac:dyDescent="0.35">
      <c r="A4869" s="5" t="str">
        <f t="shared" si="2508"/>
        <v>BRANCH</v>
      </c>
      <c r="B4869" s="3" t="str">
        <f t="shared" ref="B4869:B4870" si="2513">CHOOSE(2, "1395000000607", "Post-gap NBV Margin %")</f>
        <v>Post-gap NBV Margin %</v>
      </c>
      <c r="C4869" s="4" t="str">
        <f>CHOOSE(2, "5461730030", "Jun 26")</f>
        <v>Jun 26</v>
      </c>
      <c r="D4869" s="14">
        <v>0.35571499109896548</v>
      </c>
    </row>
    <row r="4870" spans="1:4" x14ac:dyDescent="0.35">
      <c r="A4870" s="5" t="str">
        <f t="shared" si="2508"/>
        <v>BRANCH</v>
      </c>
      <c r="B4870" s="6" t="str">
        <f t="shared" si="2513"/>
        <v>Post-gap NBV Margin %</v>
      </c>
      <c r="C4870" s="4" t="str">
        <f>CHOOSE(2, "5462030031", "Jul 26")</f>
        <v>Jul 26</v>
      </c>
      <c r="D4870" s="14">
        <v>0.32721963713835961</v>
      </c>
    </row>
    <row r="4871" spans="1:4" x14ac:dyDescent="0.35">
      <c r="A4871" s="5" t="str">
        <f t="shared" si="2508"/>
        <v>BRANCH</v>
      </c>
      <c r="B4871" s="3" t="str">
        <f t="shared" ref="B4871:B4872" si="2514">CHOOSE(2, "1395000000606", "NB CSM")</f>
        <v>NB CSM</v>
      </c>
      <c r="C4871" s="4" t="str">
        <f>CHOOSE(2, "5461730030", "Jun 26")</f>
        <v>Jun 26</v>
      </c>
      <c r="D4871" s="14">
        <v>612131.72412189003</v>
      </c>
    </row>
    <row r="4872" spans="1:4" x14ac:dyDescent="0.35">
      <c r="A4872" s="5" t="str">
        <f t="shared" si="2508"/>
        <v>BRANCH</v>
      </c>
      <c r="B4872" s="6" t="str">
        <f t="shared" si="2514"/>
        <v>NB CSM</v>
      </c>
      <c r="C4872" s="4" t="str">
        <f>CHOOSE(2, "5462030031", "Jul 26")</f>
        <v>Jul 26</v>
      </c>
      <c r="D4872" s="14">
        <v>679431.27335471998</v>
      </c>
    </row>
    <row r="4873" spans="1:4" x14ac:dyDescent="0.35">
      <c r="A4873" s="5" t="str">
        <f t="shared" si="2508"/>
        <v>BRANCH</v>
      </c>
      <c r="B4873" s="3" t="str">
        <f t="shared" ref="B4873:B4874" si="2515">CHOOSE(2, "1395000000605", "NB CSM Margin %")</f>
        <v>NB CSM Margin %</v>
      </c>
      <c r="C4873" s="4" t="str">
        <f>CHOOSE(2, "5461730030", "Jun 26")</f>
        <v>Jun 26</v>
      </c>
      <c r="D4873" s="14">
        <v>0.32797076418115728</v>
      </c>
    </row>
    <row r="4874" spans="1:4" x14ac:dyDescent="0.35">
      <c r="A4874" s="5" t="str">
        <f t="shared" si="2508"/>
        <v>BRANCH</v>
      </c>
      <c r="B4874" s="6" t="str">
        <f t="shared" si="2515"/>
        <v>NB CSM Margin %</v>
      </c>
      <c r="C4874" s="4" t="str">
        <f>CHOOSE(2, "5462030031", "Jul 26")</f>
        <v>Jul 26</v>
      </c>
      <c r="D4874" s="14">
        <v>0.34759138930847966</v>
      </c>
    </row>
    <row r="4875" spans="1:4" x14ac:dyDescent="0.35">
      <c r="A4875" s="5" t="str">
        <f t="shared" si="2508"/>
        <v>BRANCH</v>
      </c>
      <c r="B4875" s="3" t="str">
        <f t="shared" ref="B4875:B4876" si="2516">CHOOSE(2, "1395000000604", "PRE")</f>
        <v>PRE</v>
      </c>
      <c r="C4875" s="4" t="str">
        <f>CHOOSE(2, "5461730030", "Jun 26")</f>
        <v>Jun 26</v>
      </c>
      <c r="D4875" s="14">
        <v>1531752.7803927271</v>
      </c>
    </row>
    <row r="4876" spans="1:4" x14ac:dyDescent="0.35">
      <c r="A4876" s="5" t="str">
        <f t="shared" si="2508"/>
        <v>BRANCH</v>
      </c>
      <c r="B4876" s="6" t="str">
        <f t="shared" si="2516"/>
        <v>PRE</v>
      </c>
      <c r="C4876" s="4" t="str">
        <f>CHOOSE(2, "5462030031", "Jul 26")</f>
        <v>Jul 26</v>
      </c>
      <c r="D4876" s="14">
        <v>1598562.6826909091</v>
      </c>
    </row>
    <row r="4877" spans="1:4" x14ac:dyDescent="0.35">
      <c r="A4877" s="5" t="str">
        <f t="shared" si="2508"/>
        <v>BRANCH</v>
      </c>
      <c r="B4877" s="3" t="str">
        <f t="shared" ref="B4877:B4878" si="2517">CHOOSE(2, "1395000000603", "ContEx")</f>
        <v>ContEx</v>
      </c>
      <c r="C4877" s="4" t="str">
        <f>CHOOSE(2, "5461730030", "Jun 26")</f>
        <v>Jun 26</v>
      </c>
      <c r="D4877" s="14">
        <v>0</v>
      </c>
    </row>
    <row r="4878" spans="1:4" x14ac:dyDescent="0.35">
      <c r="A4878" s="5" t="str">
        <f t="shared" si="2508"/>
        <v>BRANCH</v>
      </c>
      <c r="B4878" s="6" t="str">
        <f t="shared" si="2517"/>
        <v>ContEx</v>
      </c>
      <c r="C4878" s="4" t="str">
        <f>CHOOSE(2, "5462030031", "Jul 26")</f>
        <v>Jul 26</v>
      </c>
      <c r="D4878" s="14">
        <v>0</v>
      </c>
    </row>
    <row r="4879" spans="1:4" x14ac:dyDescent="0.35">
      <c r="A4879" s="5" t="str">
        <f t="shared" si="2508"/>
        <v>BRANCH</v>
      </c>
      <c r="B4879" s="3" t="str">
        <f t="shared" ref="B4879:B4880" si="2518">CHOOSE(2, "1395000000602", "% of 6-90 agents")</f>
        <v>% of 6-90 agents</v>
      </c>
      <c r="C4879" s="4" t="str">
        <f>CHOOSE(2, "5461730030", "Jun 26")</f>
        <v>Jun 26</v>
      </c>
      <c r="D4879" s="14">
        <v>9.22266139657444E-3</v>
      </c>
    </row>
    <row r="4880" spans="1:4" x14ac:dyDescent="0.35">
      <c r="A4880" s="5" t="str">
        <f t="shared" si="2508"/>
        <v>BRANCH</v>
      </c>
      <c r="B4880" s="6" t="str">
        <f t="shared" si="2518"/>
        <v>% of 6-90 agents</v>
      </c>
      <c r="C4880" s="4" t="str">
        <f>CHOOSE(2, "5462030031", "Jul 26")</f>
        <v>Jul 26</v>
      </c>
      <c r="D4880" s="14">
        <v>3.821656050955414E-3</v>
      </c>
    </row>
    <row r="4881" spans="1:4" x14ac:dyDescent="0.35">
      <c r="A4881" s="5" t="str">
        <f t="shared" si="2508"/>
        <v>BRANCH</v>
      </c>
      <c r="B4881" s="3" t="str">
        <f t="shared" ref="B4881:B4882" si="2519">CHOOSE(2, "1395000000601", "New Recruits 3M Activation Rate")</f>
        <v>New Recruits 3M Activation Rate</v>
      </c>
      <c r="C4881" s="4" t="str">
        <f>CHOOSE(2, "5461730030", "Jun 26")</f>
        <v>Jun 26</v>
      </c>
      <c r="D4881" s="14">
        <v>0.57999999999999996</v>
      </c>
    </row>
    <row r="4882" spans="1:4" x14ac:dyDescent="0.35">
      <c r="A4882" s="5" t="str">
        <f t="shared" si="2508"/>
        <v>BRANCH</v>
      </c>
      <c r="B4882" s="6" t="str">
        <f t="shared" si="2519"/>
        <v>New Recruits 3M Activation Rate</v>
      </c>
      <c r="C4882" s="4" t="str">
        <f>CHOOSE(2, "5462030031", "Jul 26")</f>
        <v>Jul 26</v>
      </c>
      <c r="D4882" s="14">
        <v>0.42682926829268292</v>
      </c>
    </row>
    <row r="4883" spans="1:4" x14ac:dyDescent="0.35">
      <c r="A4883" s="5" t="str">
        <f t="shared" si="2508"/>
        <v>BRANCH</v>
      </c>
      <c r="B4883" s="3" t="str">
        <f t="shared" ref="B4883:B4884" si="2520">CHOOSE(2, "1395000000600", "No. of Recruits from leaders")</f>
        <v>No. of Recruits from leaders</v>
      </c>
      <c r="C4883" s="4" t="str">
        <f>CHOOSE(2, "5461730030", "Jun 26")</f>
        <v>Jun 26</v>
      </c>
      <c r="D4883" s="2" t="s">
        <v>5</v>
      </c>
    </row>
    <row r="4884" spans="1:4" x14ac:dyDescent="0.35">
      <c r="A4884" s="5" t="str">
        <f t="shared" si="2508"/>
        <v>BRANCH</v>
      </c>
      <c r="B4884" s="6" t="str">
        <f t="shared" si="2520"/>
        <v>No. of Recruits from leaders</v>
      </c>
      <c r="C4884" s="4" t="str">
        <f>CHOOSE(2, "5462030031", "Jul 26")</f>
        <v>Jul 26</v>
      </c>
      <c r="D4884" s="2" t="s">
        <v>5</v>
      </c>
    </row>
    <row r="4885" spans="1:4" x14ac:dyDescent="0.35">
      <c r="A4885" s="5" t="str">
        <f t="shared" si="2508"/>
        <v>BRANCH</v>
      </c>
      <c r="B4885" s="3" t="str">
        <f t="shared" ref="B4885:B4886" si="2521">CHOOSE(2, "1395000000599", "No. of Recruits per Active Recruiting Leader per month")</f>
        <v>No. of Recruits per Active Recruiting Leader per month</v>
      </c>
      <c r="C4885" s="4" t="str">
        <f>CHOOSE(2, "5461730030", "Jun 26")</f>
        <v>Jun 26</v>
      </c>
      <c r="D4885" s="14">
        <v>0</v>
      </c>
    </row>
    <row r="4886" spans="1:4" x14ac:dyDescent="0.35">
      <c r="A4886" s="5" t="str">
        <f t="shared" si="2508"/>
        <v>BRANCH</v>
      </c>
      <c r="B4886" s="6" t="str">
        <f t="shared" si="2521"/>
        <v>No. of Recruits per Active Recruiting Leader per month</v>
      </c>
      <c r="C4886" s="4" t="str">
        <f>CHOOSE(2, "5462030031", "Jul 26")</f>
        <v>Jul 26</v>
      </c>
      <c r="D4886" s="14">
        <v>0</v>
      </c>
    </row>
    <row r="4887" spans="1:4" x14ac:dyDescent="0.35">
      <c r="A4887" s="5" t="str">
        <f t="shared" si="2508"/>
        <v>BRANCH</v>
      </c>
      <c r="B4887" s="3" t="str">
        <f t="shared" ref="B4887:B4888" si="2522">CHOOSE(2, "1395000000598", "PRE as % of APE")</f>
        <v>PRE as % of APE</v>
      </c>
      <c r="C4887" s="4" t="str">
        <f>CHOOSE(2, "5461730030", "Jun 26")</f>
        <v>Jun 26</v>
      </c>
      <c r="D4887" s="14">
        <v>0.82068958383535973</v>
      </c>
    </row>
    <row r="4888" spans="1:4" x14ac:dyDescent="0.35">
      <c r="A4888" s="5" t="str">
        <f t="shared" si="2508"/>
        <v>BRANCH</v>
      </c>
      <c r="B4888" s="6" t="str">
        <f t="shared" si="2522"/>
        <v>PRE as % of APE</v>
      </c>
      <c r="C4888" s="4" t="str">
        <f>CHOOSE(2, "5462030031", "Jul 26")</f>
        <v>Jul 26</v>
      </c>
      <c r="D4888" s="14">
        <v>0.81781137484251387</v>
      </c>
    </row>
    <row r="4889" spans="1:4" x14ac:dyDescent="0.35">
      <c r="A4889" s="5" t="str">
        <f t="shared" si="2508"/>
        <v>BRANCH</v>
      </c>
      <c r="B4889" s="3" t="str">
        <f t="shared" ref="B4889:B4890" si="2523">CHOOSE(2, "1395000000597", "ContEx as % of APE")</f>
        <v>ContEx as % of APE</v>
      </c>
      <c r="C4889" s="4" t="str">
        <f>CHOOSE(2, "5461730030", "Jun 26")</f>
        <v>Jun 26</v>
      </c>
      <c r="D4889" s="14">
        <v>0</v>
      </c>
    </row>
    <row r="4890" spans="1:4" x14ac:dyDescent="0.35">
      <c r="A4890" s="5" t="str">
        <f t="shared" si="2508"/>
        <v>BRANCH</v>
      </c>
      <c r="B4890" s="6" t="str">
        <f t="shared" si="2523"/>
        <v>ContEx as % of APE</v>
      </c>
      <c r="C4890" s="4" t="str">
        <f>CHOOSE(2, "5462030031", "Jul 26")</f>
        <v>Jul 26</v>
      </c>
      <c r="D4890" s="14">
        <v>0</v>
      </c>
    </row>
    <row r="4891" spans="1:4" x14ac:dyDescent="0.35">
      <c r="A4891" s="5" t="str">
        <f t="shared" si="2508"/>
        <v>BRANCH</v>
      </c>
      <c r="B4891" s="3" t="str">
        <f t="shared" ref="B4891:B4892" si="2524">CHOOSE(2, "1395000000596", "% of 1-Month Active Agents")</f>
        <v>% of 1-Month Active Agents</v>
      </c>
      <c r="C4891" s="4" t="str">
        <f>CHOOSE(2, "5461730030", "Jun 26")</f>
        <v>Jun 26</v>
      </c>
      <c r="D4891" s="14">
        <v>0.2231404958677686</v>
      </c>
    </row>
    <row r="4892" spans="1:4" x14ac:dyDescent="0.35">
      <c r="A4892" s="5" t="str">
        <f t="shared" si="2508"/>
        <v>BRANCH</v>
      </c>
      <c r="B4892" s="6" t="str">
        <f t="shared" si="2524"/>
        <v>% of 1-Month Active Agents</v>
      </c>
      <c r="C4892" s="4" t="str">
        <f>CHOOSE(2, "5462030031", "Jul 26")</f>
        <v>Jul 26</v>
      </c>
      <c r="D4892" s="14">
        <v>0.19009197999031791</v>
      </c>
    </row>
    <row r="4893" spans="1:4" x14ac:dyDescent="0.35">
      <c r="A4893" s="5" t="str">
        <f t="shared" si="2508"/>
        <v>BRANCH</v>
      </c>
      <c r="B4893" s="3" t="str">
        <f t="shared" ref="B4893:B4894" si="2525">CHOOSE(2, "1395000000595", "% of 3-Month Active Agents")</f>
        <v>% of 3-Month Active Agents</v>
      </c>
      <c r="C4893" s="4" t="str">
        <f>CHOOSE(2, "5461730030", "Jun 26")</f>
        <v>Jun 26</v>
      </c>
      <c r="D4893" s="14">
        <v>0.14084352547578566</v>
      </c>
    </row>
    <row r="4894" spans="1:4" x14ac:dyDescent="0.35">
      <c r="A4894" s="5" t="str">
        <f t="shared" si="2508"/>
        <v>BRANCH</v>
      </c>
      <c r="B4894" s="6" t="str">
        <f t="shared" si="2525"/>
        <v>% of 3-Month Active Agents</v>
      </c>
      <c r="C4894" s="4" t="str">
        <f>CHOOSE(2, "5462030031", "Jul 26")</f>
        <v>Jul 26</v>
      </c>
      <c r="D4894" s="14">
        <v>0.14614050303555942</v>
      </c>
    </row>
    <row r="4895" spans="1:4" x14ac:dyDescent="0.35">
      <c r="A4895" s="5" t="str">
        <f t="shared" si="2508"/>
        <v>BRANCH</v>
      </c>
      <c r="B4895" s="3" t="str">
        <f t="shared" ref="B4895:B4896" si="2526">CHOOSE(2, "1395000000594", "Active agents per active leader")</f>
        <v>Active agents per active leader</v>
      </c>
      <c r="C4895" s="4" t="str">
        <f>CHOOSE(2, "5461730030", "Jun 26")</f>
        <v>Jun 26</v>
      </c>
      <c r="D4895" s="14">
        <v>12.518181818181818</v>
      </c>
    </row>
    <row r="4896" spans="1:4" x14ac:dyDescent="0.35">
      <c r="A4896" s="5" t="str">
        <f t="shared" si="2508"/>
        <v>BRANCH</v>
      </c>
      <c r="B4896" s="6" t="str">
        <f t="shared" si="2526"/>
        <v>Active agents per active leader</v>
      </c>
      <c r="C4896" s="4" t="str">
        <f>CHOOSE(2, "5462030031", "Jul 26")</f>
        <v>Jul 26</v>
      </c>
      <c r="D4896" s="14">
        <v>9.8991596638655466</v>
      </c>
    </row>
    <row r="4897" spans="1:4" x14ac:dyDescent="0.35">
      <c r="A4897" s="5" t="str">
        <f t="shared" si="2508"/>
        <v>BRANCH</v>
      </c>
      <c r="B4897" s="3" t="str">
        <f t="shared" ref="B4897:B4898" si="2527">CHOOSE(2, "1395000000593", "Avg. Case count per 1-Month Active Agent")</f>
        <v>Avg. Case count per 1-Month Active Agent</v>
      </c>
      <c r="C4897" s="4" t="str">
        <f>CHOOSE(2, "5461730030", "Jun 26")</f>
        <v>Jun 26</v>
      </c>
      <c r="D4897" s="14">
        <v>1.1797385620915033</v>
      </c>
    </row>
    <row r="4898" spans="1:4" x14ac:dyDescent="0.35">
      <c r="A4898" s="5" t="str">
        <f t="shared" si="2508"/>
        <v>BRANCH</v>
      </c>
      <c r="B4898" s="6" t="str">
        <f t="shared" si="2527"/>
        <v>Avg. Case count per 1-Month Active Agent</v>
      </c>
      <c r="C4898" s="4" t="str">
        <f>CHOOSE(2, "5462030031", "Jul 26")</f>
        <v>Jul 26</v>
      </c>
      <c r="D4898" s="14">
        <v>1.4414261460101867</v>
      </c>
    </row>
    <row r="4899" spans="1:4" x14ac:dyDescent="0.35">
      <c r="A4899" s="5" t="str">
        <f t="shared" si="2508"/>
        <v>BRANCH</v>
      </c>
      <c r="B4899" s="3" t="str">
        <f t="shared" ref="B4899:B4900" si="2528">CHOOSE(2, "1395000000592", "Avg. Case size")</f>
        <v>Avg. Case size</v>
      </c>
      <c r="C4899" s="4" t="str">
        <f>CHOOSE(2, "5461730030", "Jun 26")</f>
        <v>Jun 26</v>
      </c>
      <c r="D4899" s="14">
        <v>1148.92066318</v>
      </c>
    </row>
    <row r="4900" spans="1:4" x14ac:dyDescent="0.35">
      <c r="A4900" s="5" t="str">
        <f t="shared" si="2508"/>
        <v>BRANCH</v>
      </c>
      <c r="B4900" s="6" t="str">
        <f t="shared" si="2528"/>
        <v>Avg. Case size</v>
      </c>
      <c r="C4900" s="4" t="str">
        <f>CHOOSE(2, "5462030031", "Jul 26")</f>
        <v>Jul 26</v>
      </c>
      <c r="D4900" s="14">
        <v>1151.1683421881448</v>
      </c>
    </row>
    <row r="4901" spans="1:4" x14ac:dyDescent="0.35">
      <c r="A4901" s="5" t="str">
        <f t="shared" si="2508"/>
        <v>BRANCH</v>
      </c>
      <c r="B4901" s="3" t="str">
        <f t="shared" ref="B4901:B4902" si="2529">CHOOSE(2, "1395000000591", "APE per 1-Month Active Agent")</f>
        <v>APE per 1-Month Active Agent</v>
      </c>
      <c r="C4901" s="4" t="str">
        <f>CHOOSE(2, "5461730030", "Jun 26")</f>
        <v>Jun 26</v>
      </c>
      <c r="D4901" s="14">
        <v>1355.4260111371898</v>
      </c>
    </row>
    <row r="4902" spans="1:4" x14ac:dyDescent="0.35">
      <c r="A4902" s="5" t="str">
        <f t="shared" si="2508"/>
        <v>BRANCH</v>
      </c>
      <c r="B4902" s="6" t="str">
        <f t="shared" si="2529"/>
        <v>APE per 1-Month Active Agent</v>
      </c>
      <c r="C4902" s="4" t="str">
        <f>CHOOSE(2, "5462030031", "Jul 26")</f>
        <v>Jul 26</v>
      </c>
      <c r="D4902" s="14">
        <v>1659.3241468891936</v>
      </c>
    </row>
    <row r="4903" spans="1:4" x14ac:dyDescent="0.35">
      <c r="A4903" s="5" t="str">
        <f t="shared" si="2508"/>
        <v>BRANCH</v>
      </c>
      <c r="B4903" s="3" t="str">
        <f t="shared" ref="B4903:B4904" si="2530">CHOOSE(2, "1395000000590", "% Conversion of Proposals to cases")</f>
        <v>% Conversion of Proposals to cases</v>
      </c>
      <c r="C4903" s="4" t="str">
        <f>CHOOSE(2, "5461730030", "Jun 26")</f>
        <v>Jun 26</v>
      </c>
      <c r="D4903" s="14">
        <v>0</v>
      </c>
    </row>
    <row r="4904" spans="1:4" x14ac:dyDescent="0.35">
      <c r="A4904" s="5" t="str">
        <f t="shared" si="2508"/>
        <v>BRANCH</v>
      </c>
      <c r="B4904" s="6" t="str">
        <f t="shared" si="2530"/>
        <v>% Conversion of Proposals to cases</v>
      </c>
      <c r="C4904" s="4" t="str">
        <f>CHOOSE(2, "5462030031", "Jul 26")</f>
        <v>Jul 26</v>
      </c>
      <c r="D4904" s="14">
        <v>0</v>
      </c>
    </row>
    <row r="4905" spans="1:4" x14ac:dyDescent="0.35">
      <c r="A4905" s="5" t="str">
        <f t="shared" si="2508"/>
        <v>BRANCH</v>
      </c>
      <c r="B4905" s="3" t="str">
        <f t="shared" ref="B4905:B4906" si="2531">CHOOSE(2, "1395000000588", "% APE from Agents in X tenure")</f>
        <v>% APE from Agents in X tenure</v>
      </c>
      <c r="C4905" s="4" t="str">
        <f>CHOOSE(2, "5461730030", "Jun 26")</f>
        <v>Jun 26</v>
      </c>
      <c r="D4905" s="14">
        <v>1</v>
      </c>
    </row>
    <row r="4906" spans="1:4" x14ac:dyDescent="0.35">
      <c r="A4906" s="5" t="str">
        <f t="shared" si="2508"/>
        <v>BRANCH</v>
      </c>
      <c r="B4906" s="6" t="str">
        <f t="shared" si="2531"/>
        <v>% APE from Agents in X tenure</v>
      </c>
      <c r="C4906" s="4" t="str">
        <f>CHOOSE(2, "5462030031", "Jul 26")</f>
        <v>Jul 26</v>
      </c>
      <c r="D4906" s="14">
        <v>1</v>
      </c>
    </row>
    <row r="4907" spans="1:4" x14ac:dyDescent="0.35">
      <c r="A4907" s="5" t="str">
        <f t="shared" si="2508"/>
        <v>BRANCH</v>
      </c>
      <c r="B4907" s="3" t="str">
        <f t="shared" ref="B4907:B4908" si="2532">CHOOSE(2, "1395000000587", "% APE from Agents in X tenure in 0-1M")</f>
        <v>% APE from Agents in X tenure in 0-1M</v>
      </c>
      <c r="C4907" s="4" t="str">
        <f>CHOOSE(2, "5461730030", "Jun 26")</f>
        <v>Jun 26</v>
      </c>
      <c r="D4907" s="14">
        <v>0.1</v>
      </c>
    </row>
    <row r="4908" spans="1:4" x14ac:dyDescent="0.35">
      <c r="A4908" s="5" t="str">
        <f t="shared" si="2508"/>
        <v>BRANCH</v>
      </c>
      <c r="B4908" s="6" t="str">
        <f t="shared" si="2532"/>
        <v>% APE from Agents in X tenure in 0-1M</v>
      </c>
      <c r="C4908" s="4" t="str">
        <f>CHOOSE(2, "5462030031", "Jul 26")</f>
        <v>Jul 26</v>
      </c>
      <c r="D4908" s="14">
        <v>0.1</v>
      </c>
    </row>
    <row r="4909" spans="1:4" x14ac:dyDescent="0.35">
      <c r="A4909" s="5" t="str">
        <f t="shared" si="2508"/>
        <v>BRANCH</v>
      </c>
      <c r="B4909" s="3" t="str">
        <f t="shared" ref="B4909:B4910" si="2533">CHOOSE(2, "1395000000586", "% APE from Agents in X tenure in 2-3M")</f>
        <v>% APE from Agents in X tenure in 2-3M</v>
      </c>
      <c r="C4909" s="4" t="str">
        <f>CHOOSE(2, "5461730030", "Jun 26")</f>
        <v>Jun 26</v>
      </c>
      <c r="D4909" s="14">
        <v>0.2</v>
      </c>
    </row>
    <row r="4910" spans="1:4" x14ac:dyDescent="0.35">
      <c r="A4910" s="5" t="str">
        <f t="shared" si="2508"/>
        <v>BRANCH</v>
      </c>
      <c r="B4910" s="6" t="str">
        <f t="shared" si="2533"/>
        <v>% APE from Agents in X tenure in 2-3M</v>
      </c>
      <c r="C4910" s="4" t="str">
        <f>CHOOSE(2, "5462030031", "Jul 26")</f>
        <v>Jul 26</v>
      </c>
      <c r="D4910" s="14">
        <v>0.2</v>
      </c>
    </row>
    <row r="4911" spans="1:4" x14ac:dyDescent="0.35">
      <c r="A4911" s="5" t="str">
        <f t="shared" si="2508"/>
        <v>BRANCH</v>
      </c>
      <c r="B4911" s="3" t="str">
        <f t="shared" ref="B4911:B4912" si="2534">CHOOSE(2, "1395000000585", "% APE from Agents in X tenure in 4-12M")</f>
        <v>% APE from Agents in X tenure in 4-12M</v>
      </c>
      <c r="C4911" s="4" t="str">
        <f>CHOOSE(2, "5461730030", "Jun 26")</f>
        <v>Jun 26</v>
      </c>
      <c r="D4911" s="14">
        <v>0.3</v>
      </c>
    </row>
    <row r="4912" spans="1:4" x14ac:dyDescent="0.35">
      <c r="A4912" s="5" t="str">
        <f t="shared" si="2508"/>
        <v>BRANCH</v>
      </c>
      <c r="B4912" s="6" t="str">
        <f t="shared" si="2534"/>
        <v>% APE from Agents in X tenure in 4-12M</v>
      </c>
      <c r="C4912" s="4" t="str">
        <f>CHOOSE(2, "5462030031", "Jul 26")</f>
        <v>Jul 26</v>
      </c>
      <c r="D4912" s="14">
        <v>0.3</v>
      </c>
    </row>
    <row r="4913" spans="1:4" x14ac:dyDescent="0.35">
      <c r="A4913" s="5" t="str">
        <f t="shared" si="2508"/>
        <v>BRANCH</v>
      </c>
      <c r="B4913" s="3" t="str">
        <f t="shared" ref="B4913:B4914" si="2535">CHOOSE(2, "1395000000584", "% APE from Agents in X tenure 13+M")</f>
        <v>% APE from Agents in X tenure 13+M</v>
      </c>
      <c r="C4913" s="4" t="str">
        <f>CHOOSE(2, "5461730030", "Jun 26")</f>
        <v>Jun 26</v>
      </c>
      <c r="D4913" s="14">
        <v>0.4</v>
      </c>
    </row>
    <row r="4914" spans="1:4" x14ac:dyDescent="0.35">
      <c r="A4914" s="5" t="str">
        <f t="shared" si="2508"/>
        <v>BRANCH</v>
      </c>
      <c r="B4914" s="6" t="str">
        <f t="shared" si="2535"/>
        <v>% APE from Agents in X tenure 13+M</v>
      </c>
      <c r="C4914" s="4" t="str">
        <f>CHOOSE(2, "5462030031", "Jul 26")</f>
        <v>Jul 26</v>
      </c>
      <c r="D4914" s="14">
        <v>0.4</v>
      </c>
    </row>
    <row r="4915" spans="1:4" x14ac:dyDescent="0.35">
      <c r="A4915" s="5" t="str">
        <f t="shared" si="2508"/>
        <v>BRANCH</v>
      </c>
      <c r="B4915" s="3" t="str">
        <f t="shared" ref="B4915:B4916" si="2536">CHOOSE(2, "1395000000583", "% APE from pro-rated MDRT agents (100%)")</f>
        <v>% APE from pro-rated MDRT agents (100%)</v>
      </c>
      <c r="C4915" s="4" t="str">
        <f>CHOOSE(2, "5461730030", "Jun 26")</f>
        <v>Jun 26</v>
      </c>
      <c r="D4915" s="14">
        <v>0.2127692137250512</v>
      </c>
    </row>
    <row r="4916" spans="1:4" x14ac:dyDescent="0.35">
      <c r="A4916" s="5" t="str">
        <f t="shared" si="2508"/>
        <v>BRANCH</v>
      </c>
      <c r="B4916" s="6" t="str">
        <f t="shared" si="2536"/>
        <v>% APE from pro-rated MDRT agents (100%)</v>
      </c>
      <c r="C4916" s="4" t="str">
        <f>CHOOSE(2, "5462030031", "Jul 26")</f>
        <v>Jul 26</v>
      </c>
      <c r="D4916" s="14">
        <v>0.24579960652986391</v>
      </c>
    </row>
    <row r="4917" spans="1:4" x14ac:dyDescent="0.35">
      <c r="A4917" s="5" t="str">
        <f t="shared" si="2508"/>
        <v>BRANCH</v>
      </c>
      <c r="B4917" s="3" t="str">
        <f t="shared" ref="B4917:B4918" si="2537">CHOOSE(2, "1395000000582", "% APE from pro-rated MDRT agents (70-99%)")</f>
        <v>% APE from pro-rated MDRT agents (70-99%)</v>
      </c>
      <c r="C4917" s="4" t="str">
        <f>CHOOSE(2, "5461730030", "Jun 26")</f>
        <v>Jun 26</v>
      </c>
      <c r="D4917" s="14">
        <v>4.7311282284675585E-2</v>
      </c>
    </row>
    <row r="4918" spans="1:4" x14ac:dyDescent="0.35">
      <c r="A4918" s="5" t="str">
        <f t="shared" si="2508"/>
        <v>BRANCH</v>
      </c>
      <c r="B4918" s="6" t="str">
        <f t="shared" si="2537"/>
        <v>% APE from pro-rated MDRT agents (70-99%)</v>
      </c>
      <c r="C4918" s="4" t="str">
        <f>CHOOSE(2, "5462030031", "Jul 26")</f>
        <v>Jul 26</v>
      </c>
      <c r="D4918" s="14">
        <v>4.8094319825052884E-2</v>
      </c>
    </row>
    <row r="4919" spans="1:4" x14ac:dyDescent="0.35">
      <c r="A4919" s="5" t="str">
        <f t="shared" si="2508"/>
        <v>BRANCH</v>
      </c>
      <c r="B4919" s="3" t="str">
        <f t="shared" ref="B4919:B4920" si="2538">CHOOSE(2, "1395000000581", "% APE from pro-rated MDRT agents (50-69%)")</f>
        <v>% APE from pro-rated MDRT agents (50-69%)</v>
      </c>
      <c r="C4919" s="4" t="str">
        <f>CHOOSE(2, "5461730030", "Jun 26")</f>
        <v>Jun 26</v>
      </c>
      <c r="D4919" s="14">
        <v>4.5730267591858234E-2</v>
      </c>
    </row>
    <row r="4920" spans="1:4" x14ac:dyDescent="0.35">
      <c r="A4920" s="5" t="str">
        <f t="shared" si="2508"/>
        <v>BRANCH</v>
      </c>
      <c r="B4920" s="6" t="str">
        <f t="shared" si="2538"/>
        <v>% APE from pro-rated MDRT agents (50-69%)</v>
      </c>
      <c r="C4920" s="4" t="str">
        <f>CHOOSE(2, "5462030031", "Jul 26")</f>
        <v>Jul 26</v>
      </c>
      <c r="D4920" s="14">
        <v>9.4364687398668753E-2</v>
      </c>
    </row>
    <row r="4921" spans="1:4" x14ac:dyDescent="0.35">
      <c r="A4921" s="5" t="str">
        <f t="shared" si="2508"/>
        <v>BRANCH</v>
      </c>
      <c r="B4921" s="3" t="str">
        <f t="shared" ref="B4921:B4922" si="2539">CHOOSE(2, "1395000000580", "% APE from Top-tier agents")</f>
        <v>% APE from Top-tier agents</v>
      </c>
      <c r="C4921" s="4" t="str">
        <f>CHOOSE(2, "5461730030", "Jun 26")</f>
        <v>Jun 26</v>
      </c>
      <c r="D4921" s="14">
        <v>0.30581076360158499</v>
      </c>
    </row>
    <row r="4922" spans="1:4" x14ac:dyDescent="0.35">
      <c r="A4922" s="5" t="str">
        <f t="shared" si="2508"/>
        <v>BRANCH</v>
      </c>
      <c r="B4922" s="6" t="str">
        <f t="shared" si="2539"/>
        <v>% APE from Top-tier agents</v>
      </c>
      <c r="C4922" s="4" t="str">
        <f>CHOOSE(2, "5462030031", "Jul 26")</f>
        <v>Jul 26</v>
      </c>
      <c r="D4922" s="14">
        <v>0.38825860863766865</v>
      </c>
    </row>
    <row r="4923" spans="1:4" x14ac:dyDescent="0.35">
      <c r="A4923" s="5" t="str">
        <f t="shared" si="2508"/>
        <v>BRANCH</v>
      </c>
      <c r="B4923" s="3" t="str">
        <f t="shared" ref="B4923:B4924" si="2540">CHOOSE(2, "1395000000579", "% of Active Recruiting Leaders")</f>
        <v>% of Active Recruiting Leaders</v>
      </c>
      <c r="C4923" s="4" t="str">
        <f>CHOOSE(2, "5461730030", "Jun 26")</f>
        <v>Jun 26</v>
      </c>
      <c r="D4923" s="14">
        <v>0.16176470588235295</v>
      </c>
    </row>
    <row r="4924" spans="1:4" x14ac:dyDescent="0.35">
      <c r="A4924" s="5" t="str">
        <f t="shared" si="2508"/>
        <v>BRANCH</v>
      </c>
      <c r="B4924" s="6" t="str">
        <f t="shared" si="2540"/>
        <v>% of Active Recruiting Leaders</v>
      </c>
      <c r="C4924" s="4" t="str">
        <f>CHOOSE(2, "5462030031", "Jul 26")</f>
        <v>Jul 26</v>
      </c>
      <c r="D4924" s="14">
        <v>0.16807909604519775</v>
      </c>
    </row>
    <row r="4925" spans="1:4" x14ac:dyDescent="0.35">
      <c r="A4925" s="5" t="str">
        <f t="shared" ref="A4925:A4988" si="2541">CHOOSE(2, "1260000000005", "BRANCH")</f>
        <v>BRANCH</v>
      </c>
      <c r="B4925" s="3" t="str">
        <f t="shared" ref="B4925:B4926" si="2542">CHOOSE(2, "1395000000578", "% of leaders with &gt;1 YTD recruit")</f>
        <v>% of leaders with &gt;1 YTD recruit</v>
      </c>
      <c r="C4925" s="4" t="str">
        <f>CHOOSE(2, "5461730030", "Jun 26")</f>
        <v>Jun 26</v>
      </c>
      <c r="D4925" s="14">
        <v>0.5338235294117647</v>
      </c>
    </row>
    <row r="4926" spans="1:4" x14ac:dyDescent="0.35">
      <c r="A4926" s="5" t="str">
        <f t="shared" si="2541"/>
        <v>BRANCH</v>
      </c>
      <c r="B4926" s="6" t="str">
        <f t="shared" si="2542"/>
        <v>% of leaders with &gt;1 YTD recruit</v>
      </c>
      <c r="C4926" s="4" t="str">
        <f>CHOOSE(2, "5462030031", "Jul 26")</f>
        <v>Jul 26</v>
      </c>
      <c r="D4926" s="14">
        <v>0.58757062146892658</v>
      </c>
    </row>
    <row r="4927" spans="1:4" x14ac:dyDescent="0.35">
      <c r="A4927" s="5" t="str">
        <f t="shared" si="2541"/>
        <v>BRANCH</v>
      </c>
      <c r="B4927" s="3" t="str">
        <f t="shared" ref="B4927:B4928" si="2543">CHOOSE(2, "1395000000577", "% of 1-Month Active Top-tier agents")</f>
        <v>% of 1-Month Active Top-tier agents</v>
      </c>
      <c r="C4927" s="4" t="str">
        <f>CHOOSE(2, "5461730030", "Jun 26")</f>
        <v>Jun 26</v>
      </c>
      <c r="D4927" s="14">
        <v>0.67808219178082196</v>
      </c>
    </row>
    <row r="4928" spans="1:4" x14ac:dyDescent="0.35">
      <c r="A4928" s="5" t="str">
        <f t="shared" si="2541"/>
        <v>BRANCH</v>
      </c>
      <c r="B4928" s="6" t="str">
        <f t="shared" si="2543"/>
        <v>% of 1-Month Active Top-tier agents</v>
      </c>
      <c r="C4928" s="4" t="str">
        <f>CHOOSE(2, "5462030031", "Jul 26")</f>
        <v>Jul 26</v>
      </c>
      <c r="D4928" s="14">
        <v>0.73376623376623373</v>
      </c>
    </row>
    <row r="4929" spans="1:4" x14ac:dyDescent="0.35">
      <c r="A4929" s="5" t="str">
        <f t="shared" si="2541"/>
        <v>BRANCH</v>
      </c>
      <c r="B4929" s="3" t="str">
        <f t="shared" ref="B4929:B4930" si="2544">CHOOSE(2, "1395000000576", "% APE from Manulife Pro - Total")</f>
        <v>% APE from Manulife Pro - Total</v>
      </c>
      <c r="C4929" s="4" t="str">
        <f>CHOOSE(2, "5461730030", "Jun 26")</f>
        <v>Jun 26</v>
      </c>
      <c r="D4929" s="14">
        <v>0.21276921197732176</v>
      </c>
    </row>
    <row r="4930" spans="1:4" x14ac:dyDescent="0.35">
      <c r="A4930" s="5" t="str">
        <f t="shared" si="2541"/>
        <v>BRANCH</v>
      </c>
      <c r="B4930" s="6" t="str">
        <f t="shared" si="2544"/>
        <v>% APE from Manulife Pro - Total</v>
      </c>
      <c r="C4930" s="4" t="str">
        <f>CHOOSE(2, "5462030031", "Jul 26")</f>
        <v>Jul 26</v>
      </c>
      <c r="D4930" s="14">
        <v>0.26187956356528391</v>
      </c>
    </row>
    <row r="4931" spans="1:4" x14ac:dyDescent="0.35">
      <c r="A4931" s="5" t="str">
        <f t="shared" si="2541"/>
        <v>BRANCH</v>
      </c>
      <c r="B4931" s="3" t="str">
        <f t="shared" ref="B4931:B4932" si="2545">CHOOSE(2, "1395000000575", "% of 1-Month Active Agents Manulife Pro Qualifiers - Total")</f>
        <v>% of 1-Month Active Agents Manulife Pro Qualifiers - Total</v>
      </c>
      <c r="C4931" s="4" t="str">
        <f>CHOOSE(2, "5461730030", "Jun 26")</f>
        <v>Jun 26</v>
      </c>
      <c r="D4931" s="14">
        <v>0.70833333333333337</v>
      </c>
    </row>
    <row r="4932" spans="1:4" x14ac:dyDescent="0.35">
      <c r="A4932" s="5" t="str">
        <f t="shared" si="2541"/>
        <v>BRANCH</v>
      </c>
      <c r="B4932" s="6" t="str">
        <f t="shared" si="2545"/>
        <v>% of 1-Month Active Agents Manulife Pro Qualifiers - Total</v>
      </c>
      <c r="C4932" s="4" t="str">
        <f>CHOOSE(2, "5462030031", "Jul 26")</f>
        <v>Jul 26</v>
      </c>
      <c r="D4932" s="14">
        <v>0.69767441860465118</v>
      </c>
    </row>
    <row r="4933" spans="1:4" x14ac:dyDescent="0.35">
      <c r="A4933" s="5" t="str">
        <f t="shared" si="2541"/>
        <v>BRANCH</v>
      </c>
      <c r="B4933" s="3" t="str">
        <f t="shared" ref="B4933:B4934" si="2546">CHOOSE(2, "1395000000574", "% of Newly Demoted UM")</f>
        <v>% of Newly Demoted UM</v>
      </c>
      <c r="C4933" s="4" t="str">
        <f>CHOOSE(2, "5461730030", "Jun 26")</f>
        <v>Jun 26</v>
      </c>
      <c r="D4933" s="14">
        <v>0</v>
      </c>
    </row>
    <row r="4934" spans="1:4" x14ac:dyDescent="0.35">
      <c r="A4934" s="5" t="str">
        <f t="shared" si="2541"/>
        <v>BRANCH</v>
      </c>
      <c r="B4934" s="6" t="str">
        <f t="shared" si="2546"/>
        <v>% of Newly Demoted UM</v>
      </c>
      <c r="C4934" s="4" t="str">
        <f>CHOOSE(2, "5462030031", "Jul 26")</f>
        <v>Jul 26</v>
      </c>
      <c r="D4934" s="14">
        <v>2.4937655860349127E-3</v>
      </c>
    </row>
    <row r="4935" spans="1:4" x14ac:dyDescent="0.35">
      <c r="A4935" s="5" t="str">
        <f t="shared" si="2541"/>
        <v>BRANCH</v>
      </c>
      <c r="B4935" s="3" t="str">
        <f t="shared" ref="B4935:B4936" si="2547">CHOOSE(2, "1395000000573", "% of Newly Demoted Leaders above UM")</f>
        <v>% of Newly Demoted Leaders above UM</v>
      </c>
      <c r="C4935" s="4" t="str">
        <f>CHOOSE(2, "5461730030", "Jun 26")</f>
        <v>Jun 26</v>
      </c>
      <c r="D4935" s="14">
        <v>3.3333333333333335E-3</v>
      </c>
    </row>
    <row r="4936" spans="1:4" x14ac:dyDescent="0.35">
      <c r="A4936" s="5" t="str">
        <f t="shared" si="2541"/>
        <v>BRANCH</v>
      </c>
      <c r="B4936" s="6" t="str">
        <f t="shared" si="2547"/>
        <v>% of Newly Demoted Leaders above UM</v>
      </c>
      <c r="C4936" s="4" t="str">
        <f>CHOOSE(2, "5462030031", "Jul 26")</f>
        <v>Jul 26</v>
      </c>
      <c r="D4936" s="14">
        <v>3.2573289902280132E-3</v>
      </c>
    </row>
    <row r="4937" spans="1:4" x14ac:dyDescent="0.35">
      <c r="A4937" s="5" t="str">
        <f t="shared" si="2541"/>
        <v>BRANCH</v>
      </c>
      <c r="B4937" s="3" t="str">
        <f t="shared" ref="B4937:B4938" si="2548">CHOOSE(2, "1395000000572", "Avg. Earning per agent")</f>
        <v>Avg. Earning per agent</v>
      </c>
      <c r="C4937" s="4" t="str">
        <f>CHOOSE(2, "5461730030", "Jun 26")</f>
        <v>Jun 26</v>
      </c>
      <c r="D4937" s="14">
        <v>1.1126281111531843E-2</v>
      </c>
    </row>
    <row r="4938" spans="1:4" x14ac:dyDescent="0.35">
      <c r="A4938" s="5" t="str">
        <f t="shared" si="2541"/>
        <v>BRANCH</v>
      </c>
      <c r="B4938" s="6" t="str">
        <f t="shared" si="2548"/>
        <v>Avg. Earning per agent</v>
      </c>
      <c r="C4938" s="4" t="str">
        <f>CHOOSE(2, "5462030031", "Jul 26")</f>
        <v>Jul 26</v>
      </c>
      <c r="D4938" s="14">
        <v>1.1370214674558657E-2</v>
      </c>
    </row>
    <row r="4939" spans="1:4" x14ac:dyDescent="0.35">
      <c r="A4939" s="5" t="str">
        <f t="shared" si="2541"/>
        <v>BRANCH</v>
      </c>
      <c r="B4939" s="3" t="str">
        <f t="shared" ref="B4939:B4940" si="2549">CHOOSE(2, "1395000000571", "Avg. Earning per agent in FA or equivalent")</f>
        <v>Avg. Earning per agent in FA or equivalent</v>
      </c>
      <c r="C4939" s="4" t="str">
        <f>CHOOSE(2, "5461730030", "Jun 26")</f>
        <v>Jun 26</v>
      </c>
      <c r="D4939" s="14">
        <v>6.8038797284325266E-3</v>
      </c>
    </row>
    <row r="4940" spans="1:4" x14ac:dyDescent="0.35">
      <c r="A4940" s="5" t="str">
        <f t="shared" si="2541"/>
        <v>BRANCH</v>
      </c>
      <c r="B4940" s="6" t="str">
        <f t="shared" si="2549"/>
        <v>Avg. Earning per agent in FA or equivalent</v>
      </c>
      <c r="C4940" s="4" t="str">
        <f>CHOOSE(2, "5462030031", "Jul 26")</f>
        <v>Jul 26</v>
      </c>
      <c r="D4940" s="14">
        <v>6.7271769853363087E-3</v>
      </c>
    </row>
    <row r="4941" spans="1:4" x14ac:dyDescent="0.35">
      <c r="A4941" s="5" t="str">
        <f t="shared" si="2541"/>
        <v>BRANCH</v>
      </c>
      <c r="B4941" s="3" t="str">
        <f t="shared" ref="B4941:B4942" si="2550">CHOOSE(2, "1395000000570", "Avg. Earning per agent in UM")</f>
        <v>Avg. Earning per agent in UM</v>
      </c>
      <c r="C4941" s="4" t="str">
        <f>CHOOSE(2, "5461730030", "Jun 26")</f>
        <v>Jun 26</v>
      </c>
      <c r="D4941" s="14">
        <v>3.1874692008599999E-2</v>
      </c>
    </row>
    <row r="4942" spans="1:4" x14ac:dyDescent="0.35">
      <c r="A4942" s="5" t="str">
        <f t="shared" si="2541"/>
        <v>BRANCH</v>
      </c>
      <c r="B4942" s="6" t="str">
        <f t="shared" si="2550"/>
        <v>Avg. Earning per agent in UM</v>
      </c>
      <c r="C4942" s="4" t="str">
        <f>CHOOSE(2, "5462030031", "Jul 26")</f>
        <v>Jul 26</v>
      </c>
      <c r="D4942" s="14">
        <v>3.4481004366665839E-2</v>
      </c>
    </row>
    <row r="4943" spans="1:4" x14ac:dyDescent="0.35">
      <c r="A4943" s="5" t="str">
        <f t="shared" si="2541"/>
        <v>BRANCH</v>
      </c>
      <c r="B4943" s="3" t="str">
        <f t="shared" ref="B4943:B4944" si="2551">CHOOSE(2, "1395000000569", "Avg. Earning per agent in Leaders above UM")</f>
        <v>Avg. Earning per agent in Leaders above UM</v>
      </c>
      <c r="C4943" s="4" t="str">
        <f>CHOOSE(2, "5461730030", "Jun 26")</f>
        <v>Jun 26</v>
      </c>
      <c r="D4943" s="14">
        <v>6.3959313957239999E-2</v>
      </c>
    </row>
    <row r="4944" spans="1:4" x14ac:dyDescent="0.35">
      <c r="A4944" s="5" t="str">
        <f t="shared" si="2541"/>
        <v>BRANCH</v>
      </c>
      <c r="B4944" s="6" t="str">
        <f t="shared" si="2551"/>
        <v>Avg. Earning per agent in Leaders above UM</v>
      </c>
      <c r="C4944" s="4" t="str">
        <f>CHOOSE(2, "5462030031", "Jul 26")</f>
        <v>Jul 26</v>
      </c>
      <c r="D4944" s="14">
        <v>6.419825118793486E-2</v>
      </c>
    </row>
    <row r="4945" spans="1:4" x14ac:dyDescent="0.35">
      <c r="A4945" s="5" t="str">
        <f t="shared" si="2541"/>
        <v>BRANCH</v>
      </c>
      <c r="B4945" s="3" t="str">
        <f t="shared" ref="B4945:B4946" si="2552">CHOOSE(2, "1395000000568", "% of 1-Month Active Agents 0-1M")</f>
        <v>% of 1-Month Active Agents 0-1M</v>
      </c>
      <c r="C4945" s="4" t="str">
        <f>CHOOSE(2, "5461730030", "Jun 26")</f>
        <v>Jun 26</v>
      </c>
      <c r="D4945" s="14">
        <v>0.17518248175182483</v>
      </c>
    </row>
    <row r="4946" spans="1:4" x14ac:dyDescent="0.35">
      <c r="A4946" s="5" t="str">
        <f t="shared" si="2541"/>
        <v>BRANCH</v>
      </c>
      <c r="B4946" s="6" t="str">
        <f t="shared" si="2552"/>
        <v>% of 1-Month Active Agents 0-1M</v>
      </c>
      <c r="C4946" s="4" t="str">
        <f>CHOOSE(2, "5462030031", "Jul 26")</f>
        <v>Jul 26</v>
      </c>
      <c r="D4946" s="14">
        <v>0.18382352941176472</v>
      </c>
    </row>
    <row r="4947" spans="1:4" x14ac:dyDescent="0.35">
      <c r="A4947" s="5" t="str">
        <f t="shared" si="2541"/>
        <v>BRANCH</v>
      </c>
      <c r="B4947" s="3" t="str">
        <f t="shared" ref="B4947:B4948" si="2553">CHOOSE(2, "1395000000567", "% of 1-Month Active Agents in 2-3M")</f>
        <v>% of 1-Month Active Agents in 2-3M</v>
      </c>
      <c r="C4947" s="4" t="str">
        <f>CHOOSE(2, "5461730030", "Jun 26")</f>
        <v>Jun 26</v>
      </c>
      <c r="D4947" s="14">
        <v>0.24637681159420291</v>
      </c>
    </row>
    <row r="4948" spans="1:4" x14ac:dyDescent="0.35">
      <c r="A4948" s="5" t="str">
        <f t="shared" si="2541"/>
        <v>BRANCH</v>
      </c>
      <c r="B4948" s="6" t="str">
        <f t="shared" si="2553"/>
        <v>% of 1-Month Active Agents in 2-3M</v>
      </c>
      <c r="C4948" s="4" t="str">
        <f>CHOOSE(2, "5462030031", "Jul 26")</f>
        <v>Jul 26</v>
      </c>
      <c r="D4948" s="14">
        <v>0.197265625</v>
      </c>
    </row>
    <row r="4949" spans="1:4" x14ac:dyDescent="0.35">
      <c r="A4949" s="5" t="str">
        <f t="shared" si="2541"/>
        <v>BRANCH</v>
      </c>
      <c r="B4949" s="3" t="str">
        <f t="shared" ref="B4949:B4950" si="2554">CHOOSE(2, "1395000000566", "% of 1-Month Active Agents 4-12M")</f>
        <v>% of 1-Month Active Agents 4-12M</v>
      </c>
      <c r="C4949" s="4" t="str">
        <f>CHOOSE(2, "5461730030", "Jun 26")</f>
        <v>Jun 26</v>
      </c>
      <c r="D4949" s="14">
        <v>8.4735202492211836E-2</v>
      </c>
    </row>
    <row r="4950" spans="1:4" x14ac:dyDescent="0.35">
      <c r="A4950" s="5" t="str">
        <f t="shared" si="2541"/>
        <v>BRANCH</v>
      </c>
      <c r="B4950" s="6" t="str">
        <f t="shared" si="2554"/>
        <v>% of 1-Month Active Agents 4-12M</v>
      </c>
      <c r="C4950" s="4" t="str">
        <f>CHOOSE(2, "5462030031", "Jul 26")</f>
        <v>Jul 26</v>
      </c>
      <c r="D4950" s="14">
        <v>6.6342057212416317E-2</v>
      </c>
    </row>
    <row r="4951" spans="1:4" x14ac:dyDescent="0.35">
      <c r="A4951" s="5" t="str">
        <f t="shared" si="2541"/>
        <v>BRANCH</v>
      </c>
      <c r="B4951" s="3" t="str">
        <f t="shared" ref="B4951:B4952" si="2555">CHOOSE(2, "1395000000565", "% of 1-Month Active Agents 13+M")</f>
        <v>% of 1-Month Active Agents 13+M</v>
      </c>
      <c r="C4951" s="4" t="str">
        <f>CHOOSE(2, "5461730030", "Jun 26")</f>
        <v>Jun 26</v>
      </c>
      <c r="D4951" s="14">
        <v>0.28196377001837752</v>
      </c>
    </row>
    <row r="4952" spans="1:4" x14ac:dyDescent="0.35">
      <c r="A4952" s="5" t="str">
        <f t="shared" si="2541"/>
        <v>BRANCH</v>
      </c>
      <c r="B4952" s="6" t="str">
        <f t="shared" si="2555"/>
        <v>% of 1-Month Active Agents 13+M</v>
      </c>
      <c r="C4952" s="4" t="str">
        <f>CHOOSE(2, "5462030031", "Jul 26")</f>
        <v>Jul 26</v>
      </c>
      <c r="D4952" s="14">
        <v>0.24350132625994694</v>
      </c>
    </row>
    <row r="4953" spans="1:4" x14ac:dyDescent="0.35">
      <c r="A4953" s="5" t="str">
        <f t="shared" si="2541"/>
        <v>BRANCH</v>
      </c>
      <c r="B4953" s="3" t="str">
        <f t="shared" ref="B4953:B4954" si="2556">CHOOSE(2, "1395000000564", "% of 3-Month Active Agents 0-1M")</f>
        <v>% of 3-Month Active Agents 0-1M</v>
      </c>
      <c r="C4953" s="4" t="str">
        <f>CHOOSE(2, "5461730030", "Jun 26")</f>
        <v>Jun 26</v>
      </c>
      <c r="D4953" s="14">
        <v>0.17883211678832117</v>
      </c>
    </row>
    <row r="4954" spans="1:4" x14ac:dyDescent="0.35">
      <c r="A4954" s="5" t="str">
        <f t="shared" si="2541"/>
        <v>BRANCH</v>
      </c>
      <c r="B4954" s="6" t="str">
        <f t="shared" si="2556"/>
        <v>% of 3-Month Active Agents 0-1M</v>
      </c>
      <c r="C4954" s="4" t="str">
        <f>CHOOSE(2, "5462030031", "Jul 26")</f>
        <v>Jul 26</v>
      </c>
      <c r="D4954" s="14">
        <v>0.18382352941176472</v>
      </c>
    </row>
    <row r="4955" spans="1:4" x14ac:dyDescent="0.35">
      <c r="A4955" s="5" t="str">
        <f t="shared" si="2541"/>
        <v>BRANCH</v>
      </c>
      <c r="B4955" s="3" t="str">
        <f t="shared" ref="B4955:B4956" si="2557">CHOOSE(2, "1395000000563", "% of 3-Month Active Agents in 2-3M")</f>
        <v>% of 3-Month Active Agents in 2-3M</v>
      </c>
      <c r="C4955" s="4" t="str">
        <f>CHOOSE(2, "5461730030", "Jun 26")</f>
        <v>Jun 26</v>
      </c>
      <c r="D4955" s="14">
        <v>0.42028985507246375</v>
      </c>
    </row>
    <row r="4956" spans="1:4" x14ac:dyDescent="0.35">
      <c r="A4956" s="5" t="str">
        <f t="shared" si="2541"/>
        <v>BRANCH</v>
      </c>
      <c r="B4956" s="6" t="str">
        <f t="shared" si="2557"/>
        <v>% of 3-Month Active Agents in 2-3M</v>
      </c>
      <c r="C4956" s="4" t="str">
        <f>CHOOSE(2, "5462030031", "Jul 26")</f>
        <v>Jul 26</v>
      </c>
      <c r="D4956" s="14">
        <v>0.42578125</v>
      </c>
    </row>
    <row r="4957" spans="1:4" x14ac:dyDescent="0.35">
      <c r="A4957" s="5" t="str">
        <f t="shared" si="2541"/>
        <v>BRANCH</v>
      </c>
      <c r="B4957" s="3" t="str">
        <f t="shared" ref="B4957:B4958" si="2558">CHOOSE(2, "1395000000562", "% of 3-Month Active Agents 4-12M")</f>
        <v>% of 3-Month Active Agents 4-12M</v>
      </c>
      <c r="C4957" s="4" t="str">
        <f>CHOOSE(2, "5461730030", "Jun 26")</f>
        <v>Jun 26</v>
      </c>
      <c r="D4957" s="14">
        <v>0.20436137071651089</v>
      </c>
    </row>
    <row r="4958" spans="1:4" x14ac:dyDescent="0.35">
      <c r="A4958" s="5" t="str">
        <f t="shared" si="2541"/>
        <v>BRANCH</v>
      </c>
      <c r="B4958" s="6" t="str">
        <f t="shared" si="2558"/>
        <v>% of 3-Month Active Agents 4-12M</v>
      </c>
      <c r="C4958" s="4" t="str">
        <f>CHOOSE(2, "5462030031", "Jul 26")</f>
        <v>Jul 26</v>
      </c>
      <c r="D4958" s="14">
        <v>0.20328667072428486</v>
      </c>
    </row>
    <row r="4959" spans="1:4" x14ac:dyDescent="0.35">
      <c r="A4959" s="5" t="str">
        <f t="shared" si="2541"/>
        <v>BRANCH</v>
      </c>
      <c r="B4959" s="3" t="str">
        <f t="shared" ref="B4959:B4960" si="2559">CHOOSE(2, "1395000000561", "% of 3-Month Active Agents 13+M")</f>
        <v>% of 3-Month Active Agents 13+M</v>
      </c>
      <c r="C4959" s="4" t="str">
        <f>CHOOSE(2, "5461730030", "Jun 26")</f>
        <v>Jun 26</v>
      </c>
      <c r="D4959" s="14">
        <v>0.52192176424258341</v>
      </c>
    </row>
    <row r="4960" spans="1:4" x14ac:dyDescent="0.35">
      <c r="A4960" s="5" t="str">
        <f t="shared" si="2541"/>
        <v>BRANCH</v>
      </c>
      <c r="B4960" s="6" t="str">
        <f t="shared" si="2559"/>
        <v>% of 3-Month Active Agents 13+M</v>
      </c>
      <c r="C4960" s="4" t="str">
        <f>CHOOSE(2, "5462030031", "Jul 26")</f>
        <v>Jul 26</v>
      </c>
      <c r="D4960" s="14">
        <v>0.55543766578249332</v>
      </c>
    </row>
    <row r="4961" spans="1:4" x14ac:dyDescent="0.35">
      <c r="A4961" s="5" t="str">
        <f t="shared" si="2541"/>
        <v>BRANCH</v>
      </c>
      <c r="B4961" s="3" t="str">
        <f t="shared" ref="B4961:B4962" si="2560">CHOOSE(2, "1395000000560", "Avg. Case count per 1-Month Active Agent 0-1M")</f>
        <v>Avg. Case count per 1-Month Active Agent 0-1M</v>
      </c>
      <c r="C4961" s="4" t="str">
        <f>CHOOSE(2, "5461730030", "Jun 26")</f>
        <v>Jun 26</v>
      </c>
      <c r="D4961" s="14">
        <v>1.6875</v>
      </c>
    </row>
    <row r="4962" spans="1:4" x14ac:dyDescent="0.35">
      <c r="A4962" s="5" t="str">
        <f t="shared" si="2541"/>
        <v>BRANCH</v>
      </c>
      <c r="B4962" s="6" t="str">
        <f t="shared" si="2560"/>
        <v>Avg. Case count per 1-Month Active Agent 0-1M</v>
      </c>
      <c r="C4962" s="4" t="str">
        <f>CHOOSE(2, "5462030031", "Jul 26")</f>
        <v>Jul 26</v>
      </c>
      <c r="D4962" s="14">
        <v>1.62</v>
      </c>
    </row>
    <row r="4963" spans="1:4" x14ac:dyDescent="0.35">
      <c r="A4963" s="5" t="str">
        <f t="shared" si="2541"/>
        <v>BRANCH</v>
      </c>
      <c r="B4963" s="3" t="str">
        <f t="shared" ref="B4963:B4964" si="2561">CHOOSE(2, "1395000000559", "Avg. Case count per 1-Month Active Agent in 2-3M")</f>
        <v>Avg. Case count per 1-Month Active Agent in 2-3M</v>
      </c>
      <c r="C4963" s="4" t="str">
        <f>CHOOSE(2, "5461730030", "Jun 26")</f>
        <v>Jun 26</v>
      </c>
      <c r="D4963" s="14">
        <v>1.319327731092437</v>
      </c>
    </row>
    <row r="4964" spans="1:4" x14ac:dyDescent="0.35">
      <c r="A4964" s="5" t="str">
        <f t="shared" si="2541"/>
        <v>BRANCH</v>
      </c>
      <c r="B4964" s="6" t="str">
        <f t="shared" si="2561"/>
        <v>Avg. Case count per 1-Month Active Agent in 2-3M</v>
      </c>
      <c r="C4964" s="4" t="str">
        <f>CHOOSE(2, "5462030031", "Jul 26")</f>
        <v>Jul 26</v>
      </c>
      <c r="D4964" s="14">
        <v>1.3168316831683169</v>
      </c>
    </row>
    <row r="4965" spans="1:4" x14ac:dyDescent="0.35">
      <c r="A4965" s="5" t="str">
        <f t="shared" si="2541"/>
        <v>BRANCH</v>
      </c>
      <c r="B4965" s="3" t="str">
        <f t="shared" ref="B4965:B4966" si="2562">CHOOSE(2, "1395000000558", "Avg. Case count per 1-Month Active Agent 4-12M")</f>
        <v>Avg. Case count per 1-Month Active Agent 4-12M</v>
      </c>
      <c r="C4965" s="4" t="str">
        <f>CHOOSE(2, "5461730030", "Jun 26")</f>
        <v>Jun 26</v>
      </c>
      <c r="D4965" s="14">
        <v>1.1470588235294117</v>
      </c>
    </row>
    <row r="4966" spans="1:4" x14ac:dyDescent="0.35">
      <c r="A4966" s="5" t="str">
        <f t="shared" si="2541"/>
        <v>BRANCH</v>
      </c>
      <c r="B4966" s="6" t="str">
        <f t="shared" si="2562"/>
        <v>Avg. Case count per 1-Month Active Agent 4-12M</v>
      </c>
      <c r="C4966" s="4" t="str">
        <f>CHOOSE(2, "5462030031", "Jul 26")</f>
        <v>Jul 26</v>
      </c>
      <c r="D4966" s="14">
        <v>0.82568807339449546</v>
      </c>
    </row>
    <row r="4967" spans="1:4" x14ac:dyDescent="0.35">
      <c r="A4967" s="5" t="str">
        <f t="shared" si="2541"/>
        <v>BRANCH</v>
      </c>
      <c r="B4967" s="3" t="str">
        <f t="shared" ref="B4967:B4968" si="2563">CHOOSE(2, "1395000000557", "Avg. Case count per 1-Month Active Agent 13+M")</f>
        <v>Avg. Case count per 1-Month Active Agent 13+M</v>
      </c>
      <c r="C4967" s="4" t="str">
        <f>CHOOSE(2, "5461730030", "Jun 26")</f>
        <v>Jun 26</v>
      </c>
      <c r="D4967" s="14">
        <v>1.1457169459962757</v>
      </c>
    </row>
    <row r="4968" spans="1:4" x14ac:dyDescent="0.35">
      <c r="A4968" s="5" t="str">
        <f t="shared" si="2541"/>
        <v>BRANCH</v>
      </c>
      <c r="B4968" s="6" t="str">
        <f t="shared" si="2563"/>
        <v>Avg. Case count per 1-Month Active Agent 13+M</v>
      </c>
      <c r="C4968" s="4" t="str">
        <f>CHOOSE(2, "5462030031", "Jul 26")</f>
        <v>Jul 26</v>
      </c>
      <c r="D4968" s="14">
        <v>1.2565359477124183</v>
      </c>
    </row>
    <row r="4969" spans="1:4" x14ac:dyDescent="0.35">
      <c r="A4969" s="5" t="str">
        <f t="shared" si="2541"/>
        <v>BRANCH</v>
      </c>
      <c r="B4969" s="3" t="str">
        <f t="shared" ref="B4969:B4970" si="2564">CHOOSE(2, "1395000000556", "Avg. Case size 0-1M")</f>
        <v>Avg. Case size 0-1M</v>
      </c>
      <c r="C4969" s="4" t="str">
        <f>CHOOSE(2, "5461730030", "Jun 26")</f>
        <v>Jun 26</v>
      </c>
      <c r="D4969" s="14">
        <v>2304.2242189332223</v>
      </c>
    </row>
    <row r="4970" spans="1:4" x14ac:dyDescent="0.35">
      <c r="A4970" s="5" t="str">
        <f t="shared" si="2541"/>
        <v>BRANCH</v>
      </c>
      <c r="B4970" s="6" t="str">
        <f t="shared" si="2564"/>
        <v>Avg. Case size 0-1M</v>
      </c>
      <c r="C4970" s="4" t="str">
        <f>CHOOSE(2, "5462030031", "Jul 26")</f>
        <v>Jul 26</v>
      </c>
      <c r="D4970" s="14">
        <v>2413.1899321425558</v>
      </c>
    </row>
    <row r="4971" spans="1:4" x14ac:dyDescent="0.35">
      <c r="A4971" s="5" t="str">
        <f t="shared" si="2541"/>
        <v>BRANCH</v>
      </c>
      <c r="B4971" s="3" t="str">
        <f t="shared" ref="B4971:B4972" si="2565">CHOOSE(2, "1395000000555", "Avg. Case size in 2-3M")</f>
        <v>Avg. Case size in 2-3M</v>
      </c>
      <c r="C4971" s="4" t="str">
        <f>CHOOSE(2, "5461730030", "Jun 26")</f>
        <v>Jun 26</v>
      </c>
      <c r="D4971" s="14">
        <v>2377.6071558419239</v>
      </c>
    </row>
    <row r="4972" spans="1:4" x14ac:dyDescent="0.35">
      <c r="A4972" s="5" t="str">
        <f t="shared" si="2541"/>
        <v>BRANCH</v>
      </c>
      <c r="B4972" s="6" t="str">
        <f t="shared" si="2565"/>
        <v>Avg. Case size in 2-3M</v>
      </c>
      <c r="C4972" s="4" t="str">
        <f>CHOOSE(2, "5462030031", "Jul 26")</f>
        <v>Jul 26</v>
      </c>
      <c r="D4972" s="14">
        <v>2939.3742030608573</v>
      </c>
    </row>
    <row r="4973" spans="1:4" x14ac:dyDescent="0.35">
      <c r="A4973" s="5" t="str">
        <f t="shared" si="2541"/>
        <v>BRANCH</v>
      </c>
      <c r="B4973" s="3" t="str">
        <f t="shared" ref="B4973:B4974" si="2566">CHOOSE(2, "1395000000554", "Avg. Case size 4-12M")</f>
        <v>Avg. Case size 4-12M</v>
      </c>
      <c r="C4973" s="4" t="str">
        <f>CHOOSE(2, "5461730030", "Jun 26")</f>
        <v>Jun 26</v>
      </c>
      <c r="D4973" s="14">
        <v>3589.2723410305962</v>
      </c>
    </row>
    <row r="4974" spans="1:4" x14ac:dyDescent="0.35">
      <c r="A4974" s="5" t="str">
        <f t="shared" si="2541"/>
        <v>BRANCH</v>
      </c>
      <c r="B4974" s="6" t="str">
        <f t="shared" si="2566"/>
        <v>Avg. Case size 4-12M</v>
      </c>
      <c r="C4974" s="4" t="str">
        <f>CHOOSE(2, "5462030031", "Jul 26")</f>
        <v>Jul 26</v>
      </c>
      <c r="D4974" s="14">
        <v>6515.6128167848992</v>
      </c>
    </row>
    <row r="4975" spans="1:4" x14ac:dyDescent="0.35">
      <c r="A4975" s="5" t="str">
        <f t="shared" si="2541"/>
        <v>BRANCH</v>
      </c>
      <c r="B4975" s="3" t="str">
        <f t="shared" ref="B4975:B4976" si="2567">CHOOSE(2, "1395000000553", "Avg. Case size 13+M")</f>
        <v>Avg. Case size 13+M</v>
      </c>
      <c r="C4975" s="4" t="str">
        <f>CHOOSE(2, "5461730030", "Jun 26")</f>
        <v>Jun 26</v>
      </c>
      <c r="D4975" s="14">
        <v>606.71974557851615</v>
      </c>
    </row>
    <row r="4976" spans="1:4" x14ac:dyDescent="0.35">
      <c r="A4976" s="5" t="str">
        <f t="shared" si="2541"/>
        <v>BRANCH</v>
      </c>
      <c r="B4976" s="6" t="str">
        <f t="shared" si="2567"/>
        <v>Avg. Case size 13+M</v>
      </c>
      <c r="C4976" s="4" t="str">
        <f>CHOOSE(2, "5462030031", "Jul 26")</f>
        <v>Jul 26</v>
      </c>
      <c r="D4976" s="14">
        <v>677.82708106995062</v>
      </c>
    </row>
    <row r="4977" spans="1:4" x14ac:dyDescent="0.35">
      <c r="A4977" s="5" t="str">
        <f t="shared" si="2541"/>
        <v>BRANCH</v>
      </c>
      <c r="B4977" s="3" t="str">
        <f t="shared" ref="B4977:B4978" si="2568">CHOOSE(2, "1395000000552", "Avg. Case size UM")</f>
        <v>Avg. Case size UM</v>
      </c>
      <c r="C4977" s="4" t="str">
        <f>CHOOSE(2, "5461730030", "Jun 26")</f>
        <v>Jun 26</v>
      </c>
      <c r="D4977" s="14">
        <v>0</v>
      </c>
    </row>
    <row r="4978" spans="1:4" x14ac:dyDescent="0.35">
      <c r="A4978" s="5" t="str">
        <f t="shared" si="2541"/>
        <v>BRANCH</v>
      </c>
      <c r="B4978" s="6" t="str">
        <f t="shared" si="2568"/>
        <v>Avg. Case size UM</v>
      </c>
      <c r="C4978" s="4" t="str">
        <f>CHOOSE(2, "5462030031", "Jul 26")</f>
        <v>Jul 26</v>
      </c>
      <c r="D4978" s="14">
        <v>0</v>
      </c>
    </row>
    <row r="4979" spans="1:4" x14ac:dyDescent="0.35">
      <c r="A4979" s="5" t="str">
        <f t="shared" si="2541"/>
        <v>BRANCH</v>
      </c>
      <c r="B4979" s="3" t="str">
        <f t="shared" ref="B4979:B4980" si="2569">CHOOSE(2, "1395000000551", "Avg. Case size Leaders above UM")</f>
        <v>Avg. Case size Leaders above UM</v>
      </c>
      <c r="C4979" s="4" t="str">
        <f>CHOOSE(2, "5461730030", "Jun 26")</f>
        <v>Jun 26</v>
      </c>
      <c r="D4979" s="14">
        <v>0</v>
      </c>
    </row>
    <row r="4980" spans="1:4" x14ac:dyDescent="0.35">
      <c r="A4980" s="5" t="str">
        <f t="shared" si="2541"/>
        <v>BRANCH</v>
      </c>
      <c r="B4980" s="6" t="str">
        <f t="shared" si="2569"/>
        <v>Avg. Case size Leaders above UM</v>
      </c>
      <c r="C4980" s="4" t="str">
        <f>CHOOSE(2, "5462030031", "Jul 26")</f>
        <v>Jul 26</v>
      </c>
      <c r="D4980" s="14">
        <v>0</v>
      </c>
    </row>
    <row r="4981" spans="1:4" x14ac:dyDescent="0.35">
      <c r="A4981" s="5" t="str">
        <f t="shared" si="2541"/>
        <v>BRANCH</v>
      </c>
      <c r="B4981" s="3" t="str">
        <f t="shared" ref="B4981:B4982" si="2570">CHOOSE(2, "1395000000550", "Avg. Case size Top-tier agents")</f>
        <v>Avg. Case size Top-tier agents</v>
      </c>
      <c r="C4981" s="4" t="str">
        <f>CHOOSE(2, "5461730030", "Jun 26")</f>
        <v>Jun 26</v>
      </c>
      <c r="D4981" s="14">
        <v>2582.6779185520359</v>
      </c>
    </row>
    <row r="4982" spans="1:4" x14ac:dyDescent="0.35">
      <c r="A4982" s="5" t="str">
        <f t="shared" si="2541"/>
        <v>BRANCH</v>
      </c>
      <c r="B4982" s="6" t="str">
        <f t="shared" si="2570"/>
        <v>Avg. Case size Top-tier agents</v>
      </c>
      <c r="C4982" s="4" t="str">
        <f>CHOOSE(2, "5462030031", "Jul 26")</f>
        <v>Jul 26</v>
      </c>
      <c r="D4982" s="14">
        <v>2902.1905544933079</v>
      </c>
    </row>
    <row r="4983" spans="1:4" x14ac:dyDescent="0.35">
      <c r="A4983" s="5" t="str">
        <f t="shared" si="2541"/>
        <v>BRANCH</v>
      </c>
      <c r="B4983" s="3" t="str">
        <f t="shared" ref="B4983:B4984" si="2571">CHOOSE(2, "1395000000549", "Avg. Case size Manulife Pro Qualifiers - Total")</f>
        <v>Avg. Case size Manulife Pro Qualifiers - Total</v>
      </c>
      <c r="C4983" s="4" t="str">
        <f>CHOOSE(2, "5461730030", "Jun 26")</f>
        <v>Jun 26</v>
      </c>
      <c r="D4983" s="14">
        <v>3855.5054052233013</v>
      </c>
    </row>
    <row r="4984" spans="1:4" x14ac:dyDescent="0.35">
      <c r="A4984" s="5" t="str">
        <f t="shared" si="2541"/>
        <v>BRANCH</v>
      </c>
      <c r="B4984" s="6" t="str">
        <f t="shared" si="2571"/>
        <v>Avg. Case size Manulife Pro Qualifiers - Total</v>
      </c>
      <c r="C4984" s="4" t="str">
        <f>CHOOSE(2, "5462030031", "Jul 26")</f>
        <v>Jul 26</v>
      </c>
      <c r="D4984" s="14">
        <v>3401.2741013023256</v>
      </c>
    </row>
    <row r="4985" spans="1:4" x14ac:dyDescent="0.35">
      <c r="A4985" s="5" t="str">
        <f t="shared" si="2541"/>
        <v>BRANCH</v>
      </c>
      <c r="B4985" s="3" t="str">
        <f t="shared" ref="B4985:B4986" si="2572">CHOOSE(2, "1395000000548", "Avg. Case size FA or equivalent")</f>
        <v>Avg. Case size FA or equivalent</v>
      </c>
      <c r="C4985" s="4" t="str">
        <f>CHOOSE(2, "5461730030", "Jun 26")</f>
        <v>Jun 26</v>
      </c>
      <c r="D4985" s="14">
        <v>0</v>
      </c>
    </row>
    <row r="4986" spans="1:4" x14ac:dyDescent="0.35">
      <c r="A4986" s="5" t="str">
        <f t="shared" si="2541"/>
        <v>BRANCH</v>
      </c>
      <c r="B4986" s="6" t="str">
        <f t="shared" si="2572"/>
        <v>Avg. Case size FA or equivalent</v>
      </c>
      <c r="C4986" s="4" t="str">
        <f>CHOOSE(2, "5462030031", "Jul 26")</f>
        <v>Jul 26</v>
      </c>
      <c r="D4986" s="14">
        <v>0</v>
      </c>
    </row>
    <row r="4987" spans="1:4" x14ac:dyDescent="0.35">
      <c r="A4987" s="5" t="str">
        <f t="shared" si="2541"/>
        <v>BRANCH</v>
      </c>
      <c r="B4987" s="3" t="str">
        <f t="shared" ref="B4987:B4988" si="2573">CHOOSE(2, "1395000000547", "Avg. Case size pro-rated MDRT agents (&gt;100%)")</f>
        <v>Avg. Case size pro-rated MDRT agents (&gt;100%)</v>
      </c>
      <c r="C4987" s="4" t="str">
        <f>CHOOSE(2, "5461730030", "Jun 26")</f>
        <v>Jun 26</v>
      </c>
      <c r="D4987" s="14">
        <v>3855.5054368932038</v>
      </c>
    </row>
    <row r="4988" spans="1:4" x14ac:dyDescent="0.35">
      <c r="A4988" s="5" t="str">
        <f t="shared" si="2541"/>
        <v>BRANCH</v>
      </c>
      <c r="B4988" s="6" t="str">
        <f t="shared" si="2573"/>
        <v>Avg. Case size pro-rated MDRT agents (&gt;100%)</v>
      </c>
      <c r="C4988" s="4" t="str">
        <f>CHOOSE(2, "5462030031", "Jul 26")</f>
        <v>Jul 26</v>
      </c>
      <c r="D4988" s="14">
        <v>3710.1198455598455</v>
      </c>
    </row>
    <row r="4989" spans="1:4" x14ac:dyDescent="0.35">
      <c r="A4989" s="5" t="str">
        <f t="shared" ref="A4989:A5022" si="2574">CHOOSE(2, "1260000000005", "BRANCH")</f>
        <v>BRANCH</v>
      </c>
      <c r="B4989" s="3" t="str">
        <f t="shared" ref="B4989:B4990" si="2575">CHOOSE(2, "1395000000546", "Avg. Case size pro-rated MDRT agents (70-99%)")</f>
        <v>Avg. Case size pro-rated MDRT agents (70-99%)</v>
      </c>
      <c r="C4989" s="4" t="str">
        <f>CHOOSE(2, "5461730030", "Jun 26")</f>
        <v>Jun 26</v>
      </c>
      <c r="D4989" s="14">
        <v>1522.4620689655173</v>
      </c>
    </row>
    <row r="4990" spans="1:4" x14ac:dyDescent="0.35">
      <c r="A4990" s="5" t="str">
        <f t="shared" si="2574"/>
        <v>BRANCH</v>
      </c>
      <c r="B4990" s="6" t="str">
        <f t="shared" si="2575"/>
        <v>Avg. Case size pro-rated MDRT agents (70-99%)</v>
      </c>
      <c r="C4990" s="4" t="str">
        <f>CHOOSE(2, "5462030031", "Jul 26")</f>
        <v>Jul 26</v>
      </c>
      <c r="D4990" s="14">
        <v>1861.5681188118813</v>
      </c>
    </row>
    <row r="4991" spans="1:4" x14ac:dyDescent="0.35">
      <c r="A4991" s="5" t="str">
        <f t="shared" si="2574"/>
        <v>BRANCH</v>
      </c>
      <c r="B4991" s="3" t="str">
        <f t="shared" ref="B4991:B4992" si="2576">CHOOSE(2, "1395000000545", "Avg. Case size pro-rated MDRT agents (50-69%)")</f>
        <v>Avg. Case size pro-rated MDRT agents (50-69%)</v>
      </c>
      <c r="C4991" s="4" t="str">
        <f>CHOOSE(2, "5461730030", "Jun 26")</f>
        <v>Jun 26</v>
      </c>
      <c r="D4991" s="14">
        <v>1422.5326666666667</v>
      </c>
    </row>
    <row r="4992" spans="1:4" x14ac:dyDescent="0.35">
      <c r="A4992" s="5" t="str">
        <f t="shared" si="2574"/>
        <v>BRANCH</v>
      </c>
      <c r="B4992" s="6" t="str">
        <f t="shared" si="2576"/>
        <v>Avg. Case size pro-rated MDRT agents (50-69%)</v>
      </c>
      <c r="C4992" s="4" t="str">
        <f>CHOOSE(2, "5462030031", "Jul 26")</f>
        <v>Jul 26</v>
      </c>
      <c r="D4992" s="14">
        <v>2263.2285889570553</v>
      </c>
    </row>
    <row r="4993" spans="1:4" x14ac:dyDescent="0.35">
      <c r="A4993" s="5" t="str">
        <f t="shared" si="2574"/>
        <v>BRANCH</v>
      </c>
      <c r="B4993" s="3" t="str">
        <f t="shared" ref="B4993:B4994" si="2577">CHOOSE(2, "1395000000544", "% of 1-Month Active Agents UM")</f>
        <v>% of 1-Month Active Agents UM</v>
      </c>
      <c r="C4993" s="4" t="str">
        <f>CHOOSE(2, "5461730030", "Jun 26")</f>
        <v>Jun 26</v>
      </c>
      <c r="D4993" s="14">
        <v>0.36578947368421055</v>
      </c>
    </row>
    <row r="4994" spans="1:4" x14ac:dyDescent="0.35">
      <c r="A4994" s="5" t="str">
        <f t="shared" si="2574"/>
        <v>BRANCH</v>
      </c>
      <c r="B4994" s="6" t="str">
        <f t="shared" si="2577"/>
        <v>% of 1-Month Active Agents UM</v>
      </c>
      <c r="C4994" s="4" t="str">
        <f>CHOOSE(2, "5462030031", "Jul 26")</f>
        <v>Jul 26</v>
      </c>
      <c r="D4994" s="14">
        <v>0.36658354114713215</v>
      </c>
    </row>
    <row r="4995" spans="1:4" x14ac:dyDescent="0.35">
      <c r="A4995" s="5" t="str">
        <f t="shared" si="2574"/>
        <v>BRANCH</v>
      </c>
      <c r="B4995" s="3" t="str">
        <f t="shared" ref="B4995:B4996" si="2578">CHOOSE(2, "1395000000543", "% of 1-Month Active Agents Leaders above UM")</f>
        <v>% of 1-Month Active Agents Leaders above UM</v>
      </c>
      <c r="C4995" s="4" t="str">
        <f>CHOOSE(2, "5461730030", "Jun 26")</f>
        <v>Jun 26</v>
      </c>
      <c r="D4995" s="14">
        <v>0.41333333333333333</v>
      </c>
    </row>
    <row r="4996" spans="1:4" x14ac:dyDescent="0.35">
      <c r="A4996" s="5" t="str">
        <f t="shared" si="2574"/>
        <v>BRANCH</v>
      </c>
      <c r="B4996" s="6" t="str">
        <f t="shared" si="2578"/>
        <v>% of 1-Month Active Agents Leaders above UM</v>
      </c>
      <c r="C4996" s="4" t="str">
        <f>CHOOSE(2, "5462030031", "Jul 26")</f>
        <v>Jul 26</v>
      </c>
      <c r="D4996" s="14">
        <v>0.45276872964169379</v>
      </c>
    </row>
    <row r="4997" spans="1:4" x14ac:dyDescent="0.35">
      <c r="A4997" s="5" t="str">
        <f t="shared" si="2574"/>
        <v>BRANCH</v>
      </c>
      <c r="B4997" s="3" t="str">
        <f t="shared" ref="B4997:B4998" si="2579">CHOOSE(2, "1395000000542", "% of 1-Month Active Agents Top-tier agents")</f>
        <v>% of 1-Month Active Agents Top-tier agents</v>
      </c>
      <c r="C4997" s="4" t="str">
        <f>CHOOSE(2, "5461730030", "Jun 26")</f>
        <v>Jun 26</v>
      </c>
      <c r="D4997" s="14">
        <v>0.67808219178082196</v>
      </c>
    </row>
    <row r="4998" spans="1:4" x14ac:dyDescent="0.35">
      <c r="A4998" s="5" t="str">
        <f t="shared" si="2574"/>
        <v>BRANCH</v>
      </c>
      <c r="B4998" s="6" t="str">
        <f t="shared" si="2579"/>
        <v>% of 1-Month Active Agents Top-tier agents</v>
      </c>
      <c r="C4998" s="4" t="str">
        <f>CHOOSE(2, "5462030031", "Jul 26")</f>
        <v>Jul 26</v>
      </c>
      <c r="D4998" s="14">
        <v>0.73376623376623373</v>
      </c>
    </row>
    <row r="4999" spans="1:4" x14ac:dyDescent="0.35">
      <c r="A4999" s="5" t="str">
        <f t="shared" si="2574"/>
        <v>BRANCH</v>
      </c>
      <c r="B4999" s="3" t="str">
        <f t="shared" ref="B4999:B5000" si="2580">CHOOSE(2, "1395000000541", "% of 1-Month Active Agents FA or equivalent")</f>
        <v>% of 1-Month Active Agents FA or equivalent</v>
      </c>
      <c r="C4999" s="4" t="str">
        <f>CHOOSE(2, "5461730030", "Jun 26")</f>
        <v>Jun 26</v>
      </c>
      <c r="D4999" s="14">
        <v>0.20287743580404297</v>
      </c>
    </row>
    <row r="5000" spans="1:4" x14ac:dyDescent="0.35">
      <c r="A5000" s="5" t="str">
        <f t="shared" si="2574"/>
        <v>BRANCH</v>
      </c>
      <c r="B5000" s="6" t="str">
        <f t="shared" si="2580"/>
        <v>% of 1-Month Active Agents FA or equivalent</v>
      </c>
      <c r="C5000" s="4" t="str">
        <f>CHOOSE(2, "5462030031", "Jul 26")</f>
        <v>Jul 26</v>
      </c>
      <c r="D5000" s="14">
        <v>0.16250683184550921</v>
      </c>
    </row>
    <row r="5001" spans="1:4" x14ac:dyDescent="0.35">
      <c r="A5001" s="5" t="str">
        <f t="shared" si="2574"/>
        <v>BRANCH</v>
      </c>
      <c r="B5001" s="3" t="str">
        <f t="shared" ref="B5001:B5002" si="2581">CHOOSE(2, "1395000000540", "% of 1-Month Active Agents pro-rated MDRT agents (&gt;100%)")</f>
        <v>% of 1-Month Active Agents pro-rated MDRT agents (&gt;100%)</v>
      </c>
      <c r="C5001" s="4" t="str">
        <f>CHOOSE(2, "5461730030", "Jun 26")</f>
        <v>Jun 26</v>
      </c>
      <c r="D5001" s="14">
        <v>0.70833333333333337</v>
      </c>
    </row>
    <row r="5002" spans="1:4" x14ac:dyDescent="0.35">
      <c r="A5002" s="5" t="str">
        <f t="shared" si="2574"/>
        <v>BRANCH</v>
      </c>
      <c r="B5002" s="6" t="str">
        <f t="shared" si="2581"/>
        <v>% of 1-Month Active Agents pro-rated MDRT agents (&gt;100%)</v>
      </c>
      <c r="C5002" s="4" t="str">
        <f>CHOOSE(2, "5462030031", "Jul 26")</f>
        <v>Jul 26</v>
      </c>
      <c r="D5002" s="14">
        <v>0.7142857142857143</v>
      </c>
    </row>
    <row r="5003" spans="1:4" x14ac:dyDescent="0.35">
      <c r="A5003" s="5" t="str">
        <f t="shared" si="2574"/>
        <v>BRANCH</v>
      </c>
      <c r="B5003" s="3" t="str">
        <f t="shared" ref="B5003:B5004" si="2582">CHOOSE(2, "1395000000539", "% of 1-Month Active Agents pro-rated MDRT agents (70-99%)")</f>
        <v>% of 1-Month Active Agents pro-rated MDRT agents (70-99%)</v>
      </c>
      <c r="C5003" s="4" t="str">
        <f>CHOOSE(2, "5461730030", "Jun 26")</f>
        <v>Jun 26</v>
      </c>
      <c r="D5003" s="14">
        <v>0.70588235294117652</v>
      </c>
    </row>
    <row r="5004" spans="1:4" x14ac:dyDescent="0.35">
      <c r="A5004" s="5" t="str">
        <f t="shared" si="2574"/>
        <v>BRANCH</v>
      </c>
      <c r="B5004" s="6" t="str">
        <f t="shared" si="2582"/>
        <v>% of 1-Month Active Agents pro-rated MDRT agents (70-99%)</v>
      </c>
      <c r="C5004" s="4" t="str">
        <f>CHOOSE(2, "5462030031", "Jul 26")</f>
        <v>Jul 26</v>
      </c>
      <c r="D5004" s="14">
        <v>0.69696969696969702</v>
      </c>
    </row>
    <row r="5005" spans="1:4" x14ac:dyDescent="0.35">
      <c r="A5005" s="5" t="str">
        <f t="shared" si="2574"/>
        <v>BRANCH</v>
      </c>
      <c r="B5005" s="3" t="str">
        <f t="shared" ref="B5005:B5006" si="2583">CHOOSE(2, "1395000000538", "% of 1-Month Active Agents pro-rated MDRT agents (50-69%)")</f>
        <v>% of 1-Month Active Agents pro-rated MDRT agents (50-69%)</v>
      </c>
      <c r="C5005" s="4" t="str">
        <f>CHOOSE(2, "5461730030", "Jun 26")</f>
        <v>Jun 26</v>
      </c>
      <c r="D5005" s="14">
        <v>0.6</v>
      </c>
    </row>
    <row r="5006" spans="1:4" x14ac:dyDescent="0.35">
      <c r="A5006" s="5" t="str">
        <f t="shared" si="2574"/>
        <v>BRANCH</v>
      </c>
      <c r="B5006" s="6" t="str">
        <f t="shared" si="2583"/>
        <v>% of 1-Month Active Agents pro-rated MDRT agents (50-69%)</v>
      </c>
      <c r="C5006" s="4" t="str">
        <f>CHOOSE(2, "5462030031", "Jul 26")</f>
        <v>Jul 26</v>
      </c>
      <c r="D5006" s="14">
        <v>0.78431372549019607</v>
      </c>
    </row>
    <row r="5007" spans="1:4" x14ac:dyDescent="0.35">
      <c r="A5007" s="5" t="str">
        <f t="shared" si="2574"/>
        <v>BRANCH</v>
      </c>
      <c r="B5007" s="3" t="str">
        <f t="shared" ref="B5007:B5008" si="2584">CHOOSE(2, "1395000000537", "Avg. Case count per 1-Month Active Agent UM")</f>
        <v>Avg. Case count per 1-Month Active Agent UM</v>
      </c>
      <c r="C5007" s="4" t="str">
        <f>CHOOSE(2, "5461730030", "Jun 26")</f>
        <v>Jun 26</v>
      </c>
      <c r="D5007" s="14">
        <v>1.3057553956834533</v>
      </c>
    </row>
    <row r="5008" spans="1:4" x14ac:dyDescent="0.35">
      <c r="A5008" s="5" t="str">
        <f t="shared" si="2574"/>
        <v>BRANCH</v>
      </c>
      <c r="B5008" s="6" t="str">
        <f t="shared" si="2584"/>
        <v>Avg. Case count per 1-Month Active Agent UM</v>
      </c>
      <c r="C5008" s="4" t="str">
        <f>CHOOSE(2, "5462030031", "Jul 26")</f>
        <v>Jul 26</v>
      </c>
      <c r="D5008" s="14">
        <v>1.3945578231292517</v>
      </c>
    </row>
    <row r="5009" spans="1:4" x14ac:dyDescent="0.35">
      <c r="A5009" s="5" t="str">
        <f t="shared" si="2574"/>
        <v>BRANCH</v>
      </c>
      <c r="B5009" s="3" t="str">
        <f t="shared" ref="B5009:B5010" si="2585">CHOOSE(2, "1395000000536", "Avg. Case count per 1-Month Active Agent Leaders above UM")</f>
        <v>Avg. Case count per 1-Month Active Agent Leaders above UM</v>
      </c>
      <c r="C5009" s="4" t="str">
        <f>CHOOSE(2, "5461730030", "Jun 26")</f>
        <v>Jun 26</v>
      </c>
      <c r="D5009" s="14">
        <v>2.028225806451613</v>
      </c>
    </row>
    <row r="5010" spans="1:4" x14ac:dyDescent="0.35">
      <c r="A5010" s="5" t="str">
        <f t="shared" si="2574"/>
        <v>BRANCH</v>
      </c>
      <c r="B5010" s="6" t="str">
        <f t="shared" si="2585"/>
        <v>Avg. Case count per 1-Month Active Agent Leaders above UM</v>
      </c>
      <c r="C5010" s="4" t="str">
        <f>CHOOSE(2, "5462030031", "Jul 26")</f>
        <v>Jul 26</v>
      </c>
      <c r="D5010" s="14">
        <v>1.8812949640287771</v>
      </c>
    </row>
    <row r="5011" spans="1:4" x14ac:dyDescent="0.35">
      <c r="A5011" s="5" t="str">
        <f t="shared" si="2574"/>
        <v>BRANCH</v>
      </c>
      <c r="B5011" s="3" t="str">
        <f t="shared" ref="B5011:B5012" si="2586">CHOOSE(2, "1395000000535", "Avg. Case count per 1-Month Active Agent Top-tier agents")</f>
        <v>Avg. Case count per 1-Month Active Agent Top-tier agents</v>
      </c>
      <c r="C5011" s="4" t="str">
        <f>CHOOSE(2, "5461730030", "Jun 26")</f>
        <v>Jun 26</v>
      </c>
      <c r="D5011" s="14">
        <v>2.2323232323232323</v>
      </c>
    </row>
    <row r="5012" spans="1:4" x14ac:dyDescent="0.35">
      <c r="A5012" s="5" t="str">
        <f t="shared" si="2574"/>
        <v>BRANCH</v>
      </c>
      <c r="B5012" s="6" t="str">
        <f t="shared" si="2586"/>
        <v>Avg. Case count per 1-Month Active Agent Top-tier agents</v>
      </c>
      <c r="C5012" s="4" t="str">
        <f>CHOOSE(2, "5462030031", "Jul 26")</f>
        <v>Jul 26</v>
      </c>
      <c r="D5012" s="14">
        <v>2.3141592920353982</v>
      </c>
    </row>
    <row r="5013" spans="1:4" x14ac:dyDescent="0.35">
      <c r="A5013" s="5" t="str">
        <f t="shared" si="2574"/>
        <v>BRANCH</v>
      </c>
      <c r="B5013" s="3" t="str">
        <f t="shared" ref="B5013:B5014" si="2587">CHOOSE(2, "1395000000534", "Avg. Case count per 1-Month Manulife Pro Qualifiers - Total")</f>
        <v>Avg. Case count per 1-Month Manulife Pro Qualifiers - Total</v>
      </c>
      <c r="C5013" s="4" t="str">
        <f>CHOOSE(2, "5461730030", "Jun 26")</f>
        <v>Jun 26</v>
      </c>
      <c r="D5013" s="14">
        <v>2.0196078431372548</v>
      </c>
    </row>
    <row r="5014" spans="1:4" x14ac:dyDescent="0.35">
      <c r="A5014" s="5" t="str">
        <f t="shared" si="2574"/>
        <v>BRANCH</v>
      </c>
      <c r="B5014" s="6" t="str">
        <f t="shared" si="2587"/>
        <v>Avg. Case count per 1-Month Manulife Pro Qualifiers - Total</v>
      </c>
      <c r="C5014" s="4" t="str">
        <f>CHOOSE(2, "5462030031", "Jul 26")</f>
        <v>Jul 26</v>
      </c>
      <c r="D5014" s="14">
        <v>2.5083333333333333</v>
      </c>
    </row>
    <row r="5015" spans="1:4" x14ac:dyDescent="0.35">
      <c r="A5015" s="5" t="str">
        <f t="shared" si="2574"/>
        <v>BRANCH</v>
      </c>
      <c r="B5015" s="3" t="str">
        <f t="shared" ref="B5015:B5016" si="2588">CHOOSE(2, "1395000000533", "Avg. Case count per 1-Month Active Agent FA or equivalent")</f>
        <v>Avg. Case count per 1-Month Active Agent FA or equivalent</v>
      </c>
      <c r="C5015" s="4" t="str">
        <f>CHOOSE(2, "5461730030", "Jun 26")</f>
        <v>Jun 26</v>
      </c>
      <c r="D5015" s="14">
        <v>1.069569120287253</v>
      </c>
    </row>
    <row r="5016" spans="1:4" x14ac:dyDescent="0.35">
      <c r="A5016" s="5" t="str">
        <f t="shared" si="2574"/>
        <v>BRANCH</v>
      </c>
      <c r="B5016" s="6" t="str">
        <f t="shared" si="2588"/>
        <v>Avg. Case count per 1-Month Active Agent FA or equivalent</v>
      </c>
      <c r="C5016" s="4" t="str">
        <f>CHOOSE(2, "5462030031", "Jul 26")</f>
        <v>Jul 26</v>
      </c>
      <c r="D5016" s="14">
        <v>1.1109865470852018</v>
      </c>
    </row>
    <row r="5017" spans="1:4" x14ac:dyDescent="0.35">
      <c r="A5017" s="5" t="str">
        <f t="shared" si="2574"/>
        <v>BRANCH</v>
      </c>
      <c r="B5017" s="3" t="str">
        <f t="shared" ref="B5017:B5018" si="2589">CHOOSE(2, "1395000000532", "Avg. Case count per 1-Month pro-rated MDRT agents (&gt;100%)")</f>
        <v>Avg. Case count per 1-Month pro-rated MDRT agents (&gt;100%)</v>
      </c>
      <c r="C5017" s="4" t="str">
        <f>CHOOSE(2, "5461730030", "Jun 26")</f>
        <v>Jun 26</v>
      </c>
      <c r="D5017" s="14">
        <v>2.0196078431372548</v>
      </c>
    </row>
    <row r="5018" spans="1:4" x14ac:dyDescent="0.35">
      <c r="A5018" s="5" t="str">
        <f t="shared" si="2574"/>
        <v>BRANCH</v>
      </c>
      <c r="B5018" s="6" t="str">
        <f t="shared" si="2589"/>
        <v>Avg. Case count per 1-Month pro-rated MDRT agents (&gt;100%)</v>
      </c>
      <c r="C5018" s="4" t="str">
        <f>CHOOSE(2, "5462030031", "Jul 26")</f>
        <v>Jul 26</v>
      </c>
      <c r="D5018" s="14">
        <v>2.59</v>
      </c>
    </row>
    <row r="5019" spans="1:4" x14ac:dyDescent="0.35">
      <c r="A5019" s="5" t="str">
        <f t="shared" si="2574"/>
        <v>BRANCH</v>
      </c>
      <c r="B5019" s="3" t="str">
        <f t="shared" ref="B5019:B5020" si="2590">CHOOSE(2, "1395000000531", "Avg. Case count per 1-Month pro-rated MDRT agents (70-99%)")</f>
        <v>Avg. Case count per 1-Month pro-rated MDRT agents (70-99%)</v>
      </c>
      <c r="C5019" s="4" t="str">
        <f>CHOOSE(2, "5461730030", "Jun 26")</f>
        <v>Jun 26</v>
      </c>
      <c r="D5019" s="14">
        <v>2.4166666666666665</v>
      </c>
    </row>
    <row r="5020" spans="1:4" x14ac:dyDescent="0.35">
      <c r="A5020" s="5" t="str">
        <f t="shared" si="2574"/>
        <v>BRANCH</v>
      </c>
      <c r="B5020" s="6" t="str">
        <f t="shared" si="2590"/>
        <v>Avg. Case count per 1-Month pro-rated MDRT agents (70-99%)</v>
      </c>
      <c r="C5020" s="4" t="str">
        <f>CHOOSE(2, "5462030031", "Jul 26")</f>
        <v>Jul 26</v>
      </c>
      <c r="D5020" s="14">
        <v>2.1956521739130435</v>
      </c>
    </row>
    <row r="5021" spans="1:4" x14ac:dyDescent="0.35">
      <c r="A5021" s="5" t="str">
        <f t="shared" si="2574"/>
        <v>BRANCH</v>
      </c>
      <c r="B5021" s="3" t="str">
        <f t="shared" ref="B5021:B5022" si="2591">CHOOSE(2, "1395000000530", "Avg. Case count per 1-Month pro-rated MDRT agents (50-69%)")</f>
        <v>Avg. Case count per 1-Month pro-rated MDRT agents (50-69%)</v>
      </c>
      <c r="C5021" s="4" t="str">
        <f>CHOOSE(2, "5461730030", "Jun 26")</f>
        <v>Jun 26</v>
      </c>
      <c r="D5021" s="14">
        <v>2.5</v>
      </c>
    </row>
    <row r="5022" spans="1:4" x14ac:dyDescent="0.35">
      <c r="A5022" s="6" t="str">
        <f t="shared" si="2574"/>
        <v>BRANCH</v>
      </c>
      <c r="B5022" s="6" t="str">
        <f t="shared" si="2591"/>
        <v>Avg. Case count per 1-Month pro-rated MDRT agents (50-69%)</v>
      </c>
      <c r="C5022" s="4" t="str">
        <f>CHOOSE(2, "5462030031", "Jul 26")</f>
        <v>Jul 26</v>
      </c>
      <c r="D5022" s="14">
        <v>2.0375000000000001</v>
      </c>
    </row>
    <row r="5023" spans="1:4" x14ac:dyDescent="0.35">
      <c r="A5023" s="3" t="str">
        <f t="shared" ref="A5023:A5086" si="2592">CHOOSE(2, "1260000000006", "GA")</f>
        <v>GA</v>
      </c>
      <c r="B5023" s="3" t="str">
        <f t="shared" ref="B5023:B5024" si="2593">CHOOSE(2, "1395000000741", "Submitted APE")</f>
        <v>Submitted APE</v>
      </c>
      <c r="C5023" s="4" t="str">
        <f>CHOOSE(2, "5461730030", "Jun 26")</f>
        <v>Jun 26</v>
      </c>
      <c r="D5023" s="14">
        <v>2.79121248E-4</v>
      </c>
    </row>
    <row r="5024" spans="1:4" x14ac:dyDescent="0.35">
      <c r="A5024" s="5" t="str">
        <f t="shared" si="2592"/>
        <v>GA</v>
      </c>
      <c r="B5024" s="6" t="str">
        <f t="shared" si="2593"/>
        <v>Submitted APE</v>
      </c>
      <c r="C5024" s="4" t="str">
        <f>CHOOSE(2, "5462030031", "Jul 26")</f>
        <v>Jul 26</v>
      </c>
      <c r="D5024" s="14">
        <v>3.6049655700000002E-4</v>
      </c>
    </row>
    <row r="5025" spans="1:4" x14ac:dyDescent="0.35">
      <c r="A5025" s="5" t="str">
        <f t="shared" si="2592"/>
        <v>GA</v>
      </c>
      <c r="B5025" s="3" t="str">
        <f t="shared" ref="B5025:B5026" si="2594">CHOOSE(2, "1395000000740", "# of 1-Month Active Agents")</f>
        <v># of 1-Month Active Agents</v>
      </c>
      <c r="C5025" s="4" t="str">
        <f>CHOOSE(2, "5461730030", "Jun 26")</f>
        <v>Jun 26</v>
      </c>
      <c r="D5025" s="14">
        <v>1786</v>
      </c>
    </row>
    <row r="5026" spans="1:4" x14ac:dyDescent="0.35">
      <c r="A5026" s="5" t="str">
        <f t="shared" si="2592"/>
        <v>GA</v>
      </c>
      <c r="B5026" s="6" t="str">
        <f t="shared" si="2594"/>
        <v># of 1-Month Active Agents</v>
      </c>
      <c r="C5026" s="4" t="str">
        <f>CHOOSE(2, "5462030031", "Jul 26")</f>
        <v>Jul 26</v>
      </c>
      <c r="D5026" s="14">
        <v>1817</v>
      </c>
    </row>
    <row r="5027" spans="1:4" x14ac:dyDescent="0.35">
      <c r="A5027" s="5" t="str">
        <f t="shared" si="2592"/>
        <v>GA</v>
      </c>
      <c r="B5027" s="3" t="str">
        <f t="shared" ref="B5027:B5028" si="2595">CHOOSE(2, "1395000000739", "# of 1-Month Active Agents in 0-1M")</f>
        <v># of 1-Month Active Agents in 0-1M</v>
      </c>
      <c r="C5027" s="4" t="str">
        <f>CHOOSE(2, "5461730030", "Jun 26")</f>
        <v>Jun 26</v>
      </c>
      <c r="D5027" s="14">
        <v>199</v>
      </c>
    </row>
    <row r="5028" spans="1:4" x14ac:dyDescent="0.35">
      <c r="A5028" s="5" t="str">
        <f t="shared" si="2592"/>
        <v>GA</v>
      </c>
      <c r="B5028" s="6" t="str">
        <f t="shared" si="2595"/>
        <v># of 1-Month Active Agents in 0-1M</v>
      </c>
      <c r="C5028" s="4" t="str">
        <f>CHOOSE(2, "5462030031", "Jul 26")</f>
        <v>Jul 26</v>
      </c>
      <c r="D5028" s="14">
        <v>175</v>
      </c>
    </row>
    <row r="5029" spans="1:4" x14ac:dyDescent="0.35">
      <c r="A5029" s="5" t="str">
        <f t="shared" si="2592"/>
        <v>GA</v>
      </c>
      <c r="B5029" s="3" t="str">
        <f t="shared" ref="B5029:B5030" si="2596">CHOOSE(2, "1395000000738", "# of 1-Month Active Agents in 2-3M")</f>
        <v># of 1-Month Active Agents in 2-3M</v>
      </c>
      <c r="C5029" s="4" t="str">
        <f>CHOOSE(2, "5461730030", "Jun 26")</f>
        <v>Jun 26</v>
      </c>
      <c r="D5029" s="14">
        <v>263</v>
      </c>
    </row>
    <row r="5030" spans="1:4" x14ac:dyDescent="0.35">
      <c r="A5030" s="5" t="str">
        <f t="shared" si="2592"/>
        <v>GA</v>
      </c>
      <c r="B5030" s="6" t="str">
        <f t="shared" si="2596"/>
        <v># of 1-Month Active Agents in 2-3M</v>
      </c>
      <c r="C5030" s="4" t="str">
        <f>CHOOSE(2, "5462030031", "Jul 26")</f>
        <v>Jul 26</v>
      </c>
      <c r="D5030" s="14">
        <v>274</v>
      </c>
    </row>
    <row r="5031" spans="1:4" x14ac:dyDescent="0.35">
      <c r="A5031" s="5" t="str">
        <f t="shared" si="2592"/>
        <v>GA</v>
      </c>
      <c r="B5031" s="3" t="str">
        <f t="shared" ref="B5031:B5032" si="2597">CHOOSE(2, "1395000000737", "# of 1-Month Active Agents in 4-12M")</f>
        <v># of 1-Month Active Agents in 4-12M</v>
      </c>
      <c r="C5031" s="4" t="str">
        <f>CHOOSE(2, "5461730030", "Jun 26")</f>
        <v>Jun 26</v>
      </c>
      <c r="D5031" s="14">
        <v>535</v>
      </c>
    </row>
    <row r="5032" spans="1:4" x14ac:dyDescent="0.35">
      <c r="A5032" s="5" t="str">
        <f t="shared" si="2592"/>
        <v>GA</v>
      </c>
      <c r="B5032" s="6" t="str">
        <f t="shared" si="2597"/>
        <v># of 1-Month Active Agents in 4-12M</v>
      </c>
      <c r="C5032" s="4" t="str">
        <f>CHOOSE(2, "5462030031", "Jul 26")</f>
        <v>Jul 26</v>
      </c>
      <c r="D5032" s="14">
        <v>546</v>
      </c>
    </row>
    <row r="5033" spans="1:4" x14ac:dyDescent="0.35">
      <c r="A5033" s="5" t="str">
        <f t="shared" si="2592"/>
        <v>GA</v>
      </c>
      <c r="B5033" s="3" t="str">
        <f t="shared" ref="B5033:B5034" si="2598">CHOOSE(2, "1395000000736", "# of 1-Month Active Agents 13+M")</f>
        <v># of 1-Month Active Agents 13+M</v>
      </c>
      <c r="C5033" s="4" t="str">
        <f>CHOOSE(2, "5461730030", "Jun 26")</f>
        <v>Jun 26</v>
      </c>
      <c r="D5033" s="14">
        <v>789</v>
      </c>
    </row>
    <row r="5034" spans="1:4" x14ac:dyDescent="0.35">
      <c r="A5034" s="5" t="str">
        <f t="shared" si="2592"/>
        <v>GA</v>
      </c>
      <c r="B5034" s="6" t="str">
        <f t="shared" si="2598"/>
        <v># of 1-Month Active Agents 13+M</v>
      </c>
      <c r="C5034" s="4" t="str">
        <f>CHOOSE(2, "5462030031", "Jul 26")</f>
        <v>Jul 26</v>
      </c>
      <c r="D5034" s="14">
        <v>822</v>
      </c>
    </row>
    <row r="5035" spans="1:4" x14ac:dyDescent="0.35">
      <c r="A5035" s="5" t="str">
        <f t="shared" si="2592"/>
        <v>GA</v>
      </c>
      <c r="B5035" s="3" t="str">
        <f t="shared" ref="B5035:B5036" si="2599">CHOOSE(2, "1395000000735", "# of 1-Month Active Agents in FA or equivalent")</f>
        <v># of 1-Month Active Agents in FA or equivalent</v>
      </c>
      <c r="C5035" s="4" t="str">
        <f>CHOOSE(2, "5461730030", "Jun 26")</f>
        <v>Jun 26</v>
      </c>
      <c r="D5035" s="14">
        <v>1316</v>
      </c>
    </row>
    <row r="5036" spans="1:4" x14ac:dyDescent="0.35">
      <c r="A5036" s="5" t="str">
        <f t="shared" si="2592"/>
        <v>GA</v>
      </c>
      <c r="B5036" s="6" t="str">
        <f t="shared" si="2599"/>
        <v># of 1-Month Active Agents in FA or equivalent</v>
      </c>
      <c r="C5036" s="4" t="str">
        <f>CHOOSE(2, "5462030031", "Jul 26")</f>
        <v>Jul 26</v>
      </c>
      <c r="D5036" s="14">
        <v>1208</v>
      </c>
    </row>
    <row r="5037" spans="1:4" x14ac:dyDescent="0.35">
      <c r="A5037" s="5" t="str">
        <f t="shared" si="2592"/>
        <v>GA</v>
      </c>
      <c r="B5037" s="3" t="str">
        <f t="shared" ref="B5037:B5038" si="2600">CHOOSE(2, "1395000000734", "# of 1-Month Active Agents in UM")</f>
        <v># of 1-Month Active Agents in UM</v>
      </c>
      <c r="C5037" s="4" t="str">
        <f>CHOOSE(2, "5461730030", "Jun 26")</f>
        <v>Jun 26</v>
      </c>
      <c r="D5037" s="14">
        <v>242</v>
      </c>
    </row>
    <row r="5038" spans="1:4" x14ac:dyDescent="0.35">
      <c r="A5038" s="5" t="str">
        <f t="shared" si="2592"/>
        <v>GA</v>
      </c>
      <c r="B5038" s="6" t="str">
        <f t="shared" si="2600"/>
        <v># of 1-Month Active Agents in UM</v>
      </c>
      <c r="C5038" s="4" t="str">
        <f>CHOOSE(2, "5462030031", "Jul 26")</f>
        <v>Jul 26</v>
      </c>
      <c r="D5038" s="14">
        <v>330</v>
      </c>
    </row>
    <row r="5039" spans="1:4" x14ac:dyDescent="0.35">
      <c r="A5039" s="5" t="str">
        <f t="shared" si="2592"/>
        <v>GA</v>
      </c>
      <c r="B5039" s="3" t="str">
        <f t="shared" ref="B5039:B5040" si="2601">CHOOSE(2, "1395000000733", "# of 1-Month Active Agents in Leaders above UM")</f>
        <v># of 1-Month Active Agents in Leaders above UM</v>
      </c>
      <c r="C5039" s="4" t="str">
        <f>CHOOSE(2, "5461730030", "Jun 26")</f>
        <v>Jun 26</v>
      </c>
      <c r="D5039" s="14">
        <v>228</v>
      </c>
    </row>
    <row r="5040" spans="1:4" x14ac:dyDescent="0.35">
      <c r="A5040" s="5" t="str">
        <f t="shared" si="2592"/>
        <v>GA</v>
      </c>
      <c r="B5040" s="6" t="str">
        <f t="shared" si="2601"/>
        <v># of 1-Month Active Agents in Leaders above UM</v>
      </c>
      <c r="C5040" s="4" t="str">
        <f>CHOOSE(2, "5462030031", "Jul 26")</f>
        <v>Jul 26</v>
      </c>
      <c r="D5040" s="14">
        <v>279</v>
      </c>
    </row>
    <row r="5041" spans="1:4" x14ac:dyDescent="0.35">
      <c r="A5041" s="5" t="str">
        <f t="shared" si="2592"/>
        <v>GA</v>
      </c>
      <c r="B5041" s="3" t="str">
        <f t="shared" ref="B5041:B5042" si="2602">CHOOSE(2, "1395000000732", "# of 1-Month Active Top-tier Agents")</f>
        <v># of 1-Month Active Top-tier Agents</v>
      </c>
      <c r="C5041" s="4" t="str">
        <f>CHOOSE(2, "5461730030", "Jun 26")</f>
        <v>Jun 26</v>
      </c>
      <c r="D5041" s="14">
        <v>184</v>
      </c>
    </row>
    <row r="5042" spans="1:4" x14ac:dyDescent="0.35">
      <c r="A5042" s="5" t="str">
        <f t="shared" si="2592"/>
        <v>GA</v>
      </c>
      <c r="B5042" s="6" t="str">
        <f t="shared" si="2602"/>
        <v># of 1-Month Active Top-tier Agents</v>
      </c>
      <c r="C5042" s="4" t="str">
        <f>CHOOSE(2, "5462030031", "Jul 26")</f>
        <v>Jul 26</v>
      </c>
      <c r="D5042" s="14">
        <v>208</v>
      </c>
    </row>
    <row r="5043" spans="1:4" x14ac:dyDescent="0.35">
      <c r="A5043" s="5" t="str">
        <f t="shared" si="2592"/>
        <v>GA</v>
      </c>
      <c r="B5043" s="3" t="str">
        <f t="shared" ref="B5043:B5044" si="2603">CHOOSE(2, "1395000000731", "# of 1-Month Active Agents in pro-rated MDRT agents (&gt;100%)")</f>
        <v># of 1-Month Active Agents in pro-rated MDRT agents (&gt;100%)</v>
      </c>
      <c r="C5043" s="4" t="str">
        <f>CHOOSE(2, "5461730030", "Jun 26")</f>
        <v>Jun 26</v>
      </c>
      <c r="D5043" s="14">
        <v>60</v>
      </c>
    </row>
    <row r="5044" spans="1:4" x14ac:dyDescent="0.35">
      <c r="A5044" s="5" t="str">
        <f t="shared" si="2592"/>
        <v>GA</v>
      </c>
      <c r="B5044" s="6" t="str">
        <f t="shared" si="2603"/>
        <v># of 1-Month Active Agents in pro-rated MDRT agents (&gt;100%)</v>
      </c>
      <c r="C5044" s="4" t="str">
        <f>CHOOSE(2, "5462030031", "Jul 26")</f>
        <v>Jul 26</v>
      </c>
      <c r="D5044" s="14">
        <v>59</v>
      </c>
    </row>
    <row r="5045" spans="1:4" x14ac:dyDescent="0.35">
      <c r="A5045" s="5" t="str">
        <f t="shared" si="2592"/>
        <v>GA</v>
      </c>
      <c r="B5045" s="3" t="str">
        <f t="shared" ref="B5045:B5046" si="2604">CHOOSE(2, "1395000000730", "# of 1-Month Active Agents in pro-rated MDRT agents (70-99%)")</f>
        <v># of 1-Month Active Agents in pro-rated MDRT agents (70-99%)</v>
      </c>
      <c r="C5045" s="4" t="str">
        <f>CHOOSE(2, "5461730030", "Jun 26")</f>
        <v>Jun 26</v>
      </c>
      <c r="D5045" s="14">
        <v>49</v>
      </c>
    </row>
    <row r="5046" spans="1:4" x14ac:dyDescent="0.35">
      <c r="A5046" s="5" t="str">
        <f t="shared" si="2592"/>
        <v>GA</v>
      </c>
      <c r="B5046" s="6" t="str">
        <f t="shared" si="2604"/>
        <v># of 1-Month Active Agents in pro-rated MDRT agents (70-99%)</v>
      </c>
      <c r="C5046" s="4" t="str">
        <f>CHOOSE(2, "5462030031", "Jul 26")</f>
        <v>Jul 26</v>
      </c>
      <c r="D5046" s="14">
        <v>63</v>
      </c>
    </row>
    <row r="5047" spans="1:4" x14ac:dyDescent="0.35">
      <c r="A5047" s="5" t="str">
        <f t="shared" si="2592"/>
        <v>GA</v>
      </c>
      <c r="B5047" s="3" t="str">
        <f t="shared" ref="B5047:B5048" si="2605">CHOOSE(2, "1395000000729", "# of 1-Month Active Agents in pro-rated MDRT agents (50-69%)")</f>
        <v># of 1-Month Active Agents in pro-rated MDRT agents (50-69%)</v>
      </c>
      <c r="C5047" s="4" t="str">
        <f>CHOOSE(2, "5461730030", "Jun 26")</f>
        <v>Jun 26</v>
      </c>
      <c r="D5047" s="14">
        <v>75</v>
      </c>
    </row>
    <row r="5048" spans="1:4" x14ac:dyDescent="0.35">
      <c r="A5048" s="5" t="str">
        <f t="shared" si="2592"/>
        <v>GA</v>
      </c>
      <c r="B5048" s="6" t="str">
        <f t="shared" si="2605"/>
        <v># of 1-Month Active Agents in pro-rated MDRT agents (50-69%)</v>
      </c>
      <c r="C5048" s="4" t="str">
        <f>CHOOSE(2, "5462030031", "Jul 26")</f>
        <v>Jul 26</v>
      </c>
      <c r="D5048" s="14">
        <v>86</v>
      </c>
    </row>
    <row r="5049" spans="1:4" x14ac:dyDescent="0.35">
      <c r="A5049" s="5" t="str">
        <f t="shared" si="2592"/>
        <v>GA</v>
      </c>
      <c r="B5049" s="3" t="str">
        <f t="shared" ref="B5049:B5050" si="2606">CHOOSE(2, "1395000000728", "# of 1-Month Active Agents in Manulife Pro Qualifiers -Total")</f>
        <v># of 1-Month Active Agents in Manulife Pro Qualifiers -Total</v>
      </c>
      <c r="C5049" s="4" t="str">
        <f>CHOOSE(2, "5461730030", "Jun 26")</f>
        <v>Jun 26</v>
      </c>
      <c r="D5049" s="14">
        <v>60</v>
      </c>
    </row>
    <row r="5050" spans="1:4" x14ac:dyDescent="0.35">
      <c r="A5050" s="5" t="str">
        <f t="shared" si="2592"/>
        <v>GA</v>
      </c>
      <c r="B5050" s="6" t="str">
        <f t="shared" si="2606"/>
        <v># of 1-Month Active Agents in Manulife Pro Qualifiers -Total</v>
      </c>
      <c r="C5050" s="4" t="str">
        <f>CHOOSE(2, "5462030031", "Jul 26")</f>
        <v>Jul 26</v>
      </c>
      <c r="D5050" s="14">
        <v>76</v>
      </c>
    </row>
    <row r="5051" spans="1:4" x14ac:dyDescent="0.35">
      <c r="A5051" s="5" t="str">
        <f t="shared" si="2592"/>
        <v>GA</v>
      </c>
      <c r="B5051" s="3" t="str">
        <f t="shared" ref="B5051:B5052" si="2607">CHOOSE(2, "1395000000727", "# of 3-Month Active Agents")</f>
        <v># of 3-Month Active Agents</v>
      </c>
      <c r="C5051" s="4" t="str">
        <f>CHOOSE(2, "5461730030", "Jun 26")</f>
        <v>Jun 26</v>
      </c>
      <c r="D5051" s="14">
        <v>3284</v>
      </c>
    </row>
    <row r="5052" spans="1:4" x14ac:dyDescent="0.35">
      <c r="A5052" s="5" t="str">
        <f t="shared" si="2592"/>
        <v>GA</v>
      </c>
      <c r="B5052" s="6" t="str">
        <f t="shared" si="2607"/>
        <v># of 3-Month Active Agents</v>
      </c>
      <c r="C5052" s="4" t="str">
        <f>CHOOSE(2, "5462030031", "Jul 26")</f>
        <v>Jul 26</v>
      </c>
      <c r="D5052" s="14">
        <v>3593</v>
      </c>
    </row>
    <row r="5053" spans="1:4" x14ac:dyDescent="0.35">
      <c r="A5053" s="5" t="str">
        <f t="shared" si="2592"/>
        <v>GA</v>
      </c>
      <c r="B5053" s="3" t="str">
        <f t="shared" ref="B5053:B5054" si="2608">CHOOSE(2, "1395000000726", "# of 3-Month Active Agents in 0-1M")</f>
        <v># of 3-Month Active Agents in 0-1M</v>
      </c>
      <c r="C5053" s="4" t="str">
        <f>CHOOSE(2, "5461730030", "Jun 26")</f>
        <v>Jun 26</v>
      </c>
      <c r="D5053" s="14">
        <v>199</v>
      </c>
    </row>
    <row r="5054" spans="1:4" x14ac:dyDescent="0.35">
      <c r="A5054" s="5" t="str">
        <f t="shared" si="2592"/>
        <v>GA</v>
      </c>
      <c r="B5054" s="6" t="str">
        <f t="shared" si="2608"/>
        <v># of 3-Month Active Agents in 0-1M</v>
      </c>
      <c r="C5054" s="4" t="str">
        <f>CHOOSE(2, "5462030031", "Jul 26")</f>
        <v>Jul 26</v>
      </c>
      <c r="D5054" s="14">
        <v>175</v>
      </c>
    </row>
    <row r="5055" spans="1:4" x14ac:dyDescent="0.35">
      <c r="A5055" s="5" t="str">
        <f t="shared" si="2592"/>
        <v>GA</v>
      </c>
      <c r="B5055" s="3" t="str">
        <f t="shared" ref="B5055:B5056" si="2609">CHOOSE(2, "1395000000725", "# of 3-Month Active Agents in 2-3M")</f>
        <v># of 3-Month Active Agents in 2-3M</v>
      </c>
      <c r="C5055" s="4" t="str">
        <f>CHOOSE(2, "5461730030", "Jun 26")</f>
        <v>Jun 26</v>
      </c>
      <c r="D5055" s="14">
        <v>517</v>
      </c>
    </row>
    <row r="5056" spans="1:4" x14ac:dyDescent="0.35">
      <c r="A5056" s="5" t="str">
        <f t="shared" si="2592"/>
        <v>GA</v>
      </c>
      <c r="B5056" s="6" t="str">
        <f t="shared" si="2609"/>
        <v># of 3-Month Active Agents in 2-3M</v>
      </c>
      <c r="C5056" s="4" t="str">
        <f>CHOOSE(2, "5462030031", "Jul 26")</f>
        <v>Jul 26</v>
      </c>
      <c r="D5056" s="14">
        <v>605</v>
      </c>
    </row>
    <row r="5057" spans="1:4" x14ac:dyDescent="0.35">
      <c r="A5057" s="5" t="str">
        <f t="shared" si="2592"/>
        <v>GA</v>
      </c>
      <c r="B5057" s="3" t="str">
        <f t="shared" ref="B5057:B5058" si="2610">CHOOSE(2, "1395000000724", "# of 3-Month Active Agents in 4-12M")</f>
        <v># of 3-Month Active Agents in 4-12M</v>
      </c>
      <c r="C5057" s="4" t="str">
        <f>CHOOSE(2, "5461730030", "Jun 26")</f>
        <v>Jun 26</v>
      </c>
      <c r="D5057" s="14">
        <v>1164</v>
      </c>
    </row>
    <row r="5058" spans="1:4" x14ac:dyDescent="0.35">
      <c r="A5058" s="5" t="str">
        <f t="shared" si="2592"/>
        <v>GA</v>
      </c>
      <c r="B5058" s="6" t="str">
        <f t="shared" si="2610"/>
        <v># of 3-Month Active Agents in 4-12M</v>
      </c>
      <c r="C5058" s="4" t="str">
        <f>CHOOSE(2, "5462030031", "Jul 26")</f>
        <v>Jul 26</v>
      </c>
      <c r="D5058" s="14">
        <v>1234</v>
      </c>
    </row>
    <row r="5059" spans="1:4" x14ac:dyDescent="0.35">
      <c r="A5059" s="5" t="str">
        <f t="shared" si="2592"/>
        <v>GA</v>
      </c>
      <c r="B5059" s="3" t="str">
        <f t="shared" ref="B5059:B5060" si="2611">CHOOSE(2, "1395000000723", "# of 3-Month Active Agents 13+M")</f>
        <v># of 3-Month Active Agents 13+M</v>
      </c>
      <c r="C5059" s="4" t="str">
        <f>CHOOSE(2, "5461730030", "Jun 26")</f>
        <v>Jun 26</v>
      </c>
      <c r="D5059" s="14">
        <v>1404</v>
      </c>
    </row>
    <row r="5060" spans="1:4" x14ac:dyDescent="0.35">
      <c r="A5060" s="5" t="str">
        <f t="shared" si="2592"/>
        <v>GA</v>
      </c>
      <c r="B5060" s="6" t="str">
        <f t="shared" si="2611"/>
        <v># of 3-Month Active Agents 13+M</v>
      </c>
      <c r="C5060" s="4" t="str">
        <f>CHOOSE(2, "5462030031", "Jul 26")</f>
        <v>Jul 26</v>
      </c>
      <c r="D5060" s="14">
        <v>1579</v>
      </c>
    </row>
    <row r="5061" spans="1:4" x14ac:dyDescent="0.35">
      <c r="A5061" s="5" t="str">
        <f t="shared" si="2592"/>
        <v>GA</v>
      </c>
      <c r="B5061" s="3" t="str">
        <f t="shared" ref="B5061:B5062" si="2612">CHOOSE(2, "1395000000722", "# of 3-Month Active Agents in UM")</f>
        <v># of 3-Month Active Agents in UM</v>
      </c>
      <c r="C5061" s="4" t="str">
        <f>CHOOSE(2, "5461730030", "Jun 26")</f>
        <v>Jun 26</v>
      </c>
      <c r="D5061" s="2" t="s">
        <v>5</v>
      </c>
    </row>
    <row r="5062" spans="1:4" x14ac:dyDescent="0.35">
      <c r="A5062" s="5" t="str">
        <f t="shared" si="2592"/>
        <v>GA</v>
      </c>
      <c r="B5062" s="6" t="str">
        <f t="shared" si="2612"/>
        <v># of 3-Month Active Agents in UM</v>
      </c>
      <c r="C5062" s="4" t="str">
        <f>CHOOSE(2, "5462030031", "Jul 26")</f>
        <v>Jul 26</v>
      </c>
      <c r="D5062" s="2" t="s">
        <v>5</v>
      </c>
    </row>
    <row r="5063" spans="1:4" x14ac:dyDescent="0.35">
      <c r="A5063" s="5" t="str">
        <f t="shared" si="2592"/>
        <v>GA</v>
      </c>
      <c r="B5063" s="3" t="str">
        <f t="shared" ref="B5063:B5064" si="2613">CHOOSE(2, "1395000000721", "# of 3-Month Active Agents in Leaders above UM")</f>
        <v># of 3-Month Active Agents in Leaders above UM</v>
      </c>
      <c r="C5063" s="4" t="str">
        <f>CHOOSE(2, "5461730030", "Jun 26")</f>
        <v>Jun 26</v>
      </c>
      <c r="D5063" s="2" t="s">
        <v>5</v>
      </c>
    </row>
    <row r="5064" spans="1:4" x14ac:dyDescent="0.35">
      <c r="A5064" s="5" t="str">
        <f t="shared" si="2592"/>
        <v>GA</v>
      </c>
      <c r="B5064" s="6" t="str">
        <f t="shared" si="2613"/>
        <v># of 3-Month Active Agents in Leaders above UM</v>
      </c>
      <c r="C5064" s="4" t="str">
        <f>CHOOSE(2, "5462030031", "Jul 26")</f>
        <v>Jul 26</v>
      </c>
      <c r="D5064" s="2" t="s">
        <v>5</v>
      </c>
    </row>
    <row r="5065" spans="1:4" x14ac:dyDescent="0.35">
      <c r="A5065" s="5" t="str">
        <f t="shared" si="2592"/>
        <v>GA</v>
      </c>
      <c r="B5065" s="3" t="str">
        <f t="shared" ref="B5065:B5066" si="2614">CHOOSE(2, "1395000000720", "# of 3-Month Active Agents in FA or equivalent")</f>
        <v># of 3-Month Active Agents in FA or equivalent</v>
      </c>
      <c r="C5065" s="4" t="str">
        <f>CHOOSE(2, "5461730030", "Jun 26")</f>
        <v>Jun 26</v>
      </c>
      <c r="D5065" s="2" t="s">
        <v>5</v>
      </c>
    </row>
    <row r="5066" spans="1:4" x14ac:dyDescent="0.35">
      <c r="A5066" s="5" t="str">
        <f t="shared" si="2592"/>
        <v>GA</v>
      </c>
      <c r="B5066" s="6" t="str">
        <f t="shared" si="2614"/>
        <v># of 3-Month Active Agents in FA or equivalent</v>
      </c>
      <c r="C5066" s="4" t="str">
        <f>CHOOSE(2, "5462030031", "Jul 26")</f>
        <v>Jul 26</v>
      </c>
      <c r="D5066" s="2" t="s">
        <v>5</v>
      </c>
    </row>
    <row r="5067" spans="1:4" x14ac:dyDescent="0.35">
      <c r="A5067" s="5" t="str">
        <f t="shared" si="2592"/>
        <v>GA</v>
      </c>
      <c r="B5067" s="3" t="str">
        <f t="shared" ref="B5067:B5068" si="2615">CHOOSE(2, "1395000000719", "Net Case Count - Agency")</f>
        <v>Net Case Count - Agency</v>
      </c>
      <c r="C5067" s="4" t="str">
        <f>CHOOSE(2, "5461730030", "Jun 26")</f>
        <v>Jun 26</v>
      </c>
      <c r="D5067" s="14">
        <v>3087</v>
      </c>
    </row>
    <row r="5068" spans="1:4" x14ac:dyDescent="0.35">
      <c r="A5068" s="5" t="str">
        <f t="shared" si="2592"/>
        <v>GA</v>
      </c>
      <c r="B5068" s="6" t="str">
        <f t="shared" si="2615"/>
        <v>Net Case Count - Agency</v>
      </c>
      <c r="C5068" s="4" t="str">
        <f>CHOOSE(2, "5462030031", "Jul 26")</f>
        <v>Jul 26</v>
      </c>
      <c r="D5068" s="14">
        <v>3490</v>
      </c>
    </row>
    <row r="5069" spans="1:4" x14ac:dyDescent="0.35">
      <c r="A5069" s="5" t="str">
        <f t="shared" si="2592"/>
        <v>GA</v>
      </c>
      <c r="B5069" s="3" t="str">
        <f t="shared" ref="B5069:B5070" si="2616">CHOOSE(2, "1395000000718", "Net Case Count - Agency in 0-1M")</f>
        <v>Net Case Count - Agency in 0-1M</v>
      </c>
      <c r="C5069" s="4" t="str">
        <f>CHOOSE(2, "5461730030", "Jun 26")</f>
        <v>Jun 26</v>
      </c>
      <c r="D5069" s="14">
        <v>357</v>
      </c>
    </row>
    <row r="5070" spans="1:4" x14ac:dyDescent="0.35">
      <c r="A5070" s="5" t="str">
        <f t="shared" si="2592"/>
        <v>GA</v>
      </c>
      <c r="B5070" s="6" t="str">
        <f t="shared" si="2616"/>
        <v>Net Case Count - Agency in 0-1M</v>
      </c>
      <c r="C5070" s="4" t="str">
        <f>CHOOSE(2, "5462030031", "Jul 26")</f>
        <v>Jul 26</v>
      </c>
      <c r="D5070" s="14">
        <v>316</v>
      </c>
    </row>
    <row r="5071" spans="1:4" x14ac:dyDescent="0.35">
      <c r="A5071" s="5" t="str">
        <f t="shared" si="2592"/>
        <v>GA</v>
      </c>
      <c r="B5071" s="3" t="str">
        <f t="shared" ref="B5071:B5072" si="2617">CHOOSE(2, "1395000000717", "Net Case Count - Agency in 2-3M")</f>
        <v>Net Case Count - Agency in 2-3M</v>
      </c>
      <c r="C5071" s="4" t="str">
        <f>CHOOSE(2, "5461730030", "Jun 26")</f>
        <v>Jun 26</v>
      </c>
      <c r="D5071" s="14">
        <v>499</v>
      </c>
    </row>
    <row r="5072" spans="1:4" x14ac:dyDescent="0.35">
      <c r="A5072" s="5" t="str">
        <f t="shared" si="2592"/>
        <v>GA</v>
      </c>
      <c r="B5072" s="6" t="str">
        <f t="shared" si="2617"/>
        <v>Net Case Count - Agency in 2-3M</v>
      </c>
      <c r="C5072" s="4" t="str">
        <f>CHOOSE(2, "5462030031", "Jul 26")</f>
        <v>Jul 26</v>
      </c>
      <c r="D5072" s="14">
        <v>539</v>
      </c>
    </row>
    <row r="5073" spans="1:4" x14ac:dyDescent="0.35">
      <c r="A5073" s="5" t="str">
        <f t="shared" si="2592"/>
        <v>GA</v>
      </c>
      <c r="B5073" s="3" t="str">
        <f t="shared" ref="B5073:B5074" si="2618">CHOOSE(2, "1395000000716", "Net Case Count - Agency in 4-12M")</f>
        <v>Net Case Count - Agency in 4-12M</v>
      </c>
      <c r="C5073" s="4" t="str">
        <f>CHOOSE(2, "5461730030", "Jun 26")</f>
        <v>Jun 26</v>
      </c>
      <c r="D5073" s="14">
        <v>956</v>
      </c>
    </row>
    <row r="5074" spans="1:4" x14ac:dyDescent="0.35">
      <c r="A5074" s="5" t="str">
        <f t="shared" si="2592"/>
        <v>GA</v>
      </c>
      <c r="B5074" s="6" t="str">
        <f t="shared" si="2618"/>
        <v>Net Case Count - Agency in 4-12M</v>
      </c>
      <c r="C5074" s="4" t="str">
        <f>CHOOSE(2, "5462030031", "Jul 26")</f>
        <v>Jul 26</v>
      </c>
      <c r="D5074" s="14">
        <v>869</v>
      </c>
    </row>
    <row r="5075" spans="1:4" x14ac:dyDescent="0.35">
      <c r="A5075" s="5" t="str">
        <f t="shared" si="2592"/>
        <v>GA</v>
      </c>
      <c r="B5075" s="3" t="str">
        <f t="shared" ref="B5075:B5076" si="2619">CHOOSE(2, "1395000000715", "Net Case Count - Agency 13+M")</f>
        <v>Net Case Count - Agency 13+M</v>
      </c>
      <c r="C5075" s="4" t="str">
        <f>CHOOSE(2, "5461730030", "Jun 26")</f>
        <v>Jun 26</v>
      </c>
      <c r="D5075" s="14">
        <v>1275</v>
      </c>
    </row>
    <row r="5076" spans="1:4" x14ac:dyDescent="0.35">
      <c r="A5076" s="5" t="str">
        <f t="shared" si="2592"/>
        <v>GA</v>
      </c>
      <c r="B5076" s="6" t="str">
        <f t="shared" si="2619"/>
        <v>Net Case Count - Agency 13+M</v>
      </c>
      <c r="C5076" s="4" t="str">
        <f>CHOOSE(2, "5462030031", "Jul 26")</f>
        <v>Jul 26</v>
      </c>
      <c r="D5076" s="14">
        <v>1411.5</v>
      </c>
    </row>
    <row r="5077" spans="1:4" x14ac:dyDescent="0.35">
      <c r="A5077" s="5" t="str">
        <f t="shared" si="2592"/>
        <v>GA</v>
      </c>
      <c r="B5077" s="3" t="str">
        <f t="shared" ref="B5077:B5078" si="2620">CHOOSE(2, "1395000000714", "Net Case Count - Agency in FA or equivalent")</f>
        <v>Net Case Count - Agency in FA or equivalent</v>
      </c>
      <c r="C5077" s="4" t="str">
        <f>CHOOSE(2, "5461730030", "Jun 26")</f>
        <v>Jun 26</v>
      </c>
      <c r="D5077" s="14">
        <v>2134</v>
      </c>
    </row>
    <row r="5078" spans="1:4" x14ac:dyDescent="0.35">
      <c r="A5078" s="5" t="str">
        <f t="shared" si="2592"/>
        <v>GA</v>
      </c>
      <c r="B5078" s="6" t="str">
        <f t="shared" si="2620"/>
        <v>Net Case Count - Agency in FA or equivalent</v>
      </c>
      <c r="C5078" s="4" t="str">
        <f>CHOOSE(2, "5462030031", "Jul 26")</f>
        <v>Jul 26</v>
      </c>
      <c r="D5078" s="14">
        <v>1952.5</v>
      </c>
    </row>
    <row r="5079" spans="1:4" x14ac:dyDescent="0.35">
      <c r="A5079" s="5" t="str">
        <f t="shared" si="2592"/>
        <v>GA</v>
      </c>
      <c r="B5079" s="3" t="str">
        <f t="shared" ref="B5079:B5080" si="2621">CHOOSE(2, "1395000000713", "Net Case Count - Agency in UM")</f>
        <v>Net Case Count - Agency in UM</v>
      </c>
      <c r="C5079" s="4" t="str">
        <f>CHOOSE(2, "5461730030", "Jun 26")</f>
        <v>Jun 26</v>
      </c>
      <c r="D5079" s="14">
        <v>390</v>
      </c>
    </row>
    <row r="5080" spans="1:4" x14ac:dyDescent="0.35">
      <c r="A5080" s="5" t="str">
        <f t="shared" si="2592"/>
        <v>GA</v>
      </c>
      <c r="B5080" s="6" t="str">
        <f t="shared" si="2621"/>
        <v>Net Case Count - Agency in UM</v>
      </c>
      <c r="C5080" s="4" t="str">
        <f>CHOOSE(2, "5462030031", "Jul 26")</f>
        <v>Jul 26</v>
      </c>
      <c r="D5080" s="14">
        <v>541</v>
      </c>
    </row>
    <row r="5081" spans="1:4" x14ac:dyDescent="0.35">
      <c r="A5081" s="5" t="str">
        <f t="shared" si="2592"/>
        <v>GA</v>
      </c>
      <c r="B5081" s="3" t="str">
        <f t="shared" ref="B5081:B5082" si="2622">CHOOSE(2, "1395000000712", "Net Case Count - Agency in Leaders above UM")</f>
        <v>Net Case Count - Agency in Leaders above UM</v>
      </c>
      <c r="C5081" s="4" t="str">
        <f>CHOOSE(2, "5461730030", "Jun 26")</f>
        <v>Jun 26</v>
      </c>
      <c r="D5081" s="14">
        <v>563</v>
      </c>
    </row>
    <row r="5082" spans="1:4" x14ac:dyDescent="0.35">
      <c r="A5082" s="5" t="str">
        <f t="shared" si="2592"/>
        <v>GA</v>
      </c>
      <c r="B5082" s="6" t="str">
        <f t="shared" si="2622"/>
        <v>Net Case Count - Agency in Leaders above UM</v>
      </c>
      <c r="C5082" s="4" t="str">
        <f>CHOOSE(2, "5462030031", "Jul 26")</f>
        <v>Jul 26</v>
      </c>
      <c r="D5082" s="14">
        <v>642</v>
      </c>
    </row>
    <row r="5083" spans="1:4" x14ac:dyDescent="0.35">
      <c r="A5083" s="5" t="str">
        <f t="shared" si="2592"/>
        <v>GA</v>
      </c>
      <c r="B5083" s="3" t="str">
        <f t="shared" ref="B5083:B5084" si="2623">CHOOSE(2, "1395000000711", "Net Case Count - Agency in Top-tier Agents")</f>
        <v>Net Case Count - Agency in Top-tier Agents</v>
      </c>
      <c r="C5083" s="4" t="str">
        <f>CHOOSE(2, "5461730030", "Jun 26")</f>
        <v>Jun 26</v>
      </c>
      <c r="D5083" s="14">
        <v>668</v>
      </c>
    </row>
    <row r="5084" spans="1:4" x14ac:dyDescent="0.35">
      <c r="A5084" s="5" t="str">
        <f t="shared" si="2592"/>
        <v>GA</v>
      </c>
      <c r="B5084" s="6" t="str">
        <f t="shared" si="2623"/>
        <v>Net Case Count - Agency in Top-tier Agents</v>
      </c>
      <c r="C5084" s="4" t="str">
        <f>CHOOSE(2, "5462030031", "Jul 26")</f>
        <v>Jul 26</v>
      </c>
      <c r="D5084" s="14">
        <v>694.5</v>
      </c>
    </row>
    <row r="5085" spans="1:4" x14ac:dyDescent="0.35">
      <c r="A5085" s="5" t="str">
        <f t="shared" si="2592"/>
        <v>GA</v>
      </c>
      <c r="B5085" s="3" t="str">
        <f t="shared" ref="B5085:B5086" si="2624">CHOOSE(2, "1395000000710", "Net Case Count - Agency in pro-rated MDRT agents (&gt;100%)")</f>
        <v>Net Case Count - Agency in pro-rated MDRT agents (&gt;100%)</v>
      </c>
      <c r="C5085" s="4" t="str">
        <f>CHOOSE(2, "5461730030", "Jun 26")</f>
        <v>Jun 26</v>
      </c>
      <c r="D5085" s="14">
        <v>327.5</v>
      </c>
    </row>
    <row r="5086" spans="1:4" x14ac:dyDescent="0.35">
      <c r="A5086" s="5" t="str">
        <f t="shared" si="2592"/>
        <v>GA</v>
      </c>
      <c r="B5086" s="6" t="str">
        <f t="shared" si="2624"/>
        <v>Net Case Count - Agency in pro-rated MDRT agents (&gt;100%)</v>
      </c>
      <c r="C5086" s="4" t="str">
        <f>CHOOSE(2, "5462030031", "Jul 26")</f>
        <v>Jul 26</v>
      </c>
      <c r="D5086" s="14">
        <v>269.5</v>
      </c>
    </row>
    <row r="5087" spans="1:4" x14ac:dyDescent="0.35">
      <c r="A5087" s="5" t="str">
        <f t="shared" ref="A5087:A5150" si="2625">CHOOSE(2, "1260000000006", "GA")</f>
        <v>GA</v>
      </c>
      <c r="B5087" s="3" t="str">
        <f t="shared" ref="B5087:B5088" si="2626">CHOOSE(2, "1395000000709", "Net Case Count - Agency in pro-rated MDRT agents (70-99%)")</f>
        <v>Net Case Count - Agency in pro-rated MDRT agents (70-99%)</v>
      </c>
      <c r="C5087" s="4" t="str">
        <f>CHOOSE(2, "5461730030", "Jun 26")</f>
        <v>Jun 26</v>
      </c>
      <c r="D5087" s="14">
        <v>132.5</v>
      </c>
    </row>
    <row r="5088" spans="1:4" x14ac:dyDescent="0.35">
      <c r="A5088" s="5" t="str">
        <f t="shared" si="2625"/>
        <v>GA</v>
      </c>
      <c r="B5088" s="6" t="str">
        <f t="shared" si="2626"/>
        <v>Net Case Count - Agency in pro-rated MDRT agents (70-99%)</v>
      </c>
      <c r="C5088" s="4" t="str">
        <f>CHOOSE(2, "5462030031", "Jul 26")</f>
        <v>Jul 26</v>
      </c>
      <c r="D5088" s="14">
        <v>169.5</v>
      </c>
    </row>
    <row r="5089" spans="1:4" x14ac:dyDescent="0.35">
      <c r="A5089" s="5" t="str">
        <f t="shared" si="2625"/>
        <v>GA</v>
      </c>
      <c r="B5089" s="3" t="str">
        <f t="shared" ref="B5089:B5090" si="2627">CHOOSE(2, "1395000000708", "Net Case Count - Agency in pro-rated MDRT agents (50-69%)")</f>
        <v>Net Case Count - Agency in pro-rated MDRT agents (50-69%)</v>
      </c>
      <c r="C5089" s="4" t="str">
        <f>CHOOSE(2, "5461730030", "Jun 26")</f>
        <v>Jun 26</v>
      </c>
      <c r="D5089" s="14">
        <v>208</v>
      </c>
    </row>
    <row r="5090" spans="1:4" x14ac:dyDescent="0.35">
      <c r="A5090" s="5" t="str">
        <f t="shared" si="2625"/>
        <v>GA</v>
      </c>
      <c r="B5090" s="6" t="str">
        <f t="shared" si="2627"/>
        <v>Net Case Count - Agency in pro-rated MDRT agents (50-69%)</v>
      </c>
      <c r="C5090" s="4" t="str">
        <f>CHOOSE(2, "5462030031", "Jul 26")</f>
        <v>Jul 26</v>
      </c>
      <c r="D5090" s="14">
        <v>255.5</v>
      </c>
    </row>
    <row r="5091" spans="1:4" x14ac:dyDescent="0.35">
      <c r="A5091" s="5" t="str">
        <f t="shared" si="2625"/>
        <v>GA</v>
      </c>
      <c r="B5091" s="3" t="str">
        <f t="shared" ref="B5091:B5092" si="2628">CHOOSE(2, "1395000000707", "Net Case Count - Agency in Manulife Pro Qualifiers - Total")</f>
        <v>Net Case Count - Agency in Manulife Pro Qualifiers - Total</v>
      </c>
      <c r="C5091" s="4" t="str">
        <f>CHOOSE(2, "5461730030", "Jun 26")</f>
        <v>Jun 26</v>
      </c>
      <c r="D5091" s="14">
        <v>327.5</v>
      </c>
    </row>
    <row r="5092" spans="1:4" x14ac:dyDescent="0.35">
      <c r="A5092" s="5" t="str">
        <f t="shared" si="2625"/>
        <v>GA</v>
      </c>
      <c r="B5092" s="6" t="str">
        <f t="shared" si="2628"/>
        <v>Net Case Count - Agency in Manulife Pro Qualifiers - Total</v>
      </c>
      <c r="C5092" s="4" t="str">
        <f>CHOOSE(2, "5462030031", "Jul 26")</f>
        <v>Jul 26</v>
      </c>
      <c r="D5092" s="14">
        <v>329</v>
      </c>
    </row>
    <row r="5093" spans="1:4" x14ac:dyDescent="0.35">
      <c r="A5093" s="5" t="str">
        <f t="shared" si="2625"/>
        <v>GA</v>
      </c>
      <c r="B5093" s="3" t="str">
        <f t="shared" ref="B5093:B5094" si="2629">CHOOSE(2, "1395000000706", "No. of Sales Proposal Generated")</f>
        <v>No. of Sales Proposal Generated</v>
      </c>
      <c r="C5093" s="4" t="str">
        <f>CHOOSE(2, "5461730030", "Jun 26")</f>
        <v>Jun 26</v>
      </c>
      <c r="D5093" s="2" t="s">
        <v>5</v>
      </c>
    </row>
    <row r="5094" spans="1:4" x14ac:dyDescent="0.35">
      <c r="A5094" s="5" t="str">
        <f t="shared" si="2625"/>
        <v>GA</v>
      </c>
      <c r="B5094" s="6" t="str">
        <f t="shared" si="2629"/>
        <v>No. of Sales Proposal Generated</v>
      </c>
      <c r="C5094" s="4" t="str">
        <f>CHOOSE(2, "5462030031", "Jul 26")</f>
        <v>Jul 26</v>
      </c>
      <c r="D5094" s="2" t="s">
        <v>5</v>
      </c>
    </row>
    <row r="5095" spans="1:4" x14ac:dyDescent="0.35">
      <c r="A5095" s="5" t="str">
        <f t="shared" si="2625"/>
        <v>GA</v>
      </c>
      <c r="B5095" s="3" t="str">
        <f t="shared" ref="B5095:B5096" si="2630">CHOOSE(2, "1395000000705", "$ APE from Agents in X tenure")</f>
        <v>$ APE from Agents in X tenure</v>
      </c>
      <c r="C5095" s="4" t="str">
        <f>CHOOSE(2, "5461730030", "Jun 26")</f>
        <v>Jun 26</v>
      </c>
      <c r="D5095" s="14">
        <v>3535186.1200651499</v>
      </c>
    </row>
    <row r="5096" spans="1:4" x14ac:dyDescent="0.35">
      <c r="A5096" s="5" t="str">
        <f t="shared" si="2625"/>
        <v>GA</v>
      </c>
      <c r="B5096" s="6" t="str">
        <f t="shared" si="2630"/>
        <v>$ APE from Agents in X tenure</v>
      </c>
      <c r="C5096" s="4" t="str">
        <f>CHOOSE(2, "5462030031", "Jul 26")</f>
        <v>Jul 26</v>
      </c>
      <c r="D5096" s="14">
        <v>3686477.1470742901</v>
      </c>
    </row>
    <row r="5097" spans="1:4" x14ac:dyDescent="0.35">
      <c r="A5097" s="5" t="str">
        <f t="shared" si="2625"/>
        <v>GA</v>
      </c>
      <c r="B5097" s="3" t="str">
        <f t="shared" ref="B5097:B5098" si="2631">CHOOSE(2, "1395000000704", "$ APE from Agents in X tenure in 0-1M")</f>
        <v>$ APE from Agents in X tenure in 0-1M</v>
      </c>
      <c r="C5097" s="4" t="str">
        <f>CHOOSE(2, "5461730030", "Jun 26")</f>
        <v>Jun 26</v>
      </c>
      <c r="D5097" s="14">
        <v>353518.61200651503</v>
      </c>
    </row>
    <row r="5098" spans="1:4" x14ac:dyDescent="0.35">
      <c r="A5098" s="5" t="str">
        <f t="shared" si="2625"/>
        <v>GA</v>
      </c>
      <c r="B5098" s="6" t="str">
        <f t="shared" si="2631"/>
        <v>$ APE from Agents in X tenure in 0-1M</v>
      </c>
      <c r="C5098" s="4" t="str">
        <f>CHOOSE(2, "5462030031", "Jul 26")</f>
        <v>Jul 26</v>
      </c>
      <c r="D5098" s="14">
        <v>368647.71470742906</v>
      </c>
    </row>
    <row r="5099" spans="1:4" x14ac:dyDescent="0.35">
      <c r="A5099" s="5" t="str">
        <f t="shared" si="2625"/>
        <v>GA</v>
      </c>
      <c r="B5099" s="3" t="str">
        <f t="shared" ref="B5099:B5100" si="2632">CHOOSE(2, "1395000000703", "$ APE from Agents in X tenure in 2-3M")</f>
        <v>$ APE from Agents in X tenure in 2-3M</v>
      </c>
      <c r="C5099" s="4" t="str">
        <f>CHOOSE(2, "5461730030", "Jun 26")</f>
        <v>Jun 26</v>
      </c>
      <c r="D5099" s="14">
        <v>707037.22401303006</v>
      </c>
    </row>
    <row r="5100" spans="1:4" x14ac:dyDescent="0.35">
      <c r="A5100" s="5" t="str">
        <f t="shared" si="2625"/>
        <v>GA</v>
      </c>
      <c r="B5100" s="6" t="str">
        <f t="shared" si="2632"/>
        <v>$ APE from Agents in X tenure in 2-3M</v>
      </c>
      <c r="C5100" s="4" t="str">
        <f>CHOOSE(2, "5462030031", "Jul 26")</f>
        <v>Jul 26</v>
      </c>
      <c r="D5100" s="14">
        <v>737295.42941485811</v>
      </c>
    </row>
    <row r="5101" spans="1:4" x14ac:dyDescent="0.35">
      <c r="A5101" s="5" t="str">
        <f t="shared" si="2625"/>
        <v>GA</v>
      </c>
      <c r="B5101" s="3" t="str">
        <f t="shared" ref="B5101:B5102" si="2633">CHOOSE(2, "1395000000702", "$ APE from Agents in X tenure in 4-12M")</f>
        <v>$ APE from Agents in X tenure in 4-12M</v>
      </c>
      <c r="C5101" s="4" t="str">
        <f>CHOOSE(2, "5461730030", "Jun 26")</f>
        <v>Jun 26</v>
      </c>
      <c r="D5101" s="14">
        <v>1060555.8360195449</v>
      </c>
    </row>
    <row r="5102" spans="1:4" x14ac:dyDescent="0.35">
      <c r="A5102" s="5" t="str">
        <f t="shared" si="2625"/>
        <v>GA</v>
      </c>
      <c r="B5102" s="6" t="str">
        <f t="shared" si="2633"/>
        <v>$ APE from Agents in X tenure in 4-12M</v>
      </c>
      <c r="C5102" s="4" t="str">
        <f>CHOOSE(2, "5462030031", "Jul 26")</f>
        <v>Jul 26</v>
      </c>
      <c r="D5102" s="14">
        <v>1105943.1441222869</v>
      </c>
    </row>
    <row r="5103" spans="1:4" x14ac:dyDescent="0.35">
      <c r="A5103" s="5" t="str">
        <f t="shared" si="2625"/>
        <v>GA</v>
      </c>
      <c r="B5103" s="3" t="str">
        <f t="shared" ref="B5103:B5104" si="2634">CHOOSE(2, "1395000000701", "$ APE from Agents in X tenure 13+M")</f>
        <v>$ APE from Agents in X tenure 13+M</v>
      </c>
      <c r="C5103" s="4" t="str">
        <f>CHOOSE(2, "5461730030", "Jun 26")</f>
        <v>Jun 26</v>
      </c>
      <c r="D5103" s="14">
        <v>1414074.4480260601</v>
      </c>
    </row>
    <row r="5104" spans="1:4" x14ac:dyDescent="0.35">
      <c r="A5104" s="5" t="str">
        <f t="shared" si="2625"/>
        <v>GA</v>
      </c>
      <c r="B5104" s="6" t="str">
        <f t="shared" si="2634"/>
        <v>$ APE from Agents in X tenure 13+M</v>
      </c>
      <c r="C5104" s="4" t="str">
        <f>CHOOSE(2, "5462030031", "Jul 26")</f>
        <v>Jul 26</v>
      </c>
      <c r="D5104" s="14">
        <v>1474590.8588297162</v>
      </c>
    </row>
    <row r="5105" spans="1:4" x14ac:dyDescent="0.35">
      <c r="A5105" s="5" t="str">
        <f t="shared" si="2625"/>
        <v>GA</v>
      </c>
      <c r="B5105" s="3" t="str">
        <f t="shared" ref="B5105:B5106" si="2635">CHOOSE(2, "1395000000700", "Total agent headcount (end of period)")</f>
        <v>Total agent headcount (end of period)</v>
      </c>
      <c r="C5105" s="4" t="str">
        <f>CHOOSE(2, "5461730030", "Jun 26")</f>
        <v>Jun 26</v>
      </c>
      <c r="D5105" s="14">
        <v>13866</v>
      </c>
    </row>
    <row r="5106" spans="1:4" x14ac:dyDescent="0.35">
      <c r="A5106" s="5" t="str">
        <f t="shared" si="2625"/>
        <v>GA</v>
      </c>
      <c r="B5106" s="6" t="str">
        <f t="shared" si="2635"/>
        <v>Total agent headcount (end of period)</v>
      </c>
      <c r="C5106" s="4" t="str">
        <f>CHOOSE(2, "5462030031", "Jul 26")</f>
        <v>Jul 26</v>
      </c>
      <c r="D5106" s="14">
        <v>14634</v>
      </c>
    </row>
    <row r="5107" spans="1:4" x14ac:dyDescent="0.35">
      <c r="A5107" s="5" t="str">
        <f t="shared" si="2625"/>
        <v>GA</v>
      </c>
      <c r="B5107" s="3" t="str">
        <f t="shared" ref="B5107:B5108" si="2636">CHOOSE(2, "1395000000699", "Total agent headcount (end of period) in 0-1M")</f>
        <v>Total agent headcount (end of period) in 0-1M</v>
      </c>
      <c r="C5107" s="4" t="str">
        <f>CHOOSE(2, "5461730030", "Jun 26")</f>
        <v>Jun 26</v>
      </c>
      <c r="D5107" s="14">
        <v>823</v>
      </c>
    </row>
    <row r="5108" spans="1:4" x14ac:dyDescent="0.35">
      <c r="A5108" s="5" t="str">
        <f t="shared" si="2625"/>
        <v>GA</v>
      </c>
      <c r="B5108" s="6" t="str">
        <f t="shared" si="2636"/>
        <v>Total agent headcount (end of period) in 0-1M</v>
      </c>
      <c r="C5108" s="4" t="str">
        <f>CHOOSE(2, "5462030031", "Jul 26")</f>
        <v>Jul 26</v>
      </c>
      <c r="D5108" s="14">
        <v>846</v>
      </c>
    </row>
    <row r="5109" spans="1:4" x14ac:dyDescent="0.35">
      <c r="A5109" s="5" t="str">
        <f t="shared" si="2625"/>
        <v>GA</v>
      </c>
      <c r="B5109" s="3" t="str">
        <f t="shared" ref="B5109:B5110" si="2637">CHOOSE(2, "1395000000698", "Total agent headcount (end of period) in 2-3M")</f>
        <v>Total agent headcount (end of period) in 2-3M</v>
      </c>
      <c r="C5109" s="4" t="str">
        <f>CHOOSE(2, "5461730030", "Jun 26")</f>
        <v>Jun 26</v>
      </c>
      <c r="D5109" s="14">
        <v>1374</v>
      </c>
    </row>
    <row r="5110" spans="1:4" x14ac:dyDescent="0.35">
      <c r="A5110" s="5" t="str">
        <f t="shared" si="2625"/>
        <v>GA</v>
      </c>
      <c r="B5110" s="6" t="str">
        <f t="shared" si="2637"/>
        <v>Total agent headcount (end of period) in 2-3M</v>
      </c>
      <c r="C5110" s="4" t="str">
        <f>CHOOSE(2, "5462030031", "Jul 26")</f>
        <v>Jul 26</v>
      </c>
      <c r="D5110" s="14">
        <v>1512</v>
      </c>
    </row>
    <row r="5111" spans="1:4" x14ac:dyDescent="0.35">
      <c r="A5111" s="5" t="str">
        <f t="shared" si="2625"/>
        <v>GA</v>
      </c>
      <c r="B5111" s="3" t="str">
        <f t="shared" ref="B5111:B5112" si="2638">CHOOSE(2, "1395000000697", "Total agent headcount (end of period) in 4-12M")</f>
        <v>Total agent headcount (end of period) in 4-12M</v>
      </c>
      <c r="C5111" s="4" t="str">
        <f>CHOOSE(2, "5461730030", "Jun 26")</f>
        <v>Jun 26</v>
      </c>
      <c r="D5111" s="14">
        <v>5881</v>
      </c>
    </row>
    <row r="5112" spans="1:4" x14ac:dyDescent="0.35">
      <c r="A5112" s="5" t="str">
        <f t="shared" si="2625"/>
        <v>GA</v>
      </c>
      <c r="B5112" s="6" t="str">
        <f t="shared" si="2638"/>
        <v>Total agent headcount (end of period) in 4-12M</v>
      </c>
      <c r="C5112" s="4" t="str">
        <f>CHOOSE(2, "5462030031", "Jul 26")</f>
        <v>Jul 26</v>
      </c>
      <c r="D5112" s="14">
        <v>5726</v>
      </c>
    </row>
    <row r="5113" spans="1:4" x14ac:dyDescent="0.35">
      <c r="A5113" s="5" t="str">
        <f t="shared" si="2625"/>
        <v>GA</v>
      </c>
      <c r="B5113" s="3" t="str">
        <f t="shared" ref="B5113:B5114" si="2639">CHOOSE(2, "1395000000696", "Total agent headcount (end of period) 13+M")</f>
        <v>Total agent headcount (end of period) 13+M</v>
      </c>
      <c r="C5113" s="4" t="str">
        <f>CHOOSE(2, "5461730030", "Jun 26")</f>
        <v>Jun 26</v>
      </c>
      <c r="D5113" s="14">
        <v>5788</v>
      </c>
    </row>
    <row r="5114" spans="1:4" x14ac:dyDescent="0.35">
      <c r="A5114" s="5" t="str">
        <f t="shared" si="2625"/>
        <v>GA</v>
      </c>
      <c r="B5114" s="6" t="str">
        <f t="shared" si="2639"/>
        <v>Total agent headcount (end of period) 13+M</v>
      </c>
      <c r="C5114" s="4" t="str">
        <f>CHOOSE(2, "5462030031", "Jul 26")</f>
        <v>Jul 26</v>
      </c>
      <c r="D5114" s="14">
        <v>6550</v>
      </c>
    </row>
    <row r="5115" spans="1:4" x14ac:dyDescent="0.35">
      <c r="A5115" s="5" t="str">
        <f t="shared" si="2625"/>
        <v>GA</v>
      </c>
      <c r="B5115" s="3" t="str">
        <f t="shared" ref="B5115:B5116" si="2640">CHOOSE(2, "1395000000695", "Total agent headcount (end of period) in FA or equivalent")</f>
        <v>Total agent headcount (end of period) in FA or equivalent</v>
      </c>
      <c r="C5115" s="4" t="str">
        <f>CHOOSE(2, "5461730030", "Jun 26")</f>
        <v>Jun 26</v>
      </c>
      <c r="D5115" s="14">
        <v>11622</v>
      </c>
    </row>
    <row r="5116" spans="1:4" x14ac:dyDescent="0.35">
      <c r="A5116" s="5" t="str">
        <f t="shared" si="2625"/>
        <v>GA</v>
      </c>
      <c r="B5116" s="6" t="str">
        <f t="shared" si="2640"/>
        <v>Total agent headcount (end of period) in FA or equivalent</v>
      </c>
      <c r="C5116" s="4" t="str">
        <f>CHOOSE(2, "5462030031", "Jul 26")</f>
        <v>Jul 26</v>
      </c>
      <c r="D5116" s="14">
        <v>12273</v>
      </c>
    </row>
    <row r="5117" spans="1:4" x14ac:dyDescent="0.35">
      <c r="A5117" s="5" t="str">
        <f t="shared" si="2625"/>
        <v>GA</v>
      </c>
      <c r="B5117" s="3" t="str">
        <f t="shared" ref="B5117:B5118" si="2641">CHOOSE(2, "1395000000694", "Total agent headcount (end of period) in UM")</f>
        <v>Total agent headcount (end of period) in UM</v>
      </c>
      <c r="C5117" s="4" t="str">
        <f>CHOOSE(2, "5461730030", "Jun 26")</f>
        <v>Jun 26</v>
      </c>
      <c r="D5117" s="14">
        <v>1252</v>
      </c>
    </row>
    <row r="5118" spans="1:4" x14ac:dyDescent="0.35">
      <c r="A5118" s="5" t="str">
        <f t="shared" si="2625"/>
        <v>GA</v>
      </c>
      <c r="B5118" s="6" t="str">
        <f t="shared" si="2641"/>
        <v>Total agent headcount (end of period) in UM</v>
      </c>
      <c r="C5118" s="4" t="str">
        <f>CHOOSE(2, "5462030031", "Jul 26")</f>
        <v>Jul 26</v>
      </c>
      <c r="D5118" s="14">
        <v>1327</v>
      </c>
    </row>
    <row r="5119" spans="1:4" x14ac:dyDescent="0.35">
      <c r="A5119" s="5" t="str">
        <f t="shared" si="2625"/>
        <v>GA</v>
      </c>
      <c r="B5119" s="3" t="str">
        <f t="shared" ref="B5119:B5120" si="2642">CHOOSE(2, "1395000000693", "Total agent headcount (end of period) in Leaders above UM")</f>
        <v>Total agent headcount (end of period) in Leaders above UM</v>
      </c>
      <c r="C5119" s="4" t="str">
        <f>CHOOSE(2, "5461730030", "Jun 26")</f>
        <v>Jun 26</v>
      </c>
      <c r="D5119" s="14">
        <v>992</v>
      </c>
    </row>
    <row r="5120" spans="1:4" x14ac:dyDescent="0.35">
      <c r="A5120" s="5" t="str">
        <f t="shared" si="2625"/>
        <v>GA</v>
      </c>
      <c r="B5120" s="6" t="str">
        <f t="shared" si="2642"/>
        <v>Total agent headcount (end of period) in Leaders above UM</v>
      </c>
      <c r="C5120" s="4" t="str">
        <f>CHOOSE(2, "5462030031", "Jul 26")</f>
        <v>Jul 26</v>
      </c>
      <c r="D5120" s="14">
        <v>1034</v>
      </c>
    </row>
    <row r="5121" spans="1:4" x14ac:dyDescent="0.35">
      <c r="A5121" s="5" t="str">
        <f t="shared" si="2625"/>
        <v>GA</v>
      </c>
      <c r="B5121" s="3" t="str">
        <f t="shared" ref="B5121:B5122" si="2643">CHOOSE(2, "1395000000692", "Total agent headcount (end of period) in Top-tier agents")</f>
        <v>Total agent headcount (end of period) in Top-tier agents</v>
      </c>
      <c r="C5121" s="4" t="str">
        <f>CHOOSE(2, "5461730030", "Jun 26")</f>
        <v>Jun 26</v>
      </c>
      <c r="D5121" s="14">
        <v>289</v>
      </c>
    </row>
    <row r="5122" spans="1:4" x14ac:dyDescent="0.35">
      <c r="A5122" s="5" t="str">
        <f t="shared" si="2625"/>
        <v>GA</v>
      </c>
      <c r="B5122" s="6" t="str">
        <f t="shared" si="2643"/>
        <v>Total agent headcount (end of period) in Top-tier agents</v>
      </c>
      <c r="C5122" s="4" t="str">
        <f>CHOOSE(2, "5462030031", "Jul 26")</f>
        <v>Jul 26</v>
      </c>
      <c r="D5122" s="14">
        <v>298</v>
      </c>
    </row>
    <row r="5123" spans="1:4" x14ac:dyDescent="0.35">
      <c r="A5123" s="5" t="str">
        <f t="shared" si="2625"/>
        <v>GA</v>
      </c>
      <c r="B5123" s="3" t="str">
        <f t="shared" ref="B5123:B5124" si="2644">CHOOSE(2, "1395000000691", "Total agent headcount  in pro-rated MDRT agents (&gt;100%)")</f>
        <v>Total agent headcount  in pro-rated MDRT agents (&gt;100%)</v>
      </c>
      <c r="C5123" s="4" t="str">
        <f>CHOOSE(2, "5461730030", "Jun 26")</f>
        <v>Jun 26</v>
      </c>
      <c r="D5123" s="14">
        <v>97</v>
      </c>
    </row>
    <row r="5124" spans="1:4" x14ac:dyDescent="0.35">
      <c r="A5124" s="5" t="str">
        <f t="shared" si="2625"/>
        <v>GA</v>
      </c>
      <c r="B5124" s="6" t="str">
        <f t="shared" si="2644"/>
        <v>Total agent headcount  in pro-rated MDRT agents (&gt;100%)</v>
      </c>
      <c r="C5124" s="4" t="str">
        <f>CHOOSE(2, "5462030031", "Jul 26")</f>
        <v>Jul 26</v>
      </c>
      <c r="D5124" s="14">
        <v>90</v>
      </c>
    </row>
    <row r="5125" spans="1:4" x14ac:dyDescent="0.35">
      <c r="A5125" s="5" t="str">
        <f t="shared" si="2625"/>
        <v>GA</v>
      </c>
      <c r="B5125" s="3" t="str">
        <f t="shared" ref="B5125:B5126" si="2645">CHOOSE(2, "1395000000690", "Total agent headcount  in pro-rated MDRT agents (70-99%)")</f>
        <v>Total agent headcount  in pro-rated MDRT agents (70-99%)</v>
      </c>
      <c r="C5125" s="4" t="str">
        <f>CHOOSE(2, "5461730030", "Jun 26")</f>
        <v>Jun 26</v>
      </c>
      <c r="D5125" s="14">
        <v>79</v>
      </c>
    </row>
    <row r="5126" spans="1:4" x14ac:dyDescent="0.35">
      <c r="A5126" s="5" t="str">
        <f t="shared" si="2625"/>
        <v>GA</v>
      </c>
      <c r="B5126" s="6" t="str">
        <f t="shared" si="2645"/>
        <v>Total agent headcount  in pro-rated MDRT agents (70-99%)</v>
      </c>
      <c r="C5126" s="4" t="str">
        <f>CHOOSE(2, "5462030031", "Jul 26")</f>
        <v>Jul 26</v>
      </c>
      <c r="D5126" s="14">
        <v>91</v>
      </c>
    </row>
    <row r="5127" spans="1:4" x14ac:dyDescent="0.35">
      <c r="A5127" s="5" t="str">
        <f t="shared" si="2625"/>
        <v>GA</v>
      </c>
      <c r="B5127" s="3" t="str">
        <f t="shared" ref="B5127:B5128" si="2646">CHOOSE(2, "1395000000689", "Total agent headcount  in pro-rated MDRT agents (50-69%)")</f>
        <v>Total agent headcount  in pro-rated MDRT agents (50-69%)</v>
      </c>
      <c r="C5127" s="4" t="str">
        <f>CHOOSE(2, "5461730030", "Jun 26")</f>
        <v>Jun 26</v>
      </c>
      <c r="D5127" s="14">
        <v>113</v>
      </c>
    </row>
    <row r="5128" spans="1:4" x14ac:dyDescent="0.35">
      <c r="A5128" s="5" t="str">
        <f t="shared" si="2625"/>
        <v>GA</v>
      </c>
      <c r="B5128" s="6" t="str">
        <f t="shared" si="2646"/>
        <v>Total agent headcount  in pro-rated MDRT agents (50-69%)</v>
      </c>
      <c r="C5128" s="4" t="str">
        <f>CHOOSE(2, "5462030031", "Jul 26")</f>
        <v>Jul 26</v>
      </c>
      <c r="D5128" s="14">
        <v>117</v>
      </c>
    </row>
    <row r="5129" spans="1:4" x14ac:dyDescent="0.35">
      <c r="A5129" s="5" t="str">
        <f t="shared" si="2625"/>
        <v>GA</v>
      </c>
      <c r="B5129" s="3" t="str">
        <f t="shared" ref="B5129:B5130" si="2647">CHOOSE(2, "1395000000688", "Total agent headcount  in Manulife Pro Qualifiers - Total")</f>
        <v>Total agent headcount  in Manulife Pro Qualifiers - Total</v>
      </c>
      <c r="C5129" s="4" t="str">
        <f>CHOOSE(2, "5461730030", "Jun 26")</f>
        <v>Jun 26</v>
      </c>
      <c r="D5129" s="14">
        <v>97</v>
      </c>
    </row>
    <row r="5130" spans="1:4" x14ac:dyDescent="0.35">
      <c r="A5130" s="5" t="str">
        <f t="shared" si="2625"/>
        <v>GA</v>
      </c>
      <c r="B5130" s="6" t="str">
        <f t="shared" si="2647"/>
        <v>Total agent headcount  in Manulife Pro Qualifiers - Total</v>
      </c>
      <c r="C5130" s="4" t="str">
        <f>CHOOSE(2, "5462030031", "Jul 26")</f>
        <v>Jul 26</v>
      </c>
      <c r="D5130" s="14">
        <v>118</v>
      </c>
    </row>
    <row r="5131" spans="1:4" x14ac:dyDescent="0.35">
      <c r="A5131" s="5" t="str">
        <f t="shared" si="2625"/>
        <v>GA</v>
      </c>
      <c r="B5131" s="3" t="str">
        <f t="shared" ref="B5131:B5132" si="2648">CHOOSE(2, "1395000000687", "New recruits")</f>
        <v>New recruits</v>
      </c>
      <c r="C5131" s="4" t="str">
        <f>CHOOSE(2, "5461730030", "Jun 26")</f>
        <v>Jun 26</v>
      </c>
      <c r="D5131" s="14">
        <v>823</v>
      </c>
    </row>
    <row r="5132" spans="1:4" x14ac:dyDescent="0.35">
      <c r="A5132" s="5" t="str">
        <f t="shared" si="2625"/>
        <v>GA</v>
      </c>
      <c r="B5132" s="6" t="str">
        <f t="shared" si="2648"/>
        <v>New recruits</v>
      </c>
      <c r="C5132" s="4" t="str">
        <f>CHOOSE(2, "5462030031", "Jul 26")</f>
        <v>Jul 26</v>
      </c>
      <c r="D5132" s="14">
        <v>846</v>
      </c>
    </row>
    <row r="5133" spans="1:4" x14ac:dyDescent="0.35">
      <c r="A5133" s="5" t="str">
        <f t="shared" si="2625"/>
        <v>GA</v>
      </c>
      <c r="B5133" s="3" t="str">
        <f t="shared" ref="B5133:B5134" si="2649">CHOOSE(2, "1395000000686", "New recruits - Leader level")</f>
        <v>New recruits - Leader level</v>
      </c>
      <c r="C5133" s="4" t="str">
        <f>CHOOSE(2, "5461730030", "Jun 26")</f>
        <v>Jun 26</v>
      </c>
      <c r="D5133" s="2" t="s">
        <v>5</v>
      </c>
    </row>
    <row r="5134" spans="1:4" x14ac:dyDescent="0.35">
      <c r="A5134" s="5" t="str">
        <f t="shared" si="2625"/>
        <v>GA</v>
      </c>
      <c r="B5134" s="6" t="str">
        <f t="shared" si="2649"/>
        <v>New recruits - Leader level</v>
      </c>
      <c r="C5134" s="4" t="str">
        <f>CHOOSE(2, "5462030031", "Jul 26")</f>
        <v>Jul 26</v>
      </c>
      <c r="D5134" s="2" t="s">
        <v>5</v>
      </c>
    </row>
    <row r="5135" spans="1:4" x14ac:dyDescent="0.35">
      <c r="A5135" s="5" t="str">
        <f t="shared" si="2625"/>
        <v>GA</v>
      </c>
      <c r="B5135" s="3" t="str">
        <f t="shared" ref="B5135:B5136" si="2650">CHOOSE(2, "1395000000685", "New recruits - FA or equivalent")</f>
        <v>New recruits - FA or equivalent</v>
      </c>
      <c r="C5135" s="4" t="str">
        <f>CHOOSE(2, "5461730030", "Jun 26")</f>
        <v>Jun 26</v>
      </c>
      <c r="D5135" s="14">
        <v>742</v>
      </c>
    </row>
    <row r="5136" spans="1:4" x14ac:dyDescent="0.35">
      <c r="A5136" s="5" t="str">
        <f t="shared" si="2625"/>
        <v>GA</v>
      </c>
      <c r="B5136" s="6" t="str">
        <f t="shared" si="2650"/>
        <v>New recruits - FA or equivalent</v>
      </c>
      <c r="C5136" s="4" t="str">
        <f>CHOOSE(2, "5462030031", "Jul 26")</f>
        <v>Jul 26</v>
      </c>
      <c r="D5136" s="14">
        <v>766</v>
      </c>
    </row>
    <row r="5137" spans="1:4" x14ac:dyDescent="0.35">
      <c r="A5137" s="5" t="str">
        <f t="shared" si="2625"/>
        <v>GA</v>
      </c>
      <c r="B5137" s="3" t="str">
        <f t="shared" ref="B5137:B5138" si="2651">CHOOSE(2, "1395000000684", "New recruits in UM")</f>
        <v>New recruits in UM</v>
      </c>
      <c r="C5137" s="4" t="str">
        <f>CHOOSE(2, "5461730030", "Jun 26")</f>
        <v>Jun 26</v>
      </c>
      <c r="D5137" s="14">
        <v>46</v>
      </c>
    </row>
    <row r="5138" spans="1:4" x14ac:dyDescent="0.35">
      <c r="A5138" s="5" t="str">
        <f t="shared" si="2625"/>
        <v>GA</v>
      </c>
      <c r="B5138" s="6" t="str">
        <f t="shared" si="2651"/>
        <v>New recruits in UM</v>
      </c>
      <c r="C5138" s="4" t="str">
        <f>CHOOSE(2, "5462030031", "Jul 26")</f>
        <v>Jul 26</v>
      </c>
      <c r="D5138" s="14">
        <v>49</v>
      </c>
    </row>
    <row r="5139" spans="1:4" x14ac:dyDescent="0.35">
      <c r="A5139" s="5" t="str">
        <f t="shared" si="2625"/>
        <v>GA</v>
      </c>
      <c r="B5139" s="3" t="str">
        <f t="shared" ref="B5139:B5140" si="2652">CHOOSE(2, "1395000000683", "New recruits in Leaders above UM")</f>
        <v>New recruits in Leaders above UM</v>
      </c>
      <c r="C5139" s="4" t="str">
        <f>CHOOSE(2, "5461730030", "Jun 26")</f>
        <v>Jun 26</v>
      </c>
      <c r="D5139" s="14">
        <v>35</v>
      </c>
    </row>
    <row r="5140" spans="1:4" x14ac:dyDescent="0.35">
      <c r="A5140" s="5" t="str">
        <f t="shared" si="2625"/>
        <v>GA</v>
      </c>
      <c r="B5140" s="6" t="str">
        <f t="shared" si="2652"/>
        <v>New recruits in Leaders above UM</v>
      </c>
      <c r="C5140" s="4" t="str">
        <f>CHOOSE(2, "5462030031", "Jul 26")</f>
        <v>Jul 26</v>
      </c>
      <c r="D5140" s="14">
        <v>31</v>
      </c>
    </row>
    <row r="5141" spans="1:4" x14ac:dyDescent="0.35">
      <c r="A5141" s="5" t="str">
        <f t="shared" si="2625"/>
        <v>GA</v>
      </c>
      <c r="B5141" s="3" t="str">
        <f t="shared" ref="B5141:B5142" si="2653">CHOOSE(2, "1395000000682", "# of 6-90 agents")</f>
        <v># of 6-90 agents</v>
      </c>
      <c r="C5141" s="4" t="str">
        <f>CHOOSE(2, "5461730030", "Jun 26")</f>
        <v>Jun 26</v>
      </c>
      <c r="D5141" s="14">
        <v>44</v>
      </c>
    </row>
    <row r="5142" spans="1:4" x14ac:dyDescent="0.35">
      <c r="A5142" s="5" t="str">
        <f t="shared" si="2625"/>
        <v>GA</v>
      </c>
      <c r="B5142" s="6" t="str">
        <f t="shared" si="2653"/>
        <v># of 6-90 agents</v>
      </c>
      <c r="C5142" s="4" t="str">
        <f>CHOOSE(2, "5462030031", "Jul 26")</f>
        <v>Jul 26</v>
      </c>
      <c r="D5142" s="14">
        <v>44</v>
      </c>
    </row>
    <row r="5143" spans="1:4" x14ac:dyDescent="0.35">
      <c r="A5143" s="5" t="str">
        <f t="shared" si="2625"/>
        <v>GA</v>
      </c>
      <c r="B5143" s="3" t="str">
        <f t="shared" ref="B5143:B5144" si="2654">CHOOSE(2, "1395000000681", "New Recruits 3M Activation #")</f>
        <v>New Recruits 3M Activation #</v>
      </c>
      <c r="C5143" s="4" t="str">
        <f>CHOOSE(2, "5461730030", "Jun 26")</f>
        <v>Jun 26</v>
      </c>
      <c r="D5143" s="14">
        <v>279</v>
      </c>
    </row>
    <row r="5144" spans="1:4" x14ac:dyDescent="0.35">
      <c r="A5144" s="5" t="str">
        <f t="shared" si="2625"/>
        <v>GA</v>
      </c>
      <c r="B5144" s="6" t="str">
        <f t="shared" si="2654"/>
        <v>New Recruits 3M Activation #</v>
      </c>
      <c r="C5144" s="4" t="str">
        <f>CHOOSE(2, "5462030031", "Jul 26")</f>
        <v>Jul 26</v>
      </c>
      <c r="D5144" s="14">
        <v>292</v>
      </c>
    </row>
    <row r="5145" spans="1:4" x14ac:dyDescent="0.35">
      <c r="A5145" s="5" t="str">
        <f t="shared" si="2625"/>
        <v>GA</v>
      </c>
      <c r="B5145" s="3" t="str">
        <f t="shared" ref="B5145:B5146" si="2655">CHOOSE(2, "1395000000680", "No of Terminations")</f>
        <v>No of Terminations</v>
      </c>
      <c r="C5145" s="4" t="str">
        <f>CHOOSE(2, "5461730030", "Jun 26")</f>
        <v>Jun 26</v>
      </c>
      <c r="D5145" s="14">
        <v>44</v>
      </c>
    </row>
    <row r="5146" spans="1:4" x14ac:dyDescent="0.35">
      <c r="A5146" s="5" t="str">
        <f t="shared" si="2625"/>
        <v>GA</v>
      </c>
      <c r="B5146" s="6" t="str">
        <f t="shared" si="2655"/>
        <v>No of Terminations</v>
      </c>
      <c r="C5146" s="4" t="str">
        <f>CHOOSE(2, "5462030031", "Jul 26")</f>
        <v>Jul 26</v>
      </c>
      <c r="D5146" s="14">
        <v>77</v>
      </c>
    </row>
    <row r="5147" spans="1:4" x14ac:dyDescent="0.35">
      <c r="A5147" s="5" t="str">
        <f t="shared" si="2625"/>
        <v>GA</v>
      </c>
      <c r="B5147" s="3" t="str">
        <f t="shared" ref="B5147:B5148" si="2656">CHOOSE(2, "1395000000679", "No of Terminations in FA or equivalent")</f>
        <v>No of Terminations in FA or equivalent</v>
      </c>
      <c r="C5147" s="4" t="str">
        <f>CHOOSE(2, "5461730030", "Jun 26")</f>
        <v>Jun 26</v>
      </c>
      <c r="D5147" s="14">
        <v>37</v>
      </c>
    </row>
    <row r="5148" spans="1:4" x14ac:dyDescent="0.35">
      <c r="A5148" s="5" t="str">
        <f t="shared" si="2625"/>
        <v>GA</v>
      </c>
      <c r="B5148" s="6" t="str">
        <f t="shared" si="2656"/>
        <v>No of Terminations in FA or equivalent</v>
      </c>
      <c r="C5148" s="4" t="str">
        <f>CHOOSE(2, "5462030031", "Jul 26")</f>
        <v>Jul 26</v>
      </c>
      <c r="D5148" s="14">
        <v>70</v>
      </c>
    </row>
    <row r="5149" spans="1:4" x14ac:dyDescent="0.35">
      <c r="A5149" s="5" t="str">
        <f t="shared" si="2625"/>
        <v>GA</v>
      </c>
      <c r="B5149" s="3" t="str">
        <f t="shared" ref="B5149:B5150" si="2657">CHOOSE(2, "1395000000678", "No of Terminations in UM")</f>
        <v>No of Terminations in UM</v>
      </c>
      <c r="C5149" s="4" t="str">
        <f>CHOOSE(2, "5461730030", "Jun 26")</f>
        <v>Jun 26</v>
      </c>
      <c r="D5149" s="14">
        <v>4</v>
      </c>
    </row>
    <row r="5150" spans="1:4" x14ac:dyDescent="0.35">
      <c r="A5150" s="5" t="str">
        <f t="shared" si="2625"/>
        <v>GA</v>
      </c>
      <c r="B5150" s="6" t="str">
        <f t="shared" si="2657"/>
        <v>No of Terminations in UM</v>
      </c>
      <c r="C5150" s="4" t="str">
        <f>CHOOSE(2, "5462030031", "Jul 26")</f>
        <v>Jul 26</v>
      </c>
      <c r="D5150" s="14">
        <v>4</v>
      </c>
    </row>
    <row r="5151" spans="1:4" x14ac:dyDescent="0.35">
      <c r="A5151" s="5" t="str">
        <f t="shared" ref="A5151:A5214" si="2658">CHOOSE(2, "1260000000006", "GA")</f>
        <v>GA</v>
      </c>
      <c r="B5151" s="3" t="str">
        <f t="shared" ref="B5151:B5152" si="2659">CHOOSE(2, "1395000000677", "No of Terminations in Leaders above UM")</f>
        <v>No of Terminations in Leaders above UM</v>
      </c>
      <c r="C5151" s="4" t="str">
        <f>CHOOSE(2, "5461730030", "Jun 26")</f>
        <v>Jun 26</v>
      </c>
      <c r="D5151" s="14">
        <v>3</v>
      </c>
    </row>
    <row r="5152" spans="1:4" x14ac:dyDescent="0.35">
      <c r="A5152" s="5" t="str">
        <f t="shared" si="2658"/>
        <v>GA</v>
      </c>
      <c r="B5152" s="6" t="str">
        <f t="shared" si="2659"/>
        <v>No of Terminations in Leaders above UM</v>
      </c>
      <c r="C5152" s="4" t="str">
        <f>CHOOSE(2, "5462030031", "Jul 26")</f>
        <v>Jul 26</v>
      </c>
      <c r="D5152" s="14">
        <v>3</v>
      </c>
    </row>
    <row r="5153" spans="1:4" x14ac:dyDescent="0.35">
      <c r="A5153" s="5" t="str">
        <f t="shared" si="2658"/>
        <v>GA</v>
      </c>
      <c r="B5153" s="3" t="str">
        <f t="shared" ref="B5153:B5154" si="2660">CHOOSE(2, "1395000000676", "No of Terminations in Top-tier Agents")</f>
        <v>No of Terminations in Top-tier Agents</v>
      </c>
      <c r="C5153" s="4" t="str">
        <f>CHOOSE(2, "5461730030", "Jun 26")</f>
        <v>Jun 26</v>
      </c>
      <c r="D5153" s="14">
        <v>0</v>
      </c>
    </row>
    <row r="5154" spans="1:4" x14ac:dyDescent="0.35">
      <c r="A5154" s="5" t="str">
        <f t="shared" si="2658"/>
        <v>GA</v>
      </c>
      <c r="B5154" s="6" t="str">
        <f t="shared" si="2660"/>
        <v>No of Terminations in Top-tier Agents</v>
      </c>
      <c r="C5154" s="4" t="str">
        <f>CHOOSE(2, "5462030031", "Jul 26")</f>
        <v>Jul 26</v>
      </c>
      <c r="D5154" s="14">
        <v>0</v>
      </c>
    </row>
    <row r="5155" spans="1:4" x14ac:dyDescent="0.35">
      <c r="A5155" s="5" t="str">
        <f t="shared" si="2658"/>
        <v>GA</v>
      </c>
      <c r="B5155" s="3" t="str">
        <f t="shared" ref="B5155:B5156" si="2661">CHOOSE(2, "1395000000675", "No of Terminations in pro-rated MDRT agents (&gt;100%)")</f>
        <v>No of Terminations in pro-rated MDRT agents (&gt;100%)</v>
      </c>
      <c r="C5155" s="4" t="str">
        <f>CHOOSE(2, "5461730030", "Jun 26")</f>
        <v>Jun 26</v>
      </c>
      <c r="D5155" s="14">
        <v>0</v>
      </c>
    </row>
    <row r="5156" spans="1:4" x14ac:dyDescent="0.35">
      <c r="A5156" s="5" t="str">
        <f t="shared" si="2658"/>
        <v>GA</v>
      </c>
      <c r="B5156" s="6" t="str">
        <f t="shared" si="2661"/>
        <v>No of Terminations in pro-rated MDRT agents (&gt;100%)</v>
      </c>
      <c r="C5156" s="4" t="str">
        <f>CHOOSE(2, "5462030031", "Jul 26")</f>
        <v>Jul 26</v>
      </c>
      <c r="D5156" s="14">
        <v>0</v>
      </c>
    </row>
    <row r="5157" spans="1:4" x14ac:dyDescent="0.35">
      <c r="A5157" s="5" t="str">
        <f t="shared" si="2658"/>
        <v>GA</v>
      </c>
      <c r="B5157" s="3" t="str">
        <f t="shared" ref="B5157:B5158" si="2662">CHOOSE(2, "1395000000674", "No of Terminations in pro-rated MDRT agents (70-99%)")</f>
        <v>No of Terminations in pro-rated MDRT agents (70-99%)</v>
      </c>
      <c r="C5157" s="4" t="str">
        <f>CHOOSE(2, "5461730030", "Jun 26")</f>
        <v>Jun 26</v>
      </c>
      <c r="D5157" s="14">
        <v>0</v>
      </c>
    </row>
    <row r="5158" spans="1:4" x14ac:dyDescent="0.35">
      <c r="A5158" s="5" t="str">
        <f t="shared" si="2658"/>
        <v>GA</v>
      </c>
      <c r="B5158" s="6" t="str">
        <f t="shared" si="2662"/>
        <v>No of Terminations in pro-rated MDRT agents (70-99%)</v>
      </c>
      <c r="C5158" s="4" t="str">
        <f>CHOOSE(2, "5462030031", "Jul 26")</f>
        <v>Jul 26</v>
      </c>
      <c r="D5158" s="14">
        <v>0</v>
      </c>
    </row>
    <row r="5159" spans="1:4" x14ac:dyDescent="0.35">
      <c r="A5159" s="5" t="str">
        <f t="shared" si="2658"/>
        <v>GA</v>
      </c>
      <c r="B5159" s="3" t="str">
        <f t="shared" ref="B5159:B5160" si="2663">CHOOSE(2, "1395000000673", "No of Terminations in pro-rated MDRT agents (50-69%)")</f>
        <v>No of Terminations in pro-rated MDRT agents (50-69%)</v>
      </c>
      <c r="C5159" s="4" t="str">
        <f>CHOOSE(2, "5461730030", "Jun 26")</f>
        <v>Jun 26</v>
      </c>
      <c r="D5159" s="14">
        <v>0</v>
      </c>
    </row>
    <row r="5160" spans="1:4" x14ac:dyDescent="0.35">
      <c r="A5160" s="5" t="str">
        <f t="shared" si="2658"/>
        <v>GA</v>
      </c>
      <c r="B5160" s="6" t="str">
        <f t="shared" si="2663"/>
        <v>No of Terminations in pro-rated MDRT agents (50-69%)</v>
      </c>
      <c r="C5160" s="4" t="str">
        <f>CHOOSE(2, "5462030031", "Jul 26")</f>
        <v>Jul 26</v>
      </c>
      <c r="D5160" s="14">
        <v>0</v>
      </c>
    </row>
    <row r="5161" spans="1:4" x14ac:dyDescent="0.35">
      <c r="A5161" s="5" t="str">
        <f t="shared" si="2658"/>
        <v>GA</v>
      </c>
      <c r="B5161" s="3" t="str">
        <f t="shared" ref="B5161:B5162" si="2664">CHOOSE(2, "1395000000672", "No of Terminations in Manulife Pro Qualifiers - Total")</f>
        <v>No of Terminations in Manulife Pro Qualifiers - Total</v>
      </c>
      <c r="C5161" s="4" t="str">
        <f>CHOOSE(2, "5461730030", "Jun 26")</f>
        <v>Jun 26</v>
      </c>
      <c r="D5161" s="14">
        <v>0</v>
      </c>
    </row>
    <row r="5162" spans="1:4" x14ac:dyDescent="0.35">
      <c r="A5162" s="5" t="str">
        <f t="shared" si="2658"/>
        <v>GA</v>
      </c>
      <c r="B5162" s="6" t="str">
        <f t="shared" si="2664"/>
        <v>No of Terminations in Manulife Pro Qualifiers - Total</v>
      </c>
      <c r="C5162" s="4" t="str">
        <f>CHOOSE(2, "5462030031", "Jul 26")</f>
        <v>Jul 26</v>
      </c>
      <c r="D5162" s="14">
        <v>0</v>
      </c>
    </row>
    <row r="5163" spans="1:4" x14ac:dyDescent="0.35">
      <c r="A5163" s="5" t="str">
        <f t="shared" si="2658"/>
        <v>GA</v>
      </c>
      <c r="B5163" s="3" t="str">
        <f t="shared" ref="B5163:B5164" si="2665">CHOOSE(2, "1395000000671", "First Year Agents Terminated without Sales")</f>
        <v>First Year Agents Terminated without Sales</v>
      </c>
      <c r="C5163" s="4" t="str">
        <f>CHOOSE(2, "5461730030", "Jun 26")</f>
        <v>Jun 26</v>
      </c>
      <c r="D5163" s="14">
        <v>10</v>
      </c>
    </row>
    <row r="5164" spans="1:4" x14ac:dyDescent="0.35">
      <c r="A5164" s="5" t="str">
        <f t="shared" si="2658"/>
        <v>GA</v>
      </c>
      <c r="B5164" s="6" t="str">
        <f t="shared" si="2665"/>
        <v>First Year Agents Terminated without Sales</v>
      </c>
      <c r="C5164" s="4" t="str">
        <f>CHOOSE(2, "5462030031", "Jul 26")</f>
        <v>Jul 26</v>
      </c>
      <c r="D5164" s="14">
        <v>26</v>
      </c>
    </row>
    <row r="5165" spans="1:4" x14ac:dyDescent="0.35">
      <c r="A5165" s="5" t="str">
        <f t="shared" si="2658"/>
        <v>GA</v>
      </c>
      <c r="B5165" s="3" t="str">
        <f t="shared" ref="B5165:B5166" si="2666">CHOOSE(2, "1395000000670", "6mth Agency Retention Ratio")</f>
        <v>6mth Agency Retention Ratio</v>
      </c>
      <c r="C5165" s="4" t="str">
        <f>CHOOSE(2, "5461730030", "Jun 26")</f>
        <v>Jun 26</v>
      </c>
      <c r="D5165" s="14">
        <v>0.94082699999999997</v>
      </c>
    </row>
    <row r="5166" spans="1:4" x14ac:dyDescent="0.35">
      <c r="A5166" s="5" t="str">
        <f t="shared" si="2658"/>
        <v>GA</v>
      </c>
      <c r="B5166" s="6" t="str">
        <f t="shared" si="2666"/>
        <v>6mth Agency Retention Ratio</v>
      </c>
      <c r="C5166" s="4" t="str">
        <f>CHOOSE(2, "5462030031", "Jul 26")</f>
        <v>Jul 26</v>
      </c>
      <c r="D5166" s="14">
        <v>0.942303</v>
      </c>
    </row>
    <row r="5167" spans="1:4" x14ac:dyDescent="0.35">
      <c r="A5167" s="5" t="str">
        <f t="shared" si="2658"/>
        <v>GA</v>
      </c>
      <c r="B5167" s="3" t="str">
        <f t="shared" ref="B5167:B5168" si="2667">CHOOSE(2, "1395000000669", "12mth Agency Retention Ratio")</f>
        <v>12mth Agency Retention Ratio</v>
      </c>
      <c r="C5167" s="4" t="str">
        <f>CHOOSE(2, "5461730030", "Jun 26")</f>
        <v>Jun 26</v>
      </c>
      <c r="D5167" s="14">
        <v>0.57761799999999996</v>
      </c>
    </row>
    <row r="5168" spans="1:4" x14ac:dyDescent="0.35">
      <c r="A5168" s="5" t="str">
        <f t="shared" si="2658"/>
        <v>GA</v>
      </c>
      <c r="B5168" s="6" t="str">
        <f t="shared" si="2667"/>
        <v>12mth Agency Retention Ratio</v>
      </c>
      <c r="C5168" s="4" t="str">
        <f>CHOOSE(2, "5462030031", "Jul 26")</f>
        <v>Jul 26</v>
      </c>
      <c r="D5168" s="14">
        <v>0.61958000000000002</v>
      </c>
    </row>
    <row r="5169" spans="1:4" x14ac:dyDescent="0.35">
      <c r="A5169" s="5" t="str">
        <f t="shared" si="2658"/>
        <v>GA</v>
      </c>
      <c r="B5169" s="3" t="str">
        <f t="shared" ref="B5169:B5170" si="2668">CHOOSE(2, "1395000000668", "24mth Agency Retention Ratio")</f>
        <v>24mth Agency Retention Ratio</v>
      </c>
      <c r="C5169" s="4" t="str">
        <f>CHOOSE(2, "5461730030", "Jun 26")</f>
        <v>Jun 26</v>
      </c>
      <c r="D5169" s="14">
        <v>0.31676399999999999</v>
      </c>
    </row>
    <row r="5170" spans="1:4" x14ac:dyDescent="0.35">
      <c r="A5170" s="5" t="str">
        <f t="shared" si="2658"/>
        <v>GA</v>
      </c>
      <c r="B5170" s="6" t="str">
        <f t="shared" si="2668"/>
        <v>24mth Agency Retention Ratio</v>
      </c>
      <c r="C5170" s="4" t="str">
        <f>CHOOSE(2, "5462030031", "Jul 26")</f>
        <v>Jul 26</v>
      </c>
      <c r="D5170" s="14">
        <v>0.30943500000000002</v>
      </c>
    </row>
    <row r="5171" spans="1:4" x14ac:dyDescent="0.35">
      <c r="A5171" s="5" t="str">
        <f t="shared" si="2658"/>
        <v>GA</v>
      </c>
      <c r="B5171" s="3" t="str">
        <f t="shared" ref="B5171:B5172" si="2669">CHOOSE(2, "1395000000667", "Total # of Leaders (end of period)")</f>
        <v>Total # of Leaders (end of period)</v>
      </c>
      <c r="C5171" s="4" t="str">
        <f>CHOOSE(2, "5461730030", "Jun 26")</f>
        <v>Jun 26</v>
      </c>
      <c r="D5171" s="14">
        <v>2244</v>
      </c>
    </row>
    <row r="5172" spans="1:4" x14ac:dyDescent="0.35">
      <c r="A5172" s="5" t="str">
        <f t="shared" si="2658"/>
        <v>GA</v>
      </c>
      <c r="B5172" s="6" t="str">
        <f t="shared" si="2669"/>
        <v>Total # of Leaders (end of period)</v>
      </c>
      <c r="C5172" s="4" t="str">
        <f>CHOOSE(2, "5462030031", "Jul 26")</f>
        <v>Jul 26</v>
      </c>
      <c r="D5172" s="14">
        <v>2361</v>
      </c>
    </row>
    <row r="5173" spans="1:4" x14ac:dyDescent="0.35">
      <c r="A5173" s="5" t="str">
        <f t="shared" si="2658"/>
        <v>GA</v>
      </c>
      <c r="B5173" s="3" t="str">
        <f t="shared" ref="B5173:B5174" si="2670">CHOOSE(2, "1395000000666", "Total # of Unit Managers")</f>
        <v>Total # of Unit Managers</v>
      </c>
      <c r="C5173" s="4" t="str">
        <f>CHOOSE(2, "5461730030", "Jun 26")</f>
        <v>Jun 26</v>
      </c>
      <c r="D5173" s="14">
        <v>1252</v>
      </c>
    </row>
    <row r="5174" spans="1:4" x14ac:dyDescent="0.35">
      <c r="A5174" s="5" t="str">
        <f t="shared" si="2658"/>
        <v>GA</v>
      </c>
      <c r="B5174" s="6" t="str">
        <f t="shared" si="2670"/>
        <v>Total # of Unit Managers</v>
      </c>
      <c r="C5174" s="4" t="str">
        <f>CHOOSE(2, "5462030031", "Jul 26")</f>
        <v>Jul 26</v>
      </c>
      <c r="D5174" s="14">
        <v>1327</v>
      </c>
    </row>
    <row r="5175" spans="1:4" x14ac:dyDescent="0.35">
      <c r="A5175" s="5" t="str">
        <f t="shared" si="2658"/>
        <v>GA</v>
      </c>
      <c r="B5175" s="3" t="str">
        <f t="shared" ref="B5175:B5176" si="2671">CHOOSE(2, "1395000000665", "Total # of Leaders above Unit Manager level")</f>
        <v>Total # of Leaders above Unit Manager level</v>
      </c>
      <c r="C5175" s="4" t="str">
        <f>CHOOSE(2, "5461730030", "Jun 26")</f>
        <v>Jun 26</v>
      </c>
      <c r="D5175" s="14">
        <v>992</v>
      </c>
    </row>
    <row r="5176" spans="1:4" x14ac:dyDescent="0.35">
      <c r="A5176" s="5" t="str">
        <f t="shared" si="2658"/>
        <v>GA</v>
      </c>
      <c r="B5176" s="6" t="str">
        <f t="shared" si="2671"/>
        <v>Total # of Leaders above Unit Manager level</v>
      </c>
      <c r="C5176" s="4" t="str">
        <f>CHOOSE(2, "5462030031", "Jul 26")</f>
        <v>Jul 26</v>
      </c>
      <c r="D5176" s="14">
        <v>1034</v>
      </c>
    </row>
    <row r="5177" spans="1:4" x14ac:dyDescent="0.35">
      <c r="A5177" s="5" t="str">
        <f t="shared" si="2658"/>
        <v>GA</v>
      </c>
      <c r="B5177" s="3" t="str">
        <f t="shared" ref="B5177:B5178" si="2672">CHOOSE(2, "1395000000664", "Total # of Agents below Unit Manager level (end of period)")</f>
        <v>Total # of Agents below Unit Manager level (end of period)</v>
      </c>
      <c r="C5177" s="4" t="str">
        <f>CHOOSE(2, "5461730030", "Jun 26")</f>
        <v>Jun 26</v>
      </c>
      <c r="D5177" s="14">
        <v>11622</v>
      </c>
    </row>
    <row r="5178" spans="1:4" x14ac:dyDescent="0.35">
      <c r="A5178" s="5" t="str">
        <f t="shared" si="2658"/>
        <v>GA</v>
      </c>
      <c r="B5178" s="6" t="str">
        <f t="shared" si="2672"/>
        <v>Total # of Agents below Unit Manager level (end of period)</v>
      </c>
      <c r="C5178" s="4" t="str">
        <f>CHOOSE(2, "5462030031", "Jul 26")</f>
        <v>Jul 26</v>
      </c>
      <c r="D5178" s="14">
        <v>12273</v>
      </c>
    </row>
    <row r="5179" spans="1:4" x14ac:dyDescent="0.35">
      <c r="A5179" s="5" t="str">
        <f t="shared" si="2658"/>
        <v>GA</v>
      </c>
      <c r="B5179" s="3" t="str">
        <f t="shared" ref="B5179:B5180" si="2673">CHOOSE(2, "1395000000663", "# of Active Recruiting Leaders")</f>
        <v># of Active Recruiting Leaders</v>
      </c>
      <c r="C5179" s="4" t="str">
        <f>CHOOSE(2, "5461730030", "Jun 26")</f>
        <v>Jun 26</v>
      </c>
      <c r="D5179" s="14">
        <v>352</v>
      </c>
    </row>
    <row r="5180" spans="1:4" x14ac:dyDescent="0.35">
      <c r="A5180" s="5" t="str">
        <f t="shared" si="2658"/>
        <v>GA</v>
      </c>
      <c r="B5180" s="6" t="str">
        <f t="shared" si="2673"/>
        <v># of Active Recruiting Leaders</v>
      </c>
      <c r="C5180" s="4" t="str">
        <f>CHOOSE(2, "5462030031", "Jul 26")</f>
        <v>Jul 26</v>
      </c>
      <c r="D5180" s="14">
        <v>370</v>
      </c>
    </row>
    <row r="5181" spans="1:4" x14ac:dyDescent="0.35">
      <c r="A5181" s="5" t="str">
        <f t="shared" si="2658"/>
        <v>GA</v>
      </c>
      <c r="B5181" s="3" t="str">
        <f t="shared" ref="B5181:B5182" si="2674">CHOOSE(2, "1395000000662", "# of leaders with &gt;1 YTD recruit")</f>
        <v># of leaders with &gt;1 YTD recruit</v>
      </c>
      <c r="C5181" s="4" t="str">
        <f>CHOOSE(2, "5461730030", "Jun 26")</f>
        <v>Jun 26</v>
      </c>
      <c r="D5181" s="14">
        <v>1050</v>
      </c>
    </row>
    <row r="5182" spans="1:4" x14ac:dyDescent="0.35">
      <c r="A5182" s="5" t="str">
        <f t="shared" si="2658"/>
        <v>GA</v>
      </c>
      <c r="B5182" s="6" t="str">
        <f t="shared" si="2674"/>
        <v># of leaders with &gt;1 YTD recruit</v>
      </c>
      <c r="C5182" s="4" t="str">
        <f>CHOOSE(2, "5462030031", "Jul 26")</f>
        <v>Jul 26</v>
      </c>
      <c r="D5182" s="14">
        <v>1218</v>
      </c>
    </row>
    <row r="5183" spans="1:4" x14ac:dyDescent="0.35">
      <c r="A5183" s="5" t="str">
        <f t="shared" si="2658"/>
        <v>GA</v>
      </c>
      <c r="B5183" s="3" t="str">
        <f t="shared" ref="B5183:B5184" si="2675">CHOOSE(2, "1395000000661", "Income ratio from personal sales (UM)")</f>
        <v>Income ratio from personal sales (UM)</v>
      </c>
      <c r="C5183" s="4" t="str">
        <f>CHOOSE(2, "5461730030", "Jun 26")</f>
        <v>Jun 26</v>
      </c>
      <c r="D5183" s="14">
        <v>0.99899890233807065</v>
      </c>
    </row>
    <row r="5184" spans="1:4" x14ac:dyDescent="0.35">
      <c r="A5184" s="5" t="str">
        <f t="shared" si="2658"/>
        <v>GA</v>
      </c>
      <c r="B5184" s="6" t="str">
        <f t="shared" si="2675"/>
        <v>Income ratio from personal sales (UM)</v>
      </c>
      <c r="C5184" s="4" t="str">
        <f>CHOOSE(2, "5462030031", "Jul 26")</f>
        <v>Jul 26</v>
      </c>
      <c r="D5184" s="14">
        <v>0.9935762074735518</v>
      </c>
    </row>
    <row r="5185" spans="1:4" x14ac:dyDescent="0.35">
      <c r="A5185" s="5" t="str">
        <f t="shared" si="2658"/>
        <v>GA</v>
      </c>
      <c r="B5185" s="3" t="str">
        <f t="shared" ref="B5185:B5186" si="2676">CHOOSE(2, "1395000000660", "Income ratio from personal sales (UM) (numerator)")</f>
        <v>Income ratio from personal sales (UM) (numerator)</v>
      </c>
      <c r="C5185" s="4" t="str">
        <f>CHOOSE(2, "5461730030", "Jun 26")</f>
        <v>Jun 26</v>
      </c>
      <c r="D5185" s="14">
        <v>196059.80924800001</v>
      </c>
    </row>
    <row r="5186" spans="1:4" x14ac:dyDescent="0.35">
      <c r="A5186" s="5" t="str">
        <f t="shared" si="2658"/>
        <v>GA</v>
      </c>
      <c r="B5186" s="6" t="str">
        <f t="shared" si="2676"/>
        <v>Income ratio from personal sales (UM) (numerator)</v>
      </c>
      <c r="C5186" s="4" t="str">
        <f>CHOOSE(2, "5462030031", "Jul 26")</f>
        <v>Jul 26</v>
      </c>
      <c r="D5186" s="14">
        <v>216720.12523800001</v>
      </c>
    </row>
    <row r="5187" spans="1:4" x14ac:dyDescent="0.35">
      <c r="A5187" s="5" t="str">
        <f t="shared" si="2658"/>
        <v>GA</v>
      </c>
      <c r="B5187" s="3" t="str">
        <f t="shared" ref="B5187:B5188" si="2677">CHOOSE(2, "1395000000659", "Income ratio from personal sales (UM) (denominator)")</f>
        <v>Income ratio from personal sales (UM) (denominator)</v>
      </c>
      <c r="C5187" s="4" t="str">
        <f>CHOOSE(2, "5461730030", "Jun 26")</f>
        <v>Jun 26</v>
      </c>
      <c r="D5187" s="14">
        <v>196256.280952</v>
      </c>
    </row>
    <row r="5188" spans="1:4" x14ac:dyDescent="0.35">
      <c r="A5188" s="5" t="str">
        <f t="shared" si="2658"/>
        <v>GA</v>
      </c>
      <c r="B5188" s="6" t="str">
        <f t="shared" si="2677"/>
        <v>Income ratio from personal sales (UM) (denominator)</v>
      </c>
      <c r="C5188" s="4" t="str">
        <f>CHOOSE(2, "5462030031", "Jul 26")</f>
        <v>Jul 26</v>
      </c>
      <c r="D5188" s="14">
        <v>218121.29115800001</v>
      </c>
    </row>
    <row r="5189" spans="1:4" x14ac:dyDescent="0.35">
      <c r="A5189" s="5" t="str">
        <f t="shared" si="2658"/>
        <v>GA</v>
      </c>
      <c r="B5189" s="3" t="str">
        <f t="shared" ref="B5189:B5190" si="2678">CHOOSE(2, "1395000000658", "Income ratio from personal sales (Leader above UM)")</f>
        <v>Income ratio from personal sales (Leader above UM)</v>
      </c>
      <c r="C5189" s="4" t="str">
        <f>CHOOSE(2, "5461730030", "Jun 26")</f>
        <v>Jun 26</v>
      </c>
      <c r="D5189" s="14">
        <v>0.97139378578085422</v>
      </c>
    </row>
    <row r="5190" spans="1:4" x14ac:dyDescent="0.35">
      <c r="A5190" s="5" t="str">
        <f t="shared" si="2658"/>
        <v>GA</v>
      </c>
      <c r="B5190" s="6" t="str">
        <f t="shared" si="2678"/>
        <v>Income ratio from personal sales (Leader above UM)</v>
      </c>
      <c r="C5190" s="4" t="str">
        <f>CHOOSE(2, "5462030031", "Jul 26")</f>
        <v>Jul 26</v>
      </c>
      <c r="D5190" s="14">
        <v>0.96314094153953045</v>
      </c>
    </row>
    <row r="5191" spans="1:4" x14ac:dyDescent="0.35">
      <c r="A5191" s="5" t="str">
        <f t="shared" si="2658"/>
        <v>GA</v>
      </c>
      <c r="B5191" s="3" t="str">
        <f t="shared" ref="B5191:B5192" si="2679">CHOOSE(2, "1395000000657", "Income ratio from personal sales (Leader above UM) (num)")</f>
        <v>Income ratio from personal sales (Leader above UM) (num)</v>
      </c>
      <c r="C5191" s="4" t="str">
        <f>CHOOSE(2, "5461730030", "Jun 26")</f>
        <v>Jun 26</v>
      </c>
      <c r="D5191" s="14">
        <v>212466.95456700001</v>
      </c>
    </row>
    <row r="5192" spans="1:4" x14ac:dyDescent="0.35">
      <c r="A5192" s="5" t="str">
        <f t="shared" si="2658"/>
        <v>GA</v>
      </c>
      <c r="B5192" s="6" t="str">
        <f t="shared" si="2679"/>
        <v>Income ratio from personal sales (Leader above UM) (num)</v>
      </c>
      <c r="C5192" s="4" t="str">
        <f>CHOOSE(2, "5462030031", "Jul 26")</f>
        <v>Jul 26</v>
      </c>
      <c r="D5192" s="14">
        <v>248317.92182399999</v>
      </c>
    </row>
    <row r="5193" spans="1:4" x14ac:dyDescent="0.35">
      <c r="A5193" s="5" t="str">
        <f t="shared" si="2658"/>
        <v>GA</v>
      </c>
      <c r="B5193" s="3" t="str">
        <f t="shared" ref="B5193:B5194" si="2680">CHOOSE(2, "1395000000656", "Income ratio from personal sales (Leader above UM) (den)")</f>
        <v>Income ratio from personal sales (Leader above UM) (den)</v>
      </c>
      <c r="C5193" s="4" t="str">
        <f>CHOOSE(2, "5461730030", "Jun 26")</f>
        <v>Jun 26</v>
      </c>
      <c r="D5193" s="14">
        <v>218723.81487</v>
      </c>
    </row>
    <row r="5194" spans="1:4" x14ac:dyDescent="0.35">
      <c r="A5194" s="5" t="str">
        <f t="shared" si="2658"/>
        <v>GA</v>
      </c>
      <c r="B5194" s="6" t="str">
        <f t="shared" si="2680"/>
        <v>Income ratio from personal sales (Leader above UM) (den)</v>
      </c>
      <c r="C5194" s="4" t="str">
        <f>CHOOSE(2, "5462030031", "Jul 26")</f>
        <v>Jul 26</v>
      </c>
      <c r="D5194" s="14">
        <v>257820.95964799999</v>
      </c>
    </row>
    <row r="5195" spans="1:4" x14ac:dyDescent="0.35">
      <c r="A5195" s="5" t="str">
        <f t="shared" si="2658"/>
        <v>GA</v>
      </c>
      <c r="B5195" s="3" t="str">
        <f t="shared" ref="B5195:B5196" si="2681">CHOOSE(2, "1395000000655", "Total agent earnings")</f>
        <v>Total agent earnings</v>
      </c>
      <c r="C5195" s="4" t="str">
        <f>CHOOSE(2, "5461730030", "Jun 26")</f>
        <v>Jun 26</v>
      </c>
      <c r="D5195" s="14">
        <v>56.647693637682003</v>
      </c>
    </row>
    <row r="5196" spans="1:4" x14ac:dyDescent="0.35">
      <c r="A5196" s="5" t="str">
        <f t="shared" si="2658"/>
        <v>GA</v>
      </c>
      <c r="B5196" s="6" t="str">
        <f t="shared" si="2681"/>
        <v>Total agent earnings</v>
      </c>
      <c r="C5196" s="4" t="str">
        <f>CHOOSE(2, "5462030031", "Jul 26")</f>
        <v>Jul 26</v>
      </c>
      <c r="D5196" s="14">
        <v>62.532706739469006</v>
      </c>
    </row>
    <row r="5197" spans="1:4" x14ac:dyDescent="0.35">
      <c r="A5197" s="5" t="str">
        <f t="shared" si="2658"/>
        <v>GA</v>
      </c>
      <c r="B5197" s="3" t="str">
        <f t="shared" ref="B5197:B5198" si="2682">CHOOSE(2, "1395000000654", "Total agent earnings in FA or equivalent")</f>
        <v>Total agent earnings in FA or equivalent</v>
      </c>
      <c r="C5197" s="4" t="str">
        <f>CHOOSE(2, "5461730030", "Jun 26")</f>
        <v>Jun 26</v>
      </c>
      <c r="D5197" s="14">
        <v>32.993828175885007</v>
      </c>
    </row>
    <row r="5198" spans="1:4" x14ac:dyDescent="0.35">
      <c r="A5198" s="5" t="str">
        <f t="shared" si="2658"/>
        <v>GA</v>
      </c>
      <c r="B5198" s="6" t="str">
        <f t="shared" si="2682"/>
        <v>Total agent earnings in FA or equivalent</v>
      </c>
      <c r="C5198" s="4" t="str">
        <f>CHOOSE(2, "5462030031", "Jul 26")</f>
        <v>Jul 26</v>
      </c>
      <c r="D5198" s="14">
        <v>35.403998443527001</v>
      </c>
    </row>
    <row r="5199" spans="1:4" x14ac:dyDescent="0.35">
      <c r="A5199" s="5" t="str">
        <f t="shared" si="2658"/>
        <v>GA</v>
      </c>
      <c r="B5199" s="3" t="str">
        <f t="shared" ref="B5199:B5200" si="2683">CHOOSE(2, "1395000000653", "Total agent earnings in UM")</f>
        <v>Total agent earnings in UM</v>
      </c>
      <c r="C5199" s="4" t="str">
        <f>CHOOSE(2, "5461730030", "Jun 26")</f>
        <v>Jun 26</v>
      </c>
      <c r="D5199" s="14">
        <v>11.186608014264001</v>
      </c>
    </row>
    <row r="5200" spans="1:4" x14ac:dyDescent="0.35">
      <c r="A5200" s="5" t="str">
        <f t="shared" si="2658"/>
        <v>GA</v>
      </c>
      <c r="B5200" s="6" t="str">
        <f t="shared" si="2683"/>
        <v>Total agent earnings in UM</v>
      </c>
      <c r="C5200" s="4" t="str">
        <f>CHOOSE(2, "5462030031", "Jul 26")</f>
        <v>Jul 26</v>
      </c>
      <c r="D5200" s="14">
        <v>12.432913596006001</v>
      </c>
    </row>
    <row r="5201" spans="1:4" x14ac:dyDescent="0.35">
      <c r="A5201" s="5" t="str">
        <f t="shared" si="2658"/>
        <v>GA</v>
      </c>
      <c r="B5201" s="3" t="str">
        <f t="shared" ref="B5201:B5202" si="2684">CHOOSE(2, "1395000000652", "Total agent earnings in Leaders above UM")</f>
        <v>Total agent earnings in Leaders above UM</v>
      </c>
      <c r="C5201" s="4" t="str">
        <f>CHOOSE(2, "5461730030", "Jun 26")</f>
        <v>Jun 26</v>
      </c>
      <c r="D5201" s="14">
        <v>12.467257447590001</v>
      </c>
    </row>
    <row r="5202" spans="1:4" x14ac:dyDescent="0.35">
      <c r="A5202" s="5" t="str">
        <f t="shared" si="2658"/>
        <v>GA</v>
      </c>
      <c r="B5202" s="6" t="str">
        <f t="shared" si="2684"/>
        <v>Total agent earnings in Leaders above UM</v>
      </c>
      <c r="C5202" s="4" t="str">
        <f>CHOOSE(2, "5462030031", "Jul 26")</f>
        <v>Jul 26</v>
      </c>
      <c r="D5202" s="14">
        <v>14.695794699936</v>
      </c>
    </row>
    <row r="5203" spans="1:4" x14ac:dyDescent="0.35">
      <c r="A5203" s="5" t="str">
        <f t="shared" si="2658"/>
        <v>GA</v>
      </c>
      <c r="B5203" s="3" t="str">
        <f t="shared" ref="B5203:B5204" si="2685">CHOOSE(2, "1395000000651", "# of Newly Promoted UM")</f>
        <v># of Newly Promoted UM</v>
      </c>
      <c r="C5203" s="4" t="str">
        <f>CHOOSE(2, "5461730030", "Jun 26")</f>
        <v>Jun 26</v>
      </c>
      <c r="D5203" s="14">
        <v>17</v>
      </c>
    </row>
    <row r="5204" spans="1:4" x14ac:dyDescent="0.35">
      <c r="A5204" s="5" t="str">
        <f t="shared" si="2658"/>
        <v>GA</v>
      </c>
      <c r="B5204" s="6" t="str">
        <f t="shared" si="2685"/>
        <v># of Newly Promoted UM</v>
      </c>
      <c r="C5204" s="4" t="str">
        <f>CHOOSE(2, "5462030031", "Jul 26")</f>
        <v>Jul 26</v>
      </c>
      <c r="D5204" s="14">
        <v>47</v>
      </c>
    </row>
    <row r="5205" spans="1:4" x14ac:dyDescent="0.35">
      <c r="A5205" s="5" t="str">
        <f t="shared" si="2658"/>
        <v>GA</v>
      </c>
      <c r="B5205" s="3" t="str">
        <f t="shared" ref="B5205:B5206" si="2686">CHOOSE(2, "1395000000650", "# of Newly Promoted Leaders above UM")</f>
        <v># of Newly Promoted Leaders above UM</v>
      </c>
      <c r="C5205" s="4" t="str">
        <f>CHOOSE(2, "5461730030", "Jun 26")</f>
        <v>Jun 26</v>
      </c>
      <c r="D5205" s="14">
        <v>5</v>
      </c>
    </row>
    <row r="5206" spans="1:4" x14ac:dyDescent="0.35">
      <c r="A5206" s="5" t="str">
        <f t="shared" si="2658"/>
        <v>GA</v>
      </c>
      <c r="B5206" s="6" t="str">
        <f t="shared" si="2686"/>
        <v># of Newly Promoted Leaders above UM</v>
      </c>
      <c r="C5206" s="4" t="str">
        <f>CHOOSE(2, "5462030031", "Jul 26")</f>
        <v>Jul 26</v>
      </c>
      <c r="D5206" s="14">
        <v>17</v>
      </c>
    </row>
    <row r="5207" spans="1:4" x14ac:dyDescent="0.35">
      <c r="A5207" s="5" t="str">
        <f t="shared" si="2658"/>
        <v>GA</v>
      </c>
      <c r="B5207" s="3" t="str">
        <f t="shared" ref="B5207:B5208" si="2687">CHOOSE(2, "1395000000649", "# of Total Leader Promotions")</f>
        <v># of Total Leader Promotions</v>
      </c>
      <c r="C5207" s="4" t="str">
        <f>CHOOSE(2, "5461730030", "Jun 26")</f>
        <v>Jun 26</v>
      </c>
      <c r="D5207" s="14">
        <v>22</v>
      </c>
    </row>
    <row r="5208" spans="1:4" x14ac:dyDescent="0.35">
      <c r="A5208" s="5" t="str">
        <f t="shared" si="2658"/>
        <v>GA</v>
      </c>
      <c r="B5208" s="6" t="str">
        <f t="shared" si="2687"/>
        <v># of Total Leader Promotions</v>
      </c>
      <c r="C5208" s="4" t="str">
        <f>CHOOSE(2, "5462030031", "Jul 26")</f>
        <v>Jul 26</v>
      </c>
      <c r="D5208" s="14">
        <v>64</v>
      </c>
    </row>
    <row r="5209" spans="1:4" x14ac:dyDescent="0.35">
      <c r="A5209" s="5" t="str">
        <f t="shared" si="2658"/>
        <v>GA</v>
      </c>
      <c r="B5209" s="3" t="str">
        <f t="shared" ref="B5209:B5210" si="2688">CHOOSE(2, "1395000000648", "# of Newly Demoted UM")</f>
        <v># of Newly Demoted UM</v>
      </c>
      <c r="C5209" s="4" t="str">
        <f>CHOOSE(2, "5461730030", "Jun 26")</f>
        <v>Jun 26</v>
      </c>
      <c r="D5209" s="14">
        <v>10</v>
      </c>
    </row>
    <row r="5210" spans="1:4" x14ac:dyDescent="0.35">
      <c r="A5210" s="5" t="str">
        <f t="shared" si="2658"/>
        <v>GA</v>
      </c>
      <c r="B5210" s="6" t="str">
        <f t="shared" si="2688"/>
        <v># of Newly Demoted UM</v>
      </c>
      <c r="C5210" s="4" t="str">
        <f>CHOOSE(2, "5462030031", "Jul 26")</f>
        <v>Jul 26</v>
      </c>
      <c r="D5210" s="14">
        <v>3</v>
      </c>
    </row>
    <row r="5211" spans="1:4" x14ac:dyDescent="0.35">
      <c r="A5211" s="5" t="str">
        <f t="shared" si="2658"/>
        <v>GA</v>
      </c>
      <c r="B5211" s="3" t="str">
        <f t="shared" ref="B5211:B5212" si="2689">CHOOSE(2, "1395000000647", "# of Newly Demoted Leaders above UM")</f>
        <v># of Newly Demoted Leaders above UM</v>
      </c>
      <c r="C5211" s="4" t="str">
        <f>CHOOSE(2, "5461730030", "Jun 26")</f>
        <v>Jun 26</v>
      </c>
      <c r="D5211" s="14">
        <v>4</v>
      </c>
    </row>
    <row r="5212" spans="1:4" x14ac:dyDescent="0.35">
      <c r="A5212" s="5" t="str">
        <f t="shared" si="2658"/>
        <v>GA</v>
      </c>
      <c r="B5212" s="6" t="str">
        <f t="shared" si="2689"/>
        <v># of Newly Demoted Leaders above UM</v>
      </c>
      <c r="C5212" s="4" t="str">
        <f>CHOOSE(2, "5462030031", "Jul 26")</f>
        <v>Jul 26</v>
      </c>
      <c r="D5212" s="14">
        <v>2</v>
      </c>
    </row>
    <row r="5213" spans="1:4" x14ac:dyDescent="0.35">
      <c r="A5213" s="5" t="str">
        <f t="shared" si="2658"/>
        <v>GA</v>
      </c>
      <c r="B5213" s="3" t="str">
        <f t="shared" ref="B5213:B5214" si="2690">CHOOSE(2, "1395000000646", "# of Total Leader Demotions")</f>
        <v># of Total Leader Demotions</v>
      </c>
      <c r="C5213" s="4" t="str">
        <f>CHOOSE(2, "5461730030", "Jun 26")</f>
        <v>Jun 26</v>
      </c>
      <c r="D5213" s="14">
        <v>14</v>
      </c>
    </row>
    <row r="5214" spans="1:4" x14ac:dyDescent="0.35">
      <c r="A5214" s="5" t="str">
        <f t="shared" si="2658"/>
        <v>GA</v>
      </c>
      <c r="B5214" s="6" t="str">
        <f t="shared" si="2690"/>
        <v># of Total Leader Demotions</v>
      </c>
      <c r="C5214" s="4" t="str">
        <f>CHOOSE(2, "5462030031", "Jul 26")</f>
        <v>Jul 26</v>
      </c>
      <c r="D5214" s="14">
        <v>5</v>
      </c>
    </row>
    <row r="5215" spans="1:4" x14ac:dyDescent="0.35">
      <c r="A5215" s="5" t="str">
        <f t="shared" ref="A5215:A5278" si="2691">CHOOSE(2, "1260000000006", "GA")</f>
        <v>GA</v>
      </c>
      <c r="B5215" s="3" t="str">
        <f t="shared" ref="B5215:B5216" si="2692">CHOOSE(2, "1395000000645", "# of agents meeting MOC")</f>
        <v># of agents meeting MOC</v>
      </c>
      <c r="C5215" s="4" t="str">
        <f>CHOOSE(2, "5461730030", "Jun 26")</f>
        <v>Jun 26</v>
      </c>
      <c r="D5215" s="14">
        <v>13016</v>
      </c>
    </row>
    <row r="5216" spans="1:4" x14ac:dyDescent="0.35">
      <c r="A5216" s="5" t="str">
        <f t="shared" si="2691"/>
        <v>GA</v>
      </c>
      <c r="B5216" s="6" t="str">
        <f t="shared" si="2692"/>
        <v># of agents meeting MOC</v>
      </c>
      <c r="C5216" s="4" t="str">
        <f>CHOOSE(2, "5462030031", "Jul 26")</f>
        <v>Jul 26</v>
      </c>
      <c r="D5216" s="14">
        <v>13736</v>
      </c>
    </row>
    <row r="5217" spans="1:4" x14ac:dyDescent="0.35">
      <c r="A5217" s="5" t="str">
        <f t="shared" si="2691"/>
        <v>GA</v>
      </c>
      <c r="B5217" s="3" t="str">
        <f t="shared" ref="B5217:B5218" si="2693">CHOOSE(2, "1395000000644", "# of agents meeting MOC in FA or equivalent")</f>
        <v># of agents meeting MOC in FA or equivalent</v>
      </c>
      <c r="C5217" s="4" t="str">
        <f>CHOOSE(2, "5461730030", "Jun 26")</f>
        <v>Jun 26</v>
      </c>
      <c r="D5217" s="14">
        <v>10873</v>
      </c>
    </row>
    <row r="5218" spans="1:4" x14ac:dyDescent="0.35">
      <c r="A5218" s="5" t="str">
        <f t="shared" si="2691"/>
        <v>GA</v>
      </c>
      <c r="B5218" s="6" t="str">
        <f t="shared" si="2693"/>
        <v># of agents meeting MOC in FA or equivalent</v>
      </c>
      <c r="C5218" s="4" t="str">
        <f>CHOOSE(2, "5462030031", "Jul 26")</f>
        <v>Jul 26</v>
      </c>
      <c r="D5218" s="14">
        <v>11518</v>
      </c>
    </row>
    <row r="5219" spans="1:4" x14ac:dyDescent="0.35">
      <c r="A5219" s="5" t="str">
        <f t="shared" si="2691"/>
        <v>GA</v>
      </c>
      <c r="B5219" s="3" t="str">
        <f t="shared" ref="B5219:B5220" si="2694">CHOOSE(2, "1395000000643", "# of agents meeting MOC in UM")</f>
        <v># of agents meeting MOC in UM</v>
      </c>
      <c r="C5219" s="4" t="str">
        <f>CHOOSE(2, "5461730030", "Jun 26")</f>
        <v>Jun 26</v>
      </c>
      <c r="D5219" s="14">
        <v>1190</v>
      </c>
    </row>
    <row r="5220" spans="1:4" x14ac:dyDescent="0.35">
      <c r="A5220" s="5" t="str">
        <f t="shared" si="2691"/>
        <v>GA</v>
      </c>
      <c r="B5220" s="6" t="str">
        <f t="shared" si="2694"/>
        <v># of agents meeting MOC in UM</v>
      </c>
      <c r="C5220" s="4" t="str">
        <f>CHOOSE(2, "5462030031", "Jul 26")</f>
        <v>Jul 26</v>
      </c>
      <c r="D5220" s="14">
        <v>1232</v>
      </c>
    </row>
    <row r="5221" spans="1:4" x14ac:dyDescent="0.35">
      <c r="A5221" s="5" t="str">
        <f t="shared" si="2691"/>
        <v>GA</v>
      </c>
      <c r="B5221" s="3" t="str">
        <f t="shared" ref="B5221:B5222" si="2695">CHOOSE(2, "1395000000642", "# of agents meeting MOC in Leaders above UM")</f>
        <v># of agents meeting MOC in Leaders above UM</v>
      </c>
      <c r="C5221" s="4" t="str">
        <f>CHOOSE(2, "5461730030", "Jun 26")</f>
        <v>Jun 26</v>
      </c>
      <c r="D5221" s="14">
        <v>953</v>
      </c>
    </row>
    <row r="5222" spans="1:4" x14ac:dyDescent="0.35">
      <c r="A5222" s="5" t="str">
        <f t="shared" si="2691"/>
        <v>GA</v>
      </c>
      <c r="B5222" s="6" t="str">
        <f t="shared" si="2695"/>
        <v># of agents meeting MOC in Leaders above UM</v>
      </c>
      <c r="C5222" s="4" t="str">
        <f>CHOOSE(2, "5462030031", "Jul 26")</f>
        <v>Jul 26</v>
      </c>
      <c r="D5222" s="14">
        <v>986</v>
      </c>
    </row>
    <row r="5223" spans="1:4" x14ac:dyDescent="0.35">
      <c r="A5223" s="5" t="str">
        <f t="shared" si="2691"/>
        <v>GA</v>
      </c>
      <c r="B5223" s="3" t="str">
        <f t="shared" ref="B5223:B5224" si="2696">CHOOSE(2, "1395000000641", "New Leaders 3M Activation Rate (by cohort)")</f>
        <v>New Leaders 3M Activation Rate (by cohort)</v>
      </c>
      <c r="C5223" s="4" t="str">
        <f>CHOOSE(2, "5461730030", "Jun 26")</f>
        <v>Jun 26</v>
      </c>
      <c r="D5223" s="14">
        <v>0.2857142857142857</v>
      </c>
    </row>
    <row r="5224" spans="1:4" x14ac:dyDescent="0.35">
      <c r="A5224" s="5" t="str">
        <f t="shared" si="2691"/>
        <v>GA</v>
      </c>
      <c r="B5224" s="6" t="str">
        <f t="shared" si="2696"/>
        <v>New Leaders 3M Activation Rate (by cohort)</v>
      </c>
      <c r="C5224" s="4" t="str">
        <f>CHOOSE(2, "5462030031", "Jul 26")</f>
        <v>Jul 26</v>
      </c>
      <c r="D5224" s="14">
        <v>0.625</v>
      </c>
    </row>
    <row r="5225" spans="1:4" x14ac:dyDescent="0.35">
      <c r="A5225" s="5" t="str">
        <f t="shared" si="2691"/>
        <v>GA</v>
      </c>
      <c r="B5225" s="3" t="str">
        <f t="shared" ref="B5225:B5226" si="2697">CHOOSE(2, "1395000000640", "New Leaders 3M Activation Rate (by cohort) (numerator)")</f>
        <v>New Leaders 3M Activation Rate (by cohort) (numerator)</v>
      </c>
      <c r="C5225" s="4" t="str">
        <f>CHOOSE(2, "5461730030", "Jun 26")</f>
        <v>Jun 26</v>
      </c>
      <c r="D5225" s="14">
        <v>2</v>
      </c>
    </row>
    <row r="5226" spans="1:4" x14ac:dyDescent="0.35">
      <c r="A5226" s="5" t="str">
        <f t="shared" si="2691"/>
        <v>GA</v>
      </c>
      <c r="B5226" s="6" t="str">
        <f t="shared" si="2697"/>
        <v>New Leaders 3M Activation Rate (by cohort) (numerator)</v>
      </c>
      <c r="C5226" s="4" t="str">
        <f>CHOOSE(2, "5462030031", "Jul 26")</f>
        <v>Jul 26</v>
      </c>
      <c r="D5226" s="14">
        <v>5</v>
      </c>
    </row>
    <row r="5227" spans="1:4" x14ac:dyDescent="0.35">
      <c r="A5227" s="5" t="str">
        <f t="shared" si="2691"/>
        <v>GA</v>
      </c>
      <c r="B5227" s="3" t="str">
        <f t="shared" ref="B5227:B5228" si="2698">CHOOSE(2, "1395000000639", "New Leaders 3M Activation Rate (by cohort) (denominator)")</f>
        <v>New Leaders 3M Activation Rate (by cohort) (denominator)</v>
      </c>
      <c r="C5227" s="4" t="str">
        <f>CHOOSE(2, "5461730030", "Jun 26")</f>
        <v>Jun 26</v>
      </c>
      <c r="D5227" s="14">
        <v>7</v>
      </c>
    </row>
    <row r="5228" spans="1:4" x14ac:dyDescent="0.35">
      <c r="A5228" s="5" t="str">
        <f t="shared" si="2691"/>
        <v>GA</v>
      </c>
      <c r="B5228" s="6" t="str">
        <f t="shared" si="2698"/>
        <v>New Leaders 3M Activation Rate (by cohort) (denominator)</v>
      </c>
      <c r="C5228" s="4" t="str">
        <f>CHOOSE(2, "5462030031", "Jul 26")</f>
        <v>Jul 26</v>
      </c>
      <c r="D5228" s="14">
        <v>8</v>
      </c>
    </row>
    <row r="5229" spans="1:4" x14ac:dyDescent="0.35">
      <c r="A5229" s="5" t="str">
        <f t="shared" si="2691"/>
        <v>GA</v>
      </c>
      <c r="B5229" s="3" t="str">
        <f t="shared" ref="B5229:B5230" si="2699">CHOOSE(2, "1395000000638", "# of pro-rated MDRT agents (100%)")</f>
        <v># of pro-rated MDRT agents (100%)</v>
      </c>
      <c r="C5229" s="4" t="str">
        <f>CHOOSE(2, "5461730030", "Jun 26")</f>
        <v>Jun 26</v>
      </c>
      <c r="D5229" s="14">
        <v>97</v>
      </c>
    </row>
    <row r="5230" spans="1:4" x14ac:dyDescent="0.35">
      <c r="A5230" s="5" t="str">
        <f t="shared" si="2691"/>
        <v>GA</v>
      </c>
      <c r="B5230" s="6" t="str">
        <f t="shared" si="2699"/>
        <v># of pro-rated MDRT agents (100%)</v>
      </c>
      <c r="C5230" s="4" t="str">
        <f>CHOOSE(2, "5462030031", "Jul 26")</f>
        <v>Jul 26</v>
      </c>
      <c r="D5230" s="14">
        <v>90</v>
      </c>
    </row>
    <row r="5231" spans="1:4" x14ac:dyDescent="0.35">
      <c r="A5231" s="5" t="str">
        <f t="shared" si="2691"/>
        <v>GA</v>
      </c>
      <c r="B5231" s="3" t="str">
        <f t="shared" ref="B5231:B5232" si="2700">CHOOSE(2, "1395000000637", "# of pro-rated MDRT agents (90%-99%)")</f>
        <v># of pro-rated MDRT agents (90%-99%)</v>
      </c>
      <c r="C5231" s="4" t="str">
        <f>CHOOSE(2, "5461730030", "Jun 26")</f>
        <v>Jun 26</v>
      </c>
      <c r="D5231" s="2" t="s">
        <v>5</v>
      </c>
    </row>
    <row r="5232" spans="1:4" x14ac:dyDescent="0.35">
      <c r="A5232" s="5" t="str">
        <f t="shared" si="2691"/>
        <v>GA</v>
      </c>
      <c r="B5232" s="6" t="str">
        <f t="shared" si="2700"/>
        <v># of pro-rated MDRT agents (90%-99%)</v>
      </c>
      <c r="C5232" s="4" t="str">
        <f>CHOOSE(2, "5462030031", "Jul 26")</f>
        <v>Jul 26</v>
      </c>
      <c r="D5232" s="2" t="s">
        <v>5</v>
      </c>
    </row>
    <row r="5233" spans="1:4" x14ac:dyDescent="0.35">
      <c r="A5233" s="5" t="str">
        <f t="shared" si="2691"/>
        <v>GA</v>
      </c>
      <c r="B5233" s="3" t="str">
        <f t="shared" ref="B5233:B5234" si="2701">CHOOSE(2, "1395000000636", "# of pro-rated MDRT agents (70%-90%)")</f>
        <v># of pro-rated MDRT agents (70%-90%)</v>
      </c>
      <c r="C5233" s="4" t="str">
        <f>CHOOSE(2, "5461730030", "Jun 26")</f>
        <v>Jun 26</v>
      </c>
      <c r="D5233" s="2" t="s">
        <v>5</v>
      </c>
    </row>
    <row r="5234" spans="1:4" x14ac:dyDescent="0.35">
      <c r="A5234" s="5" t="str">
        <f t="shared" si="2691"/>
        <v>GA</v>
      </c>
      <c r="B5234" s="6" t="str">
        <f t="shared" si="2701"/>
        <v># of pro-rated MDRT agents (70%-90%)</v>
      </c>
      <c r="C5234" s="4" t="str">
        <f>CHOOSE(2, "5462030031", "Jul 26")</f>
        <v>Jul 26</v>
      </c>
      <c r="D5234" s="2" t="s">
        <v>5</v>
      </c>
    </row>
    <row r="5235" spans="1:4" x14ac:dyDescent="0.35">
      <c r="A5235" s="5" t="str">
        <f t="shared" si="2691"/>
        <v>GA</v>
      </c>
      <c r="B5235" s="3" t="str">
        <f t="shared" ref="B5235:B5236" si="2702">CHOOSE(2, "1395000000635", "# of pro-rated MDRT agents (&lt;70%)")</f>
        <v># of pro-rated MDRT agents (&lt;70%)</v>
      </c>
      <c r="C5235" s="4" t="str">
        <f>CHOOSE(2, "5461730030", "Jun 26")</f>
        <v>Jun 26</v>
      </c>
      <c r="D5235" s="2" t="s">
        <v>5</v>
      </c>
    </row>
    <row r="5236" spans="1:4" x14ac:dyDescent="0.35">
      <c r="A5236" s="5" t="str">
        <f t="shared" si="2691"/>
        <v>GA</v>
      </c>
      <c r="B5236" s="6" t="str">
        <f t="shared" si="2702"/>
        <v># of pro-rated MDRT agents (&lt;70%)</v>
      </c>
      <c r="C5236" s="4" t="str">
        <f>CHOOSE(2, "5462030031", "Jul 26")</f>
        <v>Jul 26</v>
      </c>
      <c r="D5236" s="2" t="s">
        <v>5</v>
      </c>
    </row>
    <row r="5237" spans="1:4" x14ac:dyDescent="0.35">
      <c r="A5237" s="5" t="str">
        <f t="shared" si="2691"/>
        <v>GA</v>
      </c>
      <c r="B5237" s="3" t="str">
        <f t="shared" ref="B5237:B5238" si="2703">CHOOSE(2, "1395000000634", "# of pro-rated MDRT agents (50%-70%)")</f>
        <v># of pro-rated MDRT agents (50%-70%)</v>
      </c>
      <c r="C5237" s="4" t="str">
        <f>CHOOSE(2, "5461730030", "Jun 26")</f>
        <v>Jun 26</v>
      </c>
      <c r="D5237" s="2" t="s">
        <v>5</v>
      </c>
    </row>
    <row r="5238" spans="1:4" x14ac:dyDescent="0.35">
      <c r="A5238" s="5" t="str">
        <f t="shared" si="2691"/>
        <v>GA</v>
      </c>
      <c r="B5238" s="6" t="str">
        <f t="shared" si="2703"/>
        <v># of pro-rated MDRT agents (50%-70%)</v>
      </c>
      <c r="C5238" s="4" t="str">
        <f>CHOOSE(2, "5462030031", "Jul 26")</f>
        <v>Jul 26</v>
      </c>
      <c r="D5238" s="2" t="s">
        <v>5</v>
      </c>
    </row>
    <row r="5239" spans="1:4" x14ac:dyDescent="0.35">
      <c r="A5239" s="5" t="str">
        <f t="shared" si="2691"/>
        <v>GA</v>
      </c>
      <c r="B5239" s="3" t="str">
        <f t="shared" ref="B5239:B5240" si="2704">CHOOSE(2, "1395000000633", "# of pro-rated MDRT agents (&lt;50%)")</f>
        <v># of pro-rated MDRT agents (&lt;50%)</v>
      </c>
      <c r="C5239" s="4" t="str">
        <f>CHOOSE(2, "5461730030", "Jun 26")</f>
        <v>Jun 26</v>
      </c>
      <c r="D5239" s="2" t="s">
        <v>5</v>
      </c>
    </row>
    <row r="5240" spans="1:4" x14ac:dyDescent="0.35">
      <c r="A5240" s="5" t="str">
        <f t="shared" si="2691"/>
        <v>GA</v>
      </c>
      <c r="B5240" s="6" t="str">
        <f t="shared" si="2704"/>
        <v># of pro-rated MDRT agents (&lt;50%)</v>
      </c>
      <c r="C5240" s="4" t="str">
        <f>CHOOSE(2, "5462030031", "Jul 26")</f>
        <v>Jul 26</v>
      </c>
      <c r="D5240" s="2" t="s">
        <v>5</v>
      </c>
    </row>
    <row r="5241" spans="1:4" x14ac:dyDescent="0.35">
      <c r="A5241" s="5" t="str">
        <f t="shared" si="2691"/>
        <v>GA</v>
      </c>
      <c r="B5241" s="3" t="str">
        <f t="shared" ref="B5241:B5242" si="2705">CHOOSE(2, "1395000000632", "# of pro-rated MDRT agents (70-99%)")</f>
        <v># of pro-rated MDRT agents (70-99%)</v>
      </c>
      <c r="C5241" s="4" t="str">
        <f>CHOOSE(2, "5461730030", "Jun 26")</f>
        <v>Jun 26</v>
      </c>
      <c r="D5241" s="14">
        <v>79</v>
      </c>
    </row>
    <row r="5242" spans="1:4" x14ac:dyDescent="0.35">
      <c r="A5242" s="5" t="str">
        <f t="shared" si="2691"/>
        <v>GA</v>
      </c>
      <c r="B5242" s="6" t="str">
        <f t="shared" si="2705"/>
        <v># of pro-rated MDRT agents (70-99%)</v>
      </c>
      <c r="C5242" s="4" t="str">
        <f>CHOOSE(2, "5462030031", "Jul 26")</f>
        <v>Jul 26</v>
      </c>
      <c r="D5242" s="14">
        <v>91</v>
      </c>
    </row>
    <row r="5243" spans="1:4" x14ac:dyDescent="0.35">
      <c r="A5243" s="5" t="str">
        <f t="shared" si="2691"/>
        <v>GA</v>
      </c>
      <c r="B5243" s="3" t="str">
        <f t="shared" ref="B5243:B5244" si="2706">CHOOSE(2, "1395000000631", "# of pro-rated MDRT agents (50-69%)")</f>
        <v># of pro-rated MDRT agents (50-69%)</v>
      </c>
      <c r="C5243" s="4" t="str">
        <f>CHOOSE(2, "5461730030", "Jun 26")</f>
        <v>Jun 26</v>
      </c>
      <c r="D5243" s="14">
        <v>113</v>
      </c>
    </row>
    <row r="5244" spans="1:4" x14ac:dyDescent="0.35">
      <c r="A5244" s="5" t="str">
        <f t="shared" si="2691"/>
        <v>GA</v>
      </c>
      <c r="B5244" s="6" t="str">
        <f t="shared" si="2706"/>
        <v># of pro-rated MDRT agents (50-69%)</v>
      </c>
      <c r="C5244" s="4" t="str">
        <f>CHOOSE(2, "5462030031", "Jul 26")</f>
        <v>Jul 26</v>
      </c>
      <c r="D5244" s="14">
        <v>117</v>
      </c>
    </row>
    <row r="5245" spans="1:4" x14ac:dyDescent="0.35">
      <c r="A5245" s="5" t="str">
        <f t="shared" si="2691"/>
        <v>GA</v>
      </c>
      <c r="B5245" s="3" t="str">
        <f t="shared" ref="B5245:B5246" si="2707">CHOOSE(2, "1395000000630", "# of Top-tier agents")</f>
        <v># of Top-tier agents</v>
      </c>
      <c r="C5245" s="4" t="str">
        <f>CHOOSE(2, "5461730030", "Jun 26")</f>
        <v>Jun 26</v>
      </c>
      <c r="D5245" s="14">
        <v>289</v>
      </c>
    </row>
    <row r="5246" spans="1:4" x14ac:dyDescent="0.35">
      <c r="A5246" s="5" t="str">
        <f t="shared" si="2691"/>
        <v>GA</v>
      </c>
      <c r="B5246" s="6" t="str">
        <f t="shared" si="2707"/>
        <v># of Top-tier agents</v>
      </c>
      <c r="C5246" s="4" t="str">
        <f>CHOOSE(2, "5462030031", "Jul 26")</f>
        <v>Jul 26</v>
      </c>
      <c r="D5246" s="14">
        <v>298</v>
      </c>
    </row>
    <row r="5247" spans="1:4" x14ac:dyDescent="0.35">
      <c r="A5247" s="5" t="str">
        <f t="shared" si="2691"/>
        <v>GA</v>
      </c>
      <c r="B5247" s="3" t="str">
        <f t="shared" ref="B5247:B5248" si="2708">CHOOSE(2, "1395000000629", "$ APE from pro-rated MDRT agents (100%)")</f>
        <v>$ APE from pro-rated MDRT agents (100%)</v>
      </c>
      <c r="C5247" s="4" t="str">
        <f>CHOOSE(2, "5461730030", "Jun 26")</f>
        <v>Jun 26</v>
      </c>
      <c r="D5247" s="14">
        <v>838587.08</v>
      </c>
    </row>
    <row r="5248" spans="1:4" x14ac:dyDescent="0.35">
      <c r="A5248" s="5" t="str">
        <f t="shared" si="2691"/>
        <v>GA</v>
      </c>
      <c r="B5248" s="6" t="str">
        <f t="shared" si="2708"/>
        <v>$ APE from pro-rated MDRT agents (100%)</v>
      </c>
      <c r="C5248" s="4" t="str">
        <f>CHOOSE(2, "5462030031", "Jul 26")</f>
        <v>Jul 26</v>
      </c>
      <c r="D5248" s="14">
        <v>578317.66</v>
      </c>
    </row>
    <row r="5249" spans="1:4" x14ac:dyDescent="0.35">
      <c r="A5249" s="5" t="str">
        <f t="shared" si="2691"/>
        <v>GA</v>
      </c>
      <c r="B5249" s="3" t="str">
        <f t="shared" ref="B5249:B5250" si="2709">CHOOSE(2, "1395000000628", "$ APE from pro-rated MDRT agents (70-99%)")</f>
        <v>$ APE from pro-rated MDRT agents (70-99%)</v>
      </c>
      <c r="C5249" s="4" t="str">
        <f>CHOOSE(2, "5461730030", "Jun 26")</f>
        <v>Jun 26</v>
      </c>
      <c r="D5249" s="14">
        <v>263195.64</v>
      </c>
    </row>
    <row r="5250" spans="1:4" x14ac:dyDescent="0.35">
      <c r="A5250" s="5" t="str">
        <f t="shared" si="2691"/>
        <v>GA</v>
      </c>
      <c r="B5250" s="6" t="str">
        <f t="shared" si="2709"/>
        <v>$ APE from pro-rated MDRT agents (70-99%)</v>
      </c>
      <c r="C5250" s="4" t="str">
        <f>CHOOSE(2, "5462030031", "Jul 26")</f>
        <v>Jul 26</v>
      </c>
      <c r="D5250" s="14">
        <v>305912.34999999998</v>
      </c>
    </row>
    <row r="5251" spans="1:4" x14ac:dyDescent="0.35">
      <c r="A5251" s="5" t="str">
        <f t="shared" si="2691"/>
        <v>GA</v>
      </c>
      <c r="B5251" s="3" t="str">
        <f t="shared" ref="B5251:B5252" si="2710">CHOOSE(2, "1395000000627", "$ APE from pro-rated MDRT agents (50-69%)")</f>
        <v>$ APE from pro-rated MDRT agents (50-69%)</v>
      </c>
      <c r="C5251" s="4" t="str">
        <f>CHOOSE(2, "5461730030", "Jun 26")</f>
        <v>Jun 26</v>
      </c>
      <c r="D5251" s="14">
        <v>303925.7</v>
      </c>
    </row>
    <row r="5252" spans="1:4" x14ac:dyDescent="0.35">
      <c r="A5252" s="5" t="str">
        <f t="shared" si="2691"/>
        <v>GA</v>
      </c>
      <c r="B5252" s="6" t="str">
        <f t="shared" si="2710"/>
        <v>$ APE from pro-rated MDRT agents (50-69%)</v>
      </c>
      <c r="C5252" s="4" t="str">
        <f>CHOOSE(2, "5462030031", "Jul 26")</f>
        <v>Jul 26</v>
      </c>
      <c r="D5252" s="14">
        <v>378336.57</v>
      </c>
    </row>
    <row r="5253" spans="1:4" x14ac:dyDescent="0.35">
      <c r="A5253" s="5" t="str">
        <f t="shared" si="2691"/>
        <v>GA</v>
      </c>
      <c r="B5253" s="3" t="str">
        <f t="shared" ref="B5253:B5254" si="2711">CHOOSE(2, "1395000000626", "$ APE from Top-tier agents")</f>
        <v>$ APE from Top-tier agents</v>
      </c>
      <c r="C5253" s="4" t="str">
        <f>CHOOSE(2, "5461730030", "Jun 26")</f>
        <v>Jun 26</v>
      </c>
      <c r="D5253" s="14">
        <v>1405708.42</v>
      </c>
    </row>
    <row r="5254" spans="1:4" x14ac:dyDescent="0.35">
      <c r="A5254" s="5" t="str">
        <f t="shared" si="2691"/>
        <v>GA</v>
      </c>
      <c r="B5254" s="6" t="str">
        <f t="shared" si="2711"/>
        <v>$ APE from Top-tier agents</v>
      </c>
      <c r="C5254" s="4" t="str">
        <f>CHOOSE(2, "5462030031", "Jul 26")</f>
        <v>Jul 26</v>
      </c>
      <c r="D5254" s="14">
        <v>1262566.58</v>
      </c>
    </row>
    <row r="5255" spans="1:4" x14ac:dyDescent="0.35">
      <c r="A5255" s="5" t="str">
        <f t="shared" si="2691"/>
        <v>GA</v>
      </c>
      <c r="B5255" s="3" t="str">
        <f t="shared" ref="B5255:B5256" si="2712">CHOOSE(2, "1395000000625", "# of MDRT qualifiers - YTD")</f>
        <v># of MDRT qualifiers - YTD</v>
      </c>
      <c r="C5255" s="4" t="str">
        <f>CHOOSE(2, "5461730030", "Jun 26")</f>
        <v>Jun 26</v>
      </c>
      <c r="D5255" s="14">
        <v>24</v>
      </c>
    </row>
    <row r="5256" spans="1:4" x14ac:dyDescent="0.35">
      <c r="A5256" s="5" t="str">
        <f t="shared" si="2691"/>
        <v>GA</v>
      </c>
      <c r="B5256" s="6" t="str">
        <f t="shared" si="2712"/>
        <v># of MDRT qualifiers - YTD</v>
      </c>
      <c r="C5256" s="4" t="str">
        <f>CHOOSE(2, "5462030031", "Jul 26")</f>
        <v>Jul 26</v>
      </c>
      <c r="D5256" s="14">
        <v>30</v>
      </c>
    </row>
    <row r="5257" spans="1:4" x14ac:dyDescent="0.35">
      <c r="A5257" s="5" t="str">
        <f t="shared" si="2691"/>
        <v>GA</v>
      </c>
      <c r="B5257" s="3" t="str">
        <f t="shared" ref="B5257:B5258" si="2713">CHOOSE(2, "1395000000624", "# of MDRT COT qualifiers - YTD")</f>
        <v># of MDRT COT qualifiers - YTD</v>
      </c>
      <c r="C5257" s="4" t="str">
        <f>CHOOSE(2, "5461730030", "Jun 26")</f>
        <v>Jun 26</v>
      </c>
      <c r="D5257" s="14">
        <v>5</v>
      </c>
    </row>
    <row r="5258" spans="1:4" x14ac:dyDescent="0.35">
      <c r="A5258" s="5" t="str">
        <f t="shared" si="2691"/>
        <v>GA</v>
      </c>
      <c r="B5258" s="6" t="str">
        <f t="shared" si="2713"/>
        <v># of MDRT COT qualifiers - YTD</v>
      </c>
      <c r="C5258" s="4" t="str">
        <f>CHOOSE(2, "5462030031", "Jul 26")</f>
        <v>Jul 26</v>
      </c>
      <c r="D5258" s="14">
        <v>8</v>
      </c>
    </row>
    <row r="5259" spans="1:4" x14ac:dyDescent="0.35">
      <c r="A5259" s="5" t="str">
        <f t="shared" si="2691"/>
        <v>GA</v>
      </c>
      <c r="B5259" s="3" t="str">
        <f t="shared" ref="B5259:B5260" si="2714">CHOOSE(2, "1395000000623", "# of MDRT TOT qualifiers - YTD")</f>
        <v># of MDRT TOT qualifiers - YTD</v>
      </c>
      <c r="C5259" s="4" t="str">
        <f>CHOOSE(2, "5461730030", "Jun 26")</f>
        <v>Jun 26</v>
      </c>
      <c r="D5259" s="14">
        <v>1</v>
      </c>
    </row>
    <row r="5260" spans="1:4" x14ac:dyDescent="0.35">
      <c r="A5260" s="5" t="str">
        <f t="shared" si="2691"/>
        <v>GA</v>
      </c>
      <c r="B5260" s="6" t="str">
        <f t="shared" si="2714"/>
        <v># of MDRT TOT qualifiers - YTD</v>
      </c>
      <c r="C5260" s="4" t="str">
        <f>CHOOSE(2, "5462030031", "Jul 26")</f>
        <v>Jul 26</v>
      </c>
      <c r="D5260" s="14">
        <v>1</v>
      </c>
    </row>
    <row r="5261" spans="1:4" x14ac:dyDescent="0.35">
      <c r="A5261" s="5" t="str">
        <f t="shared" si="2691"/>
        <v>GA</v>
      </c>
      <c r="B5261" s="3" t="str">
        <f t="shared" ref="B5261:B5262" si="2715">CHOOSE(2, "1395000000622", "Manulife Pro Qualifiers - Total")</f>
        <v>Manulife Pro Qualifiers - Total</v>
      </c>
      <c r="C5261" s="4" t="str">
        <f>CHOOSE(2, "5461730030", "Jun 26")</f>
        <v>Jun 26</v>
      </c>
      <c r="D5261" s="14">
        <v>97</v>
      </c>
    </row>
    <row r="5262" spans="1:4" x14ac:dyDescent="0.35">
      <c r="A5262" s="5" t="str">
        <f t="shared" si="2691"/>
        <v>GA</v>
      </c>
      <c r="B5262" s="6" t="str">
        <f t="shared" si="2715"/>
        <v>Manulife Pro Qualifiers - Total</v>
      </c>
      <c r="C5262" s="4" t="str">
        <f>CHOOSE(2, "5462030031", "Jul 26")</f>
        <v>Jul 26</v>
      </c>
      <c r="D5262" s="14">
        <v>118</v>
      </c>
    </row>
    <row r="5263" spans="1:4" x14ac:dyDescent="0.35">
      <c r="A5263" s="5" t="str">
        <f t="shared" si="2691"/>
        <v>GA</v>
      </c>
      <c r="B5263" s="3" t="str">
        <f t="shared" ref="B5263:B5264" si="2716">CHOOSE(2, "1395000000621", "Manulife Pro Qualifiers - Silver")</f>
        <v>Manulife Pro Qualifiers - Silver</v>
      </c>
      <c r="C5263" s="4" t="str">
        <f>CHOOSE(2, "5461730030", "Jun 26")</f>
        <v>Jun 26</v>
      </c>
      <c r="D5263" s="2" t="s">
        <v>5</v>
      </c>
    </row>
    <row r="5264" spans="1:4" x14ac:dyDescent="0.35">
      <c r="A5264" s="5" t="str">
        <f t="shared" si="2691"/>
        <v>GA</v>
      </c>
      <c r="B5264" s="6" t="str">
        <f t="shared" si="2716"/>
        <v>Manulife Pro Qualifiers - Silver</v>
      </c>
      <c r="C5264" s="4" t="str">
        <f>CHOOSE(2, "5462030031", "Jul 26")</f>
        <v>Jul 26</v>
      </c>
      <c r="D5264" s="2" t="s">
        <v>5</v>
      </c>
    </row>
    <row r="5265" spans="1:4" x14ac:dyDescent="0.35">
      <c r="A5265" s="5" t="str">
        <f t="shared" si="2691"/>
        <v>GA</v>
      </c>
      <c r="B5265" s="3" t="str">
        <f t="shared" ref="B5265:B5266" si="2717">CHOOSE(2, "1395000000620", "Manulife Pro Qualifiers - Gold")</f>
        <v>Manulife Pro Qualifiers - Gold</v>
      </c>
      <c r="C5265" s="4" t="str">
        <f>CHOOSE(2, "5461730030", "Jun 26")</f>
        <v>Jun 26</v>
      </c>
      <c r="D5265" s="2" t="s">
        <v>5</v>
      </c>
    </row>
    <row r="5266" spans="1:4" x14ac:dyDescent="0.35">
      <c r="A5266" s="5" t="str">
        <f t="shared" si="2691"/>
        <v>GA</v>
      </c>
      <c r="B5266" s="6" t="str">
        <f t="shared" si="2717"/>
        <v>Manulife Pro Qualifiers - Gold</v>
      </c>
      <c r="C5266" s="4" t="str">
        <f>CHOOSE(2, "5462030031", "Jul 26")</f>
        <v>Jul 26</v>
      </c>
      <c r="D5266" s="2" t="s">
        <v>5</v>
      </c>
    </row>
    <row r="5267" spans="1:4" x14ac:dyDescent="0.35">
      <c r="A5267" s="5" t="str">
        <f t="shared" si="2691"/>
        <v>GA</v>
      </c>
      <c r="B5267" s="3" t="str">
        <f t="shared" ref="B5267:B5268" si="2718">CHOOSE(2, "1395000000619", "Manulife Pro Qualifiers  - Platinum")</f>
        <v>Manulife Pro Qualifiers  - Platinum</v>
      </c>
      <c r="C5267" s="4" t="str">
        <f>CHOOSE(2, "5461730030", "Jun 26")</f>
        <v>Jun 26</v>
      </c>
      <c r="D5267" s="2" t="s">
        <v>5</v>
      </c>
    </row>
    <row r="5268" spans="1:4" x14ac:dyDescent="0.35">
      <c r="A5268" s="5" t="str">
        <f t="shared" si="2691"/>
        <v>GA</v>
      </c>
      <c r="B5268" s="6" t="str">
        <f t="shared" si="2718"/>
        <v>Manulife Pro Qualifiers  - Platinum</v>
      </c>
      <c r="C5268" s="4" t="str">
        <f>CHOOSE(2, "5462030031", "Jul 26")</f>
        <v>Jul 26</v>
      </c>
      <c r="D5268" s="2" t="s">
        <v>5</v>
      </c>
    </row>
    <row r="5269" spans="1:4" x14ac:dyDescent="0.35">
      <c r="A5269" s="5" t="str">
        <f t="shared" si="2691"/>
        <v>GA</v>
      </c>
      <c r="B5269" s="3" t="str">
        <f t="shared" ref="B5269:B5270" si="2719">CHOOSE(2, "1395000000618", "$ APE from Manulife Pro - Total")</f>
        <v>$ APE from Manulife Pro - Total</v>
      </c>
      <c r="C5269" s="4" t="str">
        <f>CHOOSE(2, "5461730030", "Jun 26")</f>
        <v>Jun 26</v>
      </c>
      <c r="D5269" s="14">
        <v>838587.08190500003</v>
      </c>
    </row>
    <row r="5270" spans="1:4" x14ac:dyDescent="0.35">
      <c r="A5270" s="5" t="str">
        <f t="shared" si="2691"/>
        <v>GA</v>
      </c>
      <c r="B5270" s="6" t="str">
        <f t="shared" si="2719"/>
        <v>$ APE from Manulife Pro - Total</v>
      </c>
      <c r="C5270" s="4" t="str">
        <f>CHOOSE(2, "5462030031", "Jul 26")</f>
        <v>Jul 26</v>
      </c>
      <c r="D5270" s="14">
        <v>703075.864344</v>
      </c>
    </row>
    <row r="5271" spans="1:4" x14ac:dyDescent="0.35">
      <c r="A5271" s="5" t="str">
        <f t="shared" si="2691"/>
        <v>GA</v>
      </c>
      <c r="B5271" s="3" t="str">
        <f t="shared" ref="B5271:B5272" si="2720">CHOOSE(2, "1395000000617", "$ APE from Manulife Pro - Silver")</f>
        <v>$ APE from Manulife Pro - Silver</v>
      </c>
      <c r="C5271" s="4" t="str">
        <f>CHOOSE(2, "5461730030", "Jun 26")</f>
        <v>Jun 26</v>
      </c>
      <c r="D5271" s="2" t="s">
        <v>5</v>
      </c>
    </row>
    <row r="5272" spans="1:4" x14ac:dyDescent="0.35">
      <c r="A5272" s="5" t="str">
        <f t="shared" si="2691"/>
        <v>GA</v>
      </c>
      <c r="B5272" s="6" t="str">
        <f t="shared" si="2720"/>
        <v>$ APE from Manulife Pro - Silver</v>
      </c>
      <c r="C5272" s="4" t="str">
        <f>CHOOSE(2, "5462030031", "Jul 26")</f>
        <v>Jul 26</v>
      </c>
      <c r="D5272" s="2" t="s">
        <v>5</v>
      </c>
    </row>
    <row r="5273" spans="1:4" x14ac:dyDescent="0.35">
      <c r="A5273" s="5" t="str">
        <f t="shared" si="2691"/>
        <v>GA</v>
      </c>
      <c r="B5273" s="3" t="str">
        <f t="shared" ref="B5273:B5274" si="2721">CHOOSE(2, "1395000000616", "$ APE from Manulife Pro - Gold")</f>
        <v>$ APE from Manulife Pro - Gold</v>
      </c>
      <c r="C5273" s="4" t="str">
        <f>CHOOSE(2, "5461730030", "Jun 26")</f>
        <v>Jun 26</v>
      </c>
      <c r="D5273" s="2" t="s">
        <v>5</v>
      </c>
    </row>
    <row r="5274" spans="1:4" x14ac:dyDescent="0.35">
      <c r="A5274" s="5" t="str">
        <f t="shared" si="2691"/>
        <v>GA</v>
      </c>
      <c r="B5274" s="6" t="str">
        <f t="shared" si="2721"/>
        <v>$ APE from Manulife Pro - Gold</v>
      </c>
      <c r="C5274" s="4" t="str">
        <f>CHOOSE(2, "5462030031", "Jul 26")</f>
        <v>Jul 26</v>
      </c>
      <c r="D5274" s="2" t="s">
        <v>5</v>
      </c>
    </row>
    <row r="5275" spans="1:4" x14ac:dyDescent="0.35">
      <c r="A5275" s="5" t="str">
        <f t="shared" si="2691"/>
        <v>GA</v>
      </c>
      <c r="B5275" s="3" t="str">
        <f t="shared" ref="B5275:B5276" si="2722">CHOOSE(2, "1395000000615", "$ APE from Manulife Pro  - Platinum")</f>
        <v>$ APE from Manulife Pro  - Platinum</v>
      </c>
      <c r="C5275" s="4" t="str">
        <f>CHOOSE(2, "5461730030", "Jun 26")</f>
        <v>Jun 26</v>
      </c>
      <c r="D5275" s="2" t="s">
        <v>5</v>
      </c>
    </row>
    <row r="5276" spans="1:4" x14ac:dyDescent="0.35">
      <c r="A5276" s="5" t="str">
        <f t="shared" si="2691"/>
        <v>GA</v>
      </c>
      <c r="B5276" s="6" t="str">
        <f t="shared" si="2722"/>
        <v>$ APE from Manulife Pro  - Platinum</v>
      </c>
      <c r="C5276" s="4" t="str">
        <f>CHOOSE(2, "5462030031", "Jul 26")</f>
        <v>Jul 26</v>
      </c>
      <c r="D5276" s="2" t="s">
        <v>5</v>
      </c>
    </row>
    <row r="5277" spans="1:4" x14ac:dyDescent="0.35">
      <c r="A5277" s="5" t="str">
        <f t="shared" si="2691"/>
        <v>GA</v>
      </c>
      <c r="B5277" s="3" t="str">
        <f t="shared" ref="B5277:B5278" si="2723">CHOOSE(2, "1395000000614", "Issued APE")</f>
        <v>Issued APE</v>
      </c>
      <c r="C5277" s="4" t="str">
        <f>CHOOSE(2, "5461730030", "Jun 26")</f>
        <v>Jun 26</v>
      </c>
      <c r="D5277" s="14">
        <v>3535186.1200651499</v>
      </c>
    </row>
    <row r="5278" spans="1:4" x14ac:dyDescent="0.35">
      <c r="A5278" s="5" t="str">
        <f t="shared" si="2691"/>
        <v>GA</v>
      </c>
      <c r="B5278" s="6" t="str">
        <f t="shared" si="2723"/>
        <v>Issued APE</v>
      </c>
      <c r="C5278" s="4" t="str">
        <f>CHOOSE(2, "5462030031", "Jul 26")</f>
        <v>Jul 26</v>
      </c>
      <c r="D5278" s="14">
        <v>3686477.1470742901</v>
      </c>
    </row>
    <row r="5279" spans="1:4" x14ac:dyDescent="0.35">
      <c r="A5279" s="5" t="str">
        <f t="shared" ref="A5279:A5342" si="2724">CHOOSE(2, "1260000000006", "GA")</f>
        <v>GA</v>
      </c>
      <c r="B5279" s="3" t="str">
        <f t="shared" ref="B5279:B5280" si="2725">CHOOSE(2, "1395000000613", "Post-MI APE")</f>
        <v>Post-MI APE</v>
      </c>
      <c r="C5279" s="4" t="str">
        <f>CHOOSE(2, "5461730030", "Jun 26")</f>
        <v>Jun 26</v>
      </c>
      <c r="D5279" s="14">
        <v>3535186.1200651499</v>
      </c>
    </row>
    <row r="5280" spans="1:4" x14ac:dyDescent="0.35">
      <c r="A5280" s="5" t="str">
        <f t="shared" si="2724"/>
        <v>GA</v>
      </c>
      <c r="B5280" s="6" t="str">
        <f t="shared" si="2725"/>
        <v>Post-MI APE</v>
      </c>
      <c r="C5280" s="4" t="str">
        <f>CHOOSE(2, "5462030031", "Jul 26")</f>
        <v>Jul 26</v>
      </c>
      <c r="D5280" s="14">
        <v>3686477.1470742901</v>
      </c>
    </row>
    <row r="5281" spans="1:4" x14ac:dyDescent="0.35">
      <c r="A5281" s="5" t="str">
        <f t="shared" si="2724"/>
        <v>GA</v>
      </c>
      <c r="B5281" s="3" t="str">
        <f t="shared" ref="B5281:B5282" si="2726">CHOOSE(2, "1395000000610", "Pre-gap NBV")</f>
        <v>Pre-gap NBV</v>
      </c>
      <c r="C5281" s="4" t="str">
        <f>CHOOSE(2, "5461730030", "Jun 26")</f>
        <v>Jun 26</v>
      </c>
      <c r="D5281" s="14">
        <v>1219642.3056792901</v>
      </c>
    </row>
    <row r="5282" spans="1:4" x14ac:dyDescent="0.35">
      <c r="A5282" s="5" t="str">
        <f t="shared" si="2724"/>
        <v>GA</v>
      </c>
      <c r="B5282" s="6" t="str">
        <f t="shared" si="2726"/>
        <v>Pre-gap NBV</v>
      </c>
      <c r="C5282" s="4" t="str">
        <f>CHOOSE(2, "5462030031", "Jul 26")</f>
        <v>Jul 26</v>
      </c>
      <c r="D5282" s="14">
        <v>958743.57951051008</v>
      </c>
    </row>
    <row r="5283" spans="1:4" x14ac:dyDescent="0.35">
      <c r="A5283" s="5" t="str">
        <f t="shared" si="2724"/>
        <v>GA</v>
      </c>
      <c r="B5283" s="3" t="str">
        <f t="shared" ref="B5283:B5284" si="2727">CHOOSE(2, "1395000000609", "Pre-gap NBV Margin %")</f>
        <v>Pre-gap NBV Margin %</v>
      </c>
      <c r="C5283" s="4" t="str">
        <f>CHOOSE(2, "5461730030", "Jun 26")</f>
        <v>Jun 26</v>
      </c>
      <c r="D5283" s="14">
        <v>0.34500087527408979</v>
      </c>
    </row>
    <row r="5284" spans="1:4" x14ac:dyDescent="0.35">
      <c r="A5284" s="5" t="str">
        <f t="shared" si="2724"/>
        <v>GA</v>
      </c>
      <c r="B5284" s="6" t="str">
        <f t="shared" si="2727"/>
        <v>Pre-gap NBV Margin %</v>
      </c>
      <c r="C5284" s="4" t="str">
        <f>CHOOSE(2, "5462030031", "Jul 26")</f>
        <v>Jul 26</v>
      </c>
      <c r="D5284" s="14">
        <v>0.26007039817713251</v>
      </c>
    </row>
    <row r="5285" spans="1:4" x14ac:dyDescent="0.35">
      <c r="A5285" s="5" t="str">
        <f t="shared" si="2724"/>
        <v>GA</v>
      </c>
      <c r="B5285" s="3" t="str">
        <f t="shared" ref="B5285:B5286" si="2728">CHOOSE(2, "1395000000608", "Post-gap NBV")</f>
        <v>Post-gap NBV</v>
      </c>
      <c r="C5285" s="4" t="str">
        <f>CHOOSE(2, "5461730030", "Jun 26")</f>
        <v>Jun 26</v>
      </c>
      <c r="D5285" s="14">
        <v>1219642.3056792901</v>
      </c>
    </row>
    <row r="5286" spans="1:4" x14ac:dyDescent="0.35">
      <c r="A5286" s="5" t="str">
        <f t="shared" si="2724"/>
        <v>GA</v>
      </c>
      <c r="B5286" s="6" t="str">
        <f t="shared" si="2728"/>
        <v>Post-gap NBV</v>
      </c>
      <c r="C5286" s="4" t="str">
        <f>CHOOSE(2, "5462030031", "Jul 26")</f>
        <v>Jul 26</v>
      </c>
      <c r="D5286" s="14">
        <v>958743.57951051008</v>
      </c>
    </row>
    <row r="5287" spans="1:4" x14ac:dyDescent="0.35">
      <c r="A5287" s="5" t="str">
        <f t="shared" si="2724"/>
        <v>GA</v>
      </c>
      <c r="B5287" s="3" t="str">
        <f t="shared" ref="B5287:B5288" si="2729">CHOOSE(2, "1395000000607", "Post-gap NBV Margin %")</f>
        <v>Post-gap NBV Margin %</v>
      </c>
      <c r="C5287" s="4" t="str">
        <f>CHOOSE(2, "5461730030", "Jun 26")</f>
        <v>Jun 26</v>
      </c>
      <c r="D5287" s="14">
        <v>0.34500087527408979</v>
      </c>
    </row>
    <row r="5288" spans="1:4" x14ac:dyDescent="0.35">
      <c r="A5288" s="5" t="str">
        <f t="shared" si="2724"/>
        <v>GA</v>
      </c>
      <c r="B5288" s="6" t="str">
        <f t="shared" si="2729"/>
        <v>Post-gap NBV Margin %</v>
      </c>
      <c r="C5288" s="4" t="str">
        <f>CHOOSE(2, "5462030031", "Jul 26")</f>
        <v>Jul 26</v>
      </c>
      <c r="D5288" s="14">
        <v>0.26007039817713251</v>
      </c>
    </row>
    <row r="5289" spans="1:4" x14ac:dyDescent="0.35">
      <c r="A5289" s="5" t="str">
        <f t="shared" si="2724"/>
        <v>GA</v>
      </c>
      <c r="B5289" s="3" t="str">
        <f t="shared" ref="B5289:B5290" si="2730">CHOOSE(2, "1395000000606", "NB CSM")</f>
        <v>NB CSM</v>
      </c>
      <c r="C5289" s="4" t="str">
        <f>CHOOSE(2, "5461730030", "Jun 26")</f>
        <v>Jun 26</v>
      </c>
      <c r="D5289" s="14">
        <v>927588.95897823002</v>
      </c>
    </row>
    <row r="5290" spans="1:4" x14ac:dyDescent="0.35">
      <c r="A5290" s="5" t="str">
        <f t="shared" si="2724"/>
        <v>GA</v>
      </c>
      <c r="B5290" s="6" t="str">
        <f t="shared" si="2730"/>
        <v>NB CSM</v>
      </c>
      <c r="C5290" s="4" t="str">
        <f>CHOOSE(2, "5462030031", "Jul 26")</f>
        <v>Jul 26</v>
      </c>
      <c r="D5290" s="14">
        <v>938987.96888082009</v>
      </c>
    </row>
    <row r="5291" spans="1:4" x14ac:dyDescent="0.35">
      <c r="A5291" s="5" t="str">
        <f t="shared" si="2724"/>
        <v>GA</v>
      </c>
      <c r="B5291" s="3" t="str">
        <f t="shared" ref="B5291:B5292" si="2731">CHOOSE(2, "1395000000605", "NB CSM Margin %")</f>
        <v>NB CSM Margin %</v>
      </c>
      <c r="C5291" s="4" t="str">
        <f>CHOOSE(2, "5461730030", "Jun 26")</f>
        <v>Jun 26</v>
      </c>
      <c r="D5291" s="14">
        <v>0.26238758794434719</v>
      </c>
    </row>
    <row r="5292" spans="1:4" x14ac:dyDescent="0.35">
      <c r="A5292" s="5" t="str">
        <f t="shared" si="2724"/>
        <v>GA</v>
      </c>
      <c r="B5292" s="6" t="str">
        <f t="shared" si="2731"/>
        <v>NB CSM Margin %</v>
      </c>
      <c r="C5292" s="4" t="str">
        <f>CHOOSE(2, "5462030031", "Jul 26")</f>
        <v>Jul 26</v>
      </c>
      <c r="D5292" s="14">
        <v>0.2547114579636095</v>
      </c>
    </row>
    <row r="5293" spans="1:4" x14ac:dyDescent="0.35">
      <c r="A5293" s="5" t="str">
        <f t="shared" si="2724"/>
        <v>GA</v>
      </c>
      <c r="B5293" s="3" t="str">
        <f t="shared" ref="B5293:B5294" si="2732">CHOOSE(2, "1395000000604", "PRE")</f>
        <v>PRE</v>
      </c>
      <c r="C5293" s="4" t="str">
        <f>CHOOSE(2, "5461730030", "Jun 26")</f>
        <v>Jun 26</v>
      </c>
      <c r="D5293" s="14">
        <v>0</v>
      </c>
    </row>
    <row r="5294" spans="1:4" x14ac:dyDescent="0.35">
      <c r="A5294" s="5" t="str">
        <f t="shared" si="2724"/>
        <v>GA</v>
      </c>
      <c r="B5294" s="6" t="str">
        <f t="shared" si="2732"/>
        <v>PRE</v>
      </c>
      <c r="C5294" s="4" t="str">
        <f>CHOOSE(2, "5462030031", "Jul 26")</f>
        <v>Jul 26</v>
      </c>
      <c r="D5294" s="14">
        <v>0</v>
      </c>
    </row>
    <row r="5295" spans="1:4" x14ac:dyDescent="0.35">
      <c r="A5295" s="5" t="str">
        <f t="shared" si="2724"/>
        <v>GA</v>
      </c>
      <c r="B5295" s="3" t="str">
        <f t="shared" ref="B5295:B5296" si="2733">CHOOSE(2, "1395000000603", "ContEx")</f>
        <v>ContEx</v>
      </c>
      <c r="C5295" s="4" t="str">
        <f>CHOOSE(2, "5461730030", "Jun 26")</f>
        <v>Jun 26</v>
      </c>
      <c r="D5295" s="14">
        <v>0</v>
      </c>
    </row>
    <row r="5296" spans="1:4" x14ac:dyDescent="0.35">
      <c r="A5296" s="5" t="str">
        <f t="shared" si="2724"/>
        <v>GA</v>
      </c>
      <c r="B5296" s="6" t="str">
        <f t="shared" si="2733"/>
        <v>ContEx</v>
      </c>
      <c r="C5296" s="4" t="str">
        <f>CHOOSE(2, "5462030031", "Jul 26")</f>
        <v>Jul 26</v>
      </c>
      <c r="D5296" s="14">
        <v>0</v>
      </c>
    </row>
    <row r="5297" spans="1:4" x14ac:dyDescent="0.35">
      <c r="A5297" s="5" t="str">
        <f t="shared" si="2724"/>
        <v>GA</v>
      </c>
      <c r="B5297" s="3" t="str">
        <f t="shared" ref="B5297:B5298" si="2734">CHOOSE(2, "1395000000602", "% of 6-90 agents")</f>
        <v>% of 6-90 agents</v>
      </c>
      <c r="C5297" s="4" t="str">
        <f>CHOOSE(2, "5461730030", "Jun 26")</f>
        <v>Jun 26</v>
      </c>
      <c r="D5297" s="14">
        <v>2.0009095043201454E-2</v>
      </c>
    </row>
    <row r="5298" spans="1:4" x14ac:dyDescent="0.35">
      <c r="A5298" s="5" t="str">
        <f t="shared" si="2724"/>
        <v>GA</v>
      </c>
      <c r="B5298" s="6" t="str">
        <f t="shared" si="2734"/>
        <v>% of 6-90 agents</v>
      </c>
      <c r="C5298" s="4" t="str">
        <f>CHOOSE(2, "5462030031", "Jul 26")</f>
        <v>Jul 26</v>
      </c>
      <c r="D5298" s="14">
        <v>1.8612521150592216E-2</v>
      </c>
    </row>
    <row r="5299" spans="1:4" x14ac:dyDescent="0.35">
      <c r="A5299" s="5" t="str">
        <f t="shared" si="2724"/>
        <v>GA</v>
      </c>
      <c r="B5299" s="3" t="str">
        <f t="shared" ref="B5299:B5300" si="2735">CHOOSE(2, "1395000000601", "New Recruits 3M Activation Rate")</f>
        <v>New Recruits 3M Activation Rate</v>
      </c>
      <c r="C5299" s="4" t="str">
        <f>CHOOSE(2, "5461730030", "Jun 26")</f>
        <v>Jun 26</v>
      </c>
      <c r="D5299" s="14">
        <v>0.45292207792207795</v>
      </c>
    </row>
    <row r="5300" spans="1:4" x14ac:dyDescent="0.35">
      <c r="A5300" s="5" t="str">
        <f t="shared" si="2724"/>
        <v>GA</v>
      </c>
      <c r="B5300" s="6" t="str">
        <f t="shared" si="2735"/>
        <v>New Recruits 3M Activation Rate</v>
      </c>
      <c r="C5300" s="4" t="str">
        <f>CHOOSE(2, "5462030031", "Jul 26")</f>
        <v>Jul 26</v>
      </c>
      <c r="D5300" s="14">
        <v>0.42878120411160059</v>
      </c>
    </row>
    <row r="5301" spans="1:4" x14ac:dyDescent="0.35">
      <c r="A5301" s="5" t="str">
        <f t="shared" si="2724"/>
        <v>GA</v>
      </c>
      <c r="B5301" s="3" t="str">
        <f t="shared" ref="B5301:B5302" si="2736">CHOOSE(2, "1395000000600", "No. of Recruits from leaders")</f>
        <v>No. of Recruits from leaders</v>
      </c>
      <c r="C5301" s="4" t="str">
        <f>CHOOSE(2, "5461730030", "Jun 26")</f>
        <v>Jun 26</v>
      </c>
      <c r="D5301" s="2" t="s">
        <v>5</v>
      </c>
    </row>
    <row r="5302" spans="1:4" x14ac:dyDescent="0.35">
      <c r="A5302" s="5" t="str">
        <f t="shared" si="2724"/>
        <v>GA</v>
      </c>
      <c r="B5302" s="6" t="str">
        <f t="shared" si="2736"/>
        <v>No. of Recruits from leaders</v>
      </c>
      <c r="C5302" s="4" t="str">
        <f>CHOOSE(2, "5462030031", "Jul 26")</f>
        <v>Jul 26</v>
      </c>
      <c r="D5302" s="2" t="s">
        <v>5</v>
      </c>
    </row>
    <row r="5303" spans="1:4" x14ac:dyDescent="0.35">
      <c r="A5303" s="5" t="str">
        <f t="shared" si="2724"/>
        <v>GA</v>
      </c>
      <c r="B5303" s="3" t="str">
        <f t="shared" ref="B5303:B5304" si="2737">CHOOSE(2, "1395000000599", "No. of Recruits per Active Recruiting Leader per month")</f>
        <v>No. of Recruits per Active Recruiting Leader per month</v>
      </c>
      <c r="C5303" s="4" t="str">
        <f>CHOOSE(2, "5461730030", "Jun 26")</f>
        <v>Jun 26</v>
      </c>
      <c r="D5303" s="14">
        <v>0</v>
      </c>
    </row>
    <row r="5304" spans="1:4" x14ac:dyDescent="0.35">
      <c r="A5304" s="5" t="str">
        <f t="shared" si="2724"/>
        <v>GA</v>
      </c>
      <c r="B5304" s="6" t="str">
        <f t="shared" si="2737"/>
        <v>No. of Recruits per Active Recruiting Leader per month</v>
      </c>
      <c r="C5304" s="4" t="str">
        <f>CHOOSE(2, "5462030031", "Jul 26")</f>
        <v>Jul 26</v>
      </c>
      <c r="D5304" s="14">
        <v>0</v>
      </c>
    </row>
    <row r="5305" spans="1:4" x14ac:dyDescent="0.35">
      <c r="A5305" s="5" t="str">
        <f t="shared" si="2724"/>
        <v>GA</v>
      </c>
      <c r="B5305" s="3" t="str">
        <f t="shared" ref="B5305:B5306" si="2738">CHOOSE(2, "1395000000598", "PRE as % of APE")</f>
        <v>PRE as % of APE</v>
      </c>
      <c r="C5305" s="4" t="str">
        <f>CHOOSE(2, "5461730030", "Jun 26")</f>
        <v>Jun 26</v>
      </c>
      <c r="D5305" s="14">
        <v>0</v>
      </c>
    </row>
    <row r="5306" spans="1:4" x14ac:dyDescent="0.35">
      <c r="A5306" s="5" t="str">
        <f t="shared" si="2724"/>
        <v>GA</v>
      </c>
      <c r="B5306" s="6" t="str">
        <f t="shared" si="2738"/>
        <v>PRE as % of APE</v>
      </c>
      <c r="C5306" s="4" t="str">
        <f>CHOOSE(2, "5462030031", "Jul 26")</f>
        <v>Jul 26</v>
      </c>
      <c r="D5306" s="14">
        <v>0</v>
      </c>
    </row>
    <row r="5307" spans="1:4" x14ac:dyDescent="0.35">
      <c r="A5307" s="5" t="str">
        <f t="shared" si="2724"/>
        <v>GA</v>
      </c>
      <c r="B5307" s="3" t="str">
        <f t="shared" ref="B5307:B5308" si="2739">CHOOSE(2, "1395000000597", "ContEx as % of APE")</f>
        <v>ContEx as % of APE</v>
      </c>
      <c r="C5307" s="4" t="str">
        <f>CHOOSE(2, "5461730030", "Jun 26")</f>
        <v>Jun 26</v>
      </c>
      <c r="D5307" s="14">
        <v>0</v>
      </c>
    </row>
    <row r="5308" spans="1:4" x14ac:dyDescent="0.35">
      <c r="A5308" s="5" t="str">
        <f t="shared" si="2724"/>
        <v>GA</v>
      </c>
      <c r="B5308" s="6" t="str">
        <f t="shared" si="2739"/>
        <v>ContEx as % of APE</v>
      </c>
      <c r="C5308" s="4" t="str">
        <f>CHOOSE(2, "5462030031", "Jul 26")</f>
        <v>Jul 26</v>
      </c>
      <c r="D5308" s="14">
        <v>0</v>
      </c>
    </row>
    <row r="5309" spans="1:4" x14ac:dyDescent="0.35">
      <c r="A5309" s="5" t="str">
        <f t="shared" si="2724"/>
        <v>GA</v>
      </c>
      <c r="B5309" s="3" t="str">
        <f t="shared" ref="B5309:B5310" si="2740">CHOOSE(2, "1395000000596", "% of 1-Month Active Agents")</f>
        <v>% of 1-Month Active Agents</v>
      </c>
      <c r="C5309" s="4" t="str">
        <f>CHOOSE(2, "5461730030", "Jun 26")</f>
        <v>Jun 26</v>
      </c>
      <c r="D5309" s="14">
        <v>0.12880426943603057</v>
      </c>
    </row>
    <row r="5310" spans="1:4" x14ac:dyDescent="0.35">
      <c r="A5310" s="5" t="str">
        <f t="shared" si="2724"/>
        <v>GA</v>
      </c>
      <c r="B5310" s="6" t="str">
        <f t="shared" si="2740"/>
        <v>% of 1-Month Active Agents</v>
      </c>
      <c r="C5310" s="4" t="str">
        <f>CHOOSE(2, "5462030031", "Jul 26")</f>
        <v>Jul 26</v>
      </c>
      <c r="D5310" s="14">
        <v>0.12416290829574962</v>
      </c>
    </row>
    <row r="5311" spans="1:4" x14ac:dyDescent="0.35">
      <c r="A5311" s="5" t="str">
        <f t="shared" si="2724"/>
        <v>GA</v>
      </c>
      <c r="B5311" s="3" t="str">
        <f t="shared" ref="B5311:B5312" si="2741">CHOOSE(2, "1395000000595", "% of 3-Month Active Agents")</f>
        <v>% of 3-Month Active Agents</v>
      </c>
      <c r="C5311" s="4" t="str">
        <f>CHOOSE(2, "5461730030", "Jun 26")</f>
        <v>Jun 26</v>
      </c>
      <c r="D5311" s="14">
        <v>8.3337562807694263E-2</v>
      </c>
    </row>
    <row r="5312" spans="1:4" x14ac:dyDescent="0.35">
      <c r="A5312" s="5" t="str">
        <f t="shared" si="2724"/>
        <v>GA</v>
      </c>
      <c r="B5312" s="6" t="str">
        <f t="shared" si="2741"/>
        <v>% of 3-Month Active Agents</v>
      </c>
      <c r="C5312" s="4" t="str">
        <f>CHOOSE(2, "5462030031", "Jul 26")</f>
        <v>Jul 26</v>
      </c>
      <c r="D5312" s="14">
        <v>8.6397191430014189E-2</v>
      </c>
    </row>
    <row r="5313" spans="1:4" x14ac:dyDescent="0.35">
      <c r="A5313" s="5" t="str">
        <f t="shared" si="2724"/>
        <v>GA</v>
      </c>
      <c r="B5313" s="3" t="str">
        <f t="shared" ref="B5313:B5314" si="2742">CHOOSE(2, "1395000000594", "Active agents per active leader")</f>
        <v>Active agents per active leader</v>
      </c>
      <c r="C5313" s="4" t="str">
        <f>CHOOSE(2, "5461730030", "Jun 26")</f>
        <v>Jun 26</v>
      </c>
      <c r="D5313" s="14">
        <v>5.0738636363636367</v>
      </c>
    </row>
    <row r="5314" spans="1:4" x14ac:dyDescent="0.35">
      <c r="A5314" s="5" t="str">
        <f t="shared" si="2724"/>
        <v>GA</v>
      </c>
      <c r="B5314" s="6" t="str">
        <f t="shared" si="2742"/>
        <v>Active agents per active leader</v>
      </c>
      <c r="C5314" s="4" t="str">
        <f>CHOOSE(2, "5462030031", "Jul 26")</f>
        <v>Jul 26</v>
      </c>
      <c r="D5314" s="14">
        <v>4.9108108108108111</v>
      </c>
    </row>
    <row r="5315" spans="1:4" x14ac:dyDescent="0.35">
      <c r="A5315" s="5" t="str">
        <f t="shared" si="2724"/>
        <v>GA</v>
      </c>
      <c r="B5315" s="3" t="str">
        <f t="shared" ref="B5315:B5316" si="2743">CHOOSE(2, "1395000000593", "Avg. Case count per 1-Month Active Agent")</f>
        <v>Avg. Case count per 1-Month Active Agent</v>
      </c>
      <c r="C5315" s="4" t="str">
        <f>CHOOSE(2, "5461730030", "Jun 26")</f>
        <v>Jun 26</v>
      </c>
      <c r="D5315" s="14">
        <v>1.7284434490481524</v>
      </c>
    </row>
    <row r="5316" spans="1:4" x14ac:dyDescent="0.35">
      <c r="A5316" s="5" t="str">
        <f t="shared" si="2724"/>
        <v>GA</v>
      </c>
      <c r="B5316" s="6" t="str">
        <f t="shared" si="2743"/>
        <v>Avg. Case count per 1-Month Active Agent</v>
      </c>
      <c r="C5316" s="4" t="str">
        <f>CHOOSE(2, "5462030031", "Jul 26")</f>
        <v>Jul 26</v>
      </c>
      <c r="D5316" s="14">
        <v>1.9207484865162356</v>
      </c>
    </row>
    <row r="5317" spans="1:4" x14ac:dyDescent="0.35">
      <c r="A5317" s="5" t="str">
        <f t="shared" si="2724"/>
        <v>GA</v>
      </c>
      <c r="B5317" s="3" t="str">
        <f t="shared" ref="B5317:B5318" si="2744">CHOOSE(2, "1395000000592", "Avg. Case size")</f>
        <v>Avg. Case size</v>
      </c>
      <c r="C5317" s="4" t="str">
        <f>CHOOSE(2, "5461730030", "Jun 26")</f>
        <v>Jun 26</v>
      </c>
      <c r="D5317" s="14">
        <v>1145.1850081195821</v>
      </c>
    </row>
    <row r="5318" spans="1:4" x14ac:dyDescent="0.35">
      <c r="A5318" s="5" t="str">
        <f t="shared" si="2724"/>
        <v>GA</v>
      </c>
      <c r="B5318" s="6" t="str">
        <f t="shared" si="2744"/>
        <v>Avg. Case size</v>
      </c>
      <c r="C5318" s="4" t="str">
        <f>CHOOSE(2, "5462030031", "Jul 26")</f>
        <v>Jul 26</v>
      </c>
      <c r="D5318" s="14">
        <v>1056.2971768121174</v>
      </c>
    </row>
    <row r="5319" spans="1:4" x14ac:dyDescent="0.35">
      <c r="A5319" s="5" t="str">
        <f t="shared" si="2724"/>
        <v>GA</v>
      </c>
      <c r="B5319" s="3" t="str">
        <f t="shared" ref="B5319:B5320" si="2745">CHOOSE(2, "1395000000591", "APE per 1-Month Active Agent")</f>
        <v>APE per 1-Month Active Agent</v>
      </c>
      <c r="C5319" s="4" t="str">
        <f>CHOOSE(2, "5461730030", "Jun 26")</f>
        <v>Jun 26</v>
      </c>
      <c r="D5319" s="14">
        <v>1979.3875252324467</v>
      </c>
    </row>
    <row r="5320" spans="1:4" x14ac:dyDescent="0.35">
      <c r="A5320" s="5" t="str">
        <f t="shared" si="2724"/>
        <v>GA</v>
      </c>
      <c r="B5320" s="6" t="str">
        <f t="shared" si="2745"/>
        <v>APE per 1-Month Active Agent</v>
      </c>
      <c r="C5320" s="4" t="str">
        <f>CHOOSE(2, "5462030031", "Jul 26")</f>
        <v>Jul 26</v>
      </c>
      <c r="D5320" s="14">
        <v>2028.8812036732472</v>
      </c>
    </row>
    <row r="5321" spans="1:4" x14ac:dyDescent="0.35">
      <c r="A5321" s="5" t="str">
        <f t="shared" si="2724"/>
        <v>GA</v>
      </c>
      <c r="B5321" s="3" t="str">
        <f t="shared" ref="B5321:B5322" si="2746">CHOOSE(2, "1395000000590", "% Conversion of Proposals to cases")</f>
        <v>% Conversion of Proposals to cases</v>
      </c>
      <c r="C5321" s="4" t="str">
        <f>CHOOSE(2, "5461730030", "Jun 26")</f>
        <v>Jun 26</v>
      </c>
      <c r="D5321" s="14">
        <v>0</v>
      </c>
    </row>
    <row r="5322" spans="1:4" x14ac:dyDescent="0.35">
      <c r="A5322" s="5" t="str">
        <f t="shared" si="2724"/>
        <v>GA</v>
      </c>
      <c r="B5322" s="6" t="str">
        <f t="shared" si="2746"/>
        <v>% Conversion of Proposals to cases</v>
      </c>
      <c r="C5322" s="4" t="str">
        <f>CHOOSE(2, "5462030031", "Jul 26")</f>
        <v>Jul 26</v>
      </c>
      <c r="D5322" s="14">
        <v>0</v>
      </c>
    </row>
    <row r="5323" spans="1:4" x14ac:dyDescent="0.35">
      <c r="A5323" s="5" t="str">
        <f t="shared" si="2724"/>
        <v>GA</v>
      </c>
      <c r="B5323" s="3" t="str">
        <f t="shared" ref="B5323:B5324" si="2747">CHOOSE(2, "1395000000588", "% APE from Agents in X tenure")</f>
        <v>% APE from Agents in X tenure</v>
      </c>
      <c r="C5323" s="4" t="str">
        <f>CHOOSE(2, "5461730030", "Jun 26")</f>
        <v>Jun 26</v>
      </c>
      <c r="D5323" s="14">
        <v>1</v>
      </c>
    </row>
    <row r="5324" spans="1:4" x14ac:dyDescent="0.35">
      <c r="A5324" s="5" t="str">
        <f t="shared" si="2724"/>
        <v>GA</v>
      </c>
      <c r="B5324" s="6" t="str">
        <f t="shared" si="2747"/>
        <v>% APE from Agents in X tenure</v>
      </c>
      <c r="C5324" s="4" t="str">
        <f>CHOOSE(2, "5462030031", "Jul 26")</f>
        <v>Jul 26</v>
      </c>
      <c r="D5324" s="14">
        <v>1</v>
      </c>
    </row>
    <row r="5325" spans="1:4" x14ac:dyDescent="0.35">
      <c r="A5325" s="5" t="str">
        <f t="shared" si="2724"/>
        <v>GA</v>
      </c>
      <c r="B5325" s="3" t="str">
        <f t="shared" ref="B5325:B5326" si="2748">CHOOSE(2, "1395000000587", "% APE from Agents in X tenure in 0-1M")</f>
        <v>% APE from Agents in X tenure in 0-1M</v>
      </c>
      <c r="C5325" s="4" t="str">
        <f>CHOOSE(2, "5461730030", "Jun 26")</f>
        <v>Jun 26</v>
      </c>
      <c r="D5325" s="14">
        <v>0.10000000000000002</v>
      </c>
    </row>
    <row r="5326" spans="1:4" x14ac:dyDescent="0.35">
      <c r="A5326" s="5" t="str">
        <f t="shared" si="2724"/>
        <v>GA</v>
      </c>
      <c r="B5326" s="6" t="str">
        <f t="shared" si="2748"/>
        <v>% APE from Agents in X tenure in 0-1M</v>
      </c>
      <c r="C5326" s="4" t="str">
        <f>CHOOSE(2, "5462030031", "Jul 26")</f>
        <v>Jul 26</v>
      </c>
      <c r="D5326" s="14">
        <v>0.10000000000000002</v>
      </c>
    </row>
    <row r="5327" spans="1:4" x14ac:dyDescent="0.35">
      <c r="A5327" s="5" t="str">
        <f t="shared" si="2724"/>
        <v>GA</v>
      </c>
      <c r="B5327" s="3" t="str">
        <f t="shared" ref="B5327:B5328" si="2749">CHOOSE(2, "1395000000586", "% APE from Agents in X tenure in 2-3M")</f>
        <v>% APE from Agents in X tenure in 2-3M</v>
      </c>
      <c r="C5327" s="4" t="str">
        <f>CHOOSE(2, "5461730030", "Jun 26")</f>
        <v>Jun 26</v>
      </c>
      <c r="D5327" s="14">
        <v>0.20000000000000004</v>
      </c>
    </row>
    <row r="5328" spans="1:4" x14ac:dyDescent="0.35">
      <c r="A5328" s="5" t="str">
        <f t="shared" si="2724"/>
        <v>GA</v>
      </c>
      <c r="B5328" s="6" t="str">
        <f t="shared" si="2749"/>
        <v>% APE from Agents in X tenure in 2-3M</v>
      </c>
      <c r="C5328" s="4" t="str">
        <f>CHOOSE(2, "5462030031", "Jul 26")</f>
        <v>Jul 26</v>
      </c>
      <c r="D5328" s="14">
        <v>0.20000000000000004</v>
      </c>
    </row>
    <row r="5329" spans="1:4" x14ac:dyDescent="0.35">
      <c r="A5329" s="5" t="str">
        <f t="shared" si="2724"/>
        <v>GA</v>
      </c>
      <c r="B5329" s="3" t="str">
        <f t="shared" ref="B5329:B5330" si="2750">CHOOSE(2, "1395000000585", "% APE from Agents in X tenure in 4-12M")</f>
        <v>% APE from Agents in X tenure in 4-12M</v>
      </c>
      <c r="C5329" s="4" t="str">
        <f>CHOOSE(2, "5461730030", "Jun 26")</f>
        <v>Jun 26</v>
      </c>
      <c r="D5329" s="14">
        <v>0.3</v>
      </c>
    </row>
    <row r="5330" spans="1:4" x14ac:dyDescent="0.35">
      <c r="A5330" s="5" t="str">
        <f t="shared" si="2724"/>
        <v>GA</v>
      </c>
      <c r="B5330" s="6" t="str">
        <f t="shared" si="2750"/>
        <v>% APE from Agents in X tenure in 4-12M</v>
      </c>
      <c r="C5330" s="4" t="str">
        <f>CHOOSE(2, "5462030031", "Jul 26")</f>
        <v>Jul 26</v>
      </c>
      <c r="D5330" s="14">
        <v>0.3</v>
      </c>
    </row>
    <row r="5331" spans="1:4" x14ac:dyDescent="0.35">
      <c r="A5331" s="5" t="str">
        <f t="shared" si="2724"/>
        <v>GA</v>
      </c>
      <c r="B5331" s="3" t="str">
        <f t="shared" ref="B5331:B5332" si="2751">CHOOSE(2, "1395000000584", "% APE from Agents in X tenure 13+M")</f>
        <v>% APE from Agents in X tenure 13+M</v>
      </c>
      <c r="C5331" s="4" t="str">
        <f>CHOOSE(2, "5461730030", "Jun 26")</f>
        <v>Jun 26</v>
      </c>
      <c r="D5331" s="14">
        <v>0.40000000000000008</v>
      </c>
    </row>
    <row r="5332" spans="1:4" x14ac:dyDescent="0.35">
      <c r="A5332" s="5" t="str">
        <f t="shared" si="2724"/>
        <v>GA</v>
      </c>
      <c r="B5332" s="6" t="str">
        <f t="shared" si="2751"/>
        <v>% APE from Agents in X tenure 13+M</v>
      </c>
      <c r="C5332" s="4" t="str">
        <f>CHOOSE(2, "5462030031", "Jul 26")</f>
        <v>Jul 26</v>
      </c>
      <c r="D5332" s="14">
        <v>0.40000000000000008</v>
      </c>
    </row>
    <row r="5333" spans="1:4" x14ac:dyDescent="0.35">
      <c r="A5333" s="5" t="str">
        <f t="shared" si="2724"/>
        <v>GA</v>
      </c>
      <c r="B5333" s="3" t="str">
        <f t="shared" ref="B5333:B5334" si="2752">CHOOSE(2, "1395000000583", "% APE from pro-rated MDRT agents (100%)")</f>
        <v>% APE from pro-rated MDRT agents (100%)</v>
      </c>
      <c r="C5333" s="4" t="str">
        <f>CHOOSE(2, "5461730030", "Jun 26")</f>
        <v>Jun 26</v>
      </c>
      <c r="D5333" s="14">
        <v>0.23721157854753788</v>
      </c>
    </row>
    <row r="5334" spans="1:4" x14ac:dyDescent="0.35">
      <c r="A5334" s="5" t="str">
        <f t="shared" si="2724"/>
        <v>GA</v>
      </c>
      <c r="B5334" s="6" t="str">
        <f t="shared" si="2752"/>
        <v>% APE from pro-rated MDRT agents (100%)</v>
      </c>
      <c r="C5334" s="4" t="str">
        <f>CHOOSE(2, "5462030031", "Jul 26")</f>
        <v>Jul 26</v>
      </c>
      <c r="D5334" s="14">
        <v>0.15687542250437439</v>
      </c>
    </row>
    <row r="5335" spans="1:4" x14ac:dyDescent="0.35">
      <c r="A5335" s="5" t="str">
        <f t="shared" si="2724"/>
        <v>GA</v>
      </c>
      <c r="B5335" s="3" t="str">
        <f t="shared" ref="B5335:B5336" si="2753">CHOOSE(2, "1395000000582", "% APE from pro-rated MDRT agents (70-99%)")</f>
        <v>% APE from pro-rated MDRT agents (70-99%)</v>
      </c>
      <c r="C5335" s="4" t="str">
        <f>CHOOSE(2, "5461730030", "Jun 26")</f>
        <v>Jun 26</v>
      </c>
      <c r="D5335" s="14">
        <v>7.4450292307424421E-2</v>
      </c>
    </row>
    <row r="5336" spans="1:4" x14ac:dyDescent="0.35">
      <c r="A5336" s="5" t="str">
        <f t="shared" si="2724"/>
        <v>GA</v>
      </c>
      <c r="B5336" s="6" t="str">
        <f t="shared" si="2753"/>
        <v>% APE from pro-rated MDRT agents (70-99%)</v>
      </c>
      <c r="C5336" s="4" t="str">
        <f>CHOOSE(2, "5462030031", "Jul 26")</f>
        <v>Jul 26</v>
      </c>
      <c r="D5336" s="14">
        <v>8.2982299305119009E-2</v>
      </c>
    </row>
    <row r="5337" spans="1:4" x14ac:dyDescent="0.35">
      <c r="A5337" s="5" t="str">
        <f t="shared" si="2724"/>
        <v>GA</v>
      </c>
      <c r="B5337" s="3" t="str">
        <f t="shared" ref="B5337:B5338" si="2754">CHOOSE(2, "1395000000581", "% APE from pro-rated MDRT agents (50-69%)")</f>
        <v>% APE from pro-rated MDRT agents (50-69%)</v>
      </c>
      <c r="C5337" s="4" t="str">
        <f>CHOOSE(2, "5461730030", "Jun 26")</f>
        <v>Jun 26</v>
      </c>
      <c r="D5337" s="14">
        <v>8.5971626295703762E-2</v>
      </c>
    </row>
    <row r="5338" spans="1:4" x14ac:dyDescent="0.35">
      <c r="A5338" s="5" t="str">
        <f t="shared" si="2724"/>
        <v>GA</v>
      </c>
      <c r="B5338" s="6" t="str">
        <f t="shared" si="2754"/>
        <v>% APE from pro-rated MDRT agents (50-69%)</v>
      </c>
      <c r="C5338" s="4" t="str">
        <f>CHOOSE(2, "5462030031", "Jul 26")</f>
        <v>Jul 26</v>
      </c>
      <c r="D5338" s="14">
        <v>0.10262821520547344</v>
      </c>
    </row>
    <row r="5339" spans="1:4" x14ac:dyDescent="0.35">
      <c r="A5339" s="5" t="str">
        <f t="shared" si="2724"/>
        <v>GA</v>
      </c>
      <c r="B5339" s="3" t="str">
        <f t="shared" ref="B5339:B5340" si="2755">CHOOSE(2, "1395000000580", "% APE from Top-tier agents")</f>
        <v>% APE from Top-tier agents</v>
      </c>
      <c r="C5339" s="4" t="str">
        <f>CHOOSE(2, "5461730030", "Jun 26")</f>
        <v>Jun 26</v>
      </c>
      <c r="D5339" s="14">
        <v>0.39763349715066604</v>
      </c>
    </row>
    <row r="5340" spans="1:4" x14ac:dyDescent="0.35">
      <c r="A5340" s="5" t="str">
        <f t="shared" si="2724"/>
        <v>GA</v>
      </c>
      <c r="B5340" s="6" t="str">
        <f t="shared" si="2755"/>
        <v>% APE from Top-tier agents</v>
      </c>
      <c r="C5340" s="4" t="str">
        <f>CHOOSE(2, "5462030031", "Jul 26")</f>
        <v>Jul 26</v>
      </c>
      <c r="D5340" s="14">
        <v>0.34248593701496688</v>
      </c>
    </row>
    <row r="5341" spans="1:4" x14ac:dyDescent="0.35">
      <c r="A5341" s="5" t="str">
        <f t="shared" si="2724"/>
        <v>GA</v>
      </c>
      <c r="B5341" s="3" t="str">
        <f t="shared" ref="B5341:B5342" si="2756">CHOOSE(2, "1395000000579", "% of Active Recruiting Leaders")</f>
        <v>% of Active Recruiting Leaders</v>
      </c>
      <c r="C5341" s="4" t="str">
        <f>CHOOSE(2, "5461730030", "Jun 26")</f>
        <v>Jun 26</v>
      </c>
      <c r="D5341" s="14">
        <v>0.15686274509803921</v>
      </c>
    </row>
    <row r="5342" spans="1:4" x14ac:dyDescent="0.35">
      <c r="A5342" s="5" t="str">
        <f t="shared" si="2724"/>
        <v>GA</v>
      </c>
      <c r="B5342" s="6" t="str">
        <f t="shared" si="2756"/>
        <v>% of Active Recruiting Leaders</v>
      </c>
      <c r="C5342" s="4" t="str">
        <f>CHOOSE(2, "5462030031", "Jul 26")</f>
        <v>Jul 26</v>
      </c>
      <c r="D5342" s="14">
        <v>0.1567132570944515</v>
      </c>
    </row>
    <row r="5343" spans="1:4" x14ac:dyDescent="0.35">
      <c r="A5343" s="5" t="str">
        <f t="shared" ref="A5343:A5406" si="2757">CHOOSE(2, "1260000000006", "GA")</f>
        <v>GA</v>
      </c>
      <c r="B5343" s="3" t="str">
        <f t="shared" ref="B5343:B5344" si="2758">CHOOSE(2, "1395000000578", "% of leaders with &gt;1 YTD recruit")</f>
        <v>% of leaders with &gt;1 YTD recruit</v>
      </c>
      <c r="C5343" s="4" t="str">
        <f>CHOOSE(2, "5461730030", "Jun 26")</f>
        <v>Jun 26</v>
      </c>
      <c r="D5343" s="14">
        <v>0.46791443850267378</v>
      </c>
    </row>
    <row r="5344" spans="1:4" x14ac:dyDescent="0.35">
      <c r="A5344" s="5" t="str">
        <f t="shared" si="2757"/>
        <v>GA</v>
      </c>
      <c r="B5344" s="6" t="str">
        <f t="shared" si="2758"/>
        <v>% of leaders with &gt;1 YTD recruit</v>
      </c>
      <c r="C5344" s="4" t="str">
        <f>CHOOSE(2, "5462030031", "Jul 26")</f>
        <v>Jul 26</v>
      </c>
      <c r="D5344" s="14">
        <v>0.51588310038119445</v>
      </c>
    </row>
    <row r="5345" spans="1:4" x14ac:dyDescent="0.35">
      <c r="A5345" s="5" t="str">
        <f t="shared" si="2757"/>
        <v>GA</v>
      </c>
      <c r="B5345" s="3" t="str">
        <f t="shared" ref="B5345:B5346" si="2759">CHOOSE(2, "1395000000577", "% of 1-Month Active Top-tier agents")</f>
        <v>% of 1-Month Active Top-tier agents</v>
      </c>
      <c r="C5345" s="4" t="str">
        <f>CHOOSE(2, "5461730030", "Jun 26")</f>
        <v>Jun 26</v>
      </c>
      <c r="D5345" s="14">
        <v>0.63667820069204151</v>
      </c>
    </row>
    <row r="5346" spans="1:4" x14ac:dyDescent="0.35">
      <c r="A5346" s="5" t="str">
        <f t="shared" si="2757"/>
        <v>GA</v>
      </c>
      <c r="B5346" s="6" t="str">
        <f t="shared" si="2759"/>
        <v>% of 1-Month Active Top-tier agents</v>
      </c>
      <c r="C5346" s="4" t="str">
        <f>CHOOSE(2, "5462030031", "Jul 26")</f>
        <v>Jul 26</v>
      </c>
      <c r="D5346" s="14">
        <v>0.69798657718120805</v>
      </c>
    </row>
    <row r="5347" spans="1:4" x14ac:dyDescent="0.35">
      <c r="A5347" s="5" t="str">
        <f t="shared" si="2757"/>
        <v>GA</v>
      </c>
      <c r="B5347" s="3" t="str">
        <f t="shared" ref="B5347:B5348" si="2760">CHOOSE(2, "1395000000576", "% APE from Manulife Pro - Total")</f>
        <v>% APE from Manulife Pro - Total</v>
      </c>
      <c r="C5347" s="4" t="str">
        <f>CHOOSE(2, "5461730030", "Jun 26")</f>
        <v>Jun 26</v>
      </c>
      <c r="D5347" s="14">
        <v>0.23721157908640628</v>
      </c>
    </row>
    <row r="5348" spans="1:4" x14ac:dyDescent="0.35">
      <c r="A5348" s="5" t="str">
        <f t="shared" si="2757"/>
        <v>GA</v>
      </c>
      <c r="B5348" s="6" t="str">
        <f t="shared" si="2760"/>
        <v>% APE from Manulife Pro - Total</v>
      </c>
      <c r="C5348" s="4" t="str">
        <f>CHOOSE(2, "5462030031", "Jul 26")</f>
        <v>Jul 26</v>
      </c>
      <c r="D5348" s="14">
        <v>0.19071754314331887</v>
      </c>
    </row>
    <row r="5349" spans="1:4" x14ac:dyDescent="0.35">
      <c r="A5349" s="5" t="str">
        <f t="shared" si="2757"/>
        <v>GA</v>
      </c>
      <c r="B5349" s="3" t="str">
        <f t="shared" ref="B5349:B5350" si="2761">CHOOSE(2, "1395000000575", "% of 1-Month Active Agents Manulife Pro Qualifiers - Total")</f>
        <v>% of 1-Month Active Agents Manulife Pro Qualifiers - Total</v>
      </c>
      <c r="C5349" s="4" t="str">
        <f>CHOOSE(2, "5461730030", "Jun 26")</f>
        <v>Jun 26</v>
      </c>
      <c r="D5349" s="14">
        <v>0.61855670103092786</v>
      </c>
    </row>
    <row r="5350" spans="1:4" x14ac:dyDescent="0.35">
      <c r="A5350" s="5" t="str">
        <f t="shared" si="2757"/>
        <v>GA</v>
      </c>
      <c r="B5350" s="6" t="str">
        <f t="shared" si="2761"/>
        <v>% of 1-Month Active Agents Manulife Pro Qualifiers - Total</v>
      </c>
      <c r="C5350" s="4" t="str">
        <f>CHOOSE(2, "5462030031", "Jul 26")</f>
        <v>Jul 26</v>
      </c>
      <c r="D5350" s="14">
        <v>0.64406779661016944</v>
      </c>
    </row>
    <row r="5351" spans="1:4" x14ac:dyDescent="0.35">
      <c r="A5351" s="5" t="str">
        <f t="shared" si="2757"/>
        <v>GA</v>
      </c>
      <c r="B5351" s="3" t="str">
        <f t="shared" ref="B5351:B5352" si="2762">CHOOSE(2, "1395000000574", "% of Newly Demoted UM")</f>
        <v>% of Newly Demoted UM</v>
      </c>
      <c r="C5351" s="4" t="str">
        <f>CHOOSE(2, "5461730030", "Jun 26")</f>
        <v>Jun 26</v>
      </c>
      <c r="D5351" s="14">
        <v>7.9872204472843447E-3</v>
      </c>
    </row>
    <row r="5352" spans="1:4" x14ac:dyDescent="0.35">
      <c r="A5352" s="5" t="str">
        <f t="shared" si="2757"/>
        <v>GA</v>
      </c>
      <c r="B5352" s="6" t="str">
        <f t="shared" si="2762"/>
        <v>% of Newly Demoted UM</v>
      </c>
      <c r="C5352" s="4" t="str">
        <f>CHOOSE(2, "5462030031", "Jul 26")</f>
        <v>Jul 26</v>
      </c>
      <c r="D5352" s="14">
        <v>2.2607385079125848E-3</v>
      </c>
    </row>
    <row r="5353" spans="1:4" x14ac:dyDescent="0.35">
      <c r="A5353" s="5" t="str">
        <f t="shared" si="2757"/>
        <v>GA</v>
      </c>
      <c r="B5353" s="3" t="str">
        <f t="shared" ref="B5353:B5354" si="2763">CHOOSE(2, "1395000000573", "% of Newly Demoted Leaders above UM")</f>
        <v>% of Newly Demoted Leaders above UM</v>
      </c>
      <c r="C5353" s="4" t="str">
        <f>CHOOSE(2, "5461730030", "Jun 26")</f>
        <v>Jun 26</v>
      </c>
      <c r="D5353" s="14">
        <v>4.0322580645161289E-3</v>
      </c>
    </row>
    <row r="5354" spans="1:4" x14ac:dyDescent="0.35">
      <c r="A5354" s="5" t="str">
        <f t="shared" si="2757"/>
        <v>GA</v>
      </c>
      <c r="B5354" s="6" t="str">
        <f t="shared" si="2763"/>
        <v>% of Newly Demoted Leaders above UM</v>
      </c>
      <c r="C5354" s="4" t="str">
        <f>CHOOSE(2, "5462030031", "Jul 26")</f>
        <v>Jul 26</v>
      </c>
      <c r="D5354" s="14">
        <v>1.9342359767891683E-3</v>
      </c>
    </row>
    <row r="5355" spans="1:4" x14ac:dyDescent="0.35">
      <c r="A5355" s="5" t="str">
        <f t="shared" si="2757"/>
        <v>GA</v>
      </c>
      <c r="B5355" s="3" t="str">
        <f t="shared" ref="B5355:B5356" si="2764">CHOOSE(2, "1395000000572", "Avg. Earning per agent")</f>
        <v>Avg. Earning per agent</v>
      </c>
      <c r="C5355" s="4" t="str">
        <f>CHOOSE(2, "5461730030", "Jun 26")</f>
        <v>Jun 26</v>
      </c>
      <c r="D5355" s="14">
        <v>4.0853666261129384E-3</v>
      </c>
    </row>
    <row r="5356" spans="1:4" x14ac:dyDescent="0.35">
      <c r="A5356" s="5" t="str">
        <f t="shared" si="2757"/>
        <v>GA</v>
      </c>
      <c r="B5356" s="6" t="str">
        <f t="shared" si="2764"/>
        <v>Avg. Earning per agent</v>
      </c>
      <c r="C5356" s="4" t="str">
        <f>CHOOSE(2, "5462030031", "Jul 26")</f>
        <v>Jul 26</v>
      </c>
      <c r="D5356" s="14">
        <v>4.2731110249739652E-3</v>
      </c>
    </row>
    <row r="5357" spans="1:4" x14ac:dyDescent="0.35">
      <c r="A5357" s="5" t="str">
        <f t="shared" si="2757"/>
        <v>GA</v>
      </c>
      <c r="B5357" s="3" t="str">
        <f t="shared" ref="B5357:B5358" si="2765">CHOOSE(2, "1395000000571", "Avg. Earning per agent in FA or equivalent")</f>
        <v>Avg. Earning per agent in FA or equivalent</v>
      </c>
      <c r="C5357" s="4" t="str">
        <f>CHOOSE(2, "5461730030", "Jun 26")</f>
        <v>Jun 26</v>
      </c>
      <c r="D5357" s="14">
        <v>2.8389113901122875E-3</v>
      </c>
    </row>
    <row r="5358" spans="1:4" x14ac:dyDescent="0.35">
      <c r="A5358" s="5" t="str">
        <f t="shared" si="2757"/>
        <v>GA</v>
      </c>
      <c r="B5358" s="6" t="str">
        <f t="shared" si="2765"/>
        <v>Avg. Earning per agent in FA or equivalent</v>
      </c>
      <c r="C5358" s="4" t="str">
        <f>CHOOSE(2, "5462030031", "Jul 26")</f>
        <v>Jul 26</v>
      </c>
      <c r="D5358" s="14">
        <v>2.8847061389657785E-3</v>
      </c>
    </row>
    <row r="5359" spans="1:4" x14ac:dyDescent="0.35">
      <c r="A5359" s="5" t="str">
        <f t="shared" si="2757"/>
        <v>GA</v>
      </c>
      <c r="B5359" s="3" t="str">
        <f t="shared" ref="B5359:B5360" si="2766">CHOOSE(2, "1395000000570", "Avg. Earning per agent in UM")</f>
        <v>Avg. Earning per agent in UM</v>
      </c>
      <c r="C5359" s="4" t="str">
        <f>CHOOSE(2, "5461730030", "Jun 26")</f>
        <v>Jun 26</v>
      </c>
      <c r="D5359" s="14">
        <v>8.9349904267284359E-3</v>
      </c>
    </row>
    <row r="5360" spans="1:4" x14ac:dyDescent="0.35">
      <c r="A5360" s="5" t="str">
        <f t="shared" si="2757"/>
        <v>GA</v>
      </c>
      <c r="B5360" s="6" t="str">
        <f t="shared" si="2766"/>
        <v>Avg. Earning per agent in UM</v>
      </c>
      <c r="C5360" s="4" t="str">
        <f>CHOOSE(2, "5462030031", "Jul 26")</f>
        <v>Jul 26</v>
      </c>
      <c r="D5360" s="14">
        <v>9.3691888440135644E-3</v>
      </c>
    </row>
    <row r="5361" spans="1:4" x14ac:dyDescent="0.35">
      <c r="A5361" s="5" t="str">
        <f t="shared" si="2757"/>
        <v>GA</v>
      </c>
      <c r="B5361" s="3" t="str">
        <f t="shared" ref="B5361:B5362" si="2767">CHOOSE(2, "1395000000569", "Avg. Earning per agent in Leaders above UM")</f>
        <v>Avg. Earning per agent in Leaders above UM</v>
      </c>
      <c r="C5361" s="4" t="str">
        <f>CHOOSE(2, "5461730030", "Jun 26")</f>
        <v>Jun 26</v>
      </c>
      <c r="D5361" s="14">
        <v>1.2567799846360887E-2</v>
      </c>
    </row>
    <row r="5362" spans="1:4" x14ac:dyDescent="0.35">
      <c r="A5362" s="5" t="str">
        <f t="shared" si="2757"/>
        <v>GA</v>
      </c>
      <c r="B5362" s="6" t="str">
        <f t="shared" si="2767"/>
        <v>Avg. Earning per agent in Leaders above UM</v>
      </c>
      <c r="C5362" s="4" t="str">
        <f>CHOOSE(2, "5462030031", "Jul 26")</f>
        <v>Jul 26</v>
      </c>
      <c r="D5362" s="14">
        <v>1.4212567408061896E-2</v>
      </c>
    </row>
    <row r="5363" spans="1:4" x14ac:dyDescent="0.35">
      <c r="A5363" s="5" t="str">
        <f t="shared" si="2757"/>
        <v>GA</v>
      </c>
      <c r="B5363" s="3" t="str">
        <f t="shared" ref="B5363:B5364" si="2768">CHOOSE(2, "1395000000568", "% of 1-Month Active Agents 0-1M")</f>
        <v>% of 1-Month Active Agents 0-1M</v>
      </c>
      <c r="C5363" s="4" t="str">
        <f>CHOOSE(2, "5461730030", "Jun 26")</f>
        <v>Jun 26</v>
      </c>
      <c r="D5363" s="14">
        <v>0.24179829890643986</v>
      </c>
    </row>
    <row r="5364" spans="1:4" x14ac:dyDescent="0.35">
      <c r="A5364" s="5" t="str">
        <f t="shared" si="2757"/>
        <v>GA</v>
      </c>
      <c r="B5364" s="6" t="str">
        <f t="shared" si="2768"/>
        <v>% of 1-Month Active Agents 0-1M</v>
      </c>
      <c r="C5364" s="4" t="str">
        <f>CHOOSE(2, "5462030031", "Jul 26")</f>
        <v>Jul 26</v>
      </c>
      <c r="D5364" s="14">
        <v>0.20685579196217493</v>
      </c>
    </row>
    <row r="5365" spans="1:4" x14ac:dyDescent="0.35">
      <c r="A5365" s="5" t="str">
        <f t="shared" si="2757"/>
        <v>GA</v>
      </c>
      <c r="B5365" s="3" t="str">
        <f t="shared" ref="B5365:B5366" si="2769">CHOOSE(2, "1395000000567", "% of 1-Month Active Agents in 2-3M")</f>
        <v>% of 1-Month Active Agents in 2-3M</v>
      </c>
      <c r="C5365" s="4" t="str">
        <f>CHOOSE(2, "5461730030", "Jun 26")</f>
        <v>Jun 26</v>
      </c>
      <c r="D5365" s="14">
        <v>0.19141193595342068</v>
      </c>
    </row>
    <row r="5366" spans="1:4" x14ac:dyDescent="0.35">
      <c r="A5366" s="5" t="str">
        <f t="shared" si="2757"/>
        <v>GA</v>
      </c>
      <c r="B5366" s="6" t="str">
        <f t="shared" si="2769"/>
        <v>% of 1-Month Active Agents in 2-3M</v>
      </c>
      <c r="C5366" s="4" t="str">
        <f>CHOOSE(2, "5462030031", "Jul 26")</f>
        <v>Jul 26</v>
      </c>
      <c r="D5366" s="14">
        <v>0.18121693121693122</v>
      </c>
    </row>
    <row r="5367" spans="1:4" x14ac:dyDescent="0.35">
      <c r="A5367" s="5" t="str">
        <f t="shared" si="2757"/>
        <v>GA</v>
      </c>
      <c r="B5367" s="3" t="str">
        <f t="shared" ref="B5367:B5368" si="2770">CHOOSE(2, "1395000000566", "% of 1-Month Active Agents 4-12M")</f>
        <v>% of 1-Month Active Agents 4-12M</v>
      </c>
      <c r="C5367" s="4" t="str">
        <f>CHOOSE(2, "5461730030", "Jun 26")</f>
        <v>Jun 26</v>
      </c>
      <c r="D5367" s="14">
        <v>9.097092331236184E-2</v>
      </c>
    </row>
    <row r="5368" spans="1:4" x14ac:dyDescent="0.35">
      <c r="A5368" s="5" t="str">
        <f t="shared" si="2757"/>
        <v>GA</v>
      </c>
      <c r="B5368" s="6" t="str">
        <f t="shared" si="2770"/>
        <v>% of 1-Month Active Agents 4-12M</v>
      </c>
      <c r="C5368" s="4" t="str">
        <f>CHOOSE(2, "5462030031", "Jul 26")</f>
        <v>Jul 26</v>
      </c>
      <c r="D5368" s="14">
        <v>9.5354523227383858E-2</v>
      </c>
    </row>
    <row r="5369" spans="1:4" x14ac:dyDescent="0.35">
      <c r="A5369" s="5" t="str">
        <f t="shared" si="2757"/>
        <v>GA</v>
      </c>
      <c r="B5369" s="3" t="str">
        <f t="shared" ref="B5369:B5370" si="2771">CHOOSE(2, "1395000000565", "% of 1-Month Active Agents 13+M")</f>
        <v>% of 1-Month Active Agents 13+M</v>
      </c>
      <c r="C5369" s="4" t="str">
        <f>CHOOSE(2, "5461730030", "Jun 26")</f>
        <v>Jun 26</v>
      </c>
      <c r="D5369" s="14">
        <v>0.13631651693158259</v>
      </c>
    </row>
    <row r="5370" spans="1:4" x14ac:dyDescent="0.35">
      <c r="A5370" s="5" t="str">
        <f t="shared" si="2757"/>
        <v>GA</v>
      </c>
      <c r="B5370" s="6" t="str">
        <f t="shared" si="2771"/>
        <v>% of 1-Month Active Agents 13+M</v>
      </c>
      <c r="C5370" s="4" t="str">
        <f>CHOOSE(2, "5462030031", "Jul 26")</f>
        <v>Jul 26</v>
      </c>
      <c r="D5370" s="14">
        <v>0.12549618320610686</v>
      </c>
    </row>
    <row r="5371" spans="1:4" x14ac:dyDescent="0.35">
      <c r="A5371" s="5" t="str">
        <f t="shared" si="2757"/>
        <v>GA</v>
      </c>
      <c r="B5371" s="3" t="str">
        <f t="shared" ref="B5371:B5372" si="2772">CHOOSE(2, "1395000000564", "% of 3-Month Active Agents 0-1M")</f>
        <v>% of 3-Month Active Agents 0-1M</v>
      </c>
      <c r="C5371" s="4" t="str">
        <f>CHOOSE(2, "5461730030", "Jun 26")</f>
        <v>Jun 26</v>
      </c>
      <c r="D5371" s="14">
        <v>0.24179829890643986</v>
      </c>
    </row>
    <row r="5372" spans="1:4" x14ac:dyDescent="0.35">
      <c r="A5372" s="5" t="str">
        <f t="shared" si="2757"/>
        <v>GA</v>
      </c>
      <c r="B5372" s="6" t="str">
        <f t="shared" si="2772"/>
        <v>% of 3-Month Active Agents 0-1M</v>
      </c>
      <c r="C5372" s="4" t="str">
        <f>CHOOSE(2, "5462030031", "Jul 26")</f>
        <v>Jul 26</v>
      </c>
      <c r="D5372" s="14">
        <v>0.20685579196217493</v>
      </c>
    </row>
    <row r="5373" spans="1:4" x14ac:dyDescent="0.35">
      <c r="A5373" s="5" t="str">
        <f t="shared" si="2757"/>
        <v>GA</v>
      </c>
      <c r="B5373" s="3" t="str">
        <f t="shared" ref="B5373:B5374" si="2773">CHOOSE(2, "1395000000563", "% of 3-Month Active Agents in 2-3M")</f>
        <v>% of 3-Month Active Agents in 2-3M</v>
      </c>
      <c r="C5373" s="4" t="str">
        <f>CHOOSE(2, "5461730030", "Jun 26")</f>
        <v>Jun 26</v>
      </c>
      <c r="D5373" s="14">
        <v>0.37627365356622999</v>
      </c>
    </row>
    <row r="5374" spans="1:4" x14ac:dyDescent="0.35">
      <c r="A5374" s="5" t="str">
        <f t="shared" si="2757"/>
        <v>GA</v>
      </c>
      <c r="B5374" s="6" t="str">
        <f t="shared" si="2773"/>
        <v>% of 3-Month Active Agents in 2-3M</v>
      </c>
      <c r="C5374" s="4" t="str">
        <f>CHOOSE(2, "5462030031", "Jul 26")</f>
        <v>Jul 26</v>
      </c>
      <c r="D5374" s="14">
        <v>0.40013227513227512</v>
      </c>
    </row>
    <row r="5375" spans="1:4" x14ac:dyDescent="0.35">
      <c r="A5375" s="5" t="str">
        <f t="shared" si="2757"/>
        <v>GA</v>
      </c>
      <c r="B5375" s="3" t="str">
        <f t="shared" ref="B5375:B5376" si="2774">CHOOSE(2, "1395000000562", "% of 3-Month Active Agents 4-12M")</f>
        <v>% of 3-Month Active Agents 4-12M</v>
      </c>
      <c r="C5375" s="4" t="str">
        <f>CHOOSE(2, "5461730030", "Jun 26")</f>
        <v>Jun 26</v>
      </c>
      <c r="D5375" s="14">
        <v>0.19792552287026016</v>
      </c>
    </row>
    <row r="5376" spans="1:4" x14ac:dyDescent="0.35">
      <c r="A5376" s="5" t="str">
        <f t="shared" si="2757"/>
        <v>GA</v>
      </c>
      <c r="B5376" s="6" t="str">
        <f t="shared" si="2774"/>
        <v>% of 3-Month Active Agents 4-12M</v>
      </c>
      <c r="C5376" s="4" t="str">
        <f>CHOOSE(2, "5462030031", "Jul 26")</f>
        <v>Jul 26</v>
      </c>
      <c r="D5376" s="14">
        <v>0.21550820817324484</v>
      </c>
    </row>
    <row r="5377" spans="1:4" x14ac:dyDescent="0.35">
      <c r="A5377" s="5" t="str">
        <f t="shared" si="2757"/>
        <v>GA</v>
      </c>
      <c r="B5377" s="3" t="str">
        <f t="shared" ref="B5377:B5378" si="2775">CHOOSE(2, "1395000000561", "% of 3-Month Active Agents 13+M")</f>
        <v>% of 3-Month Active Agents 13+M</v>
      </c>
      <c r="C5377" s="4" t="str">
        <f>CHOOSE(2, "5461730030", "Jun 26")</f>
        <v>Jun 26</v>
      </c>
      <c r="D5377" s="14">
        <v>0.24257083621285419</v>
      </c>
    </row>
    <row r="5378" spans="1:4" x14ac:dyDescent="0.35">
      <c r="A5378" s="5" t="str">
        <f t="shared" si="2757"/>
        <v>GA</v>
      </c>
      <c r="B5378" s="6" t="str">
        <f t="shared" si="2775"/>
        <v>% of 3-Month Active Agents 13+M</v>
      </c>
      <c r="C5378" s="4" t="str">
        <f>CHOOSE(2, "5462030031", "Jul 26")</f>
        <v>Jul 26</v>
      </c>
      <c r="D5378" s="14">
        <v>0.24106870229007635</v>
      </c>
    </row>
    <row r="5379" spans="1:4" x14ac:dyDescent="0.35">
      <c r="A5379" s="5" t="str">
        <f t="shared" si="2757"/>
        <v>GA</v>
      </c>
      <c r="B5379" s="3" t="str">
        <f t="shared" ref="B5379:B5380" si="2776">CHOOSE(2, "1395000000560", "Avg. Case count per 1-Month Active Agent 0-1M")</f>
        <v>Avg. Case count per 1-Month Active Agent 0-1M</v>
      </c>
      <c r="C5379" s="4" t="str">
        <f>CHOOSE(2, "5461730030", "Jun 26")</f>
        <v>Jun 26</v>
      </c>
      <c r="D5379" s="14">
        <v>1.7939698492462313</v>
      </c>
    </row>
    <row r="5380" spans="1:4" x14ac:dyDescent="0.35">
      <c r="A5380" s="5" t="str">
        <f t="shared" si="2757"/>
        <v>GA</v>
      </c>
      <c r="B5380" s="6" t="str">
        <f t="shared" si="2776"/>
        <v>Avg. Case count per 1-Month Active Agent 0-1M</v>
      </c>
      <c r="C5380" s="4" t="str">
        <f>CHOOSE(2, "5462030031", "Jul 26")</f>
        <v>Jul 26</v>
      </c>
      <c r="D5380" s="14">
        <v>1.8057142857142856</v>
      </c>
    </row>
    <row r="5381" spans="1:4" x14ac:dyDescent="0.35">
      <c r="A5381" s="5" t="str">
        <f t="shared" si="2757"/>
        <v>GA</v>
      </c>
      <c r="B5381" s="3" t="str">
        <f t="shared" ref="B5381:B5382" si="2777">CHOOSE(2, "1395000000559", "Avg. Case count per 1-Month Active Agent in 2-3M")</f>
        <v>Avg. Case count per 1-Month Active Agent in 2-3M</v>
      </c>
      <c r="C5381" s="4" t="str">
        <f>CHOOSE(2, "5461730030", "Jun 26")</f>
        <v>Jun 26</v>
      </c>
      <c r="D5381" s="14">
        <v>1.897338403041825</v>
      </c>
    </row>
    <row r="5382" spans="1:4" x14ac:dyDescent="0.35">
      <c r="A5382" s="5" t="str">
        <f t="shared" si="2757"/>
        <v>GA</v>
      </c>
      <c r="B5382" s="6" t="str">
        <f t="shared" si="2777"/>
        <v>Avg. Case count per 1-Month Active Agent in 2-3M</v>
      </c>
      <c r="C5382" s="4" t="str">
        <f>CHOOSE(2, "5462030031", "Jul 26")</f>
        <v>Jul 26</v>
      </c>
      <c r="D5382" s="14">
        <v>1.9671532846715329</v>
      </c>
    </row>
    <row r="5383" spans="1:4" x14ac:dyDescent="0.35">
      <c r="A5383" s="5" t="str">
        <f t="shared" si="2757"/>
        <v>GA</v>
      </c>
      <c r="B5383" s="3" t="str">
        <f t="shared" ref="B5383:B5384" si="2778">CHOOSE(2, "1395000000558", "Avg. Case count per 1-Month Active Agent 4-12M")</f>
        <v>Avg. Case count per 1-Month Active Agent 4-12M</v>
      </c>
      <c r="C5383" s="4" t="str">
        <f>CHOOSE(2, "5461730030", "Jun 26")</f>
        <v>Jun 26</v>
      </c>
      <c r="D5383" s="14">
        <v>1.7869158878504674</v>
      </c>
    </row>
    <row r="5384" spans="1:4" x14ac:dyDescent="0.35">
      <c r="A5384" s="5" t="str">
        <f t="shared" si="2757"/>
        <v>GA</v>
      </c>
      <c r="B5384" s="6" t="str">
        <f t="shared" si="2778"/>
        <v>Avg. Case count per 1-Month Active Agent 4-12M</v>
      </c>
      <c r="C5384" s="4" t="str">
        <f>CHOOSE(2, "5462030031", "Jul 26")</f>
        <v>Jul 26</v>
      </c>
      <c r="D5384" s="14">
        <v>1.5915750915750915</v>
      </c>
    </row>
    <row r="5385" spans="1:4" x14ac:dyDescent="0.35">
      <c r="A5385" s="5" t="str">
        <f t="shared" si="2757"/>
        <v>GA</v>
      </c>
      <c r="B5385" s="3" t="str">
        <f t="shared" ref="B5385:B5386" si="2779">CHOOSE(2, "1395000000557", "Avg. Case count per 1-Month Active Agent 13+M")</f>
        <v>Avg. Case count per 1-Month Active Agent 13+M</v>
      </c>
      <c r="C5385" s="4" t="str">
        <f>CHOOSE(2, "5461730030", "Jun 26")</f>
        <v>Jun 26</v>
      </c>
      <c r="D5385" s="14">
        <v>1.6159695817490494</v>
      </c>
    </row>
    <row r="5386" spans="1:4" x14ac:dyDescent="0.35">
      <c r="A5386" s="5" t="str">
        <f t="shared" si="2757"/>
        <v>GA</v>
      </c>
      <c r="B5386" s="6" t="str">
        <f t="shared" si="2779"/>
        <v>Avg. Case count per 1-Month Active Agent 13+M</v>
      </c>
      <c r="C5386" s="4" t="str">
        <f>CHOOSE(2, "5462030031", "Jul 26")</f>
        <v>Jul 26</v>
      </c>
      <c r="D5386" s="14">
        <v>1.7171532846715329</v>
      </c>
    </row>
    <row r="5387" spans="1:4" x14ac:dyDescent="0.35">
      <c r="A5387" s="5" t="str">
        <f t="shared" si="2757"/>
        <v>GA</v>
      </c>
      <c r="B5387" s="3" t="str">
        <f t="shared" ref="B5387:B5388" si="2780">CHOOSE(2, "1395000000556", "Avg. Case size 0-1M")</f>
        <v>Avg. Case size 0-1M</v>
      </c>
      <c r="C5387" s="4" t="str">
        <f>CHOOSE(2, "5461730030", "Jun 26")</f>
        <v>Jun 26</v>
      </c>
      <c r="D5387" s="14">
        <v>990.24821290340344</v>
      </c>
    </row>
    <row r="5388" spans="1:4" x14ac:dyDescent="0.35">
      <c r="A5388" s="5" t="str">
        <f t="shared" si="2757"/>
        <v>GA</v>
      </c>
      <c r="B5388" s="6" t="str">
        <f t="shared" si="2780"/>
        <v>Avg. Case size 0-1M</v>
      </c>
      <c r="C5388" s="4" t="str">
        <f>CHOOSE(2, "5462030031", "Jul 26")</f>
        <v>Jul 26</v>
      </c>
      <c r="D5388" s="14">
        <v>1166.6066921121173</v>
      </c>
    </row>
    <row r="5389" spans="1:4" x14ac:dyDescent="0.35">
      <c r="A5389" s="5" t="str">
        <f t="shared" si="2757"/>
        <v>GA</v>
      </c>
      <c r="B5389" s="3" t="str">
        <f t="shared" ref="B5389:B5390" si="2781">CHOOSE(2, "1395000000555", "Avg. Case size in 2-3M")</f>
        <v>Avg. Case size in 2-3M</v>
      </c>
      <c r="C5389" s="4" t="str">
        <f>CHOOSE(2, "5461730030", "Jun 26")</f>
        <v>Jun 26</v>
      </c>
      <c r="D5389" s="14">
        <v>1416.9082645551705</v>
      </c>
    </row>
    <row r="5390" spans="1:4" x14ac:dyDescent="0.35">
      <c r="A5390" s="5" t="str">
        <f t="shared" si="2757"/>
        <v>GA</v>
      </c>
      <c r="B5390" s="6" t="str">
        <f t="shared" si="2781"/>
        <v>Avg. Case size in 2-3M</v>
      </c>
      <c r="C5390" s="4" t="str">
        <f>CHOOSE(2, "5462030031", "Jul 26")</f>
        <v>Jul 26</v>
      </c>
      <c r="D5390" s="14">
        <v>1367.8950452965828</v>
      </c>
    </row>
    <row r="5391" spans="1:4" x14ac:dyDescent="0.35">
      <c r="A5391" s="5" t="str">
        <f t="shared" si="2757"/>
        <v>GA</v>
      </c>
      <c r="B5391" s="3" t="str">
        <f t="shared" ref="B5391:B5392" si="2782">CHOOSE(2, "1395000000554", "Avg. Case size 4-12M")</f>
        <v>Avg. Case size 4-12M</v>
      </c>
      <c r="C5391" s="4" t="str">
        <f>CHOOSE(2, "5461730030", "Jun 26")</f>
        <v>Jun 26</v>
      </c>
      <c r="D5391" s="14">
        <v>1109.3680293091472</v>
      </c>
    </row>
    <row r="5392" spans="1:4" x14ac:dyDescent="0.35">
      <c r="A5392" s="5" t="str">
        <f t="shared" si="2757"/>
        <v>GA</v>
      </c>
      <c r="B5392" s="6" t="str">
        <f t="shared" si="2782"/>
        <v>Avg. Case size 4-12M</v>
      </c>
      <c r="C5392" s="4" t="str">
        <f>CHOOSE(2, "5462030031", "Jul 26")</f>
        <v>Jul 26</v>
      </c>
      <c r="D5392" s="14">
        <v>1272.6618459404913</v>
      </c>
    </row>
    <row r="5393" spans="1:4" x14ac:dyDescent="0.35">
      <c r="A5393" s="5" t="str">
        <f t="shared" si="2757"/>
        <v>GA</v>
      </c>
      <c r="B5393" s="3" t="str">
        <f t="shared" ref="B5393:B5394" si="2783">CHOOSE(2, "1395000000553", "Avg. Case size 13+M")</f>
        <v>Avg. Case size 13+M</v>
      </c>
      <c r="C5393" s="4" t="str">
        <f>CHOOSE(2, "5461730030", "Jun 26")</f>
        <v>Jun 26</v>
      </c>
      <c r="D5393" s="14">
        <v>1109.0779984518119</v>
      </c>
    </row>
    <row r="5394" spans="1:4" x14ac:dyDescent="0.35">
      <c r="A5394" s="5" t="str">
        <f t="shared" si="2757"/>
        <v>GA</v>
      </c>
      <c r="B5394" s="6" t="str">
        <f t="shared" si="2783"/>
        <v>Avg. Case size 13+M</v>
      </c>
      <c r="C5394" s="4" t="str">
        <f>CHOOSE(2, "5462030031", "Jul 26")</f>
        <v>Jul 26</v>
      </c>
      <c r="D5394" s="14">
        <v>1044.6977391638088</v>
      </c>
    </row>
    <row r="5395" spans="1:4" x14ac:dyDescent="0.35">
      <c r="A5395" s="5" t="str">
        <f t="shared" si="2757"/>
        <v>GA</v>
      </c>
      <c r="B5395" s="3" t="str">
        <f t="shared" ref="B5395:B5396" si="2784">CHOOSE(2, "1395000000552", "Avg. Case size UM")</f>
        <v>Avg. Case size UM</v>
      </c>
      <c r="C5395" s="4" t="str">
        <f>CHOOSE(2, "5461730030", "Jun 26")</f>
        <v>Jun 26</v>
      </c>
      <c r="D5395" s="14">
        <v>0</v>
      </c>
    </row>
    <row r="5396" spans="1:4" x14ac:dyDescent="0.35">
      <c r="A5396" s="5" t="str">
        <f t="shared" si="2757"/>
        <v>GA</v>
      </c>
      <c r="B5396" s="6" t="str">
        <f t="shared" si="2784"/>
        <v>Avg. Case size UM</v>
      </c>
      <c r="C5396" s="4" t="str">
        <f>CHOOSE(2, "5462030031", "Jul 26")</f>
        <v>Jul 26</v>
      </c>
      <c r="D5396" s="14">
        <v>0</v>
      </c>
    </row>
    <row r="5397" spans="1:4" x14ac:dyDescent="0.35">
      <c r="A5397" s="5" t="str">
        <f t="shared" si="2757"/>
        <v>GA</v>
      </c>
      <c r="B5397" s="3" t="str">
        <f t="shared" ref="B5397:B5398" si="2785">CHOOSE(2, "1395000000551", "Avg. Case size Leaders above UM")</f>
        <v>Avg. Case size Leaders above UM</v>
      </c>
      <c r="C5397" s="4" t="str">
        <f>CHOOSE(2, "5461730030", "Jun 26")</f>
        <v>Jun 26</v>
      </c>
      <c r="D5397" s="14">
        <v>0</v>
      </c>
    </row>
    <row r="5398" spans="1:4" x14ac:dyDescent="0.35">
      <c r="A5398" s="5" t="str">
        <f t="shared" si="2757"/>
        <v>GA</v>
      </c>
      <c r="B5398" s="6" t="str">
        <f t="shared" si="2785"/>
        <v>Avg. Case size Leaders above UM</v>
      </c>
      <c r="C5398" s="4" t="str">
        <f>CHOOSE(2, "5462030031", "Jul 26")</f>
        <v>Jul 26</v>
      </c>
      <c r="D5398" s="14">
        <v>0</v>
      </c>
    </row>
    <row r="5399" spans="1:4" x14ac:dyDescent="0.35">
      <c r="A5399" s="5" t="str">
        <f t="shared" si="2757"/>
        <v>GA</v>
      </c>
      <c r="B5399" s="3" t="str">
        <f t="shared" ref="B5399:B5400" si="2786">CHOOSE(2, "1395000000550", "Avg. Case size Top-tier agents")</f>
        <v>Avg. Case size Top-tier agents</v>
      </c>
      <c r="C5399" s="4" t="str">
        <f>CHOOSE(2, "5461730030", "Jun 26")</f>
        <v>Jun 26</v>
      </c>
      <c r="D5399" s="14">
        <v>2104.3539221556885</v>
      </c>
    </row>
    <row r="5400" spans="1:4" x14ac:dyDescent="0.35">
      <c r="A5400" s="5" t="str">
        <f t="shared" si="2757"/>
        <v>GA</v>
      </c>
      <c r="B5400" s="6" t="str">
        <f t="shared" si="2786"/>
        <v>Avg. Case size Top-tier agents</v>
      </c>
      <c r="C5400" s="4" t="str">
        <f>CHOOSE(2, "5462030031", "Jul 26")</f>
        <v>Jul 26</v>
      </c>
      <c r="D5400" s="14">
        <v>1817.950439164867</v>
      </c>
    </row>
    <row r="5401" spans="1:4" x14ac:dyDescent="0.35">
      <c r="A5401" s="5" t="str">
        <f t="shared" si="2757"/>
        <v>GA</v>
      </c>
      <c r="B5401" s="3" t="str">
        <f t="shared" ref="B5401:B5402" si="2787">CHOOSE(2, "1395000000549", "Avg. Case size Manulife Pro Qualifiers - Total")</f>
        <v>Avg. Case size Manulife Pro Qualifiers - Total</v>
      </c>
      <c r="C5401" s="4" t="str">
        <f>CHOOSE(2, "5461730030", "Jun 26")</f>
        <v>Jun 26</v>
      </c>
      <c r="D5401" s="14">
        <v>2560.5712424580151</v>
      </c>
    </row>
    <row r="5402" spans="1:4" x14ac:dyDescent="0.35">
      <c r="A5402" s="5" t="str">
        <f t="shared" si="2757"/>
        <v>GA</v>
      </c>
      <c r="B5402" s="6" t="str">
        <f t="shared" si="2787"/>
        <v>Avg. Case size Manulife Pro Qualifiers - Total</v>
      </c>
      <c r="C5402" s="4" t="str">
        <f>CHOOSE(2, "5462030031", "Jul 26")</f>
        <v>Jul 26</v>
      </c>
      <c r="D5402" s="14">
        <v>2137.0087062127659</v>
      </c>
    </row>
    <row r="5403" spans="1:4" x14ac:dyDescent="0.35">
      <c r="A5403" s="5" t="str">
        <f t="shared" si="2757"/>
        <v>GA</v>
      </c>
      <c r="B5403" s="3" t="str">
        <f t="shared" ref="B5403:B5404" si="2788">CHOOSE(2, "1395000000548", "Avg. Case size FA or equivalent")</f>
        <v>Avg. Case size FA or equivalent</v>
      </c>
      <c r="C5403" s="4" t="str">
        <f>CHOOSE(2, "5461730030", "Jun 26")</f>
        <v>Jun 26</v>
      </c>
      <c r="D5403" s="14">
        <v>0</v>
      </c>
    </row>
    <row r="5404" spans="1:4" x14ac:dyDescent="0.35">
      <c r="A5404" s="5" t="str">
        <f t="shared" si="2757"/>
        <v>GA</v>
      </c>
      <c r="B5404" s="6" t="str">
        <f t="shared" si="2788"/>
        <v>Avg. Case size FA or equivalent</v>
      </c>
      <c r="C5404" s="4" t="str">
        <f>CHOOSE(2, "5462030031", "Jul 26")</f>
        <v>Jul 26</v>
      </c>
      <c r="D5404" s="14">
        <v>0</v>
      </c>
    </row>
    <row r="5405" spans="1:4" x14ac:dyDescent="0.35">
      <c r="A5405" s="5" t="str">
        <f t="shared" si="2757"/>
        <v>GA</v>
      </c>
      <c r="B5405" s="3" t="str">
        <f t="shared" ref="B5405:B5406" si="2789">CHOOSE(2, "1395000000547", "Avg. Case size pro-rated MDRT agents (&gt;100%)")</f>
        <v>Avg. Case size pro-rated MDRT agents (&gt;100%)</v>
      </c>
      <c r="C5405" s="4" t="str">
        <f>CHOOSE(2, "5461730030", "Jun 26")</f>
        <v>Jun 26</v>
      </c>
      <c r="D5405" s="14">
        <v>2560.5712366412213</v>
      </c>
    </row>
    <row r="5406" spans="1:4" x14ac:dyDescent="0.35">
      <c r="A5406" s="5" t="str">
        <f t="shared" si="2757"/>
        <v>GA</v>
      </c>
      <c r="B5406" s="6" t="str">
        <f t="shared" si="2789"/>
        <v>Avg. Case size pro-rated MDRT agents (&gt;100%)</v>
      </c>
      <c r="C5406" s="4" t="str">
        <f>CHOOSE(2, "5462030031", "Jul 26")</f>
        <v>Jul 26</v>
      </c>
      <c r="D5406" s="14">
        <v>2145.8911317254174</v>
      </c>
    </row>
    <row r="5407" spans="1:4" x14ac:dyDescent="0.35">
      <c r="A5407" s="5" t="str">
        <f t="shared" ref="A5407:A5440" si="2790">CHOOSE(2, "1260000000006", "GA")</f>
        <v>GA</v>
      </c>
      <c r="B5407" s="3" t="str">
        <f t="shared" ref="B5407:B5408" si="2791">CHOOSE(2, "1395000000546", "Avg. Case size pro-rated MDRT agents (70-99%)")</f>
        <v>Avg. Case size pro-rated MDRT agents (70-99%)</v>
      </c>
      <c r="C5407" s="4" t="str">
        <f>CHOOSE(2, "5461730030", "Jun 26")</f>
        <v>Jun 26</v>
      </c>
      <c r="D5407" s="14">
        <v>1986.3821886792455</v>
      </c>
    </row>
    <row r="5408" spans="1:4" x14ac:dyDescent="0.35">
      <c r="A5408" s="5" t="str">
        <f t="shared" si="2790"/>
        <v>GA</v>
      </c>
      <c r="B5408" s="6" t="str">
        <f t="shared" si="2791"/>
        <v>Avg. Case size pro-rated MDRT agents (70-99%)</v>
      </c>
      <c r="C5408" s="4" t="str">
        <f>CHOOSE(2, "5462030031", "Jul 26")</f>
        <v>Jul 26</v>
      </c>
      <c r="D5408" s="14">
        <v>1804.7926253687315</v>
      </c>
    </row>
    <row r="5409" spans="1:4" x14ac:dyDescent="0.35">
      <c r="A5409" s="5" t="str">
        <f t="shared" si="2790"/>
        <v>GA</v>
      </c>
      <c r="B5409" s="3" t="str">
        <f t="shared" ref="B5409:B5410" si="2792">CHOOSE(2, "1395000000545", "Avg. Case size pro-rated MDRT agents (50-69%)")</f>
        <v>Avg. Case size pro-rated MDRT agents (50-69%)</v>
      </c>
      <c r="C5409" s="4" t="str">
        <f>CHOOSE(2, "5461730030", "Jun 26")</f>
        <v>Jun 26</v>
      </c>
      <c r="D5409" s="14">
        <v>1461.1812500000001</v>
      </c>
    </row>
    <row r="5410" spans="1:4" x14ac:dyDescent="0.35">
      <c r="A5410" s="5" t="str">
        <f t="shared" si="2790"/>
        <v>GA</v>
      </c>
      <c r="B5410" s="6" t="str">
        <f t="shared" si="2792"/>
        <v>Avg. Case size pro-rated MDRT agents (50-69%)</v>
      </c>
      <c r="C5410" s="4" t="str">
        <f>CHOOSE(2, "5462030031", "Jul 26")</f>
        <v>Jul 26</v>
      </c>
      <c r="D5410" s="14">
        <v>1480.7693542074364</v>
      </c>
    </row>
    <row r="5411" spans="1:4" x14ac:dyDescent="0.35">
      <c r="A5411" s="5" t="str">
        <f t="shared" si="2790"/>
        <v>GA</v>
      </c>
      <c r="B5411" s="3" t="str">
        <f t="shared" ref="B5411:B5412" si="2793">CHOOSE(2, "1395000000544", "% of 1-Month Active Agents UM")</f>
        <v>% of 1-Month Active Agents UM</v>
      </c>
      <c r="C5411" s="4" t="str">
        <f>CHOOSE(2, "5461730030", "Jun 26")</f>
        <v>Jun 26</v>
      </c>
      <c r="D5411" s="14">
        <v>0.19329073482428116</v>
      </c>
    </row>
    <row r="5412" spans="1:4" x14ac:dyDescent="0.35">
      <c r="A5412" s="5" t="str">
        <f t="shared" si="2790"/>
        <v>GA</v>
      </c>
      <c r="B5412" s="6" t="str">
        <f t="shared" si="2793"/>
        <v>% of 1-Month Active Agents UM</v>
      </c>
      <c r="C5412" s="4" t="str">
        <f>CHOOSE(2, "5462030031", "Jul 26")</f>
        <v>Jul 26</v>
      </c>
      <c r="D5412" s="14">
        <v>0.24868123587038432</v>
      </c>
    </row>
    <row r="5413" spans="1:4" x14ac:dyDescent="0.35">
      <c r="A5413" s="5" t="str">
        <f t="shared" si="2790"/>
        <v>GA</v>
      </c>
      <c r="B5413" s="3" t="str">
        <f t="shared" ref="B5413:B5414" si="2794">CHOOSE(2, "1395000000543", "% of 1-Month Active Agents Leaders above UM")</f>
        <v>% of 1-Month Active Agents Leaders above UM</v>
      </c>
      <c r="C5413" s="4" t="str">
        <f>CHOOSE(2, "5461730030", "Jun 26")</f>
        <v>Jun 26</v>
      </c>
      <c r="D5413" s="14">
        <v>0.22983870967741934</v>
      </c>
    </row>
    <row r="5414" spans="1:4" x14ac:dyDescent="0.35">
      <c r="A5414" s="5" t="str">
        <f t="shared" si="2790"/>
        <v>GA</v>
      </c>
      <c r="B5414" s="6" t="str">
        <f t="shared" si="2794"/>
        <v>% of 1-Month Active Agents Leaders above UM</v>
      </c>
      <c r="C5414" s="4" t="str">
        <f>CHOOSE(2, "5462030031", "Jul 26")</f>
        <v>Jul 26</v>
      </c>
      <c r="D5414" s="14">
        <v>0.269825918762089</v>
      </c>
    </row>
    <row r="5415" spans="1:4" x14ac:dyDescent="0.35">
      <c r="A5415" s="5" t="str">
        <f t="shared" si="2790"/>
        <v>GA</v>
      </c>
      <c r="B5415" s="3" t="str">
        <f t="shared" ref="B5415:B5416" si="2795">CHOOSE(2, "1395000000542", "% of 1-Month Active Agents Top-tier agents")</f>
        <v>% of 1-Month Active Agents Top-tier agents</v>
      </c>
      <c r="C5415" s="4" t="str">
        <f>CHOOSE(2, "5461730030", "Jun 26")</f>
        <v>Jun 26</v>
      </c>
      <c r="D5415" s="14">
        <v>0.63667820069204151</v>
      </c>
    </row>
    <row r="5416" spans="1:4" x14ac:dyDescent="0.35">
      <c r="A5416" s="5" t="str">
        <f t="shared" si="2790"/>
        <v>GA</v>
      </c>
      <c r="B5416" s="6" t="str">
        <f t="shared" si="2795"/>
        <v>% of 1-Month Active Agents Top-tier agents</v>
      </c>
      <c r="C5416" s="4" t="str">
        <f>CHOOSE(2, "5462030031", "Jul 26")</f>
        <v>Jul 26</v>
      </c>
      <c r="D5416" s="14">
        <v>0.69798657718120805</v>
      </c>
    </row>
    <row r="5417" spans="1:4" x14ac:dyDescent="0.35">
      <c r="A5417" s="5" t="str">
        <f t="shared" si="2790"/>
        <v>GA</v>
      </c>
      <c r="B5417" s="3" t="str">
        <f t="shared" ref="B5417:B5418" si="2796">CHOOSE(2, "1395000000541", "% of 1-Month Active Agents FA or equivalent")</f>
        <v>% of 1-Month Active Agents FA or equivalent</v>
      </c>
      <c r="C5417" s="4" t="str">
        <f>CHOOSE(2, "5461730030", "Jun 26")</f>
        <v>Jun 26</v>
      </c>
      <c r="D5417" s="14">
        <v>0.11323352262949578</v>
      </c>
    </row>
    <row r="5418" spans="1:4" x14ac:dyDescent="0.35">
      <c r="A5418" s="5" t="str">
        <f t="shared" si="2790"/>
        <v>GA</v>
      </c>
      <c r="B5418" s="6" t="str">
        <f t="shared" si="2796"/>
        <v>% of 1-Month Active Agents FA or equivalent</v>
      </c>
      <c r="C5418" s="4" t="str">
        <f>CHOOSE(2, "5462030031", "Jul 26")</f>
        <v>Jul 26</v>
      </c>
      <c r="D5418" s="14">
        <v>9.8427442353132888E-2</v>
      </c>
    </row>
    <row r="5419" spans="1:4" x14ac:dyDescent="0.35">
      <c r="A5419" s="5" t="str">
        <f t="shared" si="2790"/>
        <v>GA</v>
      </c>
      <c r="B5419" s="3" t="str">
        <f t="shared" ref="B5419:B5420" si="2797">CHOOSE(2, "1395000000540", "% of 1-Month Active Agents pro-rated MDRT agents (&gt;100%)")</f>
        <v>% of 1-Month Active Agents pro-rated MDRT agents (&gt;100%)</v>
      </c>
      <c r="C5419" s="4" t="str">
        <f>CHOOSE(2, "5461730030", "Jun 26")</f>
        <v>Jun 26</v>
      </c>
      <c r="D5419" s="14">
        <v>0.61855670103092786</v>
      </c>
    </row>
    <row r="5420" spans="1:4" x14ac:dyDescent="0.35">
      <c r="A5420" s="5" t="str">
        <f t="shared" si="2790"/>
        <v>GA</v>
      </c>
      <c r="B5420" s="6" t="str">
        <f t="shared" si="2797"/>
        <v>% of 1-Month Active Agents pro-rated MDRT agents (&gt;100%)</v>
      </c>
      <c r="C5420" s="4" t="str">
        <f>CHOOSE(2, "5462030031", "Jul 26")</f>
        <v>Jul 26</v>
      </c>
      <c r="D5420" s="14">
        <v>0.65555555555555556</v>
      </c>
    </row>
    <row r="5421" spans="1:4" x14ac:dyDescent="0.35">
      <c r="A5421" s="5" t="str">
        <f t="shared" si="2790"/>
        <v>GA</v>
      </c>
      <c r="B5421" s="3" t="str">
        <f t="shared" ref="B5421:B5422" si="2798">CHOOSE(2, "1395000000539", "% of 1-Month Active Agents pro-rated MDRT agents (70-99%)")</f>
        <v>% of 1-Month Active Agents pro-rated MDRT agents (70-99%)</v>
      </c>
      <c r="C5421" s="4" t="str">
        <f>CHOOSE(2, "5461730030", "Jun 26")</f>
        <v>Jun 26</v>
      </c>
      <c r="D5421" s="14">
        <v>0.620253164556962</v>
      </c>
    </row>
    <row r="5422" spans="1:4" x14ac:dyDescent="0.35">
      <c r="A5422" s="5" t="str">
        <f t="shared" si="2790"/>
        <v>GA</v>
      </c>
      <c r="B5422" s="6" t="str">
        <f t="shared" si="2798"/>
        <v>% of 1-Month Active Agents pro-rated MDRT agents (70-99%)</v>
      </c>
      <c r="C5422" s="4" t="str">
        <f>CHOOSE(2, "5462030031", "Jul 26")</f>
        <v>Jul 26</v>
      </c>
      <c r="D5422" s="14">
        <v>0.69230769230769229</v>
      </c>
    </row>
    <row r="5423" spans="1:4" x14ac:dyDescent="0.35">
      <c r="A5423" s="5" t="str">
        <f t="shared" si="2790"/>
        <v>GA</v>
      </c>
      <c r="B5423" s="3" t="str">
        <f t="shared" ref="B5423:B5424" si="2799">CHOOSE(2, "1395000000538", "% of 1-Month Active Agents pro-rated MDRT agents (50-69%)")</f>
        <v>% of 1-Month Active Agents pro-rated MDRT agents (50-69%)</v>
      </c>
      <c r="C5423" s="4" t="str">
        <f>CHOOSE(2, "5461730030", "Jun 26")</f>
        <v>Jun 26</v>
      </c>
      <c r="D5423" s="14">
        <v>0.66371681415929207</v>
      </c>
    </row>
    <row r="5424" spans="1:4" x14ac:dyDescent="0.35">
      <c r="A5424" s="5" t="str">
        <f t="shared" si="2790"/>
        <v>GA</v>
      </c>
      <c r="B5424" s="6" t="str">
        <f t="shared" si="2799"/>
        <v>% of 1-Month Active Agents pro-rated MDRT agents (50-69%)</v>
      </c>
      <c r="C5424" s="4" t="str">
        <f>CHOOSE(2, "5462030031", "Jul 26")</f>
        <v>Jul 26</v>
      </c>
      <c r="D5424" s="14">
        <v>0.7350427350427351</v>
      </c>
    </row>
    <row r="5425" spans="1:4" x14ac:dyDescent="0.35">
      <c r="A5425" s="5" t="str">
        <f t="shared" si="2790"/>
        <v>GA</v>
      </c>
      <c r="B5425" s="3" t="str">
        <f t="shared" ref="B5425:B5426" si="2800">CHOOSE(2, "1395000000537", "Avg. Case count per 1-Month Active Agent UM")</f>
        <v>Avg. Case count per 1-Month Active Agent UM</v>
      </c>
      <c r="C5425" s="4" t="str">
        <f>CHOOSE(2, "5461730030", "Jun 26")</f>
        <v>Jun 26</v>
      </c>
      <c r="D5425" s="14">
        <v>1.6115702479338843</v>
      </c>
    </row>
    <row r="5426" spans="1:4" x14ac:dyDescent="0.35">
      <c r="A5426" s="5" t="str">
        <f t="shared" si="2790"/>
        <v>GA</v>
      </c>
      <c r="B5426" s="6" t="str">
        <f t="shared" si="2800"/>
        <v>Avg. Case count per 1-Month Active Agent UM</v>
      </c>
      <c r="C5426" s="4" t="str">
        <f>CHOOSE(2, "5462030031", "Jul 26")</f>
        <v>Jul 26</v>
      </c>
      <c r="D5426" s="14">
        <v>1.6393939393939394</v>
      </c>
    </row>
    <row r="5427" spans="1:4" x14ac:dyDescent="0.35">
      <c r="A5427" s="5" t="str">
        <f t="shared" si="2790"/>
        <v>GA</v>
      </c>
      <c r="B5427" s="3" t="str">
        <f t="shared" ref="B5427:B5428" si="2801">CHOOSE(2, "1395000000536", "Avg. Case count per 1-Month Active Agent Leaders above UM")</f>
        <v>Avg. Case count per 1-Month Active Agent Leaders above UM</v>
      </c>
      <c r="C5427" s="4" t="str">
        <f>CHOOSE(2, "5461730030", "Jun 26")</f>
        <v>Jun 26</v>
      </c>
      <c r="D5427" s="14">
        <v>2.4692982456140351</v>
      </c>
    </row>
    <row r="5428" spans="1:4" x14ac:dyDescent="0.35">
      <c r="A5428" s="5" t="str">
        <f t="shared" si="2790"/>
        <v>GA</v>
      </c>
      <c r="B5428" s="6" t="str">
        <f t="shared" si="2801"/>
        <v>Avg. Case count per 1-Month Active Agent Leaders above UM</v>
      </c>
      <c r="C5428" s="4" t="str">
        <f>CHOOSE(2, "5462030031", "Jul 26")</f>
        <v>Jul 26</v>
      </c>
      <c r="D5428" s="14">
        <v>2.3010752688172045</v>
      </c>
    </row>
    <row r="5429" spans="1:4" x14ac:dyDescent="0.35">
      <c r="A5429" s="5" t="str">
        <f t="shared" si="2790"/>
        <v>GA</v>
      </c>
      <c r="B5429" s="3" t="str">
        <f t="shared" ref="B5429:B5430" si="2802">CHOOSE(2, "1395000000535", "Avg. Case count per 1-Month Active Agent Top-tier agents")</f>
        <v>Avg. Case count per 1-Month Active Agent Top-tier agents</v>
      </c>
      <c r="C5429" s="4" t="str">
        <f>CHOOSE(2, "5461730030", "Jun 26")</f>
        <v>Jun 26</v>
      </c>
      <c r="D5429" s="14">
        <v>3.6304347826086958</v>
      </c>
    </row>
    <row r="5430" spans="1:4" x14ac:dyDescent="0.35">
      <c r="A5430" s="5" t="str">
        <f t="shared" si="2790"/>
        <v>GA</v>
      </c>
      <c r="B5430" s="6" t="str">
        <f t="shared" si="2802"/>
        <v>Avg. Case count per 1-Month Active Agent Top-tier agents</v>
      </c>
      <c r="C5430" s="4" t="str">
        <f>CHOOSE(2, "5462030031", "Jul 26")</f>
        <v>Jul 26</v>
      </c>
      <c r="D5430" s="14">
        <v>3.3389423076923075</v>
      </c>
    </row>
    <row r="5431" spans="1:4" x14ac:dyDescent="0.35">
      <c r="A5431" s="5" t="str">
        <f t="shared" si="2790"/>
        <v>GA</v>
      </c>
      <c r="B5431" s="3" t="str">
        <f t="shared" ref="B5431:B5432" si="2803">CHOOSE(2, "1395000000534", "Avg. Case count per 1-Month Manulife Pro Qualifiers - Total")</f>
        <v>Avg. Case count per 1-Month Manulife Pro Qualifiers - Total</v>
      </c>
      <c r="C5431" s="4" t="str">
        <f>CHOOSE(2, "5461730030", "Jun 26")</f>
        <v>Jun 26</v>
      </c>
      <c r="D5431" s="14">
        <v>5.458333333333333</v>
      </c>
    </row>
    <row r="5432" spans="1:4" x14ac:dyDescent="0.35">
      <c r="A5432" s="5" t="str">
        <f t="shared" si="2790"/>
        <v>GA</v>
      </c>
      <c r="B5432" s="6" t="str">
        <f t="shared" si="2803"/>
        <v>Avg. Case count per 1-Month Manulife Pro Qualifiers - Total</v>
      </c>
      <c r="C5432" s="4" t="str">
        <f>CHOOSE(2, "5462030031", "Jul 26")</f>
        <v>Jul 26</v>
      </c>
      <c r="D5432" s="14">
        <v>4.3289473684210522</v>
      </c>
    </row>
    <row r="5433" spans="1:4" x14ac:dyDescent="0.35">
      <c r="A5433" s="5" t="str">
        <f t="shared" si="2790"/>
        <v>GA</v>
      </c>
      <c r="B5433" s="3" t="str">
        <f t="shared" ref="B5433:B5434" si="2804">CHOOSE(2, "1395000000533", "Avg. Case count per 1-Month Active Agent FA or equivalent")</f>
        <v>Avg. Case count per 1-Month Active Agent FA or equivalent</v>
      </c>
      <c r="C5433" s="4" t="str">
        <f>CHOOSE(2, "5461730030", "Jun 26")</f>
        <v>Jun 26</v>
      </c>
      <c r="D5433" s="14">
        <v>1.621580547112462</v>
      </c>
    </row>
    <row r="5434" spans="1:4" x14ac:dyDescent="0.35">
      <c r="A5434" s="5" t="str">
        <f t="shared" si="2790"/>
        <v>GA</v>
      </c>
      <c r="B5434" s="6" t="str">
        <f t="shared" si="2804"/>
        <v>Avg. Case count per 1-Month Active Agent FA or equivalent</v>
      </c>
      <c r="C5434" s="4" t="str">
        <f>CHOOSE(2, "5462030031", "Jul 26")</f>
        <v>Jul 26</v>
      </c>
      <c r="D5434" s="14">
        <v>1.6163079470198676</v>
      </c>
    </row>
    <row r="5435" spans="1:4" x14ac:dyDescent="0.35">
      <c r="A5435" s="5" t="str">
        <f t="shared" si="2790"/>
        <v>GA</v>
      </c>
      <c r="B5435" s="3" t="str">
        <f t="shared" ref="B5435:B5436" si="2805">CHOOSE(2, "1395000000532", "Avg. Case count per 1-Month pro-rated MDRT agents (&gt;100%)")</f>
        <v>Avg. Case count per 1-Month pro-rated MDRT agents (&gt;100%)</v>
      </c>
      <c r="C5435" s="4" t="str">
        <f>CHOOSE(2, "5461730030", "Jun 26")</f>
        <v>Jun 26</v>
      </c>
      <c r="D5435" s="14">
        <v>5.458333333333333</v>
      </c>
    </row>
    <row r="5436" spans="1:4" x14ac:dyDescent="0.35">
      <c r="A5436" s="5" t="str">
        <f t="shared" si="2790"/>
        <v>GA</v>
      </c>
      <c r="B5436" s="6" t="str">
        <f t="shared" si="2805"/>
        <v>Avg. Case count per 1-Month pro-rated MDRT agents (&gt;100%)</v>
      </c>
      <c r="C5436" s="4" t="str">
        <f>CHOOSE(2, "5462030031", "Jul 26")</f>
        <v>Jul 26</v>
      </c>
      <c r="D5436" s="14">
        <v>4.5677966101694913</v>
      </c>
    </row>
    <row r="5437" spans="1:4" x14ac:dyDescent="0.35">
      <c r="A5437" s="5" t="str">
        <f t="shared" si="2790"/>
        <v>GA</v>
      </c>
      <c r="B5437" s="3" t="str">
        <f t="shared" ref="B5437:B5438" si="2806">CHOOSE(2, "1395000000531", "Avg. Case count per 1-Month pro-rated MDRT agents (70-99%)")</f>
        <v>Avg. Case count per 1-Month pro-rated MDRT agents (70-99%)</v>
      </c>
      <c r="C5437" s="4" t="str">
        <f>CHOOSE(2, "5461730030", "Jun 26")</f>
        <v>Jun 26</v>
      </c>
      <c r="D5437" s="14">
        <v>2.704081632653061</v>
      </c>
    </row>
    <row r="5438" spans="1:4" x14ac:dyDescent="0.35">
      <c r="A5438" s="5" t="str">
        <f t="shared" si="2790"/>
        <v>GA</v>
      </c>
      <c r="B5438" s="6" t="str">
        <f t="shared" si="2806"/>
        <v>Avg. Case count per 1-Month pro-rated MDRT agents (70-99%)</v>
      </c>
      <c r="C5438" s="4" t="str">
        <f>CHOOSE(2, "5462030031", "Jul 26")</f>
        <v>Jul 26</v>
      </c>
      <c r="D5438" s="14">
        <v>2.6904761904761907</v>
      </c>
    </row>
    <row r="5439" spans="1:4" x14ac:dyDescent="0.35">
      <c r="A5439" s="5" t="str">
        <f t="shared" si="2790"/>
        <v>GA</v>
      </c>
      <c r="B5439" s="3" t="str">
        <f t="shared" ref="B5439:B5440" si="2807">CHOOSE(2, "1395000000530", "Avg. Case count per 1-Month pro-rated MDRT agents (50-69%)")</f>
        <v>Avg. Case count per 1-Month pro-rated MDRT agents (50-69%)</v>
      </c>
      <c r="C5439" s="4" t="str">
        <f>CHOOSE(2, "5461730030", "Jun 26")</f>
        <v>Jun 26</v>
      </c>
      <c r="D5439" s="14">
        <v>2.7733333333333334</v>
      </c>
    </row>
    <row r="5440" spans="1:4" x14ac:dyDescent="0.35">
      <c r="A5440" s="6" t="str">
        <f t="shared" si="2790"/>
        <v>GA</v>
      </c>
      <c r="B5440" s="6" t="str">
        <f t="shared" si="2807"/>
        <v>Avg. Case count per 1-Month pro-rated MDRT agents (50-69%)</v>
      </c>
      <c r="C5440" s="4" t="str">
        <f>CHOOSE(2, "5462030031", "Jul 26")</f>
        <v>Jul 26</v>
      </c>
      <c r="D5440" s="14">
        <v>2.9709302325581395</v>
      </c>
    </row>
    <row r="5441" spans="1:4" x14ac:dyDescent="0.35">
      <c r="A5441" s="7" t="str">
        <f t="shared" ref="A5441:A5504" si="2808">CHOOSE(2, "204000000006", "Indonesia")</f>
        <v>Indonesia</v>
      </c>
      <c r="B5441" s="3" t="str">
        <f t="shared" ref="B5441:B5442" si="2809">CHOOSE(2, "1395000000741", "Submitted APE")</f>
        <v>Submitted APE</v>
      </c>
      <c r="C5441" s="4" t="str">
        <f>CHOOSE(2, "5461730030", "Jun 26")</f>
        <v>Jun 26</v>
      </c>
      <c r="D5441" s="14">
        <v>4.1158936200000004E-4</v>
      </c>
    </row>
    <row r="5442" spans="1:4" x14ac:dyDescent="0.35">
      <c r="A5442" s="8" t="str">
        <f t="shared" si="2808"/>
        <v>Indonesia</v>
      </c>
      <c r="B5442" s="6" t="str">
        <f t="shared" si="2809"/>
        <v>Submitted APE</v>
      </c>
      <c r="C5442" s="4" t="str">
        <f>CHOOSE(2, "5462030031", "Jul 26")</f>
        <v>Jul 26</v>
      </c>
      <c r="D5442" s="14">
        <v>4.8753251400000005E-4</v>
      </c>
    </row>
    <row r="5443" spans="1:4" x14ac:dyDescent="0.35">
      <c r="A5443" s="8" t="str">
        <f t="shared" si="2808"/>
        <v>Indonesia</v>
      </c>
      <c r="B5443" s="3" t="str">
        <f t="shared" ref="B5443:B5444" si="2810">CHOOSE(2, "1395000000740", "# of 1-Month Active Agents")</f>
        <v># of 1-Month Active Agents</v>
      </c>
      <c r="C5443" s="4" t="str">
        <f>CHOOSE(2, "5461730030", "Jun 26")</f>
        <v>Jun 26</v>
      </c>
      <c r="D5443" s="14">
        <v>3163</v>
      </c>
    </row>
    <row r="5444" spans="1:4" x14ac:dyDescent="0.35">
      <c r="A5444" s="8" t="str">
        <f t="shared" si="2808"/>
        <v>Indonesia</v>
      </c>
      <c r="B5444" s="6" t="str">
        <f t="shared" si="2810"/>
        <v># of 1-Month Active Agents</v>
      </c>
      <c r="C5444" s="4" t="str">
        <f>CHOOSE(2, "5462030031", "Jul 26")</f>
        <v>Jul 26</v>
      </c>
      <c r="D5444" s="14">
        <v>2995</v>
      </c>
    </row>
    <row r="5445" spans="1:4" x14ac:dyDescent="0.35">
      <c r="A5445" s="8" t="str">
        <f t="shared" si="2808"/>
        <v>Indonesia</v>
      </c>
      <c r="B5445" s="3" t="str">
        <f t="shared" ref="B5445:B5446" si="2811">CHOOSE(2, "1395000000739", "# of 1-Month Active Agents in 0-1M")</f>
        <v># of 1-Month Active Agents in 0-1M</v>
      </c>
      <c r="C5445" s="4" t="str">
        <f>CHOOSE(2, "5461730030", "Jun 26")</f>
        <v>Jun 26</v>
      </c>
      <c r="D5445" s="14">
        <v>247</v>
      </c>
    </row>
    <row r="5446" spans="1:4" x14ac:dyDescent="0.35">
      <c r="A5446" s="8" t="str">
        <f t="shared" si="2808"/>
        <v>Indonesia</v>
      </c>
      <c r="B5446" s="6" t="str">
        <f t="shared" si="2811"/>
        <v># of 1-Month Active Agents in 0-1M</v>
      </c>
      <c r="C5446" s="4" t="str">
        <f>CHOOSE(2, "5462030031", "Jul 26")</f>
        <v>Jul 26</v>
      </c>
      <c r="D5446" s="14">
        <v>225</v>
      </c>
    </row>
    <row r="5447" spans="1:4" x14ac:dyDescent="0.35">
      <c r="A5447" s="8" t="str">
        <f t="shared" si="2808"/>
        <v>Indonesia</v>
      </c>
      <c r="B5447" s="3" t="str">
        <f t="shared" ref="B5447:B5448" si="2812">CHOOSE(2, "1395000000738", "# of 1-Month Active Agents in 2-3M")</f>
        <v># of 1-Month Active Agents in 2-3M</v>
      </c>
      <c r="C5447" s="4" t="str">
        <f>CHOOSE(2, "5461730030", "Jun 26")</f>
        <v>Jun 26</v>
      </c>
      <c r="D5447" s="14">
        <v>382</v>
      </c>
    </row>
    <row r="5448" spans="1:4" x14ac:dyDescent="0.35">
      <c r="A5448" s="8" t="str">
        <f t="shared" si="2808"/>
        <v>Indonesia</v>
      </c>
      <c r="B5448" s="6" t="str">
        <f t="shared" si="2812"/>
        <v># of 1-Month Active Agents in 2-3M</v>
      </c>
      <c r="C5448" s="4" t="str">
        <f>CHOOSE(2, "5462030031", "Jul 26")</f>
        <v>Jul 26</v>
      </c>
      <c r="D5448" s="14">
        <v>375</v>
      </c>
    </row>
    <row r="5449" spans="1:4" x14ac:dyDescent="0.35">
      <c r="A5449" s="8" t="str">
        <f t="shared" si="2808"/>
        <v>Indonesia</v>
      </c>
      <c r="B5449" s="3" t="str">
        <f t="shared" ref="B5449:B5450" si="2813">CHOOSE(2, "1395000000737", "# of 1-Month Active Agents in 4-12M")</f>
        <v># of 1-Month Active Agents in 4-12M</v>
      </c>
      <c r="C5449" s="4" t="str">
        <f>CHOOSE(2, "5461730030", "Jun 26")</f>
        <v>Jun 26</v>
      </c>
      <c r="D5449" s="14">
        <v>671</v>
      </c>
    </row>
    <row r="5450" spans="1:4" x14ac:dyDescent="0.35">
      <c r="A5450" s="8" t="str">
        <f t="shared" si="2808"/>
        <v>Indonesia</v>
      </c>
      <c r="B5450" s="6" t="str">
        <f t="shared" si="2813"/>
        <v># of 1-Month Active Agents in 4-12M</v>
      </c>
      <c r="C5450" s="4" t="str">
        <f>CHOOSE(2, "5462030031", "Jul 26")</f>
        <v>Jul 26</v>
      </c>
      <c r="D5450" s="14">
        <v>655</v>
      </c>
    </row>
    <row r="5451" spans="1:4" x14ac:dyDescent="0.35">
      <c r="A5451" s="8" t="str">
        <f t="shared" si="2808"/>
        <v>Indonesia</v>
      </c>
      <c r="B5451" s="3" t="str">
        <f t="shared" ref="B5451:B5452" si="2814">CHOOSE(2, "1395000000736", "# of 1-Month Active Agents 13+M")</f>
        <v># of 1-Month Active Agents 13+M</v>
      </c>
      <c r="C5451" s="4" t="str">
        <f>CHOOSE(2, "5461730030", "Jun 26")</f>
        <v>Jun 26</v>
      </c>
      <c r="D5451" s="14">
        <v>1863</v>
      </c>
    </row>
    <row r="5452" spans="1:4" x14ac:dyDescent="0.35">
      <c r="A5452" s="8" t="str">
        <f t="shared" si="2808"/>
        <v>Indonesia</v>
      </c>
      <c r="B5452" s="6" t="str">
        <f t="shared" si="2814"/>
        <v># of 1-Month Active Agents 13+M</v>
      </c>
      <c r="C5452" s="4" t="str">
        <f>CHOOSE(2, "5462030031", "Jul 26")</f>
        <v>Jul 26</v>
      </c>
      <c r="D5452" s="14">
        <v>1740</v>
      </c>
    </row>
    <row r="5453" spans="1:4" x14ac:dyDescent="0.35">
      <c r="A5453" s="8" t="str">
        <f t="shared" si="2808"/>
        <v>Indonesia</v>
      </c>
      <c r="B5453" s="3" t="str">
        <f t="shared" ref="B5453:B5454" si="2815">CHOOSE(2, "1395000000735", "# of 1-Month Active Agents in FA or equivalent")</f>
        <v># of 1-Month Active Agents in FA or equivalent</v>
      </c>
      <c r="C5453" s="4" t="str">
        <f>CHOOSE(2, "5461730030", "Jun 26")</f>
        <v>Jun 26</v>
      </c>
      <c r="D5453" s="14">
        <v>2430</v>
      </c>
    </row>
    <row r="5454" spans="1:4" x14ac:dyDescent="0.35">
      <c r="A5454" s="8" t="str">
        <f t="shared" si="2808"/>
        <v>Indonesia</v>
      </c>
      <c r="B5454" s="6" t="str">
        <f t="shared" si="2815"/>
        <v># of 1-Month Active Agents in FA or equivalent</v>
      </c>
      <c r="C5454" s="4" t="str">
        <f>CHOOSE(2, "5462030031", "Jul 26")</f>
        <v>Jul 26</v>
      </c>
      <c r="D5454" s="14">
        <v>2100</v>
      </c>
    </row>
    <row r="5455" spans="1:4" x14ac:dyDescent="0.35">
      <c r="A5455" s="8" t="str">
        <f t="shared" si="2808"/>
        <v>Indonesia</v>
      </c>
      <c r="B5455" s="3" t="str">
        <f t="shared" ref="B5455:B5456" si="2816">CHOOSE(2, "1395000000734", "# of 1-Month Active Agents in UM")</f>
        <v># of 1-Month Active Agents in UM</v>
      </c>
      <c r="C5455" s="4" t="str">
        <f>CHOOSE(2, "5461730030", "Jun 26")</f>
        <v>Jun 26</v>
      </c>
      <c r="D5455" s="14">
        <v>381</v>
      </c>
    </row>
    <row r="5456" spans="1:4" x14ac:dyDescent="0.35">
      <c r="A5456" s="8" t="str">
        <f t="shared" si="2808"/>
        <v>Indonesia</v>
      </c>
      <c r="B5456" s="6" t="str">
        <f t="shared" si="2816"/>
        <v># of 1-Month Active Agents in UM</v>
      </c>
      <c r="C5456" s="4" t="str">
        <f>CHOOSE(2, "5462030031", "Jul 26")</f>
        <v>Jul 26</v>
      </c>
      <c r="D5456" s="14">
        <v>477</v>
      </c>
    </row>
    <row r="5457" spans="1:4" x14ac:dyDescent="0.35">
      <c r="A5457" s="8" t="str">
        <f t="shared" si="2808"/>
        <v>Indonesia</v>
      </c>
      <c r="B5457" s="3" t="str">
        <f t="shared" ref="B5457:B5458" si="2817">CHOOSE(2, "1395000000733", "# of 1-Month Active Agents in Leaders above UM")</f>
        <v># of 1-Month Active Agents in Leaders above UM</v>
      </c>
      <c r="C5457" s="4" t="str">
        <f>CHOOSE(2, "5461730030", "Jun 26")</f>
        <v>Jun 26</v>
      </c>
      <c r="D5457" s="14">
        <v>352</v>
      </c>
    </row>
    <row r="5458" spans="1:4" x14ac:dyDescent="0.35">
      <c r="A5458" s="8" t="str">
        <f t="shared" si="2808"/>
        <v>Indonesia</v>
      </c>
      <c r="B5458" s="6" t="str">
        <f t="shared" si="2817"/>
        <v># of 1-Month Active Agents in Leaders above UM</v>
      </c>
      <c r="C5458" s="4" t="str">
        <f>CHOOSE(2, "5462030031", "Jul 26")</f>
        <v>Jul 26</v>
      </c>
      <c r="D5458" s="14">
        <v>418</v>
      </c>
    </row>
    <row r="5459" spans="1:4" x14ac:dyDescent="0.35">
      <c r="A5459" s="8" t="str">
        <f t="shared" si="2808"/>
        <v>Indonesia</v>
      </c>
      <c r="B5459" s="3" t="str">
        <f t="shared" ref="B5459:B5460" si="2818">CHOOSE(2, "1395000000732", "# of 1-Month Active Top-tier Agents")</f>
        <v># of 1-Month Active Top-tier Agents</v>
      </c>
      <c r="C5459" s="4" t="str">
        <f>CHOOSE(2, "5461730030", "Jun 26")</f>
        <v>Jun 26</v>
      </c>
      <c r="D5459" s="14">
        <v>283</v>
      </c>
    </row>
    <row r="5460" spans="1:4" x14ac:dyDescent="0.35">
      <c r="A5460" s="8" t="str">
        <f t="shared" si="2808"/>
        <v>Indonesia</v>
      </c>
      <c r="B5460" s="6" t="str">
        <f t="shared" si="2818"/>
        <v># of 1-Month Active Top-tier Agents</v>
      </c>
      <c r="C5460" s="4" t="str">
        <f>CHOOSE(2, "5462030031", "Jul 26")</f>
        <v>Jul 26</v>
      </c>
      <c r="D5460" s="14">
        <v>321</v>
      </c>
    </row>
    <row r="5461" spans="1:4" x14ac:dyDescent="0.35">
      <c r="A5461" s="8" t="str">
        <f t="shared" si="2808"/>
        <v>Indonesia</v>
      </c>
      <c r="B5461" s="3" t="str">
        <f t="shared" ref="B5461:B5462" si="2819">CHOOSE(2, "1395000000731", "# of 1-Month Active Agents in pro-rated MDRT agents (&gt;100%)")</f>
        <v># of 1-Month Active Agents in pro-rated MDRT agents (&gt;100%)</v>
      </c>
      <c r="C5461" s="4" t="str">
        <f>CHOOSE(2, "5461730030", "Jun 26")</f>
        <v>Jun 26</v>
      </c>
      <c r="D5461" s="14">
        <v>111</v>
      </c>
    </row>
    <row r="5462" spans="1:4" x14ac:dyDescent="0.35">
      <c r="A5462" s="8" t="str">
        <f t="shared" si="2808"/>
        <v>Indonesia</v>
      </c>
      <c r="B5462" s="6" t="str">
        <f t="shared" si="2819"/>
        <v># of 1-Month Active Agents in pro-rated MDRT agents (&gt;100%)</v>
      </c>
      <c r="C5462" s="4" t="str">
        <f>CHOOSE(2, "5462030031", "Jul 26")</f>
        <v>Jul 26</v>
      </c>
      <c r="D5462" s="14">
        <v>109</v>
      </c>
    </row>
    <row r="5463" spans="1:4" x14ac:dyDescent="0.35">
      <c r="A5463" s="8" t="str">
        <f t="shared" si="2808"/>
        <v>Indonesia</v>
      </c>
      <c r="B5463" s="3" t="str">
        <f t="shared" ref="B5463:B5464" si="2820">CHOOSE(2, "1395000000730", "# of 1-Month Active Agents in pro-rated MDRT agents (70-99%)")</f>
        <v># of 1-Month Active Agents in pro-rated MDRT agents (70-99%)</v>
      </c>
      <c r="C5463" s="4" t="str">
        <f>CHOOSE(2, "5461730030", "Jun 26")</f>
        <v>Jun 26</v>
      </c>
      <c r="D5463" s="14">
        <v>73</v>
      </c>
    </row>
    <row r="5464" spans="1:4" x14ac:dyDescent="0.35">
      <c r="A5464" s="8" t="str">
        <f t="shared" si="2808"/>
        <v>Indonesia</v>
      </c>
      <c r="B5464" s="6" t="str">
        <f t="shared" si="2820"/>
        <v># of 1-Month Active Agents in pro-rated MDRT agents (70-99%)</v>
      </c>
      <c r="C5464" s="4" t="str">
        <f>CHOOSE(2, "5462030031", "Jul 26")</f>
        <v>Jul 26</v>
      </c>
      <c r="D5464" s="14">
        <v>86</v>
      </c>
    </row>
    <row r="5465" spans="1:4" x14ac:dyDescent="0.35">
      <c r="A5465" s="8" t="str">
        <f t="shared" si="2808"/>
        <v>Indonesia</v>
      </c>
      <c r="B5465" s="3" t="str">
        <f t="shared" ref="B5465:B5466" si="2821">CHOOSE(2, "1395000000729", "# of 1-Month Active Agents in pro-rated MDRT agents (50-69%)")</f>
        <v># of 1-Month Active Agents in pro-rated MDRT agents (50-69%)</v>
      </c>
      <c r="C5465" s="4" t="str">
        <f>CHOOSE(2, "5461730030", "Jun 26")</f>
        <v>Jun 26</v>
      </c>
      <c r="D5465" s="14">
        <v>99</v>
      </c>
    </row>
    <row r="5466" spans="1:4" x14ac:dyDescent="0.35">
      <c r="A5466" s="8" t="str">
        <f t="shared" si="2808"/>
        <v>Indonesia</v>
      </c>
      <c r="B5466" s="6" t="str">
        <f t="shared" si="2821"/>
        <v># of 1-Month Active Agents in pro-rated MDRT agents (50-69%)</v>
      </c>
      <c r="C5466" s="4" t="str">
        <f>CHOOSE(2, "5462030031", "Jul 26")</f>
        <v>Jul 26</v>
      </c>
      <c r="D5466" s="14">
        <v>126</v>
      </c>
    </row>
    <row r="5467" spans="1:4" x14ac:dyDescent="0.35">
      <c r="A5467" s="8" t="str">
        <f t="shared" si="2808"/>
        <v>Indonesia</v>
      </c>
      <c r="B5467" s="3" t="str">
        <f t="shared" ref="B5467:B5468" si="2822">CHOOSE(2, "1395000000728", "# of 1-Month Active Agents in Manulife Pro Qualifiers -Total")</f>
        <v># of 1-Month Active Agents in Manulife Pro Qualifiers -Total</v>
      </c>
      <c r="C5467" s="4" t="str">
        <f>CHOOSE(2, "5461730030", "Jun 26")</f>
        <v>Jun 26</v>
      </c>
      <c r="D5467" s="14">
        <v>111</v>
      </c>
    </row>
    <row r="5468" spans="1:4" x14ac:dyDescent="0.35">
      <c r="A5468" s="8" t="str">
        <f t="shared" si="2808"/>
        <v>Indonesia</v>
      </c>
      <c r="B5468" s="6" t="str">
        <f t="shared" si="2822"/>
        <v># of 1-Month Active Agents in Manulife Pro Qualifiers -Total</v>
      </c>
      <c r="C5468" s="4" t="str">
        <f>CHOOSE(2, "5462030031", "Jul 26")</f>
        <v>Jul 26</v>
      </c>
      <c r="D5468" s="14">
        <v>136</v>
      </c>
    </row>
    <row r="5469" spans="1:4" x14ac:dyDescent="0.35">
      <c r="A5469" s="8" t="str">
        <f t="shared" si="2808"/>
        <v>Indonesia</v>
      </c>
      <c r="B5469" s="3" t="str">
        <f t="shared" ref="B5469:B5470" si="2823">CHOOSE(2, "1395000000727", "# of 3-Month Active Agents")</f>
        <v># of 3-Month Active Agents</v>
      </c>
      <c r="C5469" s="4" t="str">
        <f>CHOOSE(2, "5461730030", "Jun 26")</f>
        <v>Jun 26</v>
      </c>
      <c r="D5469" s="14">
        <v>5852</v>
      </c>
    </row>
    <row r="5470" spans="1:4" x14ac:dyDescent="0.35">
      <c r="A5470" s="8" t="str">
        <f t="shared" si="2808"/>
        <v>Indonesia</v>
      </c>
      <c r="B5470" s="6" t="str">
        <f t="shared" si="2823"/>
        <v># of 3-Month Active Agents</v>
      </c>
      <c r="C5470" s="4" t="str">
        <f>CHOOSE(2, "5462030031", "Jul 26")</f>
        <v>Jul 26</v>
      </c>
      <c r="D5470" s="14">
        <v>6289</v>
      </c>
    </row>
    <row r="5471" spans="1:4" x14ac:dyDescent="0.35">
      <c r="A5471" s="8" t="str">
        <f t="shared" si="2808"/>
        <v>Indonesia</v>
      </c>
      <c r="B5471" s="3" t="str">
        <f t="shared" ref="B5471:B5472" si="2824">CHOOSE(2, "1395000000726", "# of 3-Month Active Agents in 0-1M")</f>
        <v># of 3-Month Active Agents in 0-1M</v>
      </c>
      <c r="C5471" s="4" t="str">
        <f>CHOOSE(2, "5461730030", "Jun 26")</f>
        <v>Jun 26</v>
      </c>
      <c r="D5471" s="14">
        <v>248</v>
      </c>
    </row>
    <row r="5472" spans="1:4" x14ac:dyDescent="0.35">
      <c r="A5472" s="8" t="str">
        <f t="shared" si="2808"/>
        <v>Indonesia</v>
      </c>
      <c r="B5472" s="6" t="str">
        <f t="shared" si="2824"/>
        <v># of 3-Month Active Agents in 0-1M</v>
      </c>
      <c r="C5472" s="4" t="str">
        <f>CHOOSE(2, "5462030031", "Jul 26")</f>
        <v>Jul 26</v>
      </c>
      <c r="D5472" s="14">
        <v>225</v>
      </c>
    </row>
    <row r="5473" spans="1:4" x14ac:dyDescent="0.35">
      <c r="A5473" s="8" t="str">
        <f t="shared" si="2808"/>
        <v>Indonesia</v>
      </c>
      <c r="B5473" s="3" t="str">
        <f t="shared" ref="B5473:B5474" si="2825">CHOOSE(2, "1395000000725", "# of 3-Month Active Agents in 2-3M")</f>
        <v># of 3-Month Active Agents in 2-3M</v>
      </c>
      <c r="C5473" s="4" t="str">
        <f>CHOOSE(2, "5461730030", "Jun 26")</f>
        <v>Jun 26</v>
      </c>
      <c r="D5473" s="14">
        <v>720</v>
      </c>
    </row>
    <row r="5474" spans="1:4" x14ac:dyDescent="0.35">
      <c r="A5474" s="8" t="str">
        <f t="shared" si="2808"/>
        <v>Indonesia</v>
      </c>
      <c r="B5474" s="6" t="str">
        <f t="shared" si="2825"/>
        <v># of 3-Month Active Agents in 2-3M</v>
      </c>
      <c r="C5474" s="4" t="str">
        <f>CHOOSE(2, "5462030031", "Jul 26")</f>
        <v>Jul 26</v>
      </c>
      <c r="D5474" s="14">
        <v>823</v>
      </c>
    </row>
    <row r="5475" spans="1:4" x14ac:dyDescent="0.35">
      <c r="A5475" s="8" t="str">
        <f t="shared" si="2808"/>
        <v>Indonesia</v>
      </c>
      <c r="B5475" s="3" t="str">
        <f t="shared" ref="B5475:B5476" si="2826">CHOOSE(2, "1395000000724", "# of 3-Month Active Agents in 4-12M")</f>
        <v># of 3-Month Active Agents in 4-12M</v>
      </c>
      <c r="C5475" s="4" t="str">
        <f>CHOOSE(2, "5461730030", "Jun 26")</f>
        <v>Jun 26</v>
      </c>
      <c r="D5475" s="14">
        <v>1492</v>
      </c>
    </row>
    <row r="5476" spans="1:4" x14ac:dyDescent="0.35">
      <c r="A5476" s="8" t="str">
        <f t="shared" si="2808"/>
        <v>Indonesia</v>
      </c>
      <c r="B5476" s="6" t="str">
        <f t="shared" si="2826"/>
        <v># of 3-Month Active Agents in 4-12M</v>
      </c>
      <c r="C5476" s="4" t="str">
        <f>CHOOSE(2, "5462030031", "Jul 26")</f>
        <v>Jul 26</v>
      </c>
      <c r="D5476" s="14">
        <v>1568</v>
      </c>
    </row>
    <row r="5477" spans="1:4" x14ac:dyDescent="0.35">
      <c r="A5477" s="8" t="str">
        <f t="shared" si="2808"/>
        <v>Indonesia</v>
      </c>
      <c r="B5477" s="3" t="str">
        <f t="shared" ref="B5477:B5478" si="2827">CHOOSE(2, "1395000000723", "# of 3-Month Active Agents 13+M")</f>
        <v># of 3-Month Active Agents 13+M</v>
      </c>
      <c r="C5477" s="4" t="str">
        <f>CHOOSE(2, "5461730030", "Jun 26")</f>
        <v>Jun 26</v>
      </c>
      <c r="D5477" s="14">
        <v>3392</v>
      </c>
    </row>
    <row r="5478" spans="1:4" x14ac:dyDescent="0.35">
      <c r="A5478" s="8" t="str">
        <f t="shared" si="2808"/>
        <v>Indonesia</v>
      </c>
      <c r="B5478" s="6" t="str">
        <f t="shared" si="2827"/>
        <v># of 3-Month Active Agents 13+M</v>
      </c>
      <c r="C5478" s="4" t="str">
        <f>CHOOSE(2, "5462030031", "Jul 26")</f>
        <v>Jul 26</v>
      </c>
      <c r="D5478" s="14">
        <v>3673</v>
      </c>
    </row>
    <row r="5479" spans="1:4" x14ac:dyDescent="0.35">
      <c r="A5479" s="8" t="str">
        <f t="shared" si="2808"/>
        <v>Indonesia</v>
      </c>
      <c r="B5479" s="3" t="str">
        <f t="shared" ref="B5479:B5480" si="2828">CHOOSE(2, "1395000000722", "# of 3-Month Active Agents in UM")</f>
        <v># of 3-Month Active Agents in UM</v>
      </c>
      <c r="C5479" s="4" t="str">
        <f>CHOOSE(2, "5461730030", "Jun 26")</f>
        <v>Jun 26</v>
      </c>
      <c r="D5479" s="2" t="s">
        <v>5</v>
      </c>
    </row>
    <row r="5480" spans="1:4" x14ac:dyDescent="0.35">
      <c r="A5480" s="8" t="str">
        <f t="shared" si="2808"/>
        <v>Indonesia</v>
      </c>
      <c r="B5480" s="6" t="str">
        <f t="shared" si="2828"/>
        <v># of 3-Month Active Agents in UM</v>
      </c>
      <c r="C5480" s="4" t="str">
        <f>CHOOSE(2, "5462030031", "Jul 26")</f>
        <v>Jul 26</v>
      </c>
      <c r="D5480" s="2" t="s">
        <v>5</v>
      </c>
    </row>
    <row r="5481" spans="1:4" x14ac:dyDescent="0.35">
      <c r="A5481" s="8" t="str">
        <f t="shared" si="2808"/>
        <v>Indonesia</v>
      </c>
      <c r="B5481" s="3" t="str">
        <f t="shared" ref="B5481:B5482" si="2829">CHOOSE(2, "1395000000721", "# of 3-Month Active Agents in Leaders above UM")</f>
        <v># of 3-Month Active Agents in Leaders above UM</v>
      </c>
      <c r="C5481" s="4" t="str">
        <f>CHOOSE(2, "5461730030", "Jun 26")</f>
        <v>Jun 26</v>
      </c>
      <c r="D5481" s="2" t="s">
        <v>5</v>
      </c>
    </row>
    <row r="5482" spans="1:4" x14ac:dyDescent="0.35">
      <c r="A5482" s="8" t="str">
        <f t="shared" si="2808"/>
        <v>Indonesia</v>
      </c>
      <c r="B5482" s="6" t="str">
        <f t="shared" si="2829"/>
        <v># of 3-Month Active Agents in Leaders above UM</v>
      </c>
      <c r="C5482" s="4" t="str">
        <f>CHOOSE(2, "5462030031", "Jul 26")</f>
        <v>Jul 26</v>
      </c>
      <c r="D5482" s="2" t="s">
        <v>5</v>
      </c>
    </row>
    <row r="5483" spans="1:4" x14ac:dyDescent="0.35">
      <c r="A5483" s="8" t="str">
        <f t="shared" si="2808"/>
        <v>Indonesia</v>
      </c>
      <c r="B5483" s="3" t="str">
        <f t="shared" ref="B5483:B5484" si="2830">CHOOSE(2, "1395000000720", "# of 3-Month Active Agents in FA or equivalent")</f>
        <v># of 3-Month Active Agents in FA or equivalent</v>
      </c>
      <c r="C5483" s="4" t="str">
        <f>CHOOSE(2, "5461730030", "Jun 26")</f>
        <v>Jun 26</v>
      </c>
      <c r="D5483" s="2" t="s">
        <v>5</v>
      </c>
    </row>
    <row r="5484" spans="1:4" x14ac:dyDescent="0.35">
      <c r="A5484" s="8" t="str">
        <f t="shared" si="2808"/>
        <v>Indonesia</v>
      </c>
      <c r="B5484" s="6" t="str">
        <f t="shared" si="2830"/>
        <v># of 3-Month Active Agents in FA or equivalent</v>
      </c>
      <c r="C5484" s="4" t="str">
        <f>CHOOSE(2, "5462030031", "Jul 26")</f>
        <v>Jul 26</v>
      </c>
      <c r="D5484" s="2" t="s">
        <v>5</v>
      </c>
    </row>
    <row r="5485" spans="1:4" x14ac:dyDescent="0.35">
      <c r="A5485" s="8" t="str">
        <f t="shared" si="2808"/>
        <v>Indonesia</v>
      </c>
      <c r="B5485" s="3" t="str">
        <f t="shared" ref="B5485:B5486" si="2831">CHOOSE(2, "1395000000719", "Net Case Count - Agency")</f>
        <v>Net Case Count - Agency</v>
      </c>
      <c r="C5485" s="4" t="str">
        <f>CHOOSE(2, "5461730030", "Jun 26")</f>
        <v>Jun 26</v>
      </c>
      <c r="D5485" s="14">
        <v>4711.5</v>
      </c>
    </row>
    <row r="5486" spans="1:4" x14ac:dyDescent="0.35">
      <c r="A5486" s="8" t="str">
        <f t="shared" si="2808"/>
        <v>Indonesia</v>
      </c>
      <c r="B5486" s="6" t="str">
        <f t="shared" si="2831"/>
        <v>Net Case Count - Agency</v>
      </c>
      <c r="C5486" s="4" t="str">
        <f>CHOOSE(2, "5462030031", "Jul 26")</f>
        <v>Jul 26</v>
      </c>
      <c r="D5486" s="14">
        <v>5188</v>
      </c>
    </row>
    <row r="5487" spans="1:4" x14ac:dyDescent="0.35">
      <c r="A5487" s="8" t="str">
        <f t="shared" si="2808"/>
        <v>Indonesia</v>
      </c>
      <c r="B5487" s="3" t="str">
        <f t="shared" ref="B5487:B5488" si="2832">CHOOSE(2, "1395000000718", "Net Case Count - Agency in 0-1M")</f>
        <v>Net Case Count - Agency in 0-1M</v>
      </c>
      <c r="C5487" s="4" t="str">
        <f>CHOOSE(2, "5461730030", "Jun 26")</f>
        <v>Jun 26</v>
      </c>
      <c r="D5487" s="14">
        <v>438</v>
      </c>
    </row>
    <row r="5488" spans="1:4" x14ac:dyDescent="0.35">
      <c r="A5488" s="8" t="str">
        <f t="shared" si="2808"/>
        <v>Indonesia</v>
      </c>
      <c r="B5488" s="6" t="str">
        <f t="shared" si="2832"/>
        <v>Net Case Count - Agency in 0-1M</v>
      </c>
      <c r="C5488" s="4" t="str">
        <f>CHOOSE(2, "5462030031", "Jul 26")</f>
        <v>Jul 26</v>
      </c>
      <c r="D5488" s="14">
        <v>397</v>
      </c>
    </row>
    <row r="5489" spans="1:4" x14ac:dyDescent="0.35">
      <c r="A5489" s="8" t="str">
        <f t="shared" si="2808"/>
        <v>Indonesia</v>
      </c>
      <c r="B5489" s="3" t="str">
        <f t="shared" ref="B5489:B5490" si="2833">CHOOSE(2, "1395000000717", "Net Case Count - Agency in 2-3M")</f>
        <v>Net Case Count - Agency in 2-3M</v>
      </c>
      <c r="C5489" s="4" t="str">
        <f>CHOOSE(2, "5461730030", "Jun 26")</f>
        <v>Jun 26</v>
      </c>
      <c r="D5489" s="14">
        <v>656</v>
      </c>
    </row>
    <row r="5490" spans="1:4" x14ac:dyDescent="0.35">
      <c r="A5490" s="8" t="str">
        <f t="shared" si="2808"/>
        <v>Indonesia</v>
      </c>
      <c r="B5490" s="6" t="str">
        <f t="shared" si="2833"/>
        <v>Net Case Count - Agency in 2-3M</v>
      </c>
      <c r="C5490" s="4" t="str">
        <f>CHOOSE(2, "5462030031", "Jul 26")</f>
        <v>Jul 26</v>
      </c>
      <c r="D5490" s="14">
        <v>672</v>
      </c>
    </row>
    <row r="5491" spans="1:4" x14ac:dyDescent="0.35">
      <c r="A5491" s="8" t="str">
        <f t="shared" si="2808"/>
        <v>Indonesia</v>
      </c>
      <c r="B5491" s="3" t="str">
        <f t="shared" ref="B5491:B5492" si="2834">CHOOSE(2, "1395000000716", "Net Case Count - Agency in 4-12M")</f>
        <v>Net Case Count - Agency in 4-12M</v>
      </c>
      <c r="C5491" s="4" t="str">
        <f>CHOOSE(2, "5461730030", "Jun 26")</f>
        <v>Jun 26</v>
      </c>
      <c r="D5491" s="14">
        <v>1112</v>
      </c>
    </row>
    <row r="5492" spans="1:4" x14ac:dyDescent="0.35">
      <c r="A5492" s="8" t="str">
        <f t="shared" si="2808"/>
        <v>Indonesia</v>
      </c>
      <c r="B5492" s="6" t="str">
        <f t="shared" si="2834"/>
        <v>Net Case Count - Agency in 4-12M</v>
      </c>
      <c r="C5492" s="4" t="str">
        <f>CHOOSE(2, "5462030031", "Jul 26")</f>
        <v>Jul 26</v>
      </c>
      <c r="D5492" s="14">
        <v>959</v>
      </c>
    </row>
    <row r="5493" spans="1:4" x14ac:dyDescent="0.35">
      <c r="A5493" s="8" t="str">
        <f t="shared" si="2808"/>
        <v>Indonesia</v>
      </c>
      <c r="B5493" s="3" t="str">
        <f t="shared" ref="B5493:B5494" si="2835">CHOOSE(2, "1395000000715", "Net Case Count - Agency 13+M")</f>
        <v>Net Case Count - Agency 13+M</v>
      </c>
      <c r="C5493" s="4" t="str">
        <f>CHOOSE(2, "5461730030", "Jun 26")</f>
        <v>Jun 26</v>
      </c>
      <c r="D5493" s="14">
        <v>2505.5</v>
      </c>
    </row>
    <row r="5494" spans="1:4" x14ac:dyDescent="0.35">
      <c r="A5494" s="8" t="str">
        <f t="shared" si="2808"/>
        <v>Indonesia</v>
      </c>
      <c r="B5494" s="6" t="str">
        <f t="shared" si="2835"/>
        <v>Net Case Count - Agency 13+M</v>
      </c>
      <c r="C5494" s="4" t="str">
        <f>CHOOSE(2, "5462030031", "Jul 26")</f>
        <v>Jul 26</v>
      </c>
      <c r="D5494" s="14">
        <v>2565</v>
      </c>
    </row>
    <row r="5495" spans="1:4" x14ac:dyDescent="0.35">
      <c r="A5495" s="8" t="str">
        <f t="shared" si="2808"/>
        <v>Indonesia</v>
      </c>
      <c r="B5495" s="3" t="str">
        <f t="shared" ref="B5495:B5496" si="2836">CHOOSE(2, "1395000000714", "Net Case Count - Agency in FA or equivalent")</f>
        <v>Net Case Count - Agency in FA or equivalent</v>
      </c>
      <c r="C5495" s="4" t="str">
        <f>CHOOSE(2, "5461730030", "Jun 26")</f>
        <v>Jun 26</v>
      </c>
      <c r="D5495" s="14">
        <v>3325.5</v>
      </c>
    </row>
    <row r="5496" spans="1:4" x14ac:dyDescent="0.35">
      <c r="A5496" s="8" t="str">
        <f t="shared" si="2808"/>
        <v>Indonesia</v>
      </c>
      <c r="B5496" s="6" t="str">
        <f t="shared" si="2836"/>
        <v>Net Case Count - Agency in FA or equivalent</v>
      </c>
      <c r="C5496" s="4" t="str">
        <f>CHOOSE(2, "5462030031", "Jul 26")</f>
        <v>Jul 26</v>
      </c>
      <c r="D5496" s="14">
        <v>2943.5</v>
      </c>
    </row>
    <row r="5497" spans="1:4" x14ac:dyDescent="0.35">
      <c r="A5497" s="8" t="str">
        <f t="shared" si="2808"/>
        <v>Indonesia</v>
      </c>
      <c r="B5497" s="3" t="str">
        <f t="shared" ref="B5497:B5498" si="2837">CHOOSE(2, "1395000000713", "Net Case Count - Agency in UM")</f>
        <v>Net Case Count - Agency in UM</v>
      </c>
      <c r="C5497" s="4" t="str">
        <f>CHOOSE(2, "5461730030", "Jun 26")</f>
        <v>Jun 26</v>
      </c>
      <c r="D5497" s="14">
        <v>571.5</v>
      </c>
    </row>
    <row r="5498" spans="1:4" x14ac:dyDescent="0.35">
      <c r="A5498" s="8" t="str">
        <f t="shared" si="2808"/>
        <v>Indonesia</v>
      </c>
      <c r="B5498" s="6" t="str">
        <f t="shared" si="2837"/>
        <v>Net Case Count - Agency in UM</v>
      </c>
      <c r="C5498" s="4" t="str">
        <f>CHOOSE(2, "5462030031", "Jul 26")</f>
        <v>Jul 26</v>
      </c>
      <c r="D5498" s="14">
        <v>746</v>
      </c>
    </row>
    <row r="5499" spans="1:4" x14ac:dyDescent="0.35">
      <c r="A5499" s="8" t="str">
        <f t="shared" si="2808"/>
        <v>Indonesia</v>
      </c>
      <c r="B5499" s="3" t="str">
        <f t="shared" ref="B5499:B5500" si="2838">CHOOSE(2, "1395000000712", "Net Case Count - Agency in Leaders above UM")</f>
        <v>Net Case Count - Agency in Leaders above UM</v>
      </c>
      <c r="C5499" s="4" t="str">
        <f>CHOOSE(2, "5461730030", "Jun 26")</f>
        <v>Jun 26</v>
      </c>
      <c r="D5499" s="14">
        <v>814.5</v>
      </c>
    </row>
    <row r="5500" spans="1:4" x14ac:dyDescent="0.35">
      <c r="A5500" s="8" t="str">
        <f t="shared" si="2808"/>
        <v>Indonesia</v>
      </c>
      <c r="B5500" s="6" t="str">
        <f t="shared" si="2838"/>
        <v>Net Case Count - Agency in Leaders above UM</v>
      </c>
      <c r="C5500" s="4" t="str">
        <f>CHOOSE(2, "5462030031", "Jul 26")</f>
        <v>Jul 26</v>
      </c>
      <c r="D5500" s="14">
        <v>903.5</v>
      </c>
    </row>
    <row r="5501" spans="1:4" x14ac:dyDescent="0.35">
      <c r="A5501" s="8" t="str">
        <f t="shared" si="2808"/>
        <v>Indonesia</v>
      </c>
      <c r="B5501" s="3" t="str">
        <f t="shared" ref="B5501:B5502" si="2839">CHOOSE(2, "1395000000711", "Net Case Count - Agency in Top-tier Agents")</f>
        <v>Net Case Count - Agency in Top-tier Agents</v>
      </c>
      <c r="C5501" s="4" t="str">
        <f>CHOOSE(2, "5461730030", "Jun 26")</f>
        <v>Jun 26</v>
      </c>
      <c r="D5501" s="14">
        <v>889</v>
      </c>
    </row>
    <row r="5502" spans="1:4" x14ac:dyDescent="0.35">
      <c r="A5502" s="8" t="str">
        <f t="shared" si="2808"/>
        <v>Indonesia</v>
      </c>
      <c r="B5502" s="6" t="str">
        <f t="shared" si="2839"/>
        <v>Net Case Count - Agency in Top-tier Agents</v>
      </c>
      <c r="C5502" s="4" t="str">
        <f>CHOOSE(2, "5462030031", "Jul 26")</f>
        <v>Jul 26</v>
      </c>
      <c r="D5502" s="14">
        <v>956</v>
      </c>
    </row>
    <row r="5503" spans="1:4" x14ac:dyDescent="0.35">
      <c r="A5503" s="8" t="str">
        <f t="shared" si="2808"/>
        <v>Indonesia</v>
      </c>
      <c r="B5503" s="3" t="str">
        <f t="shared" ref="B5503:B5504" si="2840">CHOOSE(2, "1395000000710", "Net Case Count - Agency in pro-rated MDRT agents (&gt;100%)")</f>
        <v>Net Case Count - Agency in pro-rated MDRT agents (&gt;100%)</v>
      </c>
      <c r="C5503" s="4" t="str">
        <f>CHOOSE(2, "5461730030", "Jun 26")</f>
        <v>Jun 26</v>
      </c>
      <c r="D5503" s="14">
        <v>430.5</v>
      </c>
    </row>
    <row r="5504" spans="1:4" x14ac:dyDescent="0.35">
      <c r="A5504" s="8" t="str">
        <f t="shared" si="2808"/>
        <v>Indonesia</v>
      </c>
      <c r="B5504" s="6" t="str">
        <f t="shared" si="2840"/>
        <v>Net Case Count - Agency in pro-rated MDRT agents (&gt;100%)</v>
      </c>
      <c r="C5504" s="4" t="str">
        <f>CHOOSE(2, "5462030031", "Jul 26")</f>
        <v>Jul 26</v>
      </c>
      <c r="D5504" s="14">
        <v>399</v>
      </c>
    </row>
    <row r="5505" spans="1:4" x14ac:dyDescent="0.35">
      <c r="A5505" s="8" t="str">
        <f t="shared" ref="A5505:A5568" si="2841">CHOOSE(2, "204000000006", "Indonesia")</f>
        <v>Indonesia</v>
      </c>
      <c r="B5505" s="3" t="str">
        <f t="shared" ref="B5505:B5506" si="2842">CHOOSE(2, "1395000000709", "Net Case Count - Agency in pro-rated MDRT agents (70-99%)")</f>
        <v>Net Case Count - Agency in pro-rated MDRT agents (70-99%)</v>
      </c>
      <c r="C5505" s="4" t="str">
        <f>CHOOSE(2, "5461730030", "Jun 26")</f>
        <v>Jun 26</v>
      </c>
      <c r="D5505" s="14">
        <v>190.5</v>
      </c>
    </row>
    <row r="5506" spans="1:4" x14ac:dyDescent="0.35">
      <c r="A5506" s="8" t="str">
        <f t="shared" si="2841"/>
        <v>Indonesia</v>
      </c>
      <c r="B5506" s="6" t="str">
        <f t="shared" si="2842"/>
        <v>Net Case Count - Agency in pro-rated MDRT agents (70-99%)</v>
      </c>
      <c r="C5506" s="4" t="str">
        <f>CHOOSE(2, "5462030031", "Jul 26")</f>
        <v>Jul 26</v>
      </c>
      <c r="D5506" s="14">
        <v>220</v>
      </c>
    </row>
    <row r="5507" spans="1:4" x14ac:dyDescent="0.35">
      <c r="A5507" s="8" t="str">
        <f t="shared" si="2841"/>
        <v>Indonesia</v>
      </c>
      <c r="B5507" s="3" t="str">
        <f t="shared" ref="B5507:B5508" si="2843">CHOOSE(2, "1395000000708", "Net Case Count - Agency in pro-rated MDRT agents (50-69%)")</f>
        <v>Net Case Count - Agency in pro-rated MDRT agents (50-69%)</v>
      </c>
      <c r="C5507" s="4" t="str">
        <f>CHOOSE(2, "5461730030", "Jun 26")</f>
        <v>Jun 26</v>
      </c>
      <c r="D5507" s="14">
        <v>268</v>
      </c>
    </row>
    <row r="5508" spans="1:4" x14ac:dyDescent="0.35">
      <c r="A5508" s="8" t="str">
        <f t="shared" si="2841"/>
        <v>Indonesia</v>
      </c>
      <c r="B5508" s="6" t="str">
        <f t="shared" si="2843"/>
        <v>Net Case Count - Agency in pro-rated MDRT agents (50-69%)</v>
      </c>
      <c r="C5508" s="4" t="str">
        <f>CHOOSE(2, "5462030031", "Jul 26")</f>
        <v>Jul 26</v>
      </c>
      <c r="D5508" s="14">
        <v>337</v>
      </c>
    </row>
    <row r="5509" spans="1:4" x14ac:dyDescent="0.35">
      <c r="A5509" s="8" t="str">
        <f t="shared" si="2841"/>
        <v>Indonesia</v>
      </c>
      <c r="B5509" s="3" t="str">
        <f t="shared" ref="B5509:B5510" si="2844">CHOOSE(2, "1395000000707", "Net Case Count - Agency in Manulife Pro Qualifiers - Total")</f>
        <v>Net Case Count - Agency in Manulife Pro Qualifiers - Total</v>
      </c>
      <c r="C5509" s="4" t="str">
        <f>CHOOSE(2, "5461730030", "Jun 26")</f>
        <v>Jun 26</v>
      </c>
      <c r="D5509" s="14">
        <v>430.5</v>
      </c>
    </row>
    <row r="5510" spans="1:4" x14ac:dyDescent="0.35">
      <c r="A5510" s="8" t="str">
        <f t="shared" si="2841"/>
        <v>Indonesia</v>
      </c>
      <c r="B5510" s="6" t="str">
        <f t="shared" si="2844"/>
        <v>Net Case Count - Agency in Manulife Pro Qualifiers - Total</v>
      </c>
      <c r="C5510" s="4" t="str">
        <f>CHOOSE(2, "5462030031", "Jul 26")</f>
        <v>Jul 26</v>
      </c>
      <c r="D5510" s="14">
        <v>479.5</v>
      </c>
    </row>
    <row r="5511" spans="1:4" x14ac:dyDescent="0.35">
      <c r="A5511" s="8" t="str">
        <f t="shared" si="2841"/>
        <v>Indonesia</v>
      </c>
      <c r="B5511" s="3" t="str">
        <f t="shared" ref="B5511:B5512" si="2845">CHOOSE(2, "1395000000706", "No. of Sales Proposal Generated")</f>
        <v>No. of Sales Proposal Generated</v>
      </c>
      <c r="C5511" s="4" t="str">
        <f>CHOOSE(2, "5461730030", "Jun 26")</f>
        <v>Jun 26</v>
      </c>
      <c r="D5511" s="2" t="s">
        <v>5</v>
      </c>
    </row>
    <row r="5512" spans="1:4" x14ac:dyDescent="0.35">
      <c r="A5512" s="8" t="str">
        <f t="shared" si="2841"/>
        <v>Indonesia</v>
      </c>
      <c r="B5512" s="6" t="str">
        <f t="shared" si="2845"/>
        <v>No. of Sales Proposal Generated</v>
      </c>
      <c r="C5512" s="4" t="str">
        <f>CHOOSE(2, "5462030031", "Jul 26")</f>
        <v>Jul 26</v>
      </c>
      <c r="D5512" s="2" t="s">
        <v>5</v>
      </c>
    </row>
    <row r="5513" spans="1:4" x14ac:dyDescent="0.35">
      <c r="A5513" s="8" t="str">
        <f t="shared" si="2841"/>
        <v>Indonesia</v>
      </c>
      <c r="B5513" s="3" t="str">
        <f t="shared" ref="B5513:B5514" si="2846">CHOOSE(2, "1395000000705", "$ APE from Agents in X tenure")</f>
        <v>$ APE from Agents in X tenure</v>
      </c>
      <c r="C5513" s="4" t="str">
        <f>CHOOSE(2, "5461730030", "Jun 26")</f>
        <v>Jun 26</v>
      </c>
      <c r="D5513" s="14">
        <v>5401607.7374010598</v>
      </c>
    </row>
    <row r="5514" spans="1:4" x14ac:dyDescent="0.35">
      <c r="A5514" s="8" t="str">
        <f t="shared" si="2841"/>
        <v>Indonesia</v>
      </c>
      <c r="B5514" s="6" t="str">
        <f t="shared" si="2846"/>
        <v>$ APE from Agents in X tenure</v>
      </c>
      <c r="C5514" s="4" t="str">
        <f>CHOOSE(2, "5462030031", "Jul 26")</f>
        <v>Jul 26</v>
      </c>
      <c r="D5514" s="14">
        <v>5641160.9921097606</v>
      </c>
    </row>
    <row r="5515" spans="1:4" x14ac:dyDescent="0.35">
      <c r="A5515" s="8" t="str">
        <f t="shared" si="2841"/>
        <v>Indonesia</v>
      </c>
      <c r="B5515" s="3" t="str">
        <f t="shared" ref="B5515:B5516" si="2847">CHOOSE(2, "1395000000704", "$ APE from Agents in X tenure in 0-1M")</f>
        <v>$ APE from Agents in X tenure in 0-1M</v>
      </c>
      <c r="C5515" s="4" t="str">
        <f>CHOOSE(2, "5461730030", "Jun 26")</f>
        <v>Jun 26</v>
      </c>
      <c r="D5515" s="14">
        <v>540160.77374010603</v>
      </c>
    </row>
    <row r="5516" spans="1:4" x14ac:dyDescent="0.35">
      <c r="A5516" s="8" t="str">
        <f t="shared" si="2841"/>
        <v>Indonesia</v>
      </c>
      <c r="B5516" s="6" t="str">
        <f t="shared" si="2847"/>
        <v>$ APE from Agents in X tenure in 0-1M</v>
      </c>
      <c r="C5516" s="4" t="str">
        <f>CHOOSE(2, "5462030031", "Jul 26")</f>
        <v>Jul 26</v>
      </c>
      <c r="D5516" s="14">
        <v>564116.09921097604</v>
      </c>
    </row>
    <row r="5517" spans="1:4" x14ac:dyDescent="0.35">
      <c r="A5517" s="8" t="str">
        <f t="shared" si="2841"/>
        <v>Indonesia</v>
      </c>
      <c r="B5517" s="3" t="str">
        <f t="shared" ref="B5517:B5518" si="2848">CHOOSE(2, "1395000000703", "$ APE from Agents in X tenure in 2-3M")</f>
        <v>$ APE from Agents in X tenure in 2-3M</v>
      </c>
      <c r="C5517" s="4" t="str">
        <f>CHOOSE(2, "5461730030", "Jun 26")</f>
        <v>Jun 26</v>
      </c>
      <c r="D5517" s="14">
        <v>1080321.5474802121</v>
      </c>
    </row>
    <row r="5518" spans="1:4" x14ac:dyDescent="0.35">
      <c r="A5518" s="8" t="str">
        <f t="shared" si="2841"/>
        <v>Indonesia</v>
      </c>
      <c r="B5518" s="6" t="str">
        <f t="shared" si="2848"/>
        <v>$ APE from Agents in X tenure in 2-3M</v>
      </c>
      <c r="C5518" s="4" t="str">
        <f>CHOOSE(2, "5462030031", "Jul 26")</f>
        <v>Jul 26</v>
      </c>
      <c r="D5518" s="14">
        <v>1128232.1984219521</v>
      </c>
    </row>
    <row r="5519" spans="1:4" x14ac:dyDescent="0.35">
      <c r="A5519" s="8" t="str">
        <f t="shared" si="2841"/>
        <v>Indonesia</v>
      </c>
      <c r="B5519" s="3" t="str">
        <f t="shared" ref="B5519:B5520" si="2849">CHOOSE(2, "1395000000702", "$ APE from Agents in X tenure in 4-12M")</f>
        <v>$ APE from Agents in X tenure in 4-12M</v>
      </c>
      <c r="C5519" s="4" t="str">
        <f>CHOOSE(2, "5461730030", "Jun 26")</f>
        <v>Jun 26</v>
      </c>
      <c r="D5519" s="14">
        <v>1620482.3212203179</v>
      </c>
    </row>
    <row r="5520" spans="1:4" x14ac:dyDescent="0.35">
      <c r="A5520" s="8" t="str">
        <f t="shared" si="2841"/>
        <v>Indonesia</v>
      </c>
      <c r="B5520" s="6" t="str">
        <f t="shared" si="2849"/>
        <v>$ APE from Agents in X tenure in 4-12M</v>
      </c>
      <c r="C5520" s="4" t="str">
        <f>CHOOSE(2, "5462030031", "Jul 26")</f>
        <v>Jul 26</v>
      </c>
      <c r="D5520" s="14">
        <v>1692348.297632928</v>
      </c>
    </row>
    <row r="5521" spans="1:4" x14ac:dyDescent="0.35">
      <c r="A5521" s="8" t="str">
        <f t="shared" si="2841"/>
        <v>Indonesia</v>
      </c>
      <c r="B5521" s="3" t="str">
        <f t="shared" ref="B5521:B5522" si="2850">CHOOSE(2, "1395000000701", "$ APE from Agents in X tenure 13+M")</f>
        <v>$ APE from Agents in X tenure 13+M</v>
      </c>
      <c r="C5521" s="4" t="str">
        <f>CHOOSE(2, "5461730030", "Jun 26")</f>
        <v>Jun 26</v>
      </c>
      <c r="D5521" s="14">
        <v>2160643.0949604241</v>
      </c>
    </row>
    <row r="5522" spans="1:4" x14ac:dyDescent="0.35">
      <c r="A5522" s="8" t="str">
        <f t="shared" si="2841"/>
        <v>Indonesia</v>
      </c>
      <c r="B5522" s="6" t="str">
        <f t="shared" si="2850"/>
        <v>$ APE from Agents in X tenure 13+M</v>
      </c>
      <c r="C5522" s="4" t="str">
        <f>CHOOSE(2, "5462030031", "Jul 26")</f>
        <v>Jul 26</v>
      </c>
      <c r="D5522" s="14">
        <v>2256464.3968439042</v>
      </c>
    </row>
    <row r="5523" spans="1:4" x14ac:dyDescent="0.35">
      <c r="A5523" s="8" t="str">
        <f t="shared" si="2841"/>
        <v>Indonesia</v>
      </c>
      <c r="B5523" s="3" t="str">
        <f t="shared" ref="B5523:B5524" si="2851">CHOOSE(2, "1395000000700", "Total agent headcount (end of period)")</f>
        <v>Total agent headcount (end of period)</v>
      </c>
      <c r="C5523" s="4" t="str">
        <f>CHOOSE(2, "5461730030", "Jun 26")</f>
        <v>Jun 26</v>
      </c>
      <c r="D5523" s="14">
        <v>20037</v>
      </c>
    </row>
    <row r="5524" spans="1:4" x14ac:dyDescent="0.35">
      <c r="A5524" s="8" t="str">
        <f t="shared" si="2841"/>
        <v>Indonesia</v>
      </c>
      <c r="B5524" s="6" t="str">
        <f t="shared" si="2851"/>
        <v>Total agent headcount (end of period)</v>
      </c>
      <c r="C5524" s="4" t="str">
        <f>CHOOSE(2, "5462030031", "Jul 26")</f>
        <v>Jul 26</v>
      </c>
      <c r="D5524" s="14">
        <v>20831</v>
      </c>
    </row>
    <row r="5525" spans="1:4" x14ac:dyDescent="0.35">
      <c r="A5525" s="8" t="str">
        <f t="shared" si="2841"/>
        <v>Indonesia</v>
      </c>
      <c r="B5525" s="3" t="str">
        <f t="shared" ref="B5525:B5526" si="2852">CHOOSE(2, "1395000000699", "Total agent headcount (end of period) in 0-1M")</f>
        <v>Total agent headcount (end of period) in 0-1M</v>
      </c>
      <c r="C5525" s="4" t="str">
        <f>CHOOSE(2, "5461730030", "Jun 26")</f>
        <v>Jun 26</v>
      </c>
      <c r="D5525" s="14">
        <v>1097</v>
      </c>
    </row>
    <row r="5526" spans="1:4" x14ac:dyDescent="0.35">
      <c r="A5526" s="8" t="str">
        <f t="shared" si="2841"/>
        <v>Indonesia</v>
      </c>
      <c r="B5526" s="6" t="str">
        <f t="shared" si="2852"/>
        <v>Total agent headcount (end of period) in 0-1M</v>
      </c>
      <c r="C5526" s="4" t="str">
        <f>CHOOSE(2, "5462030031", "Jul 26")</f>
        <v>Jul 26</v>
      </c>
      <c r="D5526" s="14">
        <v>1118</v>
      </c>
    </row>
    <row r="5527" spans="1:4" x14ac:dyDescent="0.35">
      <c r="A5527" s="8" t="str">
        <f t="shared" si="2841"/>
        <v>Indonesia</v>
      </c>
      <c r="B5527" s="3" t="str">
        <f t="shared" ref="B5527:B5528" si="2853">CHOOSE(2, "1395000000698", "Total agent headcount (end of period) in 2-3M")</f>
        <v>Total agent headcount (end of period) in 2-3M</v>
      </c>
      <c r="C5527" s="4" t="str">
        <f>CHOOSE(2, "5461730030", "Jun 26")</f>
        <v>Jun 26</v>
      </c>
      <c r="D5527" s="14">
        <v>1857</v>
      </c>
    </row>
    <row r="5528" spans="1:4" x14ac:dyDescent="0.35">
      <c r="A5528" s="8" t="str">
        <f t="shared" si="2841"/>
        <v>Indonesia</v>
      </c>
      <c r="B5528" s="6" t="str">
        <f t="shared" si="2853"/>
        <v>Total agent headcount (end of period) in 2-3M</v>
      </c>
      <c r="C5528" s="4" t="str">
        <f>CHOOSE(2, "5462030031", "Jul 26")</f>
        <v>Jul 26</v>
      </c>
      <c r="D5528" s="14">
        <v>2024</v>
      </c>
    </row>
    <row r="5529" spans="1:4" x14ac:dyDescent="0.35">
      <c r="A5529" s="8" t="str">
        <f t="shared" si="2841"/>
        <v>Indonesia</v>
      </c>
      <c r="B5529" s="3" t="str">
        <f t="shared" ref="B5529:B5530" si="2854">CHOOSE(2, "1395000000697", "Total agent headcount (end of period) in 4-12M")</f>
        <v>Total agent headcount (end of period) in 4-12M</v>
      </c>
      <c r="C5529" s="4" t="str">
        <f>CHOOSE(2, "5461730030", "Jun 26")</f>
        <v>Jun 26</v>
      </c>
      <c r="D5529" s="14">
        <v>7486</v>
      </c>
    </row>
    <row r="5530" spans="1:4" x14ac:dyDescent="0.35">
      <c r="A5530" s="8" t="str">
        <f t="shared" si="2841"/>
        <v>Indonesia</v>
      </c>
      <c r="B5530" s="6" t="str">
        <f t="shared" si="2854"/>
        <v>Total agent headcount (end of period) in 4-12M</v>
      </c>
      <c r="C5530" s="4" t="str">
        <f>CHOOSE(2, "5462030031", "Jul 26")</f>
        <v>Jul 26</v>
      </c>
      <c r="D5530" s="14">
        <v>7369</v>
      </c>
    </row>
    <row r="5531" spans="1:4" x14ac:dyDescent="0.35">
      <c r="A5531" s="8" t="str">
        <f t="shared" si="2841"/>
        <v>Indonesia</v>
      </c>
      <c r="B5531" s="3" t="str">
        <f t="shared" ref="B5531:B5532" si="2855">CHOOSE(2, "1395000000696", "Total agent headcount (end of period) 13+M")</f>
        <v>Total agent headcount (end of period) 13+M</v>
      </c>
      <c r="C5531" s="4" t="str">
        <f>CHOOSE(2, "5461730030", "Jun 26")</f>
        <v>Jun 26</v>
      </c>
      <c r="D5531" s="14">
        <v>9597</v>
      </c>
    </row>
    <row r="5532" spans="1:4" x14ac:dyDescent="0.35">
      <c r="A5532" s="8" t="str">
        <f t="shared" si="2841"/>
        <v>Indonesia</v>
      </c>
      <c r="B5532" s="6" t="str">
        <f t="shared" si="2855"/>
        <v>Total agent headcount (end of period) 13+M</v>
      </c>
      <c r="C5532" s="4" t="str">
        <f>CHOOSE(2, "5462030031", "Jul 26")</f>
        <v>Jul 26</v>
      </c>
      <c r="D5532" s="14">
        <v>10320</v>
      </c>
    </row>
    <row r="5533" spans="1:4" x14ac:dyDescent="0.35">
      <c r="A5533" s="8" t="str">
        <f t="shared" si="2841"/>
        <v>Indonesia</v>
      </c>
      <c r="B5533" s="3" t="str">
        <f t="shared" ref="B5533:B5534" si="2856">CHOOSE(2, "1395000000695", "Total agent headcount (end of period) in FA or equivalent")</f>
        <v>Total agent headcount (end of period) in FA or equivalent</v>
      </c>
      <c r="C5533" s="4" t="str">
        <f>CHOOSE(2, "5461730030", "Jun 26")</f>
        <v>Jun 26</v>
      </c>
      <c r="D5533" s="14">
        <v>17113</v>
      </c>
    </row>
    <row r="5534" spans="1:4" x14ac:dyDescent="0.35">
      <c r="A5534" s="8" t="str">
        <f t="shared" si="2841"/>
        <v>Indonesia</v>
      </c>
      <c r="B5534" s="6" t="str">
        <f t="shared" si="2856"/>
        <v>Total agent headcount (end of period) in FA or equivalent</v>
      </c>
      <c r="C5534" s="4" t="str">
        <f>CHOOSE(2, "5462030031", "Jul 26")</f>
        <v>Jul 26</v>
      </c>
      <c r="D5534" s="14">
        <v>17762</v>
      </c>
    </row>
    <row r="5535" spans="1:4" x14ac:dyDescent="0.35">
      <c r="A5535" s="8" t="str">
        <f t="shared" si="2841"/>
        <v>Indonesia</v>
      </c>
      <c r="B5535" s="3" t="str">
        <f t="shared" ref="B5535:B5536" si="2857">CHOOSE(2, "1395000000694", "Total agent headcount (end of period) in UM")</f>
        <v>Total agent headcount (end of period) in UM</v>
      </c>
      <c r="C5535" s="4" t="str">
        <f>CHOOSE(2, "5461730030", "Jun 26")</f>
        <v>Jun 26</v>
      </c>
      <c r="D5535" s="14">
        <v>1632</v>
      </c>
    </row>
    <row r="5536" spans="1:4" x14ac:dyDescent="0.35">
      <c r="A5536" s="8" t="str">
        <f t="shared" si="2841"/>
        <v>Indonesia</v>
      </c>
      <c r="B5536" s="6" t="str">
        <f t="shared" si="2857"/>
        <v>Total agent headcount (end of period) in UM</v>
      </c>
      <c r="C5536" s="4" t="str">
        <f>CHOOSE(2, "5462030031", "Jul 26")</f>
        <v>Jul 26</v>
      </c>
      <c r="D5536" s="14">
        <v>1728</v>
      </c>
    </row>
    <row r="5537" spans="1:4" x14ac:dyDescent="0.35">
      <c r="A5537" s="8" t="str">
        <f t="shared" si="2841"/>
        <v>Indonesia</v>
      </c>
      <c r="B5537" s="3" t="str">
        <f t="shared" ref="B5537:B5538" si="2858">CHOOSE(2, "1395000000693", "Total agent headcount (end of period) in Leaders above UM")</f>
        <v>Total agent headcount (end of period) in Leaders above UM</v>
      </c>
      <c r="C5537" s="4" t="str">
        <f>CHOOSE(2, "5461730030", "Jun 26")</f>
        <v>Jun 26</v>
      </c>
      <c r="D5537" s="14">
        <v>1292</v>
      </c>
    </row>
    <row r="5538" spans="1:4" x14ac:dyDescent="0.35">
      <c r="A5538" s="8" t="str">
        <f t="shared" si="2841"/>
        <v>Indonesia</v>
      </c>
      <c r="B5538" s="6" t="str">
        <f t="shared" si="2858"/>
        <v>Total agent headcount (end of period) in Leaders above UM</v>
      </c>
      <c r="C5538" s="4" t="str">
        <f>CHOOSE(2, "5462030031", "Jul 26")</f>
        <v>Jul 26</v>
      </c>
      <c r="D5538" s="14">
        <v>1341</v>
      </c>
    </row>
    <row r="5539" spans="1:4" x14ac:dyDescent="0.35">
      <c r="A5539" s="8" t="str">
        <f t="shared" si="2841"/>
        <v>Indonesia</v>
      </c>
      <c r="B5539" s="3" t="str">
        <f t="shared" ref="B5539:B5540" si="2859">CHOOSE(2, "1395000000692", "Total agent headcount (end of period) in Top-tier agents")</f>
        <v>Total agent headcount (end of period) in Top-tier agents</v>
      </c>
      <c r="C5539" s="4" t="str">
        <f>CHOOSE(2, "5461730030", "Jun 26")</f>
        <v>Jun 26</v>
      </c>
      <c r="D5539" s="14">
        <v>435</v>
      </c>
    </row>
    <row r="5540" spans="1:4" x14ac:dyDescent="0.35">
      <c r="A5540" s="8" t="str">
        <f t="shared" si="2841"/>
        <v>Indonesia</v>
      </c>
      <c r="B5540" s="6" t="str">
        <f t="shared" si="2859"/>
        <v>Total agent headcount (end of period) in Top-tier agents</v>
      </c>
      <c r="C5540" s="4" t="str">
        <f>CHOOSE(2, "5462030031", "Jul 26")</f>
        <v>Jul 26</v>
      </c>
      <c r="D5540" s="14">
        <v>452</v>
      </c>
    </row>
    <row r="5541" spans="1:4" x14ac:dyDescent="0.35">
      <c r="A5541" s="8" t="str">
        <f t="shared" si="2841"/>
        <v>Indonesia</v>
      </c>
      <c r="B5541" s="3" t="str">
        <f t="shared" ref="B5541:B5542" si="2860">CHOOSE(2, "1395000000691", "Total agent headcount  in pro-rated MDRT agents (&gt;100%)")</f>
        <v>Total agent headcount  in pro-rated MDRT agents (&gt;100%)</v>
      </c>
      <c r="C5541" s="4" t="str">
        <f>CHOOSE(2, "5461730030", "Jun 26")</f>
        <v>Jun 26</v>
      </c>
      <c r="D5541" s="14">
        <v>169</v>
      </c>
    </row>
    <row r="5542" spans="1:4" x14ac:dyDescent="0.35">
      <c r="A5542" s="8" t="str">
        <f t="shared" si="2841"/>
        <v>Indonesia</v>
      </c>
      <c r="B5542" s="6" t="str">
        <f t="shared" si="2860"/>
        <v>Total agent headcount  in pro-rated MDRT agents (&gt;100%)</v>
      </c>
      <c r="C5542" s="4" t="str">
        <f>CHOOSE(2, "5462030031", "Jul 26")</f>
        <v>Jul 26</v>
      </c>
      <c r="D5542" s="14">
        <v>160</v>
      </c>
    </row>
    <row r="5543" spans="1:4" x14ac:dyDescent="0.35">
      <c r="A5543" s="8" t="str">
        <f t="shared" si="2841"/>
        <v>Indonesia</v>
      </c>
      <c r="B5543" s="3" t="str">
        <f t="shared" ref="B5543:B5544" si="2861">CHOOSE(2, "1395000000690", "Total agent headcount  in pro-rated MDRT agents (70-99%)")</f>
        <v>Total agent headcount  in pro-rated MDRT agents (70-99%)</v>
      </c>
      <c r="C5543" s="4" t="str">
        <f>CHOOSE(2, "5461730030", "Jun 26")</f>
        <v>Jun 26</v>
      </c>
      <c r="D5543" s="14">
        <v>113</v>
      </c>
    </row>
    <row r="5544" spans="1:4" x14ac:dyDescent="0.35">
      <c r="A5544" s="8" t="str">
        <f t="shared" si="2841"/>
        <v>Indonesia</v>
      </c>
      <c r="B5544" s="6" t="str">
        <f t="shared" si="2861"/>
        <v>Total agent headcount  in pro-rated MDRT agents (70-99%)</v>
      </c>
      <c r="C5544" s="4" t="str">
        <f>CHOOSE(2, "5462030031", "Jul 26")</f>
        <v>Jul 26</v>
      </c>
      <c r="D5544" s="14">
        <v>124</v>
      </c>
    </row>
    <row r="5545" spans="1:4" x14ac:dyDescent="0.35">
      <c r="A5545" s="8" t="str">
        <f t="shared" si="2841"/>
        <v>Indonesia</v>
      </c>
      <c r="B5545" s="3" t="str">
        <f t="shared" ref="B5545:B5546" si="2862">CHOOSE(2, "1395000000689", "Total agent headcount  in pro-rated MDRT agents (50-69%)")</f>
        <v>Total agent headcount  in pro-rated MDRT agents (50-69%)</v>
      </c>
      <c r="C5545" s="4" t="str">
        <f>CHOOSE(2, "5461730030", "Jun 26")</f>
        <v>Jun 26</v>
      </c>
      <c r="D5545" s="14">
        <v>153</v>
      </c>
    </row>
    <row r="5546" spans="1:4" x14ac:dyDescent="0.35">
      <c r="A5546" s="8" t="str">
        <f t="shared" si="2841"/>
        <v>Indonesia</v>
      </c>
      <c r="B5546" s="6" t="str">
        <f t="shared" si="2862"/>
        <v>Total agent headcount  in pro-rated MDRT agents (50-69%)</v>
      </c>
      <c r="C5546" s="4" t="str">
        <f>CHOOSE(2, "5462030031", "Jul 26")</f>
        <v>Jul 26</v>
      </c>
      <c r="D5546" s="14">
        <v>168</v>
      </c>
    </row>
    <row r="5547" spans="1:4" x14ac:dyDescent="0.35">
      <c r="A5547" s="8" t="str">
        <f t="shared" si="2841"/>
        <v>Indonesia</v>
      </c>
      <c r="B5547" s="3" t="str">
        <f t="shared" ref="B5547:B5548" si="2863">CHOOSE(2, "1395000000688", "Total agent headcount  in Manulife Pro Qualifiers - Total")</f>
        <v>Total agent headcount  in Manulife Pro Qualifiers - Total</v>
      </c>
      <c r="C5547" s="4" t="str">
        <f>CHOOSE(2, "5461730030", "Jun 26")</f>
        <v>Jun 26</v>
      </c>
      <c r="D5547" s="14">
        <v>169</v>
      </c>
    </row>
    <row r="5548" spans="1:4" x14ac:dyDescent="0.35">
      <c r="A5548" s="8" t="str">
        <f t="shared" si="2841"/>
        <v>Indonesia</v>
      </c>
      <c r="B5548" s="6" t="str">
        <f t="shared" si="2863"/>
        <v>Total agent headcount  in Manulife Pro Qualifiers - Total</v>
      </c>
      <c r="C5548" s="4" t="str">
        <f>CHOOSE(2, "5462030031", "Jul 26")</f>
        <v>Jul 26</v>
      </c>
      <c r="D5548" s="14">
        <v>204</v>
      </c>
    </row>
    <row r="5549" spans="1:4" x14ac:dyDescent="0.35">
      <c r="A5549" s="8" t="str">
        <f t="shared" si="2841"/>
        <v>Indonesia</v>
      </c>
      <c r="B5549" s="3" t="str">
        <f t="shared" ref="B5549:B5550" si="2864">CHOOSE(2, "1395000000687", "New recruits")</f>
        <v>New recruits</v>
      </c>
      <c r="C5549" s="4" t="str">
        <f>CHOOSE(2, "5461730030", "Jun 26")</f>
        <v>Jun 26</v>
      </c>
      <c r="D5549" s="14">
        <v>1097</v>
      </c>
    </row>
    <row r="5550" spans="1:4" x14ac:dyDescent="0.35">
      <c r="A5550" s="8" t="str">
        <f t="shared" si="2841"/>
        <v>Indonesia</v>
      </c>
      <c r="B5550" s="6" t="str">
        <f t="shared" si="2864"/>
        <v>New recruits</v>
      </c>
      <c r="C5550" s="4" t="str">
        <f>CHOOSE(2, "5462030031", "Jul 26")</f>
        <v>Jul 26</v>
      </c>
      <c r="D5550" s="14">
        <v>1118</v>
      </c>
    </row>
    <row r="5551" spans="1:4" x14ac:dyDescent="0.35">
      <c r="A5551" s="8" t="str">
        <f t="shared" si="2841"/>
        <v>Indonesia</v>
      </c>
      <c r="B5551" s="3" t="str">
        <f t="shared" ref="B5551:B5552" si="2865">CHOOSE(2, "1395000000686", "New recruits - Leader level")</f>
        <v>New recruits - Leader level</v>
      </c>
      <c r="C5551" s="4" t="str">
        <f>CHOOSE(2, "5461730030", "Jun 26")</f>
        <v>Jun 26</v>
      </c>
      <c r="D5551" s="2" t="s">
        <v>5</v>
      </c>
    </row>
    <row r="5552" spans="1:4" x14ac:dyDescent="0.35">
      <c r="A5552" s="8" t="str">
        <f t="shared" si="2841"/>
        <v>Indonesia</v>
      </c>
      <c r="B5552" s="6" t="str">
        <f t="shared" si="2865"/>
        <v>New recruits - Leader level</v>
      </c>
      <c r="C5552" s="4" t="str">
        <f>CHOOSE(2, "5462030031", "Jul 26")</f>
        <v>Jul 26</v>
      </c>
      <c r="D5552" s="2" t="s">
        <v>5</v>
      </c>
    </row>
    <row r="5553" spans="1:4" x14ac:dyDescent="0.35">
      <c r="A5553" s="8" t="str">
        <f t="shared" si="2841"/>
        <v>Indonesia</v>
      </c>
      <c r="B5553" s="3" t="str">
        <f t="shared" ref="B5553:B5554" si="2866">CHOOSE(2, "1395000000685", "New recruits - FA or equivalent")</f>
        <v>New recruits - FA or equivalent</v>
      </c>
      <c r="C5553" s="4" t="str">
        <f>CHOOSE(2, "5461730030", "Jun 26")</f>
        <v>Jun 26</v>
      </c>
      <c r="D5553" s="14">
        <v>1012</v>
      </c>
    </row>
    <row r="5554" spans="1:4" x14ac:dyDescent="0.35">
      <c r="A5554" s="8" t="str">
        <f t="shared" si="2841"/>
        <v>Indonesia</v>
      </c>
      <c r="B5554" s="6" t="str">
        <f t="shared" si="2866"/>
        <v>New recruits - FA or equivalent</v>
      </c>
      <c r="C5554" s="4" t="str">
        <f>CHOOSE(2, "5462030031", "Jul 26")</f>
        <v>Jul 26</v>
      </c>
      <c r="D5554" s="14">
        <v>1031</v>
      </c>
    </row>
    <row r="5555" spans="1:4" x14ac:dyDescent="0.35">
      <c r="A5555" s="8" t="str">
        <f t="shared" si="2841"/>
        <v>Indonesia</v>
      </c>
      <c r="B5555" s="3" t="str">
        <f t="shared" ref="B5555:B5556" si="2867">CHOOSE(2, "1395000000684", "New recruits in UM")</f>
        <v>New recruits in UM</v>
      </c>
      <c r="C5555" s="4" t="str">
        <f>CHOOSE(2, "5461730030", "Jun 26")</f>
        <v>Jun 26</v>
      </c>
      <c r="D5555" s="14">
        <v>49</v>
      </c>
    </row>
    <row r="5556" spans="1:4" x14ac:dyDescent="0.35">
      <c r="A5556" s="8" t="str">
        <f t="shared" si="2841"/>
        <v>Indonesia</v>
      </c>
      <c r="B5556" s="6" t="str">
        <f t="shared" si="2867"/>
        <v>New recruits in UM</v>
      </c>
      <c r="C5556" s="4" t="str">
        <f>CHOOSE(2, "5462030031", "Jul 26")</f>
        <v>Jul 26</v>
      </c>
      <c r="D5556" s="14">
        <v>54</v>
      </c>
    </row>
    <row r="5557" spans="1:4" x14ac:dyDescent="0.35">
      <c r="A5557" s="8" t="str">
        <f t="shared" si="2841"/>
        <v>Indonesia</v>
      </c>
      <c r="B5557" s="3" t="str">
        <f t="shared" ref="B5557:B5558" si="2868">CHOOSE(2, "1395000000683", "New recruits in Leaders above UM")</f>
        <v>New recruits in Leaders above UM</v>
      </c>
      <c r="C5557" s="4" t="str">
        <f>CHOOSE(2, "5461730030", "Jun 26")</f>
        <v>Jun 26</v>
      </c>
      <c r="D5557" s="14">
        <v>36</v>
      </c>
    </row>
    <row r="5558" spans="1:4" x14ac:dyDescent="0.35">
      <c r="A5558" s="8" t="str">
        <f t="shared" si="2841"/>
        <v>Indonesia</v>
      </c>
      <c r="B5558" s="6" t="str">
        <f t="shared" si="2868"/>
        <v>New recruits in Leaders above UM</v>
      </c>
      <c r="C5558" s="4" t="str">
        <f>CHOOSE(2, "5462030031", "Jul 26")</f>
        <v>Jul 26</v>
      </c>
      <c r="D5558" s="14">
        <v>33</v>
      </c>
    </row>
    <row r="5559" spans="1:4" x14ac:dyDescent="0.35">
      <c r="A5559" s="8" t="str">
        <f t="shared" si="2841"/>
        <v>Indonesia</v>
      </c>
      <c r="B5559" s="3" t="str">
        <f t="shared" ref="B5559:B5560" si="2869">CHOOSE(2, "1395000000682", "# of 6-90 agents")</f>
        <v># of 6-90 agents</v>
      </c>
      <c r="C5559" s="4" t="str">
        <f>CHOOSE(2, "5461730030", "Jun 26")</f>
        <v>Jun 26</v>
      </c>
      <c r="D5559" s="14">
        <v>51</v>
      </c>
    </row>
    <row r="5560" spans="1:4" x14ac:dyDescent="0.35">
      <c r="A5560" s="8" t="str">
        <f t="shared" si="2841"/>
        <v>Indonesia</v>
      </c>
      <c r="B5560" s="6" t="str">
        <f t="shared" si="2869"/>
        <v># of 6-90 agents</v>
      </c>
      <c r="C5560" s="4" t="str">
        <f>CHOOSE(2, "5462030031", "Jul 26")</f>
        <v>Jul 26</v>
      </c>
      <c r="D5560" s="14">
        <v>47</v>
      </c>
    </row>
    <row r="5561" spans="1:4" x14ac:dyDescent="0.35">
      <c r="A5561" s="8" t="str">
        <f t="shared" si="2841"/>
        <v>Indonesia</v>
      </c>
      <c r="B5561" s="3" t="str">
        <f t="shared" ref="B5561:B5562" si="2870">CHOOSE(2, "1395000000681", "New Recruits 3M Activation #")</f>
        <v>New Recruits 3M Activation #</v>
      </c>
      <c r="C5561" s="4" t="str">
        <f>CHOOSE(2, "5461730030", "Jun 26")</f>
        <v>Jun 26</v>
      </c>
      <c r="D5561" s="14">
        <v>395</v>
      </c>
    </row>
    <row r="5562" spans="1:4" x14ac:dyDescent="0.35">
      <c r="A5562" s="8" t="str">
        <f t="shared" si="2841"/>
        <v>Indonesia</v>
      </c>
      <c r="B5562" s="6" t="str">
        <f t="shared" si="2870"/>
        <v>New Recruits 3M Activation #</v>
      </c>
      <c r="C5562" s="4" t="str">
        <f>CHOOSE(2, "5462030031", "Jul 26")</f>
        <v>Jul 26</v>
      </c>
      <c r="D5562" s="14">
        <v>397</v>
      </c>
    </row>
    <row r="5563" spans="1:4" x14ac:dyDescent="0.35">
      <c r="A5563" s="8" t="str">
        <f t="shared" si="2841"/>
        <v>Indonesia</v>
      </c>
      <c r="B5563" s="3" t="str">
        <f t="shared" ref="B5563:B5564" si="2871">CHOOSE(2, "1395000000680", "No of Terminations")</f>
        <v>No of Terminations</v>
      </c>
      <c r="C5563" s="4" t="str">
        <f>CHOOSE(2, "5461730030", "Jun 26")</f>
        <v>Jun 26</v>
      </c>
      <c r="D5563" s="14">
        <v>227</v>
      </c>
    </row>
    <row r="5564" spans="1:4" x14ac:dyDescent="0.35">
      <c r="A5564" s="8" t="str">
        <f t="shared" si="2841"/>
        <v>Indonesia</v>
      </c>
      <c r="B5564" s="6" t="str">
        <f t="shared" si="2871"/>
        <v>No of Terminations</v>
      </c>
      <c r="C5564" s="4" t="str">
        <f>CHOOSE(2, "5462030031", "Jul 26")</f>
        <v>Jul 26</v>
      </c>
      <c r="D5564" s="14">
        <v>323</v>
      </c>
    </row>
    <row r="5565" spans="1:4" x14ac:dyDescent="0.35">
      <c r="A5565" s="8" t="str">
        <f t="shared" si="2841"/>
        <v>Indonesia</v>
      </c>
      <c r="B5565" s="3" t="str">
        <f t="shared" ref="B5565:B5566" si="2872">CHOOSE(2, "1395000000679", "No of Terminations in FA or equivalent")</f>
        <v>No of Terminations in FA or equivalent</v>
      </c>
      <c r="C5565" s="4" t="str">
        <f>CHOOSE(2, "5461730030", "Jun 26")</f>
        <v>Jun 26</v>
      </c>
      <c r="D5565" s="14">
        <v>220</v>
      </c>
    </row>
    <row r="5566" spans="1:4" x14ac:dyDescent="0.35">
      <c r="A5566" s="8" t="str">
        <f t="shared" si="2841"/>
        <v>Indonesia</v>
      </c>
      <c r="B5566" s="6" t="str">
        <f t="shared" si="2872"/>
        <v>No of Terminations in FA or equivalent</v>
      </c>
      <c r="C5566" s="4" t="str">
        <f>CHOOSE(2, "5462030031", "Jul 26")</f>
        <v>Jul 26</v>
      </c>
      <c r="D5566" s="14">
        <v>315</v>
      </c>
    </row>
    <row r="5567" spans="1:4" x14ac:dyDescent="0.35">
      <c r="A5567" s="8" t="str">
        <f t="shared" si="2841"/>
        <v>Indonesia</v>
      </c>
      <c r="B5567" s="3" t="str">
        <f t="shared" ref="B5567:B5568" si="2873">CHOOSE(2, "1395000000678", "No of Terminations in UM")</f>
        <v>No of Terminations in UM</v>
      </c>
      <c r="C5567" s="4" t="str">
        <f>CHOOSE(2, "5461730030", "Jun 26")</f>
        <v>Jun 26</v>
      </c>
      <c r="D5567" s="14">
        <v>4</v>
      </c>
    </row>
    <row r="5568" spans="1:4" x14ac:dyDescent="0.35">
      <c r="A5568" s="8" t="str">
        <f t="shared" si="2841"/>
        <v>Indonesia</v>
      </c>
      <c r="B5568" s="6" t="str">
        <f t="shared" si="2873"/>
        <v>No of Terminations in UM</v>
      </c>
      <c r="C5568" s="4" t="str">
        <f>CHOOSE(2, "5462030031", "Jul 26")</f>
        <v>Jul 26</v>
      </c>
      <c r="D5568" s="14">
        <v>5</v>
      </c>
    </row>
    <row r="5569" spans="1:4" x14ac:dyDescent="0.35">
      <c r="A5569" s="8" t="str">
        <f t="shared" ref="A5569:A5632" si="2874">CHOOSE(2, "204000000006", "Indonesia")</f>
        <v>Indonesia</v>
      </c>
      <c r="B5569" s="3" t="str">
        <f t="shared" ref="B5569:B5570" si="2875">CHOOSE(2, "1395000000677", "No of Terminations in Leaders above UM")</f>
        <v>No of Terminations in Leaders above UM</v>
      </c>
      <c r="C5569" s="4" t="str">
        <f>CHOOSE(2, "5461730030", "Jun 26")</f>
        <v>Jun 26</v>
      </c>
      <c r="D5569" s="14">
        <v>3</v>
      </c>
    </row>
    <row r="5570" spans="1:4" x14ac:dyDescent="0.35">
      <c r="A5570" s="8" t="str">
        <f t="shared" si="2874"/>
        <v>Indonesia</v>
      </c>
      <c r="B5570" s="6" t="str">
        <f t="shared" si="2875"/>
        <v>No of Terminations in Leaders above UM</v>
      </c>
      <c r="C5570" s="4" t="str">
        <f>CHOOSE(2, "5462030031", "Jul 26")</f>
        <v>Jul 26</v>
      </c>
      <c r="D5570" s="14">
        <v>3</v>
      </c>
    </row>
    <row r="5571" spans="1:4" x14ac:dyDescent="0.35">
      <c r="A5571" s="8" t="str">
        <f t="shared" si="2874"/>
        <v>Indonesia</v>
      </c>
      <c r="B5571" s="3" t="str">
        <f t="shared" ref="B5571:B5572" si="2876">CHOOSE(2, "1395000000676", "No of Terminations in Top-tier Agents")</f>
        <v>No of Terminations in Top-tier Agents</v>
      </c>
      <c r="C5571" s="4" t="str">
        <f>CHOOSE(2, "5461730030", "Jun 26")</f>
        <v>Jun 26</v>
      </c>
      <c r="D5571" s="14">
        <v>0</v>
      </c>
    </row>
    <row r="5572" spans="1:4" x14ac:dyDescent="0.35">
      <c r="A5572" s="8" t="str">
        <f t="shared" si="2874"/>
        <v>Indonesia</v>
      </c>
      <c r="B5572" s="6" t="str">
        <f t="shared" si="2876"/>
        <v>No of Terminations in Top-tier Agents</v>
      </c>
      <c r="C5572" s="4" t="str">
        <f>CHOOSE(2, "5462030031", "Jul 26")</f>
        <v>Jul 26</v>
      </c>
      <c r="D5572" s="14">
        <v>0</v>
      </c>
    </row>
    <row r="5573" spans="1:4" x14ac:dyDescent="0.35">
      <c r="A5573" s="8" t="str">
        <f t="shared" si="2874"/>
        <v>Indonesia</v>
      </c>
      <c r="B5573" s="3" t="str">
        <f t="shared" ref="B5573:B5574" si="2877">CHOOSE(2, "1395000000675", "No of Terminations in pro-rated MDRT agents (&gt;100%)")</f>
        <v>No of Terminations in pro-rated MDRT agents (&gt;100%)</v>
      </c>
      <c r="C5573" s="4" t="str">
        <f>CHOOSE(2, "5461730030", "Jun 26")</f>
        <v>Jun 26</v>
      </c>
      <c r="D5573" s="14">
        <v>0</v>
      </c>
    </row>
    <row r="5574" spans="1:4" x14ac:dyDescent="0.35">
      <c r="A5574" s="8" t="str">
        <f t="shared" si="2874"/>
        <v>Indonesia</v>
      </c>
      <c r="B5574" s="6" t="str">
        <f t="shared" si="2877"/>
        <v>No of Terminations in pro-rated MDRT agents (&gt;100%)</v>
      </c>
      <c r="C5574" s="4" t="str">
        <f>CHOOSE(2, "5462030031", "Jul 26")</f>
        <v>Jul 26</v>
      </c>
      <c r="D5574" s="14">
        <v>0</v>
      </c>
    </row>
    <row r="5575" spans="1:4" x14ac:dyDescent="0.35">
      <c r="A5575" s="8" t="str">
        <f t="shared" si="2874"/>
        <v>Indonesia</v>
      </c>
      <c r="B5575" s="3" t="str">
        <f t="shared" ref="B5575:B5576" si="2878">CHOOSE(2, "1395000000674", "No of Terminations in pro-rated MDRT agents (70-99%)")</f>
        <v>No of Terminations in pro-rated MDRT agents (70-99%)</v>
      </c>
      <c r="C5575" s="4" t="str">
        <f>CHOOSE(2, "5461730030", "Jun 26")</f>
        <v>Jun 26</v>
      </c>
      <c r="D5575" s="14">
        <v>0</v>
      </c>
    </row>
    <row r="5576" spans="1:4" x14ac:dyDescent="0.35">
      <c r="A5576" s="8" t="str">
        <f t="shared" si="2874"/>
        <v>Indonesia</v>
      </c>
      <c r="B5576" s="6" t="str">
        <f t="shared" si="2878"/>
        <v>No of Terminations in pro-rated MDRT agents (70-99%)</v>
      </c>
      <c r="C5576" s="4" t="str">
        <f>CHOOSE(2, "5462030031", "Jul 26")</f>
        <v>Jul 26</v>
      </c>
      <c r="D5576" s="14">
        <v>0</v>
      </c>
    </row>
    <row r="5577" spans="1:4" x14ac:dyDescent="0.35">
      <c r="A5577" s="8" t="str">
        <f t="shared" si="2874"/>
        <v>Indonesia</v>
      </c>
      <c r="B5577" s="3" t="str">
        <f t="shared" ref="B5577:B5578" si="2879">CHOOSE(2, "1395000000673", "No of Terminations in pro-rated MDRT agents (50-69%)")</f>
        <v>No of Terminations in pro-rated MDRT agents (50-69%)</v>
      </c>
      <c r="C5577" s="4" t="str">
        <f>CHOOSE(2, "5461730030", "Jun 26")</f>
        <v>Jun 26</v>
      </c>
      <c r="D5577" s="14">
        <v>0</v>
      </c>
    </row>
    <row r="5578" spans="1:4" x14ac:dyDescent="0.35">
      <c r="A5578" s="8" t="str">
        <f t="shared" si="2874"/>
        <v>Indonesia</v>
      </c>
      <c r="B5578" s="6" t="str">
        <f t="shared" si="2879"/>
        <v>No of Terminations in pro-rated MDRT agents (50-69%)</v>
      </c>
      <c r="C5578" s="4" t="str">
        <f>CHOOSE(2, "5462030031", "Jul 26")</f>
        <v>Jul 26</v>
      </c>
      <c r="D5578" s="14">
        <v>0</v>
      </c>
    </row>
    <row r="5579" spans="1:4" x14ac:dyDescent="0.35">
      <c r="A5579" s="8" t="str">
        <f t="shared" si="2874"/>
        <v>Indonesia</v>
      </c>
      <c r="B5579" s="3" t="str">
        <f t="shared" ref="B5579:B5580" si="2880">CHOOSE(2, "1395000000672", "No of Terminations in Manulife Pro Qualifiers - Total")</f>
        <v>No of Terminations in Manulife Pro Qualifiers - Total</v>
      </c>
      <c r="C5579" s="4" t="str">
        <f>CHOOSE(2, "5461730030", "Jun 26")</f>
        <v>Jun 26</v>
      </c>
      <c r="D5579" s="14">
        <v>0</v>
      </c>
    </row>
    <row r="5580" spans="1:4" x14ac:dyDescent="0.35">
      <c r="A5580" s="8" t="str">
        <f t="shared" si="2874"/>
        <v>Indonesia</v>
      </c>
      <c r="B5580" s="6" t="str">
        <f t="shared" si="2880"/>
        <v>No of Terminations in Manulife Pro Qualifiers - Total</v>
      </c>
      <c r="C5580" s="4" t="str">
        <f>CHOOSE(2, "5462030031", "Jul 26")</f>
        <v>Jul 26</v>
      </c>
      <c r="D5580" s="14">
        <v>0</v>
      </c>
    </row>
    <row r="5581" spans="1:4" x14ac:dyDescent="0.35">
      <c r="A5581" s="8" t="str">
        <f t="shared" si="2874"/>
        <v>Indonesia</v>
      </c>
      <c r="B5581" s="3" t="str">
        <f t="shared" ref="B5581:B5582" si="2881">CHOOSE(2, "1395000000671", "First Year Agents Terminated without Sales")</f>
        <v>First Year Agents Terminated without Sales</v>
      </c>
      <c r="C5581" s="4" t="str">
        <f>CHOOSE(2, "5461730030", "Jun 26")</f>
        <v>Jun 26</v>
      </c>
      <c r="D5581" s="14">
        <v>16</v>
      </c>
    </row>
    <row r="5582" spans="1:4" x14ac:dyDescent="0.35">
      <c r="A5582" s="8" t="str">
        <f t="shared" si="2874"/>
        <v>Indonesia</v>
      </c>
      <c r="B5582" s="6" t="str">
        <f t="shared" si="2881"/>
        <v>First Year Agents Terminated without Sales</v>
      </c>
      <c r="C5582" s="4" t="str">
        <f>CHOOSE(2, "5462030031", "Jul 26")</f>
        <v>Jul 26</v>
      </c>
      <c r="D5582" s="14">
        <v>30</v>
      </c>
    </row>
    <row r="5583" spans="1:4" x14ac:dyDescent="0.35">
      <c r="A5583" s="8" t="str">
        <f t="shared" si="2874"/>
        <v>Indonesia</v>
      </c>
      <c r="B5583" s="3" t="str">
        <f t="shared" ref="B5583:B5584" si="2882">CHOOSE(2, "1395000000670", "6mth Agency Retention Ratio")</f>
        <v>6mth Agency Retention Ratio</v>
      </c>
      <c r="C5583" s="4" t="str">
        <f>CHOOSE(2, "5461730030", "Jun 26")</f>
        <v>Jun 26</v>
      </c>
      <c r="D5583" s="14">
        <v>1.9108269999999998</v>
      </c>
    </row>
    <row r="5584" spans="1:4" x14ac:dyDescent="0.35">
      <c r="A5584" s="8" t="str">
        <f t="shared" si="2874"/>
        <v>Indonesia</v>
      </c>
      <c r="B5584" s="6" t="str">
        <f t="shared" si="2882"/>
        <v>6mth Agency Retention Ratio</v>
      </c>
      <c r="C5584" s="4" t="str">
        <f>CHOOSE(2, "5462030031", "Jul 26")</f>
        <v>Jul 26</v>
      </c>
      <c r="D5584" s="14">
        <v>1.913457</v>
      </c>
    </row>
    <row r="5585" spans="1:4" x14ac:dyDescent="0.35">
      <c r="A5585" s="8" t="str">
        <f t="shared" si="2874"/>
        <v>Indonesia</v>
      </c>
      <c r="B5585" s="3" t="str">
        <f t="shared" ref="B5585:B5586" si="2883">CHOOSE(2, "1395000000669", "12mth Agency Retention Ratio")</f>
        <v>12mth Agency Retention Ratio</v>
      </c>
      <c r="C5585" s="4" t="str">
        <f>CHOOSE(2, "5461730030", "Jun 26")</f>
        <v>Jun 26</v>
      </c>
      <c r="D5585" s="14">
        <v>1.1607050000000001</v>
      </c>
    </row>
    <row r="5586" spans="1:4" x14ac:dyDescent="0.35">
      <c r="A5586" s="8" t="str">
        <f t="shared" si="2874"/>
        <v>Indonesia</v>
      </c>
      <c r="B5586" s="6" t="str">
        <f t="shared" si="2883"/>
        <v>12mth Agency Retention Ratio</v>
      </c>
      <c r="C5586" s="4" t="str">
        <f>CHOOSE(2, "5462030031", "Jul 26")</f>
        <v>Jul 26</v>
      </c>
      <c r="D5586" s="14">
        <v>1.248974</v>
      </c>
    </row>
    <row r="5587" spans="1:4" x14ac:dyDescent="0.35">
      <c r="A5587" s="8" t="str">
        <f t="shared" si="2874"/>
        <v>Indonesia</v>
      </c>
      <c r="B5587" s="3" t="str">
        <f t="shared" ref="B5587:B5588" si="2884">CHOOSE(2, "1395000000668", "24mth Agency Retention Ratio")</f>
        <v>24mth Agency Retention Ratio</v>
      </c>
      <c r="C5587" s="4" t="str">
        <f>CHOOSE(2, "5461730030", "Jun 26")</f>
        <v>Jun 26</v>
      </c>
      <c r="D5587" s="14">
        <v>0.51070799999999994</v>
      </c>
    </row>
    <row r="5588" spans="1:4" x14ac:dyDescent="0.35">
      <c r="A5588" s="8" t="str">
        <f t="shared" si="2874"/>
        <v>Indonesia</v>
      </c>
      <c r="B5588" s="6" t="str">
        <f t="shared" si="2884"/>
        <v>24mth Agency Retention Ratio</v>
      </c>
      <c r="C5588" s="4" t="str">
        <f>CHOOSE(2, "5462030031", "Jul 26")</f>
        <v>Jul 26</v>
      </c>
      <c r="D5588" s="14">
        <v>0.50204099999999996</v>
      </c>
    </row>
    <row r="5589" spans="1:4" x14ac:dyDescent="0.35">
      <c r="A5589" s="8" t="str">
        <f t="shared" si="2874"/>
        <v>Indonesia</v>
      </c>
      <c r="B5589" s="3" t="str">
        <f t="shared" ref="B5589:B5590" si="2885">CHOOSE(2, "1395000000667", "Total # of Leaders (end of period)")</f>
        <v>Total # of Leaders (end of period)</v>
      </c>
      <c r="C5589" s="4" t="str">
        <f>CHOOSE(2, "5461730030", "Jun 26")</f>
        <v>Jun 26</v>
      </c>
      <c r="D5589" s="14">
        <v>2924</v>
      </c>
    </row>
    <row r="5590" spans="1:4" x14ac:dyDescent="0.35">
      <c r="A5590" s="8" t="str">
        <f t="shared" si="2874"/>
        <v>Indonesia</v>
      </c>
      <c r="B5590" s="6" t="str">
        <f t="shared" si="2885"/>
        <v>Total # of Leaders (end of period)</v>
      </c>
      <c r="C5590" s="4" t="str">
        <f>CHOOSE(2, "5462030031", "Jul 26")</f>
        <v>Jul 26</v>
      </c>
      <c r="D5590" s="14">
        <v>3069</v>
      </c>
    </row>
    <row r="5591" spans="1:4" x14ac:dyDescent="0.35">
      <c r="A5591" s="8" t="str">
        <f t="shared" si="2874"/>
        <v>Indonesia</v>
      </c>
      <c r="B5591" s="3" t="str">
        <f t="shared" ref="B5591:B5592" si="2886">CHOOSE(2, "1395000000666", "Total # of Unit Managers")</f>
        <v>Total # of Unit Managers</v>
      </c>
      <c r="C5591" s="4" t="str">
        <f>CHOOSE(2, "5461730030", "Jun 26")</f>
        <v>Jun 26</v>
      </c>
      <c r="D5591" s="14">
        <v>1632</v>
      </c>
    </row>
    <row r="5592" spans="1:4" x14ac:dyDescent="0.35">
      <c r="A5592" s="8" t="str">
        <f t="shared" si="2874"/>
        <v>Indonesia</v>
      </c>
      <c r="B5592" s="6" t="str">
        <f t="shared" si="2886"/>
        <v>Total # of Unit Managers</v>
      </c>
      <c r="C5592" s="4" t="str">
        <f>CHOOSE(2, "5462030031", "Jul 26")</f>
        <v>Jul 26</v>
      </c>
      <c r="D5592" s="14">
        <v>1728</v>
      </c>
    </row>
    <row r="5593" spans="1:4" x14ac:dyDescent="0.35">
      <c r="A5593" s="8" t="str">
        <f t="shared" si="2874"/>
        <v>Indonesia</v>
      </c>
      <c r="B5593" s="3" t="str">
        <f t="shared" ref="B5593:B5594" si="2887">CHOOSE(2, "1395000000665", "Total # of Leaders above Unit Manager level")</f>
        <v>Total # of Leaders above Unit Manager level</v>
      </c>
      <c r="C5593" s="4" t="str">
        <f>CHOOSE(2, "5461730030", "Jun 26")</f>
        <v>Jun 26</v>
      </c>
      <c r="D5593" s="14">
        <v>1292</v>
      </c>
    </row>
    <row r="5594" spans="1:4" x14ac:dyDescent="0.35">
      <c r="A5594" s="8" t="str">
        <f t="shared" si="2874"/>
        <v>Indonesia</v>
      </c>
      <c r="B5594" s="6" t="str">
        <f t="shared" si="2887"/>
        <v>Total # of Leaders above Unit Manager level</v>
      </c>
      <c r="C5594" s="4" t="str">
        <f>CHOOSE(2, "5462030031", "Jul 26")</f>
        <v>Jul 26</v>
      </c>
      <c r="D5594" s="14">
        <v>1341</v>
      </c>
    </row>
    <row r="5595" spans="1:4" x14ac:dyDescent="0.35">
      <c r="A5595" s="8" t="str">
        <f t="shared" si="2874"/>
        <v>Indonesia</v>
      </c>
      <c r="B5595" s="3" t="str">
        <f t="shared" ref="B5595:B5596" si="2888">CHOOSE(2, "1395000000664", "Total # of Agents below Unit Manager level (end of period)")</f>
        <v>Total # of Agents below Unit Manager level (end of period)</v>
      </c>
      <c r="C5595" s="4" t="str">
        <f>CHOOSE(2, "5461730030", "Jun 26")</f>
        <v>Jun 26</v>
      </c>
      <c r="D5595" s="14">
        <v>17113</v>
      </c>
    </row>
    <row r="5596" spans="1:4" x14ac:dyDescent="0.35">
      <c r="A5596" s="8" t="str">
        <f t="shared" si="2874"/>
        <v>Indonesia</v>
      </c>
      <c r="B5596" s="6" t="str">
        <f t="shared" si="2888"/>
        <v>Total # of Agents below Unit Manager level (end of period)</v>
      </c>
      <c r="C5596" s="4" t="str">
        <f>CHOOSE(2, "5462030031", "Jul 26")</f>
        <v>Jul 26</v>
      </c>
      <c r="D5596" s="14">
        <v>17762</v>
      </c>
    </row>
    <row r="5597" spans="1:4" x14ac:dyDescent="0.35">
      <c r="A5597" s="8" t="str">
        <f t="shared" si="2874"/>
        <v>Indonesia</v>
      </c>
      <c r="B5597" s="3" t="str">
        <f t="shared" ref="B5597:B5598" si="2889">CHOOSE(2, "1395000000663", "# of Active Recruiting Leaders")</f>
        <v># of Active Recruiting Leaders</v>
      </c>
      <c r="C5597" s="4" t="str">
        <f>CHOOSE(2, "5461730030", "Jun 26")</f>
        <v>Jun 26</v>
      </c>
      <c r="D5597" s="14">
        <v>462</v>
      </c>
    </row>
    <row r="5598" spans="1:4" x14ac:dyDescent="0.35">
      <c r="A5598" s="8" t="str">
        <f t="shared" si="2874"/>
        <v>Indonesia</v>
      </c>
      <c r="B5598" s="6" t="str">
        <f t="shared" si="2889"/>
        <v># of Active Recruiting Leaders</v>
      </c>
      <c r="C5598" s="4" t="str">
        <f>CHOOSE(2, "5462030031", "Jul 26")</f>
        <v>Jul 26</v>
      </c>
      <c r="D5598" s="14">
        <v>489</v>
      </c>
    </row>
    <row r="5599" spans="1:4" x14ac:dyDescent="0.35">
      <c r="A5599" s="8" t="str">
        <f t="shared" si="2874"/>
        <v>Indonesia</v>
      </c>
      <c r="B5599" s="3" t="str">
        <f t="shared" ref="B5599:B5600" si="2890">CHOOSE(2, "1395000000662", "# of leaders with &gt;1 YTD recruit")</f>
        <v># of leaders with &gt;1 YTD recruit</v>
      </c>
      <c r="C5599" s="4" t="str">
        <f>CHOOSE(2, "5461730030", "Jun 26")</f>
        <v>Jun 26</v>
      </c>
      <c r="D5599" s="14">
        <v>1413</v>
      </c>
    </row>
    <row r="5600" spans="1:4" x14ac:dyDescent="0.35">
      <c r="A5600" s="8" t="str">
        <f t="shared" si="2874"/>
        <v>Indonesia</v>
      </c>
      <c r="B5600" s="6" t="str">
        <f t="shared" si="2890"/>
        <v># of leaders with &gt;1 YTD recruit</v>
      </c>
      <c r="C5600" s="4" t="str">
        <f>CHOOSE(2, "5462030031", "Jul 26")</f>
        <v>Jul 26</v>
      </c>
      <c r="D5600" s="14">
        <v>1634</v>
      </c>
    </row>
    <row r="5601" spans="1:4" x14ac:dyDescent="0.35">
      <c r="A5601" s="8" t="str">
        <f t="shared" si="2874"/>
        <v>Indonesia</v>
      </c>
      <c r="B5601" s="3" t="str">
        <f t="shared" ref="B5601:B5602" si="2891">CHOOSE(2, "1395000000661", "Income ratio from personal sales (UM)")</f>
        <v>Income ratio from personal sales (UM)</v>
      </c>
      <c r="C5601" s="4" t="str">
        <f>CHOOSE(2, "5461730030", "Jun 26")</f>
        <v>Jun 26</v>
      </c>
      <c r="D5601" s="14">
        <v>0.99367306404461242</v>
      </c>
    </row>
    <row r="5602" spans="1:4" x14ac:dyDescent="0.35">
      <c r="A5602" s="8" t="str">
        <f t="shared" si="2874"/>
        <v>Indonesia</v>
      </c>
      <c r="B5602" s="6" t="str">
        <f t="shared" si="2891"/>
        <v>Income ratio from personal sales (UM)</v>
      </c>
      <c r="C5602" s="4" t="str">
        <f>CHOOSE(2, "5462030031", "Jul 26")</f>
        <v>Jul 26</v>
      </c>
      <c r="D5602" s="14">
        <v>0.98216496893309646</v>
      </c>
    </row>
    <row r="5603" spans="1:4" x14ac:dyDescent="0.35">
      <c r="A5603" s="8" t="str">
        <f t="shared" si="2874"/>
        <v>Indonesia</v>
      </c>
      <c r="B5603" s="3" t="str">
        <f t="shared" ref="B5603:B5604" si="2892">CHOOSE(2, "1395000000660", "Income ratio from personal sales (UM) (numerator)")</f>
        <v>Income ratio from personal sales (UM) (numerator)</v>
      </c>
      <c r="C5603" s="4" t="str">
        <f>CHOOSE(2, "5461730030", "Jun 26")</f>
        <v>Jun 26</v>
      </c>
      <c r="D5603" s="14">
        <v>406168.065856</v>
      </c>
    </row>
    <row r="5604" spans="1:4" x14ac:dyDescent="0.35">
      <c r="A5604" s="8" t="str">
        <f t="shared" si="2874"/>
        <v>Indonesia</v>
      </c>
      <c r="B5604" s="6" t="str">
        <f t="shared" si="2892"/>
        <v>Income ratio from personal sales (UM) (numerator)</v>
      </c>
      <c r="C5604" s="4" t="str">
        <f>CHOOSE(2, "5462030031", "Jul 26")</f>
        <v>Jul 26</v>
      </c>
      <c r="D5604" s="14">
        <v>452481.615147</v>
      </c>
    </row>
    <row r="5605" spans="1:4" x14ac:dyDescent="0.35">
      <c r="A5605" s="8" t="str">
        <f t="shared" si="2874"/>
        <v>Indonesia</v>
      </c>
      <c r="B5605" s="3" t="str">
        <f t="shared" ref="B5605:B5606" si="2893">CHOOSE(2, "1395000000659", "Income ratio from personal sales (UM) (denominator)")</f>
        <v>Income ratio from personal sales (UM) (denominator)</v>
      </c>
      <c r="C5605" s="4" t="str">
        <f>CHOOSE(2, "5461730030", "Jun 26")</f>
        <v>Jun 26</v>
      </c>
      <c r="D5605" s="14">
        <v>408754.22767599998</v>
      </c>
    </row>
    <row r="5606" spans="1:4" x14ac:dyDescent="0.35">
      <c r="A5606" s="8" t="str">
        <f t="shared" si="2874"/>
        <v>Indonesia</v>
      </c>
      <c r="B5606" s="6" t="str">
        <f t="shared" si="2893"/>
        <v>Income ratio from personal sales (UM) (denominator)</v>
      </c>
      <c r="C5606" s="4" t="str">
        <f>CHOOSE(2, "5462030031", "Jul 26")</f>
        <v>Jul 26</v>
      </c>
      <c r="D5606" s="14">
        <v>460698.18152700004</v>
      </c>
    </row>
    <row r="5607" spans="1:4" x14ac:dyDescent="0.35">
      <c r="A5607" s="8" t="str">
        <f t="shared" si="2874"/>
        <v>Indonesia</v>
      </c>
      <c r="B5607" s="3" t="str">
        <f t="shared" ref="B5607:B5608" si="2894">CHOOSE(2, "1395000000658", "Income ratio from personal sales (Leader above UM)")</f>
        <v>Income ratio from personal sales (Leader above UM)</v>
      </c>
      <c r="C5607" s="4" t="str">
        <f>CHOOSE(2, "5461730030", "Jun 26")</f>
        <v>Jun 26</v>
      </c>
      <c r="D5607" s="14">
        <v>0.86139662959387286</v>
      </c>
    </row>
    <row r="5608" spans="1:4" x14ac:dyDescent="0.35">
      <c r="A5608" s="8" t="str">
        <f t="shared" si="2874"/>
        <v>Indonesia</v>
      </c>
      <c r="B5608" s="6" t="str">
        <f t="shared" si="2894"/>
        <v>Income ratio from personal sales (Leader above UM)</v>
      </c>
      <c r="C5608" s="4" t="str">
        <f>CHOOSE(2, "5462030031", "Jul 26")</f>
        <v>Jul 26</v>
      </c>
      <c r="D5608" s="14">
        <v>0.86116992022026062</v>
      </c>
    </row>
    <row r="5609" spans="1:4" x14ac:dyDescent="0.35">
      <c r="A5609" s="8" t="str">
        <f t="shared" si="2874"/>
        <v>Indonesia</v>
      </c>
      <c r="B5609" s="3" t="str">
        <f t="shared" ref="B5609:B5610" si="2895">CHOOSE(2, "1395000000657", "Income ratio from personal sales (Leader above UM) (num)")</f>
        <v>Income ratio from personal sales (Leader above UM) (num)</v>
      </c>
      <c r="C5609" s="4" t="str">
        <f>CHOOSE(2, "5461730030", "Jun 26")</f>
        <v>Jun 26</v>
      </c>
      <c r="D5609" s="14">
        <v>478378.15417200001</v>
      </c>
    </row>
    <row r="5610" spans="1:4" x14ac:dyDescent="0.35">
      <c r="A5610" s="8" t="str">
        <f t="shared" si="2874"/>
        <v>Indonesia</v>
      </c>
      <c r="B5610" s="6" t="str">
        <f t="shared" si="2895"/>
        <v>Income ratio from personal sales (Leader above UM) (num)</v>
      </c>
      <c r="C5610" s="4" t="str">
        <f>CHOOSE(2, "5462030031", "Jul 26")</f>
        <v>Jul 26</v>
      </c>
      <c r="D5610" s="14">
        <v>519793.97237600002</v>
      </c>
    </row>
    <row r="5611" spans="1:4" x14ac:dyDescent="0.35">
      <c r="A5611" s="8" t="str">
        <f t="shared" si="2874"/>
        <v>Indonesia</v>
      </c>
      <c r="B5611" s="3" t="str">
        <f t="shared" ref="B5611:B5612" si="2896">CHOOSE(2, "1395000000656", "Income ratio from personal sales (Leader above UM) (den)")</f>
        <v>Income ratio from personal sales (Leader above UM) (den)</v>
      </c>
      <c r="C5611" s="4" t="str">
        <f>CHOOSE(2, "5461730030", "Jun 26")</f>
        <v>Jun 26</v>
      </c>
      <c r="D5611" s="14">
        <v>555351.78306599997</v>
      </c>
    </row>
    <row r="5612" spans="1:4" x14ac:dyDescent="0.35">
      <c r="A5612" s="8" t="str">
        <f t="shared" si="2874"/>
        <v>Indonesia</v>
      </c>
      <c r="B5612" s="6" t="str">
        <f t="shared" si="2896"/>
        <v>Income ratio from personal sales (Leader above UM) (den)</v>
      </c>
      <c r="C5612" s="4" t="str">
        <f>CHOOSE(2, "5462030031", "Jul 26")</f>
        <v>Jul 26</v>
      </c>
      <c r="D5612" s="14">
        <v>603590.48797599995</v>
      </c>
    </row>
    <row r="5613" spans="1:4" x14ac:dyDescent="0.35">
      <c r="A5613" s="8" t="str">
        <f t="shared" si="2874"/>
        <v>Indonesia</v>
      </c>
      <c r="B5613" s="3" t="str">
        <f t="shared" ref="B5613:B5614" si="2897">CHOOSE(2, "1395000000655", "Total agent earnings")</f>
        <v>Total agent earnings</v>
      </c>
      <c r="C5613" s="4" t="str">
        <f>CHOOSE(2, "5461730030", "Jun 26")</f>
        <v>Jun 26</v>
      </c>
      <c r="D5613" s="14">
        <v>125.307974376945</v>
      </c>
    </row>
    <row r="5614" spans="1:4" x14ac:dyDescent="0.35">
      <c r="A5614" s="8" t="str">
        <f t="shared" si="2874"/>
        <v>Indonesia</v>
      </c>
      <c r="B5614" s="6" t="str">
        <f t="shared" si="2897"/>
        <v>Total agent earnings</v>
      </c>
      <c r="C5614" s="4" t="str">
        <f>CHOOSE(2, "5462030031", "Jul 26")</f>
        <v>Jul 26</v>
      </c>
      <c r="D5614" s="14">
        <v>132.993927077709</v>
      </c>
    </row>
    <row r="5615" spans="1:4" x14ac:dyDescent="0.35">
      <c r="A5615" s="8" t="str">
        <f t="shared" si="2874"/>
        <v>Indonesia</v>
      </c>
      <c r="B5615" s="3" t="str">
        <f t="shared" ref="B5615:B5616" si="2898">CHOOSE(2, "1395000000654", "Total agent earnings in FA or equivalent")</f>
        <v>Total agent earnings in FA or equivalent</v>
      </c>
      <c r="C5615" s="4" t="str">
        <f>CHOOSE(2, "5461730030", "Jun 26")</f>
        <v>Jun 26</v>
      </c>
      <c r="D5615" s="14">
        <v>70.353931764708008</v>
      </c>
    </row>
    <row r="5616" spans="1:4" x14ac:dyDescent="0.35">
      <c r="A5616" s="8" t="str">
        <f t="shared" si="2874"/>
        <v>Indonesia</v>
      </c>
      <c r="B5616" s="6" t="str">
        <f t="shared" si="2898"/>
        <v>Total agent earnings in FA or equivalent</v>
      </c>
      <c r="C5616" s="4" t="str">
        <f>CHOOSE(2, "5462030031", "Jul 26")</f>
        <v>Jul 26</v>
      </c>
      <c r="D5616" s="14">
        <v>72.329472916038</v>
      </c>
    </row>
    <row r="5617" spans="1:4" x14ac:dyDescent="0.35">
      <c r="A5617" s="8" t="str">
        <f t="shared" si="2874"/>
        <v>Indonesia</v>
      </c>
      <c r="B5617" s="3" t="str">
        <f t="shared" ref="B5617:B5618" si="2899">CHOOSE(2, "1395000000653", "Total agent earnings in UM")</f>
        <v>Total agent earnings in UM</v>
      </c>
      <c r="C5617" s="4" t="str">
        <f>CHOOSE(2, "5461730030", "Jun 26")</f>
        <v>Jun 26</v>
      </c>
      <c r="D5617" s="14">
        <v>23.298990977532</v>
      </c>
    </row>
    <row r="5618" spans="1:4" x14ac:dyDescent="0.35">
      <c r="A5618" s="8" t="str">
        <f t="shared" si="2874"/>
        <v>Indonesia</v>
      </c>
      <c r="B5618" s="6" t="str">
        <f t="shared" si="2899"/>
        <v>Total agent earnings in UM</v>
      </c>
      <c r="C5618" s="4" t="str">
        <f>CHOOSE(2, "5462030031", "Jul 26")</f>
        <v>Jul 26</v>
      </c>
      <c r="D5618" s="14">
        <v>26.259796347039</v>
      </c>
    </row>
    <row r="5619" spans="1:4" x14ac:dyDescent="0.35">
      <c r="A5619" s="8" t="str">
        <f t="shared" si="2874"/>
        <v>Indonesia</v>
      </c>
      <c r="B5619" s="3" t="str">
        <f t="shared" ref="B5619:B5620" si="2900">CHOOSE(2, "1395000000652", "Total agent earnings in Leaders above UM")</f>
        <v>Total agent earnings in Leaders above UM</v>
      </c>
      <c r="C5619" s="4" t="str">
        <f>CHOOSE(2, "5461730030", "Jun 26")</f>
        <v>Jun 26</v>
      </c>
      <c r="D5619" s="14">
        <v>31.655051634762</v>
      </c>
    </row>
    <row r="5620" spans="1:4" x14ac:dyDescent="0.35">
      <c r="A5620" s="8" t="str">
        <f t="shared" si="2874"/>
        <v>Indonesia</v>
      </c>
      <c r="B5620" s="6" t="str">
        <f t="shared" si="2900"/>
        <v>Total agent earnings in Leaders above UM</v>
      </c>
      <c r="C5620" s="4" t="str">
        <f>CHOOSE(2, "5462030031", "Jul 26")</f>
        <v>Jul 26</v>
      </c>
      <c r="D5620" s="14">
        <v>34.404657814632003</v>
      </c>
    </row>
    <row r="5621" spans="1:4" x14ac:dyDescent="0.35">
      <c r="A5621" s="8" t="str">
        <f t="shared" si="2874"/>
        <v>Indonesia</v>
      </c>
      <c r="B5621" s="3" t="str">
        <f t="shared" ref="B5621:B5622" si="2901">CHOOSE(2, "1395000000651", "# of Newly Promoted UM")</f>
        <v># of Newly Promoted UM</v>
      </c>
      <c r="C5621" s="4" t="str">
        <f>CHOOSE(2, "5461730030", "Jun 26")</f>
        <v>Jun 26</v>
      </c>
      <c r="D5621" s="14">
        <v>25</v>
      </c>
    </row>
    <row r="5622" spans="1:4" x14ac:dyDescent="0.35">
      <c r="A5622" s="8" t="str">
        <f t="shared" si="2874"/>
        <v>Indonesia</v>
      </c>
      <c r="B5622" s="6" t="str">
        <f t="shared" si="2901"/>
        <v># of Newly Promoted UM</v>
      </c>
      <c r="C5622" s="4" t="str">
        <f>CHOOSE(2, "5462030031", "Jul 26")</f>
        <v>Jul 26</v>
      </c>
      <c r="D5622" s="14">
        <v>70</v>
      </c>
    </row>
    <row r="5623" spans="1:4" x14ac:dyDescent="0.35">
      <c r="A5623" s="8" t="str">
        <f t="shared" si="2874"/>
        <v>Indonesia</v>
      </c>
      <c r="B5623" s="3" t="str">
        <f t="shared" ref="B5623:B5624" si="2902">CHOOSE(2, "1395000000650", "# of Newly Promoted Leaders above UM")</f>
        <v># of Newly Promoted Leaders above UM</v>
      </c>
      <c r="C5623" s="4" t="str">
        <f>CHOOSE(2, "5461730030", "Jun 26")</f>
        <v>Jun 26</v>
      </c>
      <c r="D5623" s="14">
        <v>7</v>
      </c>
    </row>
    <row r="5624" spans="1:4" x14ac:dyDescent="0.35">
      <c r="A5624" s="8" t="str">
        <f t="shared" si="2874"/>
        <v>Indonesia</v>
      </c>
      <c r="B5624" s="6" t="str">
        <f t="shared" si="2902"/>
        <v># of Newly Promoted Leaders above UM</v>
      </c>
      <c r="C5624" s="4" t="str">
        <f>CHOOSE(2, "5462030031", "Jul 26")</f>
        <v>Jul 26</v>
      </c>
      <c r="D5624" s="14">
        <v>22</v>
      </c>
    </row>
    <row r="5625" spans="1:4" x14ac:dyDescent="0.35">
      <c r="A5625" s="8" t="str">
        <f t="shared" si="2874"/>
        <v>Indonesia</v>
      </c>
      <c r="B5625" s="3" t="str">
        <f t="shared" ref="B5625:B5626" si="2903">CHOOSE(2, "1395000000649", "# of Total Leader Promotions")</f>
        <v># of Total Leader Promotions</v>
      </c>
      <c r="C5625" s="4" t="str">
        <f>CHOOSE(2, "5461730030", "Jun 26")</f>
        <v>Jun 26</v>
      </c>
      <c r="D5625" s="14">
        <v>32</v>
      </c>
    </row>
    <row r="5626" spans="1:4" x14ac:dyDescent="0.35">
      <c r="A5626" s="8" t="str">
        <f t="shared" si="2874"/>
        <v>Indonesia</v>
      </c>
      <c r="B5626" s="6" t="str">
        <f t="shared" si="2903"/>
        <v># of Total Leader Promotions</v>
      </c>
      <c r="C5626" s="4" t="str">
        <f>CHOOSE(2, "5462030031", "Jul 26")</f>
        <v>Jul 26</v>
      </c>
      <c r="D5626" s="14">
        <v>92</v>
      </c>
    </row>
    <row r="5627" spans="1:4" x14ac:dyDescent="0.35">
      <c r="A5627" s="8" t="str">
        <f t="shared" si="2874"/>
        <v>Indonesia</v>
      </c>
      <c r="B5627" s="3" t="str">
        <f t="shared" ref="B5627:B5628" si="2904">CHOOSE(2, "1395000000648", "# of Newly Demoted UM")</f>
        <v># of Newly Demoted UM</v>
      </c>
      <c r="C5627" s="4" t="str">
        <f>CHOOSE(2, "5461730030", "Jun 26")</f>
        <v>Jun 26</v>
      </c>
      <c r="D5627" s="14">
        <v>10</v>
      </c>
    </row>
    <row r="5628" spans="1:4" x14ac:dyDescent="0.35">
      <c r="A5628" s="8" t="str">
        <f t="shared" si="2874"/>
        <v>Indonesia</v>
      </c>
      <c r="B5628" s="6" t="str">
        <f t="shared" si="2904"/>
        <v># of Newly Demoted UM</v>
      </c>
      <c r="C5628" s="4" t="str">
        <f>CHOOSE(2, "5462030031", "Jul 26")</f>
        <v>Jul 26</v>
      </c>
      <c r="D5628" s="14">
        <v>4</v>
      </c>
    </row>
    <row r="5629" spans="1:4" x14ac:dyDescent="0.35">
      <c r="A5629" s="8" t="str">
        <f t="shared" si="2874"/>
        <v>Indonesia</v>
      </c>
      <c r="B5629" s="3" t="str">
        <f t="shared" ref="B5629:B5630" si="2905">CHOOSE(2, "1395000000647", "# of Newly Demoted Leaders above UM")</f>
        <v># of Newly Demoted Leaders above UM</v>
      </c>
      <c r="C5629" s="4" t="str">
        <f>CHOOSE(2, "5461730030", "Jun 26")</f>
        <v>Jun 26</v>
      </c>
      <c r="D5629" s="14">
        <v>5</v>
      </c>
    </row>
    <row r="5630" spans="1:4" x14ac:dyDescent="0.35">
      <c r="A5630" s="8" t="str">
        <f t="shared" si="2874"/>
        <v>Indonesia</v>
      </c>
      <c r="B5630" s="6" t="str">
        <f t="shared" si="2905"/>
        <v># of Newly Demoted Leaders above UM</v>
      </c>
      <c r="C5630" s="4" t="str">
        <f>CHOOSE(2, "5462030031", "Jul 26")</f>
        <v>Jul 26</v>
      </c>
      <c r="D5630" s="14">
        <v>3</v>
      </c>
    </row>
    <row r="5631" spans="1:4" x14ac:dyDescent="0.35">
      <c r="A5631" s="8" t="str">
        <f t="shared" si="2874"/>
        <v>Indonesia</v>
      </c>
      <c r="B5631" s="3" t="str">
        <f t="shared" ref="B5631:B5632" si="2906">CHOOSE(2, "1395000000646", "# of Total Leader Demotions")</f>
        <v># of Total Leader Demotions</v>
      </c>
      <c r="C5631" s="4" t="str">
        <f>CHOOSE(2, "5461730030", "Jun 26")</f>
        <v>Jun 26</v>
      </c>
      <c r="D5631" s="14">
        <v>15</v>
      </c>
    </row>
    <row r="5632" spans="1:4" x14ac:dyDescent="0.35">
      <c r="A5632" s="8" t="str">
        <f t="shared" si="2874"/>
        <v>Indonesia</v>
      </c>
      <c r="B5632" s="6" t="str">
        <f t="shared" si="2906"/>
        <v># of Total Leader Demotions</v>
      </c>
      <c r="C5632" s="4" t="str">
        <f>CHOOSE(2, "5462030031", "Jul 26")</f>
        <v>Jul 26</v>
      </c>
      <c r="D5632" s="14">
        <v>7</v>
      </c>
    </row>
    <row r="5633" spans="1:4" x14ac:dyDescent="0.35">
      <c r="A5633" s="8" t="str">
        <f t="shared" ref="A5633:A5696" si="2907">CHOOSE(2, "204000000006", "Indonesia")</f>
        <v>Indonesia</v>
      </c>
      <c r="B5633" s="3" t="str">
        <f t="shared" ref="B5633:B5634" si="2908">CHOOSE(2, "1395000000645", "# of agents meeting MOC")</f>
        <v># of agents meeting MOC</v>
      </c>
      <c r="C5633" s="4" t="str">
        <f>CHOOSE(2, "5461730030", "Jun 26")</f>
        <v>Jun 26</v>
      </c>
      <c r="D5633" s="14">
        <v>18902</v>
      </c>
    </row>
    <row r="5634" spans="1:4" x14ac:dyDescent="0.35">
      <c r="A5634" s="8" t="str">
        <f t="shared" si="2907"/>
        <v>Indonesia</v>
      </c>
      <c r="B5634" s="6" t="str">
        <f t="shared" si="2908"/>
        <v># of agents meeting MOC</v>
      </c>
      <c r="C5634" s="4" t="str">
        <f>CHOOSE(2, "5462030031", "Jul 26")</f>
        <v>Jul 26</v>
      </c>
      <c r="D5634" s="14">
        <v>19635</v>
      </c>
    </row>
    <row r="5635" spans="1:4" x14ac:dyDescent="0.35">
      <c r="A5635" s="8" t="str">
        <f t="shared" si="2907"/>
        <v>Indonesia</v>
      </c>
      <c r="B5635" s="3" t="str">
        <f t="shared" ref="B5635:B5636" si="2909">CHOOSE(2, "1395000000644", "# of agents meeting MOC in FA or equivalent")</f>
        <v># of agents meeting MOC in FA or equivalent</v>
      </c>
      <c r="C5635" s="4" t="str">
        <f>CHOOSE(2, "5461730030", "Jun 26")</f>
        <v>Jun 26</v>
      </c>
      <c r="D5635" s="14">
        <v>16094</v>
      </c>
    </row>
    <row r="5636" spans="1:4" x14ac:dyDescent="0.35">
      <c r="A5636" s="8" t="str">
        <f t="shared" si="2907"/>
        <v>Indonesia</v>
      </c>
      <c r="B5636" s="6" t="str">
        <f t="shared" si="2909"/>
        <v># of agents meeting MOC in FA or equivalent</v>
      </c>
      <c r="C5636" s="4" t="str">
        <f>CHOOSE(2, "5462030031", "Jul 26")</f>
        <v>Jul 26</v>
      </c>
      <c r="D5636" s="14">
        <v>16745</v>
      </c>
    </row>
    <row r="5637" spans="1:4" x14ac:dyDescent="0.35">
      <c r="A5637" s="8" t="str">
        <f t="shared" si="2907"/>
        <v>Indonesia</v>
      </c>
      <c r="B5637" s="3" t="str">
        <f t="shared" ref="B5637:B5638" si="2910">CHOOSE(2, "1395000000643", "# of agents meeting MOC in UM")</f>
        <v># of agents meeting MOC in UM</v>
      </c>
      <c r="C5637" s="4" t="str">
        <f>CHOOSE(2, "5461730030", "Jun 26")</f>
        <v>Jun 26</v>
      </c>
      <c r="D5637" s="14">
        <v>1558</v>
      </c>
    </row>
    <row r="5638" spans="1:4" x14ac:dyDescent="0.35">
      <c r="A5638" s="8" t="str">
        <f t="shared" si="2907"/>
        <v>Indonesia</v>
      </c>
      <c r="B5638" s="6" t="str">
        <f t="shared" si="2910"/>
        <v># of agents meeting MOC in UM</v>
      </c>
      <c r="C5638" s="4" t="str">
        <f>CHOOSE(2, "5462030031", "Jul 26")</f>
        <v>Jul 26</v>
      </c>
      <c r="D5638" s="14">
        <v>1604</v>
      </c>
    </row>
    <row r="5639" spans="1:4" x14ac:dyDescent="0.35">
      <c r="A5639" s="8" t="str">
        <f t="shared" si="2907"/>
        <v>Indonesia</v>
      </c>
      <c r="B5639" s="3" t="str">
        <f t="shared" ref="B5639:B5640" si="2911">CHOOSE(2, "1395000000642", "# of agents meeting MOC in Leaders above UM")</f>
        <v># of agents meeting MOC in Leaders above UM</v>
      </c>
      <c r="C5639" s="4" t="str">
        <f>CHOOSE(2, "5461730030", "Jun 26")</f>
        <v>Jun 26</v>
      </c>
      <c r="D5639" s="14">
        <v>1250</v>
      </c>
    </row>
    <row r="5640" spans="1:4" x14ac:dyDescent="0.35">
      <c r="A5640" s="8" t="str">
        <f t="shared" si="2907"/>
        <v>Indonesia</v>
      </c>
      <c r="B5640" s="6" t="str">
        <f t="shared" si="2911"/>
        <v># of agents meeting MOC in Leaders above UM</v>
      </c>
      <c r="C5640" s="4" t="str">
        <f>CHOOSE(2, "5462030031", "Jul 26")</f>
        <v>Jul 26</v>
      </c>
      <c r="D5640" s="14">
        <v>1286</v>
      </c>
    </row>
    <row r="5641" spans="1:4" x14ac:dyDescent="0.35">
      <c r="A5641" s="8" t="str">
        <f t="shared" si="2907"/>
        <v>Indonesia</v>
      </c>
      <c r="B5641" s="3" t="str">
        <f t="shared" ref="B5641:B5642" si="2912">CHOOSE(2, "1395000000641", "New Leaders 3M Activation Rate (by cohort)")</f>
        <v>New Leaders 3M Activation Rate (by cohort)</v>
      </c>
      <c r="C5641" s="4" t="str">
        <f>CHOOSE(2, "5461730030", "Jun 26")</f>
        <v>Jun 26</v>
      </c>
      <c r="D5641" s="14">
        <v>0.33333333333333331</v>
      </c>
    </row>
    <row r="5642" spans="1:4" x14ac:dyDescent="0.35">
      <c r="A5642" s="8" t="str">
        <f t="shared" si="2907"/>
        <v>Indonesia</v>
      </c>
      <c r="B5642" s="6" t="str">
        <f t="shared" si="2912"/>
        <v>New Leaders 3M Activation Rate (by cohort)</v>
      </c>
      <c r="C5642" s="4" t="str">
        <f>CHOOSE(2, "5462030031", "Jul 26")</f>
        <v>Jul 26</v>
      </c>
      <c r="D5642" s="14">
        <v>0.58333333333333337</v>
      </c>
    </row>
    <row r="5643" spans="1:4" x14ac:dyDescent="0.35">
      <c r="A5643" s="8" t="str">
        <f t="shared" si="2907"/>
        <v>Indonesia</v>
      </c>
      <c r="B5643" s="3" t="str">
        <f t="shared" ref="B5643:B5644" si="2913">CHOOSE(2, "1395000000640", "New Leaders 3M Activation Rate (by cohort) (numerator)")</f>
        <v>New Leaders 3M Activation Rate (by cohort) (numerator)</v>
      </c>
      <c r="C5643" s="4" t="str">
        <f>CHOOSE(2, "5461730030", "Jun 26")</f>
        <v>Jun 26</v>
      </c>
      <c r="D5643" s="14">
        <v>3</v>
      </c>
    </row>
    <row r="5644" spans="1:4" x14ac:dyDescent="0.35">
      <c r="A5644" s="8" t="str">
        <f t="shared" si="2907"/>
        <v>Indonesia</v>
      </c>
      <c r="B5644" s="6" t="str">
        <f t="shared" si="2913"/>
        <v>New Leaders 3M Activation Rate (by cohort) (numerator)</v>
      </c>
      <c r="C5644" s="4" t="str">
        <f>CHOOSE(2, "5462030031", "Jul 26")</f>
        <v>Jul 26</v>
      </c>
      <c r="D5644" s="14">
        <v>7</v>
      </c>
    </row>
    <row r="5645" spans="1:4" x14ac:dyDescent="0.35">
      <c r="A5645" s="8" t="str">
        <f t="shared" si="2907"/>
        <v>Indonesia</v>
      </c>
      <c r="B5645" s="3" t="str">
        <f t="shared" ref="B5645:B5646" si="2914">CHOOSE(2, "1395000000639", "New Leaders 3M Activation Rate (by cohort) (denominator)")</f>
        <v>New Leaders 3M Activation Rate (by cohort) (denominator)</v>
      </c>
      <c r="C5645" s="4" t="str">
        <f>CHOOSE(2, "5461730030", "Jun 26")</f>
        <v>Jun 26</v>
      </c>
      <c r="D5645" s="14">
        <v>9</v>
      </c>
    </row>
    <row r="5646" spans="1:4" x14ac:dyDescent="0.35">
      <c r="A5646" s="8" t="str">
        <f t="shared" si="2907"/>
        <v>Indonesia</v>
      </c>
      <c r="B5646" s="6" t="str">
        <f t="shared" si="2914"/>
        <v>New Leaders 3M Activation Rate (by cohort) (denominator)</v>
      </c>
      <c r="C5646" s="4" t="str">
        <f>CHOOSE(2, "5462030031", "Jul 26")</f>
        <v>Jul 26</v>
      </c>
      <c r="D5646" s="14">
        <v>12</v>
      </c>
    </row>
    <row r="5647" spans="1:4" x14ac:dyDescent="0.35">
      <c r="A5647" s="8" t="str">
        <f t="shared" si="2907"/>
        <v>Indonesia</v>
      </c>
      <c r="B5647" s="3" t="str">
        <f t="shared" ref="B5647:B5648" si="2915">CHOOSE(2, "1395000000638", "# of pro-rated MDRT agents (100%)")</f>
        <v># of pro-rated MDRT agents (100%)</v>
      </c>
      <c r="C5647" s="4" t="str">
        <f>CHOOSE(2, "5461730030", "Jun 26")</f>
        <v>Jun 26</v>
      </c>
      <c r="D5647" s="14">
        <v>169</v>
      </c>
    </row>
    <row r="5648" spans="1:4" x14ac:dyDescent="0.35">
      <c r="A5648" s="8" t="str">
        <f t="shared" si="2907"/>
        <v>Indonesia</v>
      </c>
      <c r="B5648" s="6" t="str">
        <f t="shared" si="2915"/>
        <v># of pro-rated MDRT agents (100%)</v>
      </c>
      <c r="C5648" s="4" t="str">
        <f>CHOOSE(2, "5462030031", "Jul 26")</f>
        <v>Jul 26</v>
      </c>
      <c r="D5648" s="14">
        <v>160</v>
      </c>
    </row>
    <row r="5649" spans="1:4" x14ac:dyDescent="0.35">
      <c r="A5649" s="8" t="str">
        <f t="shared" si="2907"/>
        <v>Indonesia</v>
      </c>
      <c r="B5649" s="3" t="str">
        <f t="shared" ref="B5649:B5650" si="2916">CHOOSE(2, "1395000000637", "# of pro-rated MDRT agents (90%-99%)")</f>
        <v># of pro-rated MDRT agents (90%-99%)</v>
      </c>
      <c r="C5649" s="4" t="str">
        <f>CHOOSE(2, "5461730030", "Jun 26")</f>
        <v>Jun 26</v>
      </c>
      <c r="D5649" s="2" t="s">
        <v>5</v>
      </c>
    </row>
    <row r="5650" spans="1:4" x14ac:dyDescent="0.35">
      <c r="A5650" s="8" t="str">
        <f t="shared" si="2907"/>
        <v>Indonesia</v>
      </c>
      <c r="B5650" s="6" t="str">
        <f t="shared" si="2916"/>
        <v># of pro-rated MDRT agents (90%-99%)</v>
      </c>
      <c r="C5650" s="4" t="str">
        <f>CHOOSE(2, "5462030031", "Jul 26")</f>
        <v>Jul 26</v>
      </c>
      <c r="D5650" s="2" t="s">
        <v>5</v>
      </c>
    </row>
    <row r="5651" spans="1:4" x14ac:dyDescent="0.35">
      <c r="A5651" s="8" t="str">
        <f t="shared" si="2907"/>
        <v>Indonesia</v>
      </c>
      <c r="B5651" s="3" t="str">
        <f t="shared" ref="B5651:B5652" si="2917">CHOOSE(2, "1395000000636", "# of pro-rated MDRT agents (70%-90%)")</f>
        <v># of pro-rated MDRT agents (70%-90%)</v>
      </c>
      <c r="C5651" s="4" t="str">
        <f>CHOOSE(2, "5461730030", "Jun 26")</f>
        <v>Jun 26</v>
      </c>
      <c r="D5651" s="2" t="s">
        <v>5</v>
      </c>
    </row>
    <row r="5652" spans="1:4" x14ac:dyDescent="0.35">
      <c r="A5652" s="8" t="str">
        <f t="shared" si="2907"/>
        <v>Indonesia</v>
      </c>
      <c r="B5652" s="6" t="str">
        <f t="shared" si="2917"/>
        <v># of pro-rated MDRT agents (70%-90%)</v>
      </c>
      <c r="C5652" s="4" t="str">
        <f>CHOOSE(2, "5462030031", "Jul 26")</f>
        <v>Jul 26</v>
      </c>
      <c r="D5652" s="2" t="s">
        <v>5</v>
      </c>
    </row>
    <row r="5653" spans="1:4" x14ac:dyDescent="0.35">
      <c r="A5653" s="8" t="str">
        <f t="shared" si="2907"/>
        <v>Indonesia</v>
      </c>
      <c r="B5653" s="3" t="str">
        <f t="shared" ref="B5653:B5654" si="2918">CHOOSE(2, "1395000000635", "# of pro-rated MDRT agents (&lt;70%)")</f>
        <v># of pro-rated MDRT agents (&lt;70%)</v>
      </c>
      <c r="C5653" s="4" t="str">
        <f>CHOOSE(2, "5461730030", "Jun 26")</f>
        <v>Jun 26</v>
      </c>
      <c r="D5653" s="2" t="s">
        <v>5</v>
      </c>
    </row>
    <row r="5654" spans="1:4" x14ac:dyDescent="0.35">
      <c r="A5654" s="8" t="str">
        <f t="shared" si="2907"/>
        <v>Indonesia</v>
      </c>
      <c r="B5654" s="6" t="str">
        <f t="shared" si="2918"/>
        <v># of pro-rated MDRT agents (&lt;70%)</v>
      </c>
      <c r="C5654" s="4" t="str">
        <f>CHOOSE(2, "5462030031", "Jul 26")</f>
        <v>Jul 26</v>
      </c>
      <c r="D5654" s="2" t="s">
        <v>5</v>
      </c>
    </row>
    <row r="5655" spans="1:4" x14ac:dyDescent="0.35">
      <c r="A5655" s="8" t="str">
        <f t="shared" si="2907"/>
        <v>Indonesia</v>
      </c>
      <c r="B5655" s="3" t="str">
        <f t="shared" ref="B5655:B5656" si="2919">CHOOSE(2, "1395000000634", "# of pro-rated MDRT agents (50%-70%)")</f>
        <v># of pro-rated MDRT agents (50%-70%)</v>
      </c>
      <c r="C5655" s="4" t="str">
        <f>CHOOSE(2, "5461730030", "Jun 26")</f>
        <v>Jun 26</v>
      </c>
      <c r="D5655" s="2" t="s">
        <v>5</v>
      </c>
    </row>
    <row r="5656" spans="1:4" x14ac:dyDescent="0.35">
      <c r="A5656" s="8" t="str">
        <f t="shared" si="2907"/>
        <v>Indonesia</v>
      </c>
      <c r="B5656" s="6" t="str">
        <f t="shared" si="2919"/>
        <v># of pro-rated MDRT agents (50%-70%)</v>
      </c>
      <c r="C5656" s="4" t="str">
        <f>CHOOSE(2, "5462030031", "Jul 26")</f>
        <v>Jul 26</v>
      </c>
      <c r="D5656" s="2" t="s">
        <v>5</v>
      </c>
    </row>
    <row r="5657" spans="1:4" x14ac:dyDescent="0.35">
      <c r="A5657" s="8" t="str">
        <f t="shared" si="2907"/>
        <v>Indonesia</v>
      </c>
      <c r="B5657" s="3" t="str">
        <f t="shared" ref="B5657:B5658" si="2920">CHOOSE(2, "1395000000633", "# of pro-rated MDRT agents (&lt;50%)")</f>
        <v># of pro-rated MDRT agents (&lt;50%)</v>
      </c>
      <c r="C5657" s="4" t="str">
        <f>CHOOSE(2, "5461730030", "Jun 26")</f>
        <v>Jun 26</v>
      </c>
      <c r="D5657" s="2" t="s">
        <v>5</v>
      </c>
    </row>
    <row r="5658" spans="1:4" x14ac:dyDescent="0.35">
      <c r="A5658" s="8" t="str">
        <f t="shared" si="2907"/>
        <v>Indonesia</v>
      </c>
      <c r="B5658" s="6" t="str">
        <f t="shared" si="2920"/>
        <v># of pro-rated MDRT agents (&lt;50%)</v>
      </c>
      <c r="C5658" s="4" t="str">
        <f>CHOOSE(2, "5462030031", "Jul 26")</f>
        <v>Jul 26</v>
      </c>
      <c r="D5658" s="2" t="s">
        <v>5</v>
      </c>
    </row>
    <row r="5659" spans="1:4" x14ac:dyDescent="0.35">
      <c r="A5659" s="8" t="str">
        <f t="shared" si="2907"/>
        <v>Indonesia</v>
      </c>
      <c r="B5659" s="3" t="str">
        <f t="shared" ref="B5659:B5660" si="2921">CHOOSE(2, "1395000000632", "# of pro-rated MDRT agents (70-99%)")</f>
        <v># of pro-rated MDRT agents (70-99%)</v>
      </c>
      <c r="C5659" s="4" t="str">
        <f>CHOOSE(2, "5461730030", "Jun 26")</f>
        <v>Jun 26</v>
      </c>
      <c r="D5659" s="14">
        <v>113</v>
      </c>
    </row>
    <row r="5660" spans="1:4" x14ac:dyDescent="0.35">
      <c r="A5660" s="8" t="str">
        <f t="shared" si="2907"/>
        <v>Indonesia</v>
      </c>
      <c r="B5660" s="6" t="str">
        <f t="shared" si="2921"/>
        <v># of pro-rated MDRT agents (70-99%)</v>
      </c>
      <c r="C5660" s="4" t="str">
        <f>CHOOSE(2, "5462030031", "Jul 26")</f>
        <v>Jul 26</v>
      </c>
      <c r="D5660" s="14">
        <v>124</v>
      </c>
    </row>
    <row r="5661" spans="1:4" x14ac:dyDescent="0.35">
      <c r="A5661" s="8" t="str">
        <f t="shared" si="2907"/>
        <v>Indonesia</v>
      </c>
      <c r="B5661" s="3" t="str">
        <f t="shared" ref="B5661:B5662" si="2922">CHOOSE(2, "1395000000631", "# of pro-rated MDRT agents (50-69%)")</f>
        <v># of pro-rated MDRT agents (50-69%)</v>
      </c>
      <c r="C5661" s="4" t="str">
        <f>CHOOSE(2, "5461730030", "Jun 26")</f>
        <v>Jun 26</v>
      </c>
      <c r="D5661" s="14">
        <v>153</v>
      </c>
    </row>
    <row r="5662" spans="1:4" x14ac:dyDescent="0.35">
      <c r="A5662" s="8" t="str">
        <f t="shared" si="2907"/>
        <v>Indonesia</v>
      </c>
      <c r="B5662" s="6" t="str">
        <f t="shared" si="2922"/>
        <v># of pro-rated MDRT agents (50-69%)</v>
      </c>
      <c r="C5662" s="4" t="str">
        <f>CHOOSE(2, "5462030031", "Jul 26")</f>
        <v>Jul 26</v>
      </c>
      <c r="D5662" s="14">
        <v>168</v>
      </c>
    </row>
    <row r="5663" spans="1:4" x14ac:dyDescent="0.35">
      <c r="A5663" s="8" t="str">
        <f t="shared" si="2907"/>
        <v>Indonesia</v>
      </c>
      <c r="B5663" s="3" t="str">
        <f t="shared" ref="B5663:B5664" si="2923">CHOOSE(2, "1395000000630", "# of Top-tier agents")</f>
        <v># of Top-tier agents</v>
      </c>
      <c r="C5663" s="4" t="str">
        <f>CHOOSE(2, "5461730030", "Jun 26")</f>
        <v>Jun 26</v>
      </c>
      <c r="D5663" s="14">
        <v>435</v>
      </c>
    </row>
    <row r="5664" spans="1:4" x14ac:dyDescent="0.35">
      <c r="A5664" s="8" t="str">
        <f t="shared" si="2907"/>
        <v>Indonesia</v>
      </c>
      <c r="B5664" s="6" t="str">
        <f t="shared" si="2923"/>
        <v># of Top-tier agents</v>
      </c>
      <c r="C5664" s="4" t="str">
        <f>CHOOSE(2, "5462030031", "Jul 26")</f>
        <v>Jul 26</v>
      </c>
      <c r="D5664" s="14">
        <v>452</v>
      </c>
    </row>
    <row r="5665" spans="1:4" x14ac:dyDescent="0.35">
      <c r="A5665" s="8" t="str">
        <f t="shared" si="2907"/>
        <v>Indonesia</v>
      </c>
      <c r="B5665" s="3" t="str">
        <f t="shared" ref="B5665:B5666" si="2924">CHOOSE(2, "1395000000629", "$ APE from pro-rated MDRT agents (100%)")</f>
        <v>$ APE from pro-rated MDRT agents (100%)</v>
      </c>
      <c r="C5665" s="4" t="str">
        <f>CHOOSE(2, "5461730030", "Jun 26")</f>
        <v>Jun 26</v>
      </c>
      <c r="D5665" s="14">
        <v>1235704.1399999999</v>
      </c>
    </row>
    <row r="5666" spans="1:4" x14ac:dyDescent="0.35">
      <c r="A5666" s="8" t="str">
        <f t="shared" si="2907"/>
        <v>Indonesia</v>
      </c>
      <c r="B5666" s="6" t="str">
        <f t="shared" si="2924"/>
        <v>$ APE from pro-rated MDRT agents (100%)</v>
      </c>
      <c r="C5666" s="4" t="str">
        <f>CHOOSE(2, "5462030031", "Jul 26")</f>
        <v>Jul 26</v>
      </c>
      <c r="D5666" s="14">
        <v>1058778.1800000002</v>
      </c>
    </row>
    <row r="5667" spans="1:4" x14ac:dyDescent="0.35">
      <c r="A5667" s="8" t="str">
        <f t="shared" si="2907"/>
        <v>Indonesia</v>
      </c>
      <c r="B5667" s="3" t="str">
        <f t="shared" ref="B5667:B5668" si="2925">CHOOSE(2, "1395000000628", "$ APE from pro-rated MDRT agents (70-99%)")</f>
        <v>$ APE from pro-rated MDRT agents (70-99%)</v>
      </c>
      <c r="C5667" s="4" t="str">
        <f>CHOOSE(2, "5461730030", "Jun 26")</f>
        <v>Jun 26</v>
      </c>
      <c r="D5667" s="14">
        <v>351498.44</v>
      </c>
    </row>
    <row r="5668" spans="1:4" x14ac:dyDescent="0.35">
      <c r="A5668" s="8" t="str">
        <f t="shared" si="2907"/>
        <v>Indonesia</v>
      </c>
      <c r="B5668" s="6" t="str">
        <f t="shared" si="2925"/>
        <v>$ APE from pro-rated MDRT agents (70-99%)</v>
      </c>
      <c r="C5668" s="4" t="str">
        <f>CHOOSE(2, "5462030031", "Jul 26")</f>
        <v>Jul 26</v>
      </c>
      <c r="D5668" s="14">
        <v>399921.54</v>
      </c>
    </row>
    <row r="5669" spans="1:4" x14ac:dyDescent="0.35">
      <c r="A5669" s="8" t="str">
        <f t="shared" si="2907"/>
        <v>Indonesia</v>
      </c>
      <c r="B5669" s="3" t="str">
        <f t="shared" ref="B5669:B5670" si="2926">CHOOSE(2, "1395000000627", "$ APE from pro-rated MDRT agents (50-69%)")</f>
        <v>$ APE from pro-rated MDRT agents (50-69%)</v>
      </c>
      <c r="C5669" s="4" t="str">
        <f>CHOOSE(2, "5461730030", "Jun 26")</f>
        <v>Jun 26</v>
      </c>
      <c r="D5669" s="14">
        <v>389277.66000000003</v>
      </c>
    </row>
    <row r="5670" spans="1:4" x14ac:dyDescent="0.35">
      <c r="A5670" s="8" t="str">
        <f t="shared" si="2907"/>
        <v>Indonesia</v>
      </c>
      <c r="B5670" s="6" t="str">
        <f t="shared" si="2926"/>
        <v>$ APE from pro-rated MDRT agents (50-69%)</v>
      </c>
      <c r="C5670" s="4" t="str">
        <f>CHOOSE(2, "5462030031", "Jul 26")</f>
        <v>Jul 26</v>
      </c>
      <c r="D5670" s="14">
        <v>562789.69999999995</v>
      </c>
    </row>
    <row r="5671" spans="1:4" x14ac:dyDescent="0.35">
      <c r="A5671" s="8" t="str">
        <f t="shared" si="2907"/>
        <v>Indonesia</v>
      </c>
      <c r="B5671" s="3" t="str">
        <f t="shared" ref="B5671:B5672" si="2927">CHOOSE(2, "1395000000626", "$ APE from Top-tier agents")</f>
        <v>$ APE from Top-tier agents</v>
      </c>
      <c r="C5671" s="4" t="str">
        <f>CHOOSE(2, "5461730030", "Jun 26")</f>
        <v>Jun 26</v>
      </c>
      <c r="D5671" s="14">
        <v>1976480.2399999998</v>
      </c>
    </row>
    <row r="5672" spans="1:4" x14ac:dyDescent="0.35">
      <c r="A5672" s="8" t="str">
        <f t="shared" si="2907"/>
        <v>Indonesia</v>
      </c>
      <c r="B5672" s="6" t="str">
        <f t="shared" si="2927"/>
        <v>$ APE from Top-tier agents</v>
      </c>
      <c r="C5672" s="4" t="str">
        <f>CHOOSE(2, "5462030031", "Jul 26")</f>
        <v>Jul 26</v>
      </c>
      <c r="D5672" s="14">
        <v>2021489.4100000001</v>
      </c>
    </row>
    <row r="5673" spans="1:4" x14ac:dyDescent="0.35">
      <c r="A5673" s="8" t="str">
        <f t="shared" si="2907"/>
        <v>Indonesia</v>
      </c>
      <c r="B5673" s="3" t="str">
        <f t="shared" ref="B5673:B5674" si="2928">CHOOSE(2, "1395000000625", "# of MDRT qualifiers - YTD")</f>
        <v># of MDRT qualifiers - YTD</v>
      </c>
      <c r="C5673" s="4" t="str">
        <f>CHOOSE(2, "5461730030", "Jun 26")</f>
        <v>Jun 26</v>
      </c>
      <c r="D5673" s="14">
        <v>47</v>
      </c>
    </row>
    <row r="5674" spans="1:4" x14ac:dyDescent="0.35">
      <c r="A5674" s="8" t="str">
        <f t="shared" si="2907"/>
        <v>Indonesia</v>
      </c>
      <c r="B5674" s="6" t="str">
        <f t="shared" si="2928"/>
        <v># of MDRT qualifiers - YTD</v>
      </c>
      <c r="C5674" s="4" t="str">
        <f>CHOOSE(2, "5462030031", "Jul 26")</f>
        <v>Jul 26</v>
      </c>
      <c r="D5674" s="14">
        <v>58</v>
      </c>
    </row>
    <row r="5675" spans="1:4" x14ac:dyDescent="0.35">
      <c r="A5675" s="8" t="str">
        <f t="shared" si="2907"/>
        <v>Indonesia</v>
      </c>
      <c r="B5675" s="3" t="str">
        <f t="shared" ref="B5675:B5676" si="2929">CHOOSE(2, "1395000000624", "# of MDRT COT qualifiers - YTD")</f>
        <v># of MDRT COT qualifiers - YTD</v>
      </c>
      <c r="C5675" s="4" t="str">
        <f>CHOOSE(2, "5461730030", "Jun 26")</f>
        <v>Jun 26</v>
      </c>
      <c r="D5675" s="14">
        <v>6</v>
      </c>
    </row>
    <row r="5676" spans="1:4" x14ac:dyDescent="0.35">
      <c r="A5676" s="8" t="str">
        <f t="shared" si="2907"/>
        <v>Indonesia</v>
      </c>
      <c r="B5676" s="6" t="str">
        <f t="shared" si="2929"/>
        <v># of MDRT COT qualifiers - YTD</v>
      </c>
      <c r="C5676" s="4" t="str">
        <f>CHOOSE(2, "5462030031", "Jul 26")</f>
        <v>Jul 26</v>
      </c>
      <c r="D5676" s="14">
        <v>10</v>
      </c>
    </row>
    <row r="5677" spans="1:4" x14ac:dyDescent="0.35">
      <c r="A5677" s="8" t="str">
        <f t="shared" si="2907"/>
        <v>Indonesia</v>
      </c>
      <c r="B5677" s="3" t="str">
        <f t="shared" ref="B5677:B5678" si="2930">CHOOSE(2, "1395000000623", "# of MDRT TOT qualifiers - YTD")</f>
        <v># of MDRT TOT qualifiers - YTD</v>
      </c>
      <c r="C5677" s="4" t="str">
        <f>CHOOSE(2, "5461730030", "Jun 26")</f>
        <v>Jun 26</v>
      </c>
      <c r="D5677" s="14">
        <v>1</v>
      </c>
    </row>
    <row r="5678" spans="1:4" x14ac:dyDescent="0.35">
      <c r="A5678" s="8" t="str">
        <f t="shared" si="2907"/>
        <v>Indonesia</v>
      </c>
      <c r="B5678" s="6" t="str">
        <f t="shared" si="2930"/>
        <v># of MDRT TOT qualifiers - YTD</v>
      </c>
      <c r="C5678" s="4" t="str">
        <f>CHOOSE(2, "5462030031", "Jul 26")</f>
        <v>Jul 26</v>
      </c>
      <c r="D5678" s="14">
        <v>1</v>
      </c>
    </row>
    <row r="5679" spans="1:4" x14ac:dyDescent="0.35">
      <c r="A5679" s="8" t="str">
        <f t="shared" si="2907"/>
        <v>Indonesia</v>
      </c>
      <c r="B5679" s="3" t="str">
        <f t="shared" ref="B5679:B5680" si="2931">CHOOSE(2, "1395000000622", "Manulife Pro Qualifiers - Total")</f>
        <v>Manulife Pro Qualifiers - Total</v>
      </c>
      <c r="C5679" s="4" t="str">
        <f>CHOOSE(2, "5461730030", "Jun 26")</f>
        <v>Jun 26</v>
      </c>
      <c r="D5679" s="14">
        <v>169</v>
      </c>
    </row>
    <row r="5680" spans="1:4" x14ac:dyDescent="0.35">
      <c r="A5680" s="8" t="str">
        <f t="shared" si="2907"/>
        <v>Indonesia</v>
      </c>
      <c r="B5680" s="6" t="str">
        <f t="shared" si="2931"/>
        <v>Manulife Pro Qualifiers - Total</v>
      </c>
      <c r="C5680" s="4" t="str">
        <f>CHOOSE(2, "5462030031", "Jul 26")</f>
        <v>Jul 26</v>
      </c>
      <c r="D5680" s="14">
        <v>204</v>
      </c>
    </row>
    <row r="5681" spans="1:4" x14ac:dyDescent="0.35">
      <c r="A5681" s="8" t="str">
        <f t="shared" si="2907"/>
        <v>Indonesia</v>
      </c>
      <c r="B5681" s="3" t="str">
        <f t="shared" ref="B5681:B5682" si="2932">CHOOSE(2, "1395000000621", "Manulife Pro Qualifiers - Silver")</f>
        <v>Manulife Pro Qualifiers - Silver</v>
      </c>
      <c r="C5681" s="4" t="str">
        <f>CHOOSE(2, "5461730030", "Jun 26")</f>
        <v>Jun 26</v>
      </c>
      <c r="D5681" s="2" t="s">
        <v>5</v>
      </c>
    </row>
    <row r="5682" spans="1:4" x14ac:dyDescent="0.35">
      <c r="A5682" s="8" t="str">
        <f t="shared" si="2907"/>
        <v>Indonesia</v>
      </c>
      <c r="B5682" s="6" t="str">
        <f t="shared" si="2932"/>
        <v>Manulife Pro Qualifiers - Silver</v>
      </c>
      <c r="C5682" s="4" t="str">
        <f>CHOOSE(2, "5462030031", "Jul 26")</f>
        <v>Jul 26</v>
      </c>
      <c r="D5682" s="2" t="s">
        <v>5</v>
      </c>
    </row>
    <row r="5683" spans="1:4" x14ac:dyDescent="0.35">
      <c r="A5683" s="8" t="str">
        <f t="shared" si="2907"/>
        <v>Indonesia</v>
      </c>
      <c r="B5683" s="3" t="str">
        <f t="shared" ref="B5683:B5684" si="2933">CHOOSE(2, "1395000000620", "Manulife Pro Qualifiers - Gold")</f>
        <v>Manulife Pro Qualifiers - Gold</v>
      </c>
      <c r="C5683" s="4" t="str">
        <f>CHOOSE(2, "5461730030", "Jun 26")</f>
        <v>Jun 26</v>
      </c>
      <c r="D5683" s="2" t="s">
        <v>5</v>
      </c>
    </row>
    <row r="5684" spans="1:4" x14ac:dyDescent="0.35">
      <c r="A5684" s="8" t="str">
        <f t="shared" si="2907"/>
        <v>Indonesia</v>
      </c>
      <c r="B5684" s="6" t="str">
        <f t="shared" si="2933"/>
        <v>Manulife Pro Qualifiers - Gold</v>
      </c>
      <c r="C5684" s="4" t="str">
        <f>CHOOSE(2, "5462030031", "Jul 26")</f>
        <v>Jul 26</v>
      </c>
      <c r="D5684" s="2" t="s">
        <v>5</v>
      </c>
    </row>
    <row r="5685" spans="1:4" x14ac:dyDescent="0.35">
      <c r="A5685" s="8" t="str">
        <f t="shared" si="2907"/>
        <v>Indonesia</v>
      </c>
      <c r="B5685" s="3" t="str">
        <f t="shared" ref="B5685:B5686" si="2934">CHOOSE(2, "1395000000619", "Manulife Pro Qualifiers  - Platinum")</f>
        <v>Manulife Pro Qualifiers  - Platinum</v>
      </c>
      <c r="C5685" s="4" t="str">
        <f>CHOOSE(2, "5461730030", "Jun 26")</f>
        <v>Jun 26</v>
      </c>
      <c r="D5685" s="2" t="s">
        <v>5</v>
      </c>
    </row>
    <row r="5686" spans="1:4" x14ac:dyDescent="0.35">
      <c r="A5686" s="8" t="str">
        <f t="shared" si="2907"/>
        <v>Indonesia</v>
      </c>
      <c r="B5686" s="6" t="str">
        <f t="shared" si="2934"/>
        <v>Manulife Pro Qualifiers  - Platinum</v>
      </c>
      <c r="C5686" s="4" t="str">
        <f>CHOOSE(2, "5462030031", "Jul 26")</f>
        <v>Jul 26</v>
      </c>
      <c r="D5686" s="2" t="s">
        <v>5</v>
      </c>
    </row>
    <row r="5687" spans="1:4" x14ac:dyDescent="0.35">
      <c r="A5687" s="8" t="str">
        <f t="shared" si="2907"/>
        <v>Indonesia</v>
      </c>
      <c r="B5687" s="3" t="str">
        <f t="shared" ref="B5687:B5688" si="2935">CHOOSE(2, "1395000000618", "$ APE from Manulife Pro - Total")</f>
        <v>$ APE from Manulife Pro - Total</v>
      </c>
      <c r="C5687" s="4" t="str">
        <f>CHOOSE(2, "5461730030", "Jun 26")</f>
        <v>Jun 26</v>
      </c>
      <c r="D5687" s="14">
        <v>1235704.138643</v>
      </c>
    </row>
    <row r="5688" spans="1:4" x14ac:dyDescent="0.35">
      <c r="A5688" s="8" t="str">
        <f t="shared" si="2907"/>
        <v>Indonesia</v>
      </c>
      <c r="B5688" s="6" t="str">
        <f t="shared" si="2935"/>
        <v>$ APE from Manulife Pro - Total</v>
      </c>
      <c r="C5688" s="4" t="str">
        <f>CHOOSE(2, "5462030031", "Jul 26")</f>
        <v>Jul 26</v>
      </c>
      <c r="D5688" s="14">
        <v>1214967.61659</v>
      </c>
    </row>
    <row r="5689" spans="1:4" x14ac:dyDescent="0.35">
      <c r="A5689" s="8" t="str">
        <f t="shared" si="2907"/>
        <v>Indonesia</v>
      </c>
      <c r="B5689" s="3" t="str">
        <f t="shared" ref="B5689:B5690" si="2936">CHOOSE(2, "1395000000617", "$ APE from Manulife Pro - Silver")</f>
        <v>$ APE from Manulife Pro - Silver</v>
      </c>
      <c r="C5689" s="4" t="str">
        <f>CHOOSE(2, "5461730030", "Jun 26")</f>
        <v>Jun 26</v>
      </c>
      <c r="D5689" s="2" t="s">
        <v>5</v>
      </c>
    </row>
    <row r="5690" spans="1:4" x14ac:dyDescent="0.35">
      <c r="A5690" s="8" t="str">
        <f t="shared" si="2907"/>
        <v>Indonesia</v>
      </c>
      <c r="B5690" s="6" t="str">
        <f t="shared" si="2936"/>
        <v>$ APE from Manulife Pro - Silver</v>
      </c>
      <c r="C5690" s="4" t="str">
        <f>CHOOSE(2, "5462030031", "Jul 26")</f>
        <v>Jul 26</v>
      </c>
      <c r="D5690" s="2" t="s">
        <v>5</v>
      </c>
    </row>
    <row r="5691" spans="1:4" x14ac:dyDescent="0.35">
      <c r="A5691" s="8" t="str">
        <f t="shared" si="2907"/>
        <v>Indonesia</v>
      </c>
      <c r="B5691" s="3" t="str">
        <f t="shared" ref="B5691:B5692" si="2937">CHOOSE(2, "1395000000616", "$ APE from Manulife Pro - Gold")</f>
        <v>$ APE from Manulife Pro - Gold</v>
      </c>
      <c r="C5691" s="4" t="str">
        <f>CHOOSE(2, "5461730030", "Jun 26")</f>
        <v>Jun 26</v>
      </c>
      <c r="D5691" s="2" t="s">
        <v>5</v>
      </c>
    </row>
    <row r="5692" spans="1:4" x14ac:dyDescent="0.35">
      <c r="A5692" s="8" t="str">
        <f t="shared" si="2907"/>
        <v>Indonesia</v>
      </c>
      <c r="B5692" s="6" t="str">
        <f t="shared" si="2937"/>
        <v>$ APE from Manulife Pro - Gold</v>
      </c>
      <c r="C5692" s="4" t="str">
        <f>CHOOSE(2, "5462030031", "Jul 26")</f>
        <v>Jul 26</v>
      </c>
      <c r="D5692" s="2" t="s">
        <v>5</v>
      </c>
    </row>
    <row r="5693" spans="1:4" x14ac:dyDescent="0.35">
      <c r="A5693" s="8" t="str">
        <f t="shared" si="2907"/>
        <v>Indonesia</v>
      </c>
      <c r="B5693" s="3" t="str">
        <f t="shared" ref="B5693:B5694" si="2938">CHOOSE(2, "1395000000615", "$ APE from Manulife Pro  - Platinum")</f>
        <v>$ APE from Manulife Pro  - Platinum</v>
      </c>
      <c r="C5693" s="4" t="str">
        <f>CHOOSE(2, "5461730030", "Jun 26")</f>
        <v>Jun 26</v>
      </c>
      <c r="D5693" s="2" t="s">
        <v>5</v>
      </c>
    </row>
    <row r="5694" spans="1:4" x14ac:dyDescent="0.35">
      <c r="A5694" s="8" t="str">
        <f t="shared" si="2907"/>
        <v>Indonesia</v>
      </c>
      <c r="B5694" s="6" t="str">
        <f t="shared" si="2938"/>
        <v>$ APE from Manulife Pro  - Platinum</v>
      </c>
      <c r="C5694" s="4" t="str">
        <f>CHOOSE(2, "5462030031", "Jul 26")</f>
        <v>Jul 26</v>
      </c>
      <c r="D5694" s="2" t="s">
        <v>5</v>
      </c>
    </row>
    <row r="5695" spans="1:4" x14ac:dyDescent="0.35">
      <c r="A5695" s="8" t="str">
        <f t="shared" si="2907"/>
        <v>Indonesia</v>
      </c>
      <c r="B5695" s="3" t="str">
        <f t="shared" ref="B5695:B5696" si="2939">CHOOSE(2, "1395000000614", "Issued APE")</f>
        <v>Issued APE</v>
      </c>
      <c r="C5695" s="4" t="str">
        <f>CHOOSE(2, "5461730030", "Jun 26")</f>
        <v>Jun 26</v>
      </c>
      <c r="D5695" s="14">
        <v>5401607.7374010598</v>
      </c>
    </row>
    <row r="5696" spans="1:4" x14ac:dyDescent="0.35">
      <c r="A5696" s="8" t="str">
        <f t="shared" si="2907"/>
        <v>Indonesia</v>
      </c>
      <c r="B5696" s="6" t="str">
        <f t="shared" si="2939"/>
        <v>Issued APE</v>
      </c>
      <c r="C5696" s="4" t="str">
        <f>CHOOSE(2, "5462030031", "Jul 26")</f>
        <v>Jul 26</v>
      </c>
      <c r="D5696" s="14">
        <v>5641160.9921097606</v>
      </c>
    </row>
    <row r="5697" spans="1:4" x14ac:dyDescent="0.35">
      <c r="A5697" s="8" t="str">
        <f t="shared" ref="A5697:A5760" si="2940">CHOOSE(2, "204000000006", "Indonesia")</f>
        <v>Indonesia</v>
      </c>
      <c r="B5697" s="3" t="str">
        <f t="shared" ref="B5697:B5698" si="2941">CHOOSE(2, "1395000000613", "Post-MI APE")</f>
        <v>Post-MI APE</v>
      </c>
      <c r="C5697" s="4" t="str">
        <f>CHOOSE(2, "5461730030", "Jun 26")</f>
        <v>Jun 26</v>
      </c>
      <c r="D5697" s="14">
        <v>5401607.7374010598</v>
      </c>
    </row>
    <row r="5698" spans="1:4" x14ac:dyDescent="0.35">
      <c r="A5698" s="8" t="str">
        <f t="shared" si="2940"/>
        <v>Indonesia</v>
      </c>
      <c r="B5698" s="6" t="str">
        <f t="shared" si="2941"/>
        <v>Post-MI APE</v>
      </c>
      <c r="C5698" s="4" t="str">
        <f>CHOOSE(2, "5462030031", "Jul 26")</f>
        <v>Jul 26</v>
      </c>
      <c r="D5698" s="14">
        <v>5641160.9921097606</v>
      </c>
    </row>
    <row r="5699" spans="1:4" x14ac:dyDescent="0.35">
      <c r="A5699" s="8" t="str">
        <f t="shared" si="2940"/>
        <v>Indonesia</v>
      </c>
      <c r="B5699" s="3" t="str">
        <f t="shared" ref="B5699:B5700" si="2942">CHOOSE(2, "1395000000610", "Pre-gap NBV")</f>
        <v>Pre-gap NBV</v>
      </c>
      <c r="C5699" s="4" t="str">
        <f>CHOOSE(2, "5461730030", "Jun 26")</f>
        <v>Jun 26</v>
      </c>
      <c r="D5699" s="14">
        <v>1883556.4546768502</v>
      </c>
    </row>
    <row r="5700" spans="1:4" x14ac:dyDescent="0.35">
      <c r="A5700" s="8" t="str">
        <f t="shared" si="2940"/>
        <v>Indonesia</v>
      </c>
      <c r="B5700" s="6" t="str">
        <f t="shared" si="2942"/>
        <v>Pre-gap NBV</v>
      </c>
      <c r="C5700" s="4" t="str">
        <f>CHOOSE(2, "5462030031", "Jul 26")</f>
        <v>Jul 26</v>
      </c>
      <c r="D5700" s="14">
        <v>1598354.51800323</v>
      </c>
    </row>
    <row r="5701" spans="1:4" x14ac:dyDescent="0.35">
      <c r="A5701" s="8" t="str">
        <f t="shared" si="2940"/>
        <v>Indonesia</v>
      </c>
      <c r="B5701" s="3" t="str">
        <f t="shared" ref="B5701:B5702" si="2943">CHOOSE(2, "1395000000609", "Pre-gap NBV Margin %")</f>
        <v>Pre-gap NBV Margin %</v>
      </c>
      <c r="C5701" s="4" t="str">
        <f>CHOOSE(2, "5461730030", "Jun 26")</f>
        <v>Jun 26</v>
      </c>
      <c r="D5701" s="14">
        <v>0.34870293183916168</v>
      </c>
    </row>
    <row r="5702" spans="1:4" x14ac:dyDescent="0.35">
      <c r="A5702" s="8" t="str">
        <f t="shared" si="2940"/>
        <v>Indonesia</v>
      </c>
      <c r="B5702" s="6" t="str">
        <f t="shared" si="2943"/>
        <v>Pre-gap NBV Margin %</v>
      </c>
      <c r="C5702" s="4" t="str">
        <f>CHOOSE(2, "5462030031", "Jul 26")</f>
        <v>Jul 26</v>
      </c>
      <c r="D5702" s="14">
        <v>0.28333786613054185</v>
      </c>
    </row>
    <row r="5703" spans="1:4" x14ac:dyDescent="0.35">
      <c r="A5703" s="8" t="str">
        <f t="shared" si="2940"/>
        <v>Indonesia</v>
      </c>
      <c r="B5703" s="3" t="str">
        <f t="shared" ref="B5703:B5704" si="2944">CHOOSE(2, "1395000000608", "Post-gap NBV")</f>
        <v>Post-gap NBV</v>
      </c>
      <c r="C5703" s="4" t="str">
        <f>CHOOSE(2, "5461730030", "Jun 26")</f>
        <v>Jun 26</v>
      </c>
      <c r="D5703" s="14">
        <v>1883556.4546768502</v>
      </c>
    </row>
    <row r="5704" spans="1:4" x14ac:dyDescent="0.35">
      <c r="A5704" s="8" t="str">
        <f t="shared" si="2940"/>
        <v>Indonesia</v>
      </c>
      <c r="B5704" s="6" t="str">
        <f t="shared" si="2944"/>
        <v>Post-gap NBV</v>
      </c>
      <c r="C5704" s="4" t="str">
        <f>CHOOSE(2, "5462030031", "Jul 26")</f>
        <v>Jul 26</v>
      </c>
      <c r="D5704" s="14">
        <v>1598354.51800323</v>
      </c>
    </row>
    <row r="5705" spans="1:4" x14ac:dyDescent="0.35">
      <c r="A5705" s="8" t="str">
        <f t="shared" si="2940"/>
        <v>Indonesia</v>
      </c>
      <c r="B5705" s="3" t="str">
        <f t="shared" ref="B5705:B5706" si="2945">CHOOSE(2, "1395000000607", "Post-gap NBV Margin %")</f>
        <v>Post-gap NBV Margin %</v>
      </c>
      <c r="C5705" s="4" t="str">
        <f>CHOOSE(2, "5461730030", "Jun 26")</f>
        <v>Jun 26</v>
      </c>
      <c r="D5705" s="14">
        <v>0.34870293183916168</v>
      </c>
    </row>
    <row r="5706" spans="1:4" x14ac:dyDescent="0.35">
      <c r="A5706" s="8" t="str">
        <f t="shared" si="2940"/>
        <v>Indonesia</v>
      </c>
      <c r="B5706" s="6" t="str">
        <f t="shared" si="2945"/>
        <v>Post-gap NBV Margin %</v>
      </c>
      <c r="C5706" s="4" t="str">
        <f>CHOOSE(2, "5462030031", "Jul 26")</f>
        <v>Jul 26</v>
      </c>
      <c r="D5706" s="14">
        <v>0.28333786613054185</v>
      </c>
    </row>
    <row r="5707" spans="1:4" x14ac:dyDescent="0.35">
      <c r="A5707" s="8" t="str">
        <f t="shared" si="2940"/>
        <v>Indonesia</v>
      </c>
      <c r="B5707" s="3" t="str">
        <f t="shared" ref="B5707:B5708" si="2946">CHOOSE(2, "1395000000606", "NB CSM")</f>
        <v>NB CSM</v>
      </c>
      <c r="C5707" s="4" t="str">
        <f>CHOOSE(2, "5461730030", "Jun 26")</f>
        <v>Jun 26</v>
      </c>
      <c r="D5707" s="14">
        <v>1539720.6831001202</v>
      </c>
    </row>
    <row r="5708" spans="1:4" x14ac:dyDescent="0.35">
      <c r="A5708" s="8" t="str">
        <f t="shared" si="2940"/>
        <v>Indonesia</v>
      </c>
      <c r="B5708" s="6" t="str">
        <f t="shared" si="2946"/>
        <v>NB CSM</v>
      </c>
      <c r="C5708" s="4" t="str">
        <f>CHOOSE(2, "5462030031", "Jul 26")</f>
        <v>Jul 26</v>
      </c>
      <c r="D5708" s="14">
        <v>1618419.2422355399</v>
      </c>
    </row>
    <row r="5709" spans="1:4" x14ac:dyDescent="0.35">
      <c r="A5709" s="8" t="str">
        <f t="shared" si="2940"/>
        <v>Indonesia</v>
      </c>
      <c r="B5709" s="3" t="str">
        <f t="shared" ref="B5709:B5710" si="2947">CHOOSE(2, "1395000000605", "NB CSM Margin %")</f>
        <v>NB CSM Margin %</v>
      </c>
      <c r="C5709" s="4" t="str">
        <f>CHOOSE(2, "5461730030", "Jun 26")</f>
        <v>Jun 26</v>
      </c>
      <c r="D5709" s="14">
        <v>0.28504859255865633</v>
      </c>
    </row>
    <row r="5710" spans="1:4" x14ac:dyDescent="0.35">
      <c r="A5710" s="8" t="str">
        <f t="shared" si="2940"/>
        <v>Indonesia</v>
      </c>
      <c r="B5710" s="6" t="str">
        <f t="shared" si="2947"/>
        <v>NB CSM Margin %</v>
      </c>
      <c r="C5710" s="4" t="str">
        <f>CHOOSE(2, "5462030031", "Jul 26")</f>
        <v>Jul 26</v>
      </c>
      <c r="D5710" s="14">
        <v>0.2868947091740881</v>
      </c>
    </row>
    <row r="5711" spans="1:4" x14ac:dyDescent="0.35">
      <c r="A5711" s="8" t="str">
        <f t="shared" si="2940"/>
        <v>Indonesia</v>
      </c>
      <c r="B5711" s="3" t="str">
        <f t="shared" ref="B5711:B5712" si="2948">CHOOSE(2, "1395000000604", "PRE")</f>
        <v>PRE</v>
      </c>
      <c r="C5711" s="4" t="str">
        <f>CHOOSE(2, "5461730030", "Jun 26")</f>
        <v>Jun 26</v>
      </c>
      <c r="D5711" s="14">
        <v>1531752.7803927271</v>
      </c>
    </row>
    <row r="5712" spans="1:4" x14ac:dyDescent="0.35">
      <c r="A5712" s="8" t="str">
        <f t="shared" si="2940"/>
        <v>Indonesia</v>
      </c>
      <c r="B5712" s="6" t="str">
        <f t="shared" si="2948"/>
        <v>PRE</v>
      </c>
      <c r="C5712" s="4" t="str">
        <f>CHOOSE(2, "5462030031", "Jul 26")</f>
        <v>Jul 26</v>
      </c>
      <c r="D5712" s="14">
        <v>1598562.6826909091</v>
      </c>
    </row>
    <row r="5713" spans="1:4" x14ac:dyDescent="0.35">
      <c r="A5713" s="8" t="str">
        <f t="shared" si="2940"/>
        <v>Indonesia</v>
      </c>
      <c r="B5713" s="3" t="str">
        <f t="shared" ref="B5713:B5714" si="2949">CHOOSE(2, "1395000000603", "ContEx")</f>
        <v>ContEx</v>
      </c>
      <c r="C5713" s="4" t="str">
        <f>CHOOSE(2, "5461730030", "Jun 26")</f>
        <v>Jun 26</v>
      </c>
      <c r="D5713" s="14">
        <v>0</v>
      </c>
    </row>
    <row r="5714" spans="1:4" x14ac:dyDescent="0.35">
      <c r="A5714" s="8" t="str">
        <f t="shared" si="2940"/>
        <v>Indonesia</v>
      </c>
      <c r="B5714" s="6" t="str">
        <f t="shared" si="2949"/>
        <v>ContEx</v>
      </c>
      <c r="C5714" s="4" t="str">
        <f>CHOOSE(2, "5462030031", "Jul 26")</f>
        <v>Jul 26</v>
      </c>
      <c r="D5714" s="14">
        <v>0</v>
      </c>
    </row>
    <row r="5715" spans="1:4" x14ac:dyDescent="0.35">
      <c r="A5715" s="8" t="str">
        <f t="shared" si="2940"/>
        <v>Indonesia</v>
      </c>
      <c r="B5715" s="3" t="str">
        <f t="shared" ref="B5715:B5716" si="2950">CHOOSE(2, "1395000000602", "% of 6-90 agents")</f>
        <v>% of 6-90 agents</v>
      </c>
      <c r="C5715" s="4" t="str">
        <f>CHOOSE(2, "5461730030", "Jun 26")</f>
        <v>Jun 26</v>
      </c>
      <c r="D5715" s="14">
        <v>1.7241379310344827E-2</v>
      </c>
    </row>
    <row r="5716" spans="1:4" x14ac:dyDescent="0.35">
      <c r="A5716" s="8" t="str">
        <f t="shared" si="2940"/>
        <v>Indonesia</v>
      </c>
      <c r="B5716" s="6" t="str">
        <f t="shared" si="2950"/>
        <v>% of 6-90 agents</v>
      </c>
      <c r="C5716" s="4" t="str">
        <f>CHOOSE(2, "5462030031", "Jul 26")</f>
        <v>Jul 26</v>
      </c>
      <c r="D5716" s="14">
        <v>1.4925373134328358E-2</v>
      </c>
    </row>
    <row r="5717" spans="1:4" x14ac:dyDescent="0.35">
      <c r="A5717" s="8" t="str">
        <f t="shared" si="2940"/>
        <v>Indonesia</v>
      </c>
      <c r="B5717" s="3" t="str">
        <f t="shared" ref="B5717:B5718" si="2951">CHOOSE(2, "1395000000601", "New Recruits 3M Activation Rate")</f>
        <v>New Recruits 3M Activation Rate</v>
      </c>
      <c r="C5717" s="4" t="str">
        <f>CHOOSE(2, "5461730030", "Jun 26")</f>
        <v>Jun 26</v>
      </c>
      <c r="D5717" s="14">
        <v>0.48406862745098039</v>
      </c>
    </row>
    <row r="5718" spans="1:4" x14ac:dyDescent="0.35">
      <c r="A5718" s="8" t="str">
        <f t="shared" si="2940"/>
        <v>Indonesia</v>
      </c>
      <c r="B5718" s="6" t="str">
        <f t="shared" si="2951"/>
        <v>New Recruits 3M Activation Rate</v>
      </c>
      <c r="C5718" s="4" t="str">
        <f>CHOOSE(2, "5462030031", "Jul 26")</f>
        <v>Jul 26</v>
      </c>
      <c r="D5718" s="14">
        <v>0.42826321467098166</v>
      </c>
    </row>
    <row r="5719" spans="1:4" x14ac:dyDescent="0.35">
      <c r="A5719" s="8" t="str">
        <f t="shared" si="2940"/>
        <v>Indonesia</v>
      </c>
      <c r="B5719" s="3" t="str">
        <f t="shared" ref="B5719:B5720" si="2952">CHOOSE(2, "1395000000600", "No. of Recruits from leaders")</f>
        <v>No. of Recruits from leaders</v>
      </c>
      <c r="C5719" s="4" t="str">
        <f>CHOOSE(2, "5461730030", "Jun 26")</f>
        <v>Jun 26</v>
      </c>
      <c r="D5719" s="2" t="s">
        <v>5</v>
      </c>
    </row>
    <row r="5720" spans="1:4" x14ac:dyDescent="0.35">
      <c r="A5720" s="8" t="str">
        <f t="shared" si="2940"/>
        <v>Indonesia</v>
      </c>
      <c r="B5720" s="6" t="str">
        <f t="shared" si="2952"/>
        <v>No. of Recruits from leaders</v>
      </c>
      <c r="C5720" s="4" t="str">
        <f>CHOOSE(2, "5462030031", "Jul 26")</f>
        <v>Jul 26</v>
      </c>
      <c r="D5720" s="2" t="s">
        <v>5</v>
      </c>
    </row>
    <row r="5721" spans="1:4" x14ac:dyDescent="0.35">
      <c r="A5721" s="8" t="str">
        <f t="shared" si="2940"/>
        <v>Indonesia</v>
      </c>
      <c r="B5721" s="3" t="str">
        <f t="shared" ref="B5721:B5722" si="2953">CHOOSE(2, "1395000000599", "No. of Recruits per Active Recruiting Leader per month")</f>
        <v>No. of Recruits per Active Recruiting Leader per month</v>
      </c>
      <c r="C5721" s="4" t="str">
        <f>CHOOSE(2, "5461730030", "Jun 26")</f>
        <v>Jun 26</v>
      </c>
      <c r="D5721" s="14">
        <v>0</v>
      </c>
    </row>
    <row r="5722" spans="1:4" x14ac:dyDescent="0.35">
      <c r="A5722" s="8" t="str">
        <f t="shared" si="2940"/>
        <v>Indonesia</v>
      </c>
      <c r="B5722" s="6" t="str">
        <f t="shared" si="2953"/>
        <v>No. of Recruits per Active Recruiting Leader per month</v>
      </c>
      <c r="C5722" s="4" t="str">
        <f>CHOOSE(2, "5462030031", "Jul 26")</f>
        <v>Jul 26</v>
      </c>
      <c r="D5722" s="14">
        <v>0</v>
      </c>
    </row>
    <row r="5723" spans="1:4" x14ac:dyDescent="0.35">
      <c r="A5723" s="8" t="str">
        <f t="shared" si="2940"/>
        <v>Indonesia</v>
      </c>
      <c r="B5723" s="3" t="str">
        <f t="shared" ref="B5723:B5724" si="2954">CHOOSE(2, "1395000000598", "PRE as % of APE")</f>
        <v>PRE as % of APE</v>
      </c>
      <c r="C5723" s="4" t="str">
        <f>CHOOSE(2, "5461730030", "Jun 26")</f>
        <v>Jun 26</v>
      </c>
      <c r="D5723" s="14">
        <v>0.28357349420002825</v>
      </c>
    </row>
    <row r="5724" spans="1:4" x14ac:dyDescent="0.35">
      <c r="A5724" s="8" t="str">
        <f t="shared" si="2940"/>
        <v>Indonesia</v>
      </c>
      <c r="B5724" s="6" t="str">
        <f t="shared" si="2954"/>
        <v>PRE as % of APE</v>
      </c>
      <c r="C5724" s="4" t="str">
        <f>CHOOSE(2, "5462030031", "Jul 26")</f>
        <v>Jul 26</v>
      </c>
      <c r="D5724" s="14">
        <v>0.28337476716704307</v>
      </c>
    </row>
    <row r="5725" spans="1:4" x14ac:dyDescent="0.35">
      <c r="A5725" s="8" t="str">
        <f t="shared" si="2940"/>
        <v>Indonesia</v>
      </c>
      <c r="B5725" s="3" t="str">
        <f t="shared" ref="B5725:B5726" si="2955">CHOOSE(2, "1395000000597", "ContEx as % of APE")</f>
        <v>ContEx as % of APE</v>
      </c>
      <c r="C5725" s="4" t="str">
        <f>CHOOSE(2, "5461730030", "Jun 26")</f>
        <v>Jun 26</v>
      </c>
      <c r="D5725" s="14">
        <v>0</v>
      </c>
    </row>
    <row r="5726" spans="1:4" x14ac:dyDescent="0.35">
      <c r="A5726" s="8" t="str">
        <f t="shared" si="2940"/>
        <v>Indonesia</v>
      </c>
      <c r="B5726" s="6" t="str">
        <f t="shared" si="2955"/>
        <v>ContEx as % of APE</v>
      </c>
      <c r="C5726" s="4" t="str">
        <f>CHOOSE(2, "5462030031", "Jul 26")</f>
        <v>Jul 26</v>
      </c>
      <c r="D5726" s="14">
        <v>0</v>
      </c>
    </row>
    <row r="5727" spans="1:4" x14ac:dyDescent="0.35">
      <c r="A5727" s="8" t="str">
        <f t="shared" si="2940"/>
        <v>Indonesia</v>
      </c>
      <c r="B5727" s="3" t="str">
        <f t="shared" ref="B5727:B5728" si="2956">CHOOSE(2, "1395000000596", "% of 1-Month Active Agents")</f>
        <v>% of 1-Month Active Agents</v>
      </c>
      <c r="C5727" s="4" t="str">
        <f>CHOOSE(2, "5461730030", "Jun 26")</f>
        <v>Jun 26</v>
      </c>
      <c r="D5727" s="14">
        <v>0.15785796276887756</v>
      </c>
    </row>
    <row r="5728" spans="1:4" x14ac:dyDescent="0.35">
      <c r="A5728" s="8" t="str">
        <f t="shared" si="2940"/>
        <v>Indonesia</v>
      </c>
      <c r="B5728" s="6" t="str">
        <f t="shared" si="2956"/>
        <v>% of 1-Month Active Agents</v>
      </c>
      <c r="C5728" s="4" t="str">
        <f>CHOOSE(2, "5462030031", "Jul 26")</f>
        <v>Jul 26</v>
      </c>
      <c r="D5728" s="14">
        <v>0.14377610292352744</v>
      </c>
    </row>
    <row r="5729" spans="1:4" x14ac:dyDescent="0.35">
      <c r="A5729" s="8" t="str">
        <f t="shared" si="2940"/>
        <v>Indonesia</v>
      </c>
      <c r="B5729" s="3" t="str">
        <f t="shared" ref="B5729:B5730" si="2957">CHOOSE(2, "1395000000595", "% of 3-Month Active Agents")</f>
        <v>% of 3-Month Active Agents</v>
      </c>
      <c r="C5729" s="4" t="str">
        <f>CHOOSE(2, "5461730030", "Jun 26")</f>
        <v>Jun 26</v>
      </c>
      <c r="D5729" s="14">
        <v>0.10152847898124534</v>
      </c>
    </row>
    <row r="5730" spans="1:4" x14ac:dyDescent="0.35">
      <c r="A5730" s="8" t="str">
        <f t="shared" si="2940"/>
        <v>Indonesia</v>
      </c>
      <c r="B5730" s="6" t="str">
        <f t="shared" si="2957"/>
        <v>% of 3-Month Active Agents</v>
      </c>
      <c r="C5730" s="4" t="str">
        <f>CHOOSE(2, "5462030031", "Jul 26")</f>
        <v>Jul 26</v>
      </c>
      <c r="D5730" s="14">
        <v>0.10475555925710002</v>
      </c>
    </row>
    <row r="5731" spans="1:4" x14ac:dyDescent="0.35">
      <c r="A5731" s="8" t="str">
        <f t="shared" si="2940"/>
        <v>Indonesia</v>
      </c>
      <c r="B5731" s="3" t="str">
        <f t="shared" ref="B5731:B5732" si="2958">CHOOSE(2, "1395000000594", "Active agents per active leader")</f>
        <v>Active agents per active leader</v>
      </c>
      <c r="C5731" s="4" t="str">
        <f>CHOOSE(2, "5461730030", "Jun 26")</f>
        <v>Jun 26</v>
      </c>
      <c r="D5731" s="14">
        <v>6.8463203463203461</v>
      </c>
    </row>
    <row r="5732" spans="1:4" x14ac:dyDescent="0.35">
      <c r="A5732" s="8" t="str">
        <f t="shared" si="2940"/>
        <v>Indonesia</v>
      </c>
      <c r="B5732" s="6" t="str">
        <f t="shared" si="2958"/>
        <v>Active agents per active leader</v>
      </c>
      <c r="C5732" s="4" t="str">
        <f>CHOOSE(2, "5462030031", "Jul 26")</f>
        <v>Jul 26</v>
      </c>
      <c r="D5732" s="14">
        <v>6.1247443762781186</v>
      </c>
    </row>
    <row r="5733" spans="1:4" x14ac:dyDescent="0.35">
      <c r="A5733" s="8" t="str">
        <f t="shared" si="2940"/>
        <v>Indonesia</v>
      </c>
      <c r="B5733" s="3" t="str">
        <f t="shared" ref="B5733:B5734" si="2959">CHOOSE(2, "1395000000593", "Avg. Case count per 1-Month Active Agent")</f>
        <v>Avg. Case count per 1-Month Active Agent</v>
      </c>
      <c r="C5733" s="4" t="str">
        <f>CHOOSE(2, "5461730030", "Jun 26")</f>
        <v>Jun 26</v>
      </c>
      <c r="D5733" s="14">
        <v>1.489566866898514</v>
      </c>
    </row>
    <row r="5734" spans="1:4" x14ac:dyDescent="0.35">
      <c r="A5734" s="8" t="str">
        <f t="shared" si="2940"/>
        <v>Indonesia</v>
      </c>
      <c r="B5734" s="6" t="str">
        <f t="shared" si="2959"/>
        <v>Avg. Case count per 1-Month Active Agent</v>
      </c>
      <c r="C5734" s="4" t="str">
        <f>CHOOSE(2, "5462030031", "Jul 26")</f>
        <v>Jul 26</v>
      </c>
      <c r="D5734" s="14">
        <v>1.7322203672787979</v>
      </c>
    </row>
    <row r="5735" spans="1:4" x14ac:dyDescent="0.35">
      <c r="A5735" s="8" t="str">
        <f t="shared" si="2940"/>
        <v>Indonesia</v>
      </c>
      <c r="B5735" s="3" t="str">
        <f t="shared" ref="B5735:B5736" si="2960">CHOOSE(2, "1395000000592", "Avg. Case size")</f>
        <v>Avg. Case size</v>
      </c>
      <c r="C5735" s="4" t="str">
        <f>CHOOSE(2, "5461730030", "Jun 26")</f>
        <v>Jun 26</v>
      </c>
      <c r="D5735" s="14">
        <v>1146.4730420038331</v>
      </c>
    </row>
    <row r="5736" spans="1:4" x14ac:dyDescent="0.35">
      <c r="A5736" s="8" t="str">
        <f t="shared" si="2940"/>
        <v>Indonesia</v>
      </c>
      <c r="B5736" s="6" t="str">
        <f t="shared" si="2960"/>
        <v>Avg. Case size</v>
      </c>
      <c r="C5736" s="4" t="str">
        <f>CHOOSE(2, "5462030031", "Jul 26")</f>
        <v>Jul 26</v>
      </c>
      <c r="D5736" s="14">
        <v>1087.3479167520741</v>
      </c>
    </row>
    <row r="5737" spans="1:4" x14ac:dyDescent="0.35">
      <c r="A5737" s="8" t="str">
        <f t="shared" si="2940"/>
        <v>Indonesia</v>
      </c>
      <c r="B5737" s="3" t="str">
        <f t="shared" ref="B5737:B5738" si="2961">CHOOSE(2, "1395000000591", "APE per 1-Month Active Agent")</f>
        <v>APE per 1-Month Active Agent</v>
      </c>
      <c r="C5737" s="4" t="str">
        <f>CHOOSE(2, "5461730030", "Jun 26")</f>
        <v>Jun 26</v>
      </c>
      <c r="D5737" s="14">
        <v>1707.7482571612582</v>
      </c>
    </row>
    <row r="5738" spans="1:4" x14ac:dyDescent="0.35">
      <c r="A5738" s="8" t="str">
        <f t="shared" si="2940"/>
        <v>Indonesia</v>
      </c>
      <c r="B5738" s="6" t="str">
        <f t="shared" si="2961"/>
        <v>APE per 1-Month Active Agent</v>
      </c>
      <c r="C5738" s="4" t="str">
        <f>CHOOSE(2, "5462030031", "Jul 26")</f>
        <v>Jul 26</v>
      </c>
      <c r="D5738" s="14">
        <v>1883.5262077161137</v>
      </c>
    </row>
    <row r="5739" spans="1:4" x14ac:dyDescent="0.35">
      <c r="A5739" s="8" t="str">
        <f t="shared" si="2940"/>
        <v>Indonesia</v>
      </c>
      <c r="B5739" s="3" t="str">
        <f t="shared" ref="B5739:B5740" si="2962">CHOOSE(2, "1395000000590", "% Conversion of Proposals to cases")</f>
        <v>% Conversion of Proposals to cases</v>
      </c>
      <c r="C5739" s="4" t="str">
        <f>CHOOSE(2, "5461730030", "Jun 26")</f>
        <v>Jun 26</v>
      </c>
      <c r="D5739" s="14">
        <v>0</v>
      </c>
    </row>
    <row r="5740" spans="1:4" x14ac:dyDescent="0.35">
      <c r="A5740" s="8" t="str">
        <f t="shared" si="2940"/>
        <v>Indonesia</v>
      </c>
      <c r="B5740" s="6" t="str">
        <f t="shared" si="2962"/>
        <v>% Conversion of Proposals to cases</v>
      </c>
      <c r="C5740" s="4" t="str">
        <f>CHOOSE(2, "5462030031", "Jul 26")</f>
        <v>Jul 26</v>
      </c>
      <c r="D5740" s="14">
        <v>0</v>
      </c>
    </row>
    <row r="5741" spans="1:4" x14ac:dyDescent="0.35">
      <c r="A5741" s="8" t="str">
        <f t="shared" si="2940"/>
        <v>Indonesia</v>
      </c>
      <c r="B5741" s="3" t="str">
        <f t="shared" ref="B5741:B5742" si="2963">CHOOSE(2, "1395000000588", "% APE from Agents in X tenure")</f>
        <v>% APE from Agents in X tenure</v>
      </c>
      <c r="C5741" s="4" t="str">
        <f>CHOOSE(2, "5461730030", "Jun 26")</f>
        <v>Jun 26</v>
      </c>
      <c r="D5741" s="14">
        <v>1</v>
      </c>
    </row>
    <row r="5742" spans="1:4" x14ac:dyDescent="0.35">
      <c r="A5742" s="8" t="str">
        <f t="shared" si="2940"/>
        <v>Indonesia</v>
      </c>
      <c r="B5742" s="6" t="str">
        <f t="shared" si="2963"/>
        <v>% APE from Agents in X tenure</v>
      </c>
      <c r="C5742" s="4" t="str">
        <f>CHOOSE(2, "5462030031", "Jul 26")</f>
        <v>Jul 26</v>
      </c>
      <c r="D5742" s="14">
        <v>1</v>
      </c>
    </row>
    <row r="5743" spans="1:4" x14ac:dyDescent="0.35">
      <c r="A5743" s="8" t="str">
        <f t="shared" si="2940"/>
        <v>Indonesia</v>
      </c>
      <c r="B5743" s="3" t="str">
        <f t="shared" ref="B5743:B5744" si="2964">CHOOSE(2, "1395000000587", "% APE from Agents in X tenure in 0-1M")</f>
        <v>% APE from Agents in X tenure in 0-1M</v>
      </c>
      <c r="C5743" s="4" t="str">
        <f>CHOOSE(2, "5461730030", "Jun 26")</f>
        <v>Jun 26</v>
      </c>
      <c r="D5743" s="14">
        <v>0.1</v>
      </c>
    </row>
    <row r="5744" spans="1:4" x14ac:dyDescent="0.35">
      <c r="A5744" s="8" t="str">
        <f t="shared" si="2940"/>
        <v>Indonesia</v>
      </c>
      <c r="B5744" s="6" t="str">
        <f t="shared" si="2964"/>
        <v>% APE from Agents in X tenure in 0-1M</v>
      </c>
      <c r="C5744" s="4" t="str">
        <f>CHOOSE(2, "5462030031", "Jul 26")</f>
        <v>Jul 26</v>
      </c>
      <c r="D5744" s="14">
        <v>9.9999999999999992E-2</v>
      </c>
    </row>
    <row r="5745" spans="1:4" x14ac:dyDescent="0.35">
      <c r="A5745" s="8" t="str">
        <f t="shared" si="2940"/>
        <v>Indonesia</v>
      </c>
      <c r="B5745" s="3" t="str">
        <f t="shared" ref="B5745:B5746" si="2965">CHOOSE(2, "1395000000586", "% APE from Agents in X tenure in 2-3M")</f>
        <v>% APE from Agents in X tenure in 2-3M</v>
      </c>
      <c r="C5745" s="4" t="str">
        <f>CHOOSE(2, "5461730030", "Jun 26")</f>
        <v>Jun 26</v>
      </c>
      <c r="D5745" s="14">
        <v>0.2</v>
      </c>
    </row>
    <row r="5746" spans="1:4" x14ac:dyDescent="0.35">
      <c r="A5746" s="8" t="str">
        <f t="shared" si="2940"/>
        <v>Indonesia</v>
      </c>
      <c r="B5746" s="6" t="str">
        <f t="shared" si="2965"/>
        <v>% APE from Agents in X tenure in 2-3M</v>
      </c>
      <c r="C5746" s="4" t="str">
        <f>CHOOSE(2, "5462030031", "Jul 26")</f>
        <v>Jul 26</v>
      </c>
      <c r="D5746" s="14">
        <v>0.19999999999999998</v>
      </c>
    </row>
    <row r="5747" spans="1:4" x14ac:dyDescent="0.35">
      <c r="A5747" s="8" t="str">
        <f t="shared" si="2940"/>
        <v>Indonesia</v>
      </c>
      <c r="B5747" s="3" t="str">
        <f t="shared" ref="B5747:B5748" si="2966">CHOOSE(2, "1395000000585", "% APE from Agents in X tenure in 4-12M")</f>
        <v>% APE from Agents in X tenure in 4-12M</v>
      </c>
      <c r="C5747" s="4" t="str">
        <f>CHOOSE(2, "5461730030", "Jun 26")</f>
        <v>Jun 26</v>
      </c>
      <c r="D5747" s="14">
        <v>0.3</v>
      </c>
    </row>
    <row r="5748" spans="1:4" x14ac:dyDescent="0.35">
      <c r="A5748" s="8" t="str">
        <f t="shared" si="2940"/>
        <v>Indonesia</v>
      </c>
      <c r="B5748" s="6" t="str">
        <f t="shared" si="2966"/>
        <v>% APE from Agents in X tenure in 4-12M</v>
      </c>
      <c r="C5748" s="4" t="str">
        <f>CHOOSE(2, "5462030031", "Jul 26")</f>
        <v>Jul 26</v>
      </c>
      <c r="D5748" s="14">
        <v>0.3</v>
      </c>
    </row>
    <row r="5749" spans="1:4" x14ac:dyDescent="0.35">
      <c r="A5749" s="8" t="str">
        <f t="shared" si="2940"/>
        <v>Indonesia</v>
      </c>
      <c r="B5749" s="3" t="str">
        <f t="shared" ref="B5749:B5750" si="2967">CHOOSE(2, "1395000000584", "% APE from Agents in X tenure 13+M")</f>
        <v>% APE from Agents in X tenure 13+M</v>
      </c>
      <c r="C5749" s="4" t="str">
        <f>CHOOSE(2, "5461730030", "Jun 26")</f>
        <v>Jun 26</v>
      </c>
      <c r="D5749" s="14">
        <v>0.4</v>
      </c>
    </row>
    <row r="5750" spans="1:4" x14ac:dyDescent="0.35">
      <c r="A5750" s="8" t="str">
        <f t="shared" si="2940"/>
        <v>Indonesia</v>
      </c>
      <c r="B5750" s="6" t="str">
        <f t="shared" si="2967"/>
        <v>% APE from Agents in X tenure 13+M</v>
      </c>
      <c r="C5750" s="4" t="str">
        <f>CHOOSE(2, "5462030031", "Jul 26")</f>
        <v>Jul 26</v>
      </c>
      <c r="D5750" s="14">
        <v>0.39999999999999997</v>
      </c>
    </row>
    <row r="5751" spans="1:4" x14ac:dyDescent="0.35">
      <c r="A5751" s="8" t="str">
        <f t="shared" si="2940"/>
        <v>Indonesia</v>
      </c>
      <c r="B5751" s="3" t="str">
        <f t="shared" ref="B5751:B5752" si="2968">CHOOSE(2, "1395000000583", "% APE from pro-rated MDRT agents (100%)")</f>
        <v>% APE from pro-rated MDRT agents (100%)</v>
      </c>
      <c r="C5751" s="4" t="str">
        <f>CHOOSE(2, "5461730030", "Jun 26")</f>
        <v>Jun 26</v>
      </c>
      <c r="D5751" s="14">
        <v>0.22876598969671741</v>
      </c>
    </row>
    <row r="5752" spans="1:4" x14ac:dyDescent="0.35">
      <c r="A5752" s="8" t="str">
        <f t="shared" si="2940"/>
        <v>Indonesia</v>
      </c>
      <c r="B5752" s="6" t="str">
        <f t="shared" si="2968"/>
        <v>% APE from pro-rated MDRT agents (100%)</v>
      </c>
      <c r="C5752" s="4" t="str">
        <f>CHOOSE(2, "5462030031", "Jul 26")</f>
        <v>Jul 26</v>
      </c>
      <c r="D5752" s="14">
        <v>0.18768799214929396</v>
      </c>
    </row>
    <row r="5753" spans="1:4" x14ac:dyDescent="0.35">
      <c r="A5753" s="8" t="str">
        <f t="shared" si="2940"/>
        <v>Indonesia</v>
      </c>
      <c r="B5753" s="3" t="str">
        <f t="shared" ref="B5753:B5754" si="2969">CHOOSE(2, "1395000000582", "% APE from pro-rated MDRT agents (70-99%)")</f>
        <v>% APE from pro-rated MDRT agents (70-99%)</v>
      </c>
      <c r="C5753" s="4" t="str">
        <f>CHOOSE(2, "5461730030", "Jun 26")</f>
        <v>Jun 26</v>
      </c>
      <c r="D5753" s="14">
        <v>6.5072929595794873E-2</v>
      </c>
    </row>
    <row r="5754" spans="1:4" x14ac:dyDescent="0.35">
      <c r="A5754" s="8" t="str">
        <f t="shared" si="2940"/>
        <v>Indonesia</v>
      </c>
      <c r="B5754" s="6" t="str">
        <f t="shared" si="2969"/>
        <v>% APE from pro-rated MDRT agents (70-99%)</v>
      </c>
      <c r="C5754" s="4" t="str">
        <f>CHOOSE(2, "5462030031", "Jul 26")</f>
        <v>Jul 26</v>
      </c>
      <c r="D5754" s="14">
        <v>7.0893481068766959E-2</v>
      </c>
    </row>
    <row r="5755" spans="1:4" x14ac:dyDescent="0.35">
      <c r="A5755" s="8" t="str">
        <f t="shared" si="2940"/>
        <v>Indonesia</v>
      </c>
      <c r="B5755" s="3" t="str">
        <f t="shared" ref="B5755:B5756" si="2970">CHOOSE(2, "1395000000581", "% APE from pro-rated MDRT agents (50-69%)")</f>
        <v>% APE from pro-rated MDRT agents (50-69%)</v>
      </c>
      <c r="C5755" s="4" t="str">
        <f>CHOOSE(2, "5461730030", "Jun 26")</f>
        <v>Jun 26</v>
      </c>
      <c r="D5755" s="14">
        <v>7.2066999109287017E-2</v>
      </c>
    </row>
    <row r="5756" spans="1:4" x14ac:dyDescent="0.35">
      <c r="A5756" s="8" t="str">
        <f t="shared" si="2940"/>
        <v>Indonesia</v>
      </c>
      <c r="B5756" s="6" t="str">
        <f t="shared" si="2970"/>
        <v>% APE from pro-rated MDRT agents (50-69%)</v>
      </c>
      <c r="C5756" s="4" t="str">
        <f>CHOOSE(2, "5462030031", "Jul 26")</f>
        <v>Jul 26</v>
      </c>
      <c r="D5756" s="14">
        <v>9.9764871236110553E-2</v>
      </c>
    </row>
    <row r="5757" spans="1:4" x14ac:dyDescent="0.35">
      <c r="A5757" s="8" t="str">
        <f t="shared" si="2940"/>
        <v>Indonesia</v>
      </c>
      <c r="B5757" s="3" t="str">
        <f t="shared" ref="B5757:B5758" si="2971">CHOOSE(2, "1395000000580", "% APE from Top-tier agents")</f>
        <v>% APE from Top-tier agents</v>
      </c>
      <c r="C5757" s="4" t="str">
        <f>CHOOSE(2, "5461730030", "Jun 26")</f>
        <v>Jun 26</v>
      </c>
      <c r="D5757" s="14">
        <v>0.36590591840179926</v>
      </c>
    </row>
    <row r="5758" spans="1:4" x14ac:dyDescent="0.35">
      <c r="A5758" s="8" t="str">
        <f t="shared" si="2940"/>
        <v>Indonesia</v>
      </c>
      <c r="B5758" s="6" t="str">
        <f t="shared" si="2971"/>
        <v>% APE from Top-tier agents</v>
      </c>
      <c r="C5758" s="4" t="str">
        <f>CHOOSE(2, "5462030031", "Jul 26")</f>
        <v>Jul 26</v>
      </c>
      <c r="D5758" s="14">
        <v>0.35834634268148674</v>
      </c>
    </row>
    <row r="5759" spans="1:4" x14ac:dyDescent="0.35">
      <c r="A5759" s="8" t="str">
        <f t="shared" si="2940"/>
        <v>Indonesia</v>
      </c>
      <c r="B5759" s="3" t="str">
        <f t="shared" ref="B5759:B5760" si="2972">CHOOSE(2, "1395000000579", "% of Active Recruiting Leaders")</f>
        <v>% of Active Recruiting Leaders</v>
      </c>
      <c r="C5759" s="4" t="str">
        <f>CHOOSE(2, "5461730030", "Jun 26")</f>
        <v>Jun 26</v>
      </c>
      <c r="D5759" s="14">
        <v>0.15800273597811218</v>
      </c>
    </row>
    <row r="5760" spans="1:4" x14ac:dyDescent="0.35">
      <c r="A5760" s="8" t="str">
        <f t="shared" si="2940"/>
        <v>Indonesia</v>
      </c>
      <c r="B5760" s="6" t="str">
        <f t="shared" si="2972"/>
        <v>% of Active Recruiting Leaders</v>
      </c>
      <c r="C5760" s="4" t="str">
        <f>CHOOSE(2, "5462030031", "Jul 26")</f>
        <v>Jul 26</v>
      </c>
      <c r="D5760" s="14">
        <v>0.15933528836754643</v>
      </c>
    </row>
    <row r="5761" spans="1:4" x14ac:dyDescent="0.35">
      <c r="A5761" s="8" t="str">
        <f t="shared" ref="A5761:A5824" si="2973">CHOOSE(2, "204000000006", "Indonesia")</f>
        <v>Indonesia</v>
      </c>
      <c r="B5761" s="3" t="str">
        <f t="shared" ref="B5761:B5762" si="2974">CHOOSE(2, "1395000000578", "% of leaders with &gt;1 YTD recruit")</f>
        <v>% of leaders with &gt;1 YTD recruit</v>
      </c>
      <c r="C5761" s="4" t="str">
        <f>CHOOSE(2, "5461730030", "Jun 26")</f>
        <v>Jun 26</v>
      </c>
      <c r="D5761" s="14">
        <v>0.48324213406292749</v>
      </c>
    </row>
    <row r="5762" spans="1:4" x14ac:dyDescent="0.35">
      <c r="A5762" s="8" t="str">
        <f t="shared" si="2973"/>
        <v>Indonesia</v>
      </c>
      <c r="B5762" s="6" t="str">
        <f t="shared" si="2974"/>
        <v>% of leaders with &gt;1 YTD recruit</v>
      </c>
      <c r="C5762" s="4" t="str">
        <f>CHOOSE(2, "5462030031", "Jul 26")</f>
        <v>Jul 26</v>
      </c>
      <c r="D5762" s="14">
        <v>0.53242098403388727</v>
      </c>
    </row>
    <row r="5763" spans="1:4" x14ac:dyDescent="0.35">
      <c r="A5763" s="8" t="str">
        <f t="shared" si="2973"/>
        <v>Indonesia</v>
      </c>
      <c r="B5763" s="3" t="str">
        <f t="shared" ref="B5763:B5764" si="2975">CHOOSE(2, "1395000000577", "% of 1-Month Active Top-tier agents")</f>
        <v>% of 1-Month Active Top-tier agents</v>
      </c>
      <c r="C5763" s="4" t="str">
        <f>CHOOSE(2, "5461730030", "Jun 26")</f>
        <v>Jun 26</v>
      </c>
      <c r="D5763" s="14">
        <v>0.65057471264367817</v>
      </c>
    </row>
    <row r="5764" spans="1:4" x14ac:dyDescent="0.35">
      <c r="A5764" s="8" t="str">
        <f t="shared" si="2973"/>
        <v>Indonesia</v>
      </c>
      <c r="B5764" s="6" t="str">
        <f t="shared" si="2975"/>
        <v>% of 1-Month Active Top-tier agents</v>
      </c>
      <c r="C5764" s="4" t="str">
        <f>CHOOSE(2, "5462030031", "Jul 26")</f>
        <v>Jul 26</v>
      </c>
      <c r="D5764" s="14">
        <v>0.71017699115044253</v>
      </c>
    </row>
    <row r="5765" spans="1:4" x14ac:dyDescent="0.35">
      <c r="A5765" s="8" t="str">
        <f t="shared" si="2973"/>
        <v>Indonesia</v>
      </c>
      <c r="B5765" s="3" t="str">
        <f t="shared" ref="B5765:B5766" si="2976">CHOOSE(2, "1395000000576", "% APE from Manulife Pro - Total")</f>
        <v>% APE from Manulife Pro - Total</v>
      </c>
      <c r="C5765" s="4" t="str">
        <f>CHOOSE(2, "5461730030", "Jun 26")</f>
        <v>Jun 26</v>
      </c>
      <c r="D5765" s="14">
        <v>0.22876598944549595</v>
      </c>
    </row>
    <row r="5766" spans="1:4" x14ac:dyDescent="0.35">
      <c r="A5766" s="8" t="str">
        <f t="shared" si="2973"/>
        <v>Indonesia</v>
      </c>
      <c r="B5766" s="6" t="str">
        <f t="shared" si="2976"/>
        <v>% APE from Manulife Pro - Total</v>
      </c>
      <c r="C5766" s="4" t="str">
        <f>CHOOSE(2, "5462030031", "Jul 26")</f>
        <v>Jul 26</v>
      </c>
      <c r="D5766" s="14">
        <v>0.21537545521025972</v>
      </c>
    </row>
    <row r="5767" spans="1:4" x14ac:dyDescent="0.35">
      <c r="A5767" s="8" t="str">
        <f t="shared" si="2973"/>
        <v>Indonesia</v>
      </c>
      <c r="B5767" s="3" t="str">
        <f t="shared" ref="B5767:B5768" si="2977">CHOOSE(2, "1395000000575", "% of 1-Month Active Agents Manulife Pro Qualifiers - Total")</f>
        <v>% of 1-Month Active Agents Manulife Pro Qualifiers - Total</v>
      </c>
      <c r="C5767" s="4" t="str">
        <f>CHOOSE(2, "5461730030", "Jun 26")</f>
        <v>Jun 26</v>
      </c>
      <c r="D5767" s="14">
        <v>0.65680473372781067</v>
      </c>
    </row>
    <row r="5768" spans="1:4" x14ac:dyDescent="0.35">
      <c r="A5768" s="8" t="str">
        <f t="shared" si="2973"/>
        <v>Indonesia</v>
      </c>
      <c r="B5768" s="6" t="str">
        <f t="shared" si="2977"/>
        <v>% of 1-Month Active Agents Manulife Pro Qualifiers - Total</v>
      </c>
      <c r="C5768" s="4" t="str">
        <f>CHOOSE(2, "5462030031", "Jul 26")</f>
        <v>Jul 26</v>
      </c>
      <c r="D5768" s="14">
        <v>0.66666666666666663</v>
      </c>
    </row>
    <row r="5769" spans="1:4" x14ac:dyDescent="0.35">
      <c r="A5769" s="8" t="str">
        <f t="shared" si="2973"/>
        <v>Indonesia</v>
      </c>
      <c r="B5769" s="3" t="str">
        <f t="shared" ref="B5769:B5770" si="2978">CHOOSE(2, "1395000000574", "% of Newly Demoted UM")</f>
        <v>% of Newly Demoted UM</v>
      </c>
      <c r="C5769" s="4" t="str">
        <f>CHOOSE(2, "5461730030", "Jun 26")</f>
        <v>Jun 26</v>
      </c>
      <c r="D5769" s="14">
        <v>6.1274509803921568E-3</v>
      </c>
    </row>
    <row r="5770" spans="1:4" x14ac:dyDescent="0.35">
      <c r="A5770" s="8" t="str">
        <f t="shared" si="2973"/>
        <v>Indonesia</v>
      </c>
      <c r="B5770" s="6" t="str">
        <f t="shared" si="2978"/>
        <v>% of Newly Demoted UM</v>
      </c>
      <c r="C5770" s="4" t="str">
        <f>CHOOSE(2, "5462030031", "Jul 26")</f>
        <v>Jul 26</v>
      </c>
      <c r="D5770" s="14">
        <v>2.3148148148148147E-3</v>
      </c>
    </row>
    <row r="5771" spans="1:4" x14ac:dyDescent="0.35">
      <c r="A5771" s="8" t="str">
        <f t="shared" si="2973"/>
        <v>Indonesia</v>
      </c>
      <c r="B5771" s="3" t="str">
        <f t="shared" ref="B5771:B5772" si="2979">CHOOSE(2, "1395000000573", "% of Newly Demoted Leaders above UM")</f>
        <v>% of Newly Demoted Leaders above UM</v>
      </c>
      <c r="C5771" s="4" t="str">
        <f>CHOOSE(2, "5461730030", "Jun 26")</f>
        <v>Jun 26</v>
      </c>
      <c r="D5771" s="14">
        <v>3.869969040247678E-3</v>
      </c>
    </row>
    <row r="5772" spans="1:4" x14ac:dyDescent="0.35">
      <c r="A5772" s="8" t="str">
        <f t="shared" si="2973"/>
        <v>Indonesia</v>
      </c>
      <c r="B5772" s="6" t="str">
        <f t="shared" si="2979"/>
        <v>% of Newly Demoted Leaders above UM</v>
      </c>
      <c r="C5772" s="4" t="str">
        <f>CHOOSE(2, "5462030031", "Jul 26")</f>
        <v>Jul 26</v>
      </c>
      <c r="D5772" s="14">
        <v>2.2371364653243847E-3</v>
      </c>
    </row>
    <row r="5773" spans="1:4" x14ac:dyDescent="0.35">
      <c r="A5773" s="8" t="str">
        <f t="shared" si="2973"/>
        <v>Indonesia</v>
      </c>
      <c r="B5773" s="3" t="str">
        <f t="shared" ref="B5773:B5774" si="2980">CHOOSE(2, "1395000000572", "Avg. Earning per agent")</f>
        <v>Avg. Earning per agent</v>
      </c>
      <c r="C5773" s="4" t="str">
        <f>CHOOSE(2, "5461730030", "Jun 26")</f>
        <v>Jun 26</v>
      </c>
      <c r="D5773" s="14">
        <v>6.2538291349475972E-3</v>
      </c>
    </row>
    <row r="5774" spans="1:4" x14ac:dyDescent="0.35">
      <c r="A5774" s="8" t="str">
        <f t="shared" si="2973"/>
        <v>Indonesia</v>
      </c>
      <c r="B5774" s="6" t="str">
        <f t="shared" si="2980"/>
        <v>Avg. Earning per agent</v>
      </c>
      <c r="C5774" s="4" t="str">
        <f>CHOOSE(2, "5462030031", "Jul 26")</f>
        <v>Jul 26</v>
      </c>
      <c r="D5774" s="14">
        <v>6.3844235551682111E-3</v>
      </c>
    </row>
    <row r="5775" spans="1:4" x14ac:dyDescent="0.35">
      <c r="A5775" s="8" t="str">
        <f t="shared" si="2973"/>
        <v>Indonesia</v>
      </c>
      <c r="B5775" s="3" t="str">
        <f t="shared" ref="B5775:B5776" si="2981">CHOOSE(2, "1395000000571", "Avg. Earning per agent in FA or equivalent")</f>
        <v>Avg. Earning per agent in FA or equivalent</v>
      </c>
      <c r="C5775" s="4" t="str">
        <f>CHOOSE(2, "5461730030", "Jun 26")</f>
        <v>Jun 26</v>
      </c>
      <c r="D5775" s="14">
        <v>4.1111395877232518E-3</v>
      </c>
    </row>
    <row r="5776" spans="1:4" x14ac:dyDescent="0.35">
      <c r="A5776" s="8" t="str">
        <f t="shared" si="2973"/>
        <v>Indonesia</v>
      </c>
      <c r="B5776" s="6" t="str">
        <f t="shared" si="2981"/>
        <v>Avg. Earning per agent in FA or equivalent</v>
      </c>
      <c r="C5776" s="4" t="str">
        <f>CHOOSE(2, "5462030031", "Jul 26")</f>
        <v>Jul 26</v>
      </c>
      <c r="D5776" s="14">
        <v>4.0721468818848104E-3</v>
      </c>
    </row>
    <row r="5777" spans="1:4" x14ac:dyDescent="0.35">
      <c r="A5777" s="8" t="str">
        <f t="shared" si="2973"/>
        <v>Indonesia</v>
      </c>
      <c r="B5777" s="3" t="str">
        <f t="shared" ref="B5777:B5778" si="2982">CHOOSE(2, "1395000000570", "Avg. Earning per agent in UM")</f>
        <v>Avg. Earning per agent in UM</v>
      </c>
      <c r="C5777" s="4" t="str">
        <f>CHOOSE(2, "5461730030", "Jun 26")</f>
        <v>Jun 26</v>
      </c>
      <c r="D5777" s="14">
        <v>1.4276342510742647E-2</v>
      </c>
    </row>
    <row r="5778" spans="1:4" x14ac:dyDescent="0.35">
      <c r="A5778" s="8" t="str">
        <f t="shared" si="2973"/>
        <v>Indonesia</v>
      </c>
      <c r="B5778" s="6" t="str">
        <f t="shared" si="2982"/>
        <v>Avg. Earning per agent in UM</v>
      </c>
      <c r="C5778" s="4" t="str">
        <f>CHOOSE(2, "5462030031", "Jul 26")</f>
        <v>Jul 26</v>
      </c>
      <c r="D5778" s="14">
        <v>1.5196641404536458E-2</v>
      </c>
    </row>
    <row r="5779" spans="1:4" x14ac:dyDescent="0.35">
      <c r="A5779" s="8" t="str">
        <f t="shared" si="2973"/>
        <v>Indonesia</v>
      </c>
      <c r="B5779" s="3" t="str">
        <f t="shared" ref="B5779:B5780" si="2983">CHOOSE(2, "1395000000569", "Avg. Earning per agent in Leaders above UM")</f>
        <v>Avg. Earning per agent in Leaders above UM</v>
      </c>
      <c r="C5779" s="4" t="str">
        <f>CHOOSE(2, "5461730030", "Jun 26")</f>
        <v>Jun 26</v>
      </c>
      <c r="D5779" s="14">
        <v>2.4500813958794117E-2</v>
      </c>
    </row>
    <row r="5780" spans="1:4" x14ac:dyDescent="0.35">
      <c r="A5780" s="8" t="str">
        <f t="shared" si="2973"/>
        <v>Indonesia</v>
      </c>
      <c r="B5780" s="6" t="str">
        <f t="shared" si="2983"/>
        <v>Avg. Earning per agent in Leaders above UM</v>
      </c>
      <c r="C5780" s="4" t="str">
        <f>CHOOSE(2, "5462030031", "Jul 26")</f>
        <v>Jul 26</v>
      </c>
      <c r="D5780" s="14">
        <v>2.5655971524706937E-2</v>
      </c>
    </row>
    <row r="5781" spans="1:4" x14ac:dyDescent="0.35">
      <c r="A5781" s="8" t="str">
        <f t="shared" si="2973"/>
        <v>Indonesia</v>
      </c>
      <c r="B5781" s="3" t="str">
        <f t="shared" ref="B5781:B5782" si="2984">CHOOSE(2, "1395000000568", "% of 1-Month Active Agents 0-1M")</f>
        <v>% of 1-Month Active Agents 0-1M</v>
      </c>
      <c r="C5781" s="4" t="str">
        <f>CHOOSE(2, "5461730030", "Jun 26")</f>
        <v>Jun 26</v>
      </c>
      <c r="D5781" s="14">
        <v>0.22515952597994532</v>
      </c>
    </row>
    <row r="5782" spans="1:4" x14ac:dyDescent="0.35">
      <c r="A5782" s="8" t="str">
        <f t="shared" si="2973"/>
        <v>Indonesia</v>
      </c>
      <c r="B5782" s="6" t="str">
        <f t="shared" si="2984"/>
        <v>% of 1-Month Active Agents 0-1M</v>
      </c>
      <c r="C5782" s="4" t="str">
        <f>CHOOSE(2, "5462030031", "Jul 26")</f>
        <v>Jul 26</v>
      </c>
      <c r="D5782" s="14">
        <v>0.20125223613595708</v>
      </c>
    </row>
    <row r="5783" spans="1:4" x14ac:dyDescent="0.35">
      <c r="A5783" s="8" t="str">
        <f t="shared" si="2973"/>
        <v>Indonesia</v>
      </c>
      <c r="B5783" s="3" t="str">
        <f t="shared" ref="B5783:B5784" si="2985">CHOOSE(2, "1395000000567", "% of 1-Month Active Agents in 2-3M")</f>
        <v>% of 1-Month Active Agents in 2-3M</v>
      </c>
      <c r="C5783" s="4" t="str">
        <f>CHOOSE(2, "5461730030", "Jun 26")</f>
        <v>Jun 26</v>
      </c>
      <c r="D5783" s="14">
        <v>0.20570813139472266</v>
      </c>
    </row>
    <row r="5784" spans="1:4" x14ac:dyDescent="0.35">
      <c r="A5784" s="8" t="str">
        <f t="shared" si="2973"/>
        <v>Indonesia</v>
      </c>
      <c r="B5784" s="6" t="str">
        <f t="shared" si="2985"/>
        <v>% of 1-Month Active Agents in 2-3M</v>
      </c>
      <c r="C5784" s="4" t="str">
        <f>CHOOSE(2, "5462030031", "Jul 26")</f>
        <v>Jul 26</v>
      </c>
      <c r="D5784" s="14">
        <v>0.18527667984189725</v>
      </c>
    </row>
    <row r="5785" spans="1:4" x14ac:dyDescent="0.35">
      <c r="A5785" s="8" t="str">
        <f t="shared" si="2973"/>
        <v>Indonesia</v>
      </c>
      <c r="B5785" s="3" t="str">
        <f t="shared" ref="B5785:B5786" si="2986">CHOOSE(2, "1395000000566", "% of 1-Month Active Agents 4-12M")</f>
        <v>% of 1-Month Active Agents 4-12M</v>
      </c>
      <c r="C5785" s="4" t="str">
        <f>CHOOSE(2, "5461730030", "Jun 26")</f>
        <v>Jun 26</v>
      </c>
      <c r="D5785" s="14">
        <v>8.9633983435746731E-2</v>
      </c>
    </row>
    <row r="5786" spans="1:4" x14ac:dyDescent="0.35">
      <c r="A5786" s="8" t="str">
        <f t="shared" si="2973"/>
        <v>Indonesia</v>
      </c>
      <c r="B5786" s="6" t="str">
        <f t="shared" si="2986"/>
        <v>% of 1-Month Active Agents 4-12M</v>
      </c>
      <c r="C5786" s="4" t="str">
        <f>CHOOSE(2, "5462030031", "Jul 26")</f>
        <v>Jul 26</v>
      </c>
      <c r="D5786" s="14">
        <v>8.8885873252815856E-2</v>
      </c>
    </row>
    <row r="5787" spans="1:4" x14ac:dyDescent="0.35">
      <c r="A5787" s="8" t="str">
        <f t="shared" si="2973"/>
        <v>Indonesia</v>
      </c>
      <c r="B5787" s="3" t="str">
        <f t="shared" ref="B5787:B5788" si="2987">CHOOSE(2, "1395000000565", "% of 1-Month Active Agents 13+M")</f>
        <v>% of 1-Month Active Agents 13+M</v>
      </c>
      <c r="C5787" s="4" t="str">
        <f>CHOOSE(2, "5461730030", "Jun 26")</f>
        <v>Jun 26</v>
      </c>
      <c r="D5787" s="14">
        <v>0.19412316348859018</v>
      </c>
    </row>
    <row r="5788" spans="1:4" x14ac:dyDescent="0.35">
      <c r="A5788" s="8" t="str">
        <f t="shared" si="2973"/>
        <v>Indonesia</v>
      </c>
      <c r="B5788" s="6" t="str">
        <f t="shared" si="2987"/>
        <v>% of 1-Month Active Agents 13+M</v>
      </c>
      <c r="C5788" s="4" t="str">
        <f>CHOOSE(2, "5462030031", "Jul 26")</f>
        <v>Jul 26</v>
      </c>
      <c r="D5788" s="14">
        <v>0.16860465116279069</v>
      </c>
    </row>
    <row r="5789" spans="1:4" x14ac:dyDescent="0.35">
      <c r="A5789" s="8" t="str">
        <f t="shared" si="2973"/>
        <v>Indonesia</v>
      </c>
      <c r="B5789" s="3" t="str">
        <f t="shared" ref="B5789:B5790" si="2988">CHOOSE(2, "1395000000564", "% of 3-Month Active Agents 0-1M")</f>
        <v>% of 3-Month Active Agents 0-1M</v>
      </c>
      <c r="C5789" s="4" t="str">
        <f>CHOOSE(2, "5461730030", "Jun 26")</f>
        <v>Jun 26</v>
      </c>
      <c r="D5789" s="14">
        <v>0.22607110300820418</v>
      </c>
    </row>
    <row r="5790" spans="1:4" x14ac:dyDescent="0.35">
      <c r="A5790" s="8" t="str">
        <f t="shared" si="2973"/>
        <v>Indonesia</v>
      </c>
      <c r="B5790" s="6" t="str">
        <f t="shared" si="2988"/>
        <v>% of 3-Month Active Agents 0-1M</v>
      </c>
      <c r="C5790" s="4" t="str">
        <f>CHOOSE(2, "5462030031", "Jul 26")</f>
        <v>Jul 26</v>
      </c>
      <c r="D5790" s="14">
        <v>0.20125223613595708</v>
      </c>
    </row>
    <row r="5791" spans="1:4" x14ac:dyDescent="0.35">
      <c r="A5791" s="8" t="str">
        <f t="shared" si="2973"/>
        <v>Indonesia</v>
      </c>
      <c r="B5791" s="3" t="str">
        <f t="shared" ref="B5791:B5792" si="2989">CHOOSE(2, "1395000000563", "% of 3-Month Active Agents in 2-3M")</f>
        <v>% of 3-Month Active Agents in 2-3M</v>
      </c>
      <c r="C5791" s="4" t="str">
        <f>CHOOSE(2, "5461730030", "Jun 26")</f>
        <v>Jun 26</v>
      </c>
      <c r="D5791" s="14">
        <v>0.3877221324717286</v>
      </c>
    </row>
    <row r="5792" spans="1:4" x14ac:dyDescent="0.35">
      <c r="A5792" s="8" t="str">
        <f t="shared" si="2973"/>
        <v>Indonesia</v>
      </c>
      <c r="B5792" s="6" t="str">
        <f t="shared" si="2989"/>
        <v>% of 3-Month Active Agents in 2-3M</v>
      </c>
      <c r="C5792" s="4" t="str">
        <f>CHOOSE(2, "5462030031", "Jul 26")</f>
        <v>Jul 26</v>
      </c>
      <c r="D5792" s="14">
        <v>0.40662055335968378</v>
      </c>
    </row>
    <row r="5793" spans="1:4" x14ac:dyDescent="0.35">
      <c r="A5793" s="8" t="str">
        <f t="shared" si="2973"/>
        <v>Indonesia</v>
      </c>
      <c r="B5793" s="3" t="str">
        <f t="shared" ref="B5793:B5794" si="2990">CHOOSE(2, "1395000000562", "% of 3-Month Active Agents 4-12M")</f>
        <v>% of 3-Month Active Agents 4-12M</v>
      </c>
      <c r="C5793" s="4" t="str">
        <f>CHOOSE(2, "5461730030", "Jun 26")</f>
        <v>Jun 26</v>
      </c>
      <c r="D5793" s="14">
        <v>0.19930537002404489</v>
      </c>
    </row>
    <row r="5794" spans="1:4" x14ac:dyDescent="0.35">
      <c r="A5794" s="8" t="str">
        <f t="shared" si="2973"/>
        <v>Indonesia</v>
      </c>
      <c r="B5794" s="6" t="str">
        <f t="shared" si="2990"/>
        <v>% of 3-Month Active Agents 4-12M</v>
      </c>
      <c r="C5794" s="4" t="str">
        <f>CHOOSE(2, "5462030031", "Jul 26")</f>
        <v>Jul 26</v>
      </c>
      <c r="D5794" s="14">
        <v>0.21278328131361107</v>
      </c>
    </row>
    <row r="5795" spans="1:4" x14ac:dyDescent="0.35">
      <c r="A5795" s="8" t="str">
        <f t="shared" si="2973"/>
        <v>Indonesia</v>
      </c>
      <c r="B5795" s="3" t="str">
        <f t="shared" ref="B5795:B5796" si="2991">CHOOSE(2, "1395000000561", "% of 3-Month Active Agents 13+M")</f>
        <v>% of 3-Month Active Agents 13+M</v>
      </c>
      <c r="C5795" s="4" t="str">
        <f>CHOOSE(2, "5461730030", "Jun 26")</f>
        <v>Jun 26</v>
      </c>
      <c r="D5795" s="14">
        <v>0.35344378451599456</v>
      </c>
    </row>
    <row r="5796" spans="1:4" x14ac:dyDescent="0.35">
      <c r="A5796" s="8" t="str">
        <f t="shared" si="2973"/>
        <v>Indonesia</v>
      </c>
      <c r="B5796" s="6" t="str">
        <f t="shared" si="2991"/>
        <v>% of 3-Month Active Agents 13+M</v>
      </c>
      <c r="C5796" s="4" t="str">
        <f>CHOOSE(2, "5462030031", "Jul 26")</f>
        <v>Jul 26</v>
      </c>
      <c r="D5796" s="14">
        <v>0.35591085271317829</v>
      </c>
    </row>
    <row r="5797" spans="1:4" x14ac:dyDescent="0.35">
      <c r="A5797" s="8" t="str">
        <f t="shared" si="2973"/>
        <v>Indonesia</v>
      </c>
      <c r="B5797" s="3" t="str">
        <f t="shared" ref="B5797:B5798" si="2992">CHOOSE(2, "1395000000560", "Avg. Case count per 1-Month Active Agent 0-1M")</f>
        <v>Avg. Case count per 1-Month Active Agent 0-1M</v>
      </c>
      <c r="C5797" s="4" t="str">
        <f>CHOOSE(2, "5461730030", "Jun 26")</f>
        <v>Jun 26</v>
      </c>
      <c r="D5797" s="14">
        <v>1.7732793522267207</v>
      </c>
    </row>
    <row r="5798" spans="1:4" x14ac:dyDescent="0.35">
      <c r="A5798" s="8" t="str">
        <f t="shared" si="2973"/>
        <v>Indonesia</v>
      </c>
      <c r="B5798" s="6" t="str">
        <f t="shared" si="2992"/>
        <v>Avg. Case count per 1-Month Active Agent 0-1M</v>
      </c>
      <c r="C5798" s="4" t="str">
        <f>CHOOSE(2, "5462030031", "Jul 26")</f>
        <v>Jul 26</v>
      </c>
      <c r="D5798" s="14">
        <v>1.7644444444444445</v>
      </c>
    </row>
    <row r="5799" spans="1:4" x14ac:dyDescent="0.35">
      <c r="A5799" s="8" t="str">
        <f t="shared" si="2973"/>
        <v>Indonesia</v>
      </c>
      <c r="B5799" s="3" t="str">
        <f t="shared" ref="B5799:B5800" si="2993">CHOOSE(2, "1395000000559", "Avg. Case count per 1-Month Active Agent in 2-3M")</f>
        <v>Avg. Case count per 1-Month Active Agent in 2-3M</v>
      </c>
      <c r="C5799" s="4" t="str">
        <f>CHOOSE(2, "5461730030", "Jun 26")</f>
        <v>Jun 26</v>
      </c>
      <c r="D5799" s="14">
        <v>1.7172774869109948</v>
      </c>
    </row>
    <row r="5800" spans="1:4" x14ac:dyDescent="0.35">
      <c r="A5800" s="8" t="str">
        <f t="shared" si="2973"/>
        <v>Indonesia</v>
      </c>
      <c r="B5800" s="6" t="str">
        <f t="shared" si="2993"/>
        <v>Avg. Case count per 1-Month Active Agent in 2-3M</v>
      </c>
      <c r="C5800" s="4" t="str">
        <f>CHOOSE(2, "5462030031", "Jul 26")</f>
        <v>Jul 26</v>
      </c>
      <c r="D5800" s="14">
        <v>1.792</v>
      </c>
    </row>
    <row r="5801" spans="1:4" x14ac:dyDescent="0.35">
      <c r="A5801" s="8" t="str">
        <f t="shared" si="2973"/>
        <v>Indonesia</v>
      </c>
      <c r="B5801" s="3" t="str">
        <f t="shared" ref="B5801:B5802" si="2994">CHOOSE(2, "1395000000558", "Avg. Case count per 1-Month Active Agent 4-12M")</f>
        <v>Avg. Case count per 1-Month Active Agent 4-12M</v>
      </c>
      <c r="C5801" s="4" t="str">
        <f>CHOOSE(2, "5461730030", "Jun 26")</f>
        <v>Jun 26</v>
      </c>
      <c r="D5801" s="14">
        <v>1.6572280178837555</v>
      </c>
    </row>
    <row r="5802" spans="1:4" x14ac:dyDescent="0.35">
      <c r="A5802" s="8" t="str">
        <f t="shared" si="2973"/>
        <v>Indonesia</v>
      </c>
      <c r="B5802" s="6" t="str">
        <f t="shared" si="2994"/>
        <v>Avg. Case count per 1-Month Active Agent 4-12M</v>
      </c>
      <c r="C5802" s="4" t="str">
        <f>CHOOSE(2, "5462030031", "Jul 26")</f>
        <v>Jul 26</v>
      </c>
      <c r="D5802" s="14">
        <v>1.4641221374045801</v>
      </c>
    </row>
    <row r="5803" spans="1:4" x14ac:dyDescent="0.35">
      <c r="A5803" s="8" t="str">
        <f t="shared" si="2973"/>
        <v>Indonesia</v>
      </c>
      <c r="B5803" s="3" t="str">
        <f t="shared" ref="B5803:B5804" si="2995">CHOOSE(2, "1395000000557", "Avg. Case count per 1-Month Active Agent 13+M")</f>
        <v>Avg. Case count per 1-Month Active Agent 13+M</v>
      </c>
      <c r="C5803" s="4" t="str">
        <f>CHOOSE(2, "5461730030", "Jun 26")</f>
        <v>Jun 26</v>
      </c>
      <c r="D5803" s="14">
        <v>1.344873859366613</v>
      </c>
    </row>
    <row r="5804" spans="1:4" x14ac:dyDescent="0.35">
      <c r="A5804" s="8" t="str">
        <f t="shared" si="2973"/>
        <v>Indonesia</v>
      </c>
      <c r="B5804" s="6" t="str">
        <f t="shared" si="2995"/>
        <v>Avg. Case count per 1-Month Active Agent 13+M</v>
      </c>
      <c r="C5804" s="4" t="str">
        <f>CHOOSE(2, "5462030031", "Jul 26")</f>
        <v>Jul 26</v>
      </c>
      <c r="D5804" s="14">
        <v>1.4741379310344827</v>
      </c>
    </row>
    <row r="5805" spans="1:4" x14ac:dyDescent="0.35">
      <c r="A5805" s="8" t="str">
        <f t="shared" si="2973"/>
        <v>Indonesia</v>
      </c>
      <c r="B5805" s="3" t="str">
        <f t="shared" ref="B5805:B5806" si="2996">CHOOSE(2, "1395000000556", "Avg. Case size 0-1M")</f>
        <v>Avg. Case size 0-1M</v>
      </c>
      <c r="C5805" s="4" t="str">
        <f>CHOOSE(2, "5461730030", "Jun 26")</f>
        <v>Jun 26</v>
      </c>
      <c r="D5805" s="14">
        <v>1233.2437756623426</v>
      </c>
    </row>
    <row r="5806" spans="1:4" x14ac:dyDescent="0.35">
      <c r="A5806" s="8" t="str">
        <f t="shared" si="2973"/>
        <v>Indonesia</v>
      </c>
      <c r="B5806" s="6" t="str">
        <f t="shared" si="2996"/>
        <v>Avg. Case size 0-1M</v>
      </c>
      <c r="C5806" s="4" t="str">
        <f>CHOOSE(2, "5462030031", "Jul 26")</f>
        <v>Jul 26</v>
      </c>
      <c r="D5806" s="14">
        <v>1420.9473531762621</v>
      </c>
    </row>
    <row r="5807" spans="1:4" x14ac:dyDescent="0.35">
      <c r="A5807" s="8" t="str">
        <f t="shared" si="2973"/>
        <v>Indonesia</v>
      </c>
      <c r="B5807" s="3" t="str">
        <f t="shared" ref="B5807:B5808" si="2997">CHOOSE(2, "1395000000555", "Avg. Case size in 2-3M")</f>
        <v>Avg. Case size in 2-3M</v>
      </c>
      <c r="C5807" s="4" t="str">
        <f>CHOOSE(2, "5461730030", "Jun 26")</f>
        <v>Jun 26</v>
      </c>
      <c r="D5807" s="14">
        <v>1646.8316272564209</v>
      </c>
    </row>
    <row r="5808" spans="1:4" x14ac:dyDescent="0.35">
      <c r="A5808" s="8" t="str">
        <f t="shared" si="2973"/>
        <v>Indonesia</v>
      </c>
      <c r="B5808" s="6" t="str">
        <f t="shared" si="2997"/>
        <v>Avg. Case size in 2-3M</v>
      </c>
      <c r="C5808" s="4" t="str">
        <f>CHOOSE(2, "5462030031", "Jul 26")</f>
        <v>Jul 26</v>
      </c>
      <c r="D5808" s="14">
        <v>1678.9169619374286</v>
      </c>
    </row>
    <row r="5809" spans="1:4" x14ac:dyDescent="0.35">
      <c r="A5809" s="8" t="str">
        <f t="shared" si="2973"/>
        <v>Indonesia</v>
      </c>
      <c r="B5809" s="3" t="str">
        <f t="shared" ref="B5809:B5810" si="2998">CHOOSE(2, "1395000000554", "Avg. Case size 4-12M")</f>
        <v>Avg. Case size 4-12M</v>
      </c>
      <c r="C5809" s="4" t="str">
        <f>CHOOSE(2, "5461730030", "Jun 26")</f>
        <v>Jun 26</v>
      </c>
      <c r="D5809" s="14">
        <v>1457.268274478703</v>
      </c>
    </row>
    <row r="5810" spans="1:4" x14ac:dyDescent="0.35">
      <c r="A5810" s="8" t="str">
        <f t="shared" si="2973"/>
        <v>Indonesia</v>
      </c>
      <c r="B5810" s="6" t="str">
        <f t="shared" si="2998"/>
        <v>Avg. Case size 4-12M</v>
      </c>
      <c r="C5810" s="4" t="str">
        <f>CHOOSE(2, "5462030031", "Jul 26")</f>
        <v>Jul 26</v>
      </c>
      <c r="D5810" s="14">
        <v>1764.7010402845965</v>
      </c>
    </row>
    <row r="5811" spans="1:4" x14ac:dyDescent="0.35">
      <c r="A5811" s="8" t="str">
        <f t="shared" si="2973"/>
        <v>Indonesia</v>
      </c>
      <c r="B5811" s="3" t="str">
        <f t="shared" ref="B5811:B5812" si="2999">CHOOSE(2, "1395000000553", "Avg. Case size 13+M")</f>
        <v>Avg. Case size 13+M</v>
      </c>
      <c r="C5811" s="4" t="str">
        <f>CHOOSE(2, "5461730030", "Jun 26")</f>
        <v>Jun 26</v>
      </c>
      <c r="D5811" s="14">
        <v>862.36004588322658</v>
      </c>
    </row>
    <row r="5812" spans="1:4" x14ac:dyDescent="0.35">
      <c r="A5812" s="8" t="str">
        <f t="shared" si="2973"/>
        <v>Indonesia</v>
      </c>
      <c r="B5812" s="6" t="str">
        <f t="shared" si="2999"/>
        <v>Avg. Case size 13+M</v>
      </c>
      <c r="C5812" s="4" t="str">
        <f>CHOOSE(2, "5462030031", "Jul 26")</f>
        <v>Jul 26</v>
      </c>
      <c r="D5812" s="14">
        <v>879.71321514382225</v>
      </c>
    </row>
    <row r="5813" spans="1:4" x14ac:dyDescent="0.35">
      <c r="A5813" s="8" t="str">
        <f t="shared" si="2973"/>
        <v>Indonesia</v>
      </c>
      <c r="B5813" s="3" t="str">
        <f t="shared" ref="B5813:B5814" si="3000">CHOOSE(2, "1395000000552", "Avg. Case size UM")</f>
        <v>Avg. Case size UM</v>
      </c>
      <c r="C5813" s="4" t="str">
        <f>CHOOSE(2, "5461730030", "Jun 26")</f>
        <v>Jun 26</v>
      </c>
      <c r="D5813" s="14">
        <v>0</v>
      </c>
    </row>
    <row r="5814" spans="1:4" x14ac:dyDescent="0.35">
      <c r="A5814" s="8" t="str">
        <f t="shared" si="2973"/>
        <v>Indonesia</v>
      </c>
      <c r="B5814" s="6" t="str">
        <f t="shared" si="3000"/>
        <v>Avg. Case size UM</v>
      </c>
      <c r="C5814" s="4" t="str">
        <f>CHOOSE(2, "5462030031", "Jul 26")</f>
        <v>Jul 26</v>
      </c>
      <c r="D5814" s="14">
        <v>0</v>
      </c>
    </row>
    <row r="5815" spans="1:4" x14ac:dyDescent="0.35">
      <c r="A5815" s="8" t="str">
        <f t="shared" si="2973"/>
        <v>Indonesia</v>
      </c>
      <c r="B5815" s="3" t="str">
        <f t="shared" ref="B5815:B5816" si="3001">CHOOSE(2, "1395000000551", "Avg. Case size Leaders above UM")</f>
        <v>Avg. Case size Leaders above UM</v>
      </c>
      <c r="C5815" s="4" t="str">
        <f>CHOOSE(2, "5461730030", "Jun 26")</f>
        <v>Jun 26</v>
      </c>
      <c r="D5815" s="14">
        <v>0</v>
      </c>
    </row>
    <row r="5816" spans="1:4" x14ac:dyDescent="0.35">
      <c r="A5816" s="8" t="str">
        <f t="shared" si="2973"/>
        <v>Indonesia</v>
      </c>
      <c r="B5816" s="6" t="str">
        <f t="shared" si="3001"/>
        <v>Avg. Case size Leaders above UM</v>
      </c>
      <c r="C5816" s="4" t="str">
        <f>CHOOSE(2, "5462030031", "Jul 26")</f>
        <v>Jul 26</v>
      </c>
      <c r="D5816" s="14">
        <v>0</v>
      </c>
    </row>
    <row r="5817" spans="1:4" x14ac:dyDescent="0.35">
      <c r="A5817" s="8" t="str">
        <f t="shared" si="2973"/>
        <v>Indonesia</v>
      </c>
      <c r="B5817" s="3" t="str">
        <f t="shared" ref="B5817:B5818" si="3002">CHOOSE(2, "1395000000550", "Avg. Case size Top-tier agents")</f>
        <v>Avg. Case size Top-tier agents</v>
      </c>
      <c r="C5817" s="4" t="str">
        <f>CHOOSE(2, "5461730030", "Jun 26")</f>
        <v>Jun 26</v>
      </c>
      <c r="D5817" s="14">
        <v>2223.262362204724</v>
      </c>
    </row>
    <row r="5818" spans="1:4" x14ac:dyDescent="0.35">
      <c r="A5818" s="8" t="str">
        <f t="shared" si="2973"/>
        <v>Indonesia</v>
      </c>
      <c r="B5818" s="6" t="str">
        <f t="shared" si="3002"/>
        <v>Avg. Case size Top-tier agents</v>
      </c>
      <c r="C5818" s="4" t="str">
        <f>CHOOSE(2, "5462030031", "Jul 26")</f>
        <v>Jul 26</v>
      </c>
      <c r="D5818" s="14">
        <v>2114.5286715481175</v>
      </c>
    </row>
    <row r="5819" spans="1:4" x14ac:dyDescent="0.35">
      <c r="A5819" s="8" t="str">
        <f t="shared" si="2973"/>
        <v>Indonesia</v>
      </c>
      <c r="B5819" s="3" t="str">
        <f t="shared" ref="B5819:B5820" si="3003">CHOOSE(2, "1395000000549", "Avg. Case size Manulife Pro Qualifiers - Total")</f>
        <v>Avg. Case size Manulife Pro Qualifiers - Total</v>
      </c>
      <c r="C5819" s="4" t="str">
        <f>CHOOSE(2, "5461730030", "Jun 26")</f>
        <v>Jun 26</v>
      </c>
      <c r="D5819" s="14">
        <v>2870.3928888339142</v>
      </c>
    </row>
    <row r="5820" spans="1:4" x14ac:dyDescent="0.35">
      <c r="A5820" s="8" t="str">
        <f t="shared" si="2973"/>
        <v>Indonesia</v>
      </c>
      <c r="B5820" s="6" t="str">
        <f t="shared" si="3003"/>
        <v>Avg. Case size Manulife Pro Qualifiers - Total</v>
      </c>
      <c r="C5820" s="4" t="str">
        <f>CHOOSE(2, "5462030031", "Jul 26")</f>
        <v>Jul 26</v>
      </c>
      <c r="D5820" s="14">
        <v>2533.821932408759</v>
      </c>
    </row>
    <row r="5821" spans="1:4" x14ac:dyDescent="0.35">
      <c r="A5821" s="8" t="str">
        <f t="shared" si="2973"/>
        <v>Indonesia</v>
      </c>
      <c r="B5821" s="3" t="str">
        <f t="shared" ref="B5821:B5822" si="3004">CHOOSE(2, "1395000000548", "Avg. Case size FA or equivalent")</f>
        <v>Avg. Case size FA or equivalent</v>
      </c>
      <c r="C5821" s="4" t="str">
        <f>CHOOSE(2, "5461730030", "Jun 26")</f>
        <v>Jun 26</v>
      </c>
      <c r="D5821" s="14">
        <v>0</v>
      </c>
    </row>
    <row r="5822" spans="1:4" x14ac:dyDescent="0.35">
      <c r="A5822" s="8" t="str">
        <f t="shared" si="2973"/>
        <v>Indonesia</v>
      </c>
      <c r="B5822" s="6" t="str">
        <f t="shared" si="3004"/>
        <v>Avg. Case size FA or equivalent</v>
      </c>
      <c r="C5822" s="4" t="str">
        <f>CHOOSE(2, "5462030031", "Jul 26")</f>
        <v>Jul 26</v>
      </c>
      <c r="D5822" s="14">
        <v>0</v>
      </c>
    </row>
    <row r="5823" spans="1:4" x14ac:dyDescent="0.35">
      <c r="A5823" s="8" t="str">
        <f t="shared" si="2973"/>
        <v>Indonesia</v>
      </c>
      <c r="B5823" s="3" t="str">
        <f t="shared" ref="B5823:B5824" si="3005">CHOOSE(2, "1395000000547", "Avg. Case size pro-rated MDRT agents (&gt;100%)")</f>
        <v>Avg. Case size pro-rated MDRT agents (&gt;100%)</v>
      </c>
      <c r="C5823" s="4" t="str">
        <f>CHOOSE(2, "5461730030", "Jun 26")</f>
        <v>Jun 26</v>
      </c>
      <c r="D5823" s="14">
        <v>2870.3928919860623</v>
      </c>
    </row>
    <row r="5824" spans="1:4" x14ac:dyDescent="0.35">
      <c r="A5824" s="8" t="str">
        <f t="shared" si="2973"/>
        <v>Indonesia</v>
      </c>
      <c r="B5824" s="6" t="str">
        <f t="shared" si="3005"/>
        <v>Avg. Case size pro-rated MDRT agents (&gt;100%)</v>
      </c>
      <c r="C5824" s="4" t="str">
        <f>CHOOSE(2, "5462030031", "Jul 26")</f>
        <v>Jul 26</v>
      </c>
      <c r="D5824" s="14">
        <v>2653.5793984962411</v>
      </c>
    </row>
    <row r="5825" spans="1:4" x14ac:dyDescent="0.35">
      <c r="A5825" s="8" t="str">
        <f t="shared" ref="A5825:A5858" si="3006">CHOOSE(2, "204000000006", "Indonesia")</f>
        <v>Indonesia</v>
      </c>
      <c r="B5825" s="3" t="str">
        <f t="shared" ref="B5825:B5826" si="3007">CHOOSE(2, "1395000000546", "Avg. Case size pro-rated MDRT agents (70-99%)")</f>
        <v>Avg. Case size pro-rated MDRT agents (70-99%)</v>
      </c>
      <c r="C5825" s="4" t="str">
        <f>CHOOSE(2, "5461730030", "Jun 26")</f>
        <v>Jun 26</v>
      </c>
      <c r="D5825" s="14">
        <v>1845.1361679790027</v>
      </c>
    </row>
    <row r="5826" spans="1:4" x14ac:dyDescent="0.35">
      <c r="A5826" s="8" t="str">
        <f t="shared" si="3006"/>
        <v>Indonesia</v>
      </c>
      <c r="B5826" s="6" t="str">
        <f t="shared" si="3007"/>
        <v>Avg. Case size pro-rated MDRT agents (70-99%)</v>
      </c>
      <c r="C5826" s="4" t="str">
        <f>CHOOSE(2, "5462030031", "Jul 26")</f>
        <v>Jul 26</v>
      </c>
      <c r="D5826" s="14">
        <v>1817.8251818181818</v>
      </c>
    </row>
    <row r="5827" spans="1:4" x14ac:dyDescent="0.35">
      <c r="A5827" s="8" t="str">
        <f t="shared" si="3006"/>
        <v>Indonesia</v>
      </c>
      <c r="B5827" s="3" t="str">
        <f t="shared" ref="B5827:B5828" si="3008">CHOOSE(2, "1395000000545", "Avg. Case size pro-rated MDRT agents (50-69%)")</f>
        <v>Avg. Case size pro-rated MDRT agents (50-69%)</v>
      </c>
      <c r="C5827" s="4" t="str">
        <f>CHOOSE(2, "5461730030", "Jun 26")</f>
        <v>Jun 26</v>
      </c>
      <c r="D5827" s="14">
        <v>1452.5285820895524</v>
      </c>
    </row>
    <row r="5828" spans="1:4" x14ac:dyDescent="0.35">
      <c r="A5828" s="8" t="str">
        <f t="shared" si="3006"/>
        <v>Indonesia</v>
      </c>
      <c r="B5828" s="6" t="str">
        <f t="shared" si="3008"/>
        <v>Avg. Case size pro-rated MDRT agents (50-69%)</v>
      </c>
      <c r="C5828" s="4" t="str">
        <f>CHOOSE(2, "5462030031", "Jul 26")</f>
        <v>Jul 26</v>
      </c>
      <c r="D5828" s="14">
        <v>1669.9991097922848</v>
      </c>
    </row>
    <row r="5829" spans="1:4" x14ac:dyDescent="0.35">
      <c r="A5829" s="8" t="str">
        <f t="shared" si="3006"/>
        <v>Indonesia</v>
      </c>
      <c r="B5829" s="3" t="str">
        <f t="shared" ref="B5829:B5830" si="3009">CHOOSE(2, "1395000000544", "% of 1-Month Active Agents UM")</f>
        <v>% of 1-Month Active Agents UM</v>
      </c>
      <c r="C5829" s="4" t="str">
        <f>CHOOSE(2, "5461730030", "Jun 26")</f>
        <v>Jun 26</v>
      </c>
      <c r="D5829" s="14">
        <v>0.23345588235294118</v>
      </c>
    </row>
    <row r="5830" spans="1:4" x14ac:dyDescent="0.35">
      <c r="A5830" s="8" t="str">
        <f t="shared" si="3006"/>
        <v>Indonesia</v>
      </c>
      <c r="B5830" s="6" t="str">
        <f t="shared" si="3009"/>
        <v>% of 1-Month Active Agents UM</v>
      </c>
      <c r="C5830" s="4" t="str">
        <f>CHOOSE(2, "5462030031", "Jul 26")</f>
        <v>Jul 26</v>
      </c>
      <c r="D5830" s="14">
        <v>0.27604166666666669</v>
      </c>
    </row>
    <row r="5831" spans="1:4" x14ac:dyDescent="0.35">
      <c r="A5831" s="8" t="str">
        <f t="shared" si="3006"/>
        <v>Indonesia</v>
      </c>
      <c r="B5831" s="3" t="str">
        <f t="shared" ref="B5831:B5832" si="3010">CHOOSE(2, "1395000000543", "% of 1-Month Active Agents Leaders above UM")</f>
        <v>% of 1-Month Active Agents Leaders above UM</v>
      </c>
      <c r="C5831" s="4" t="str">
        <f>CHOOSE(2, "5461730030", "Jun 26")</f>
        <v>Jun 26</v>
      </c>
      <c r="D5831" s="14">
        <v>0.27244582043343651</v>
      </c>
    </row>
    <row r="5832" spans="1:4" x14ac:dyDescent="0.35">
      <c r="A5832" s="8" t="str">
        <f t="shared" si="3006"/>
        <v>Indonesia</v>
      </c>
      <c r="B5832" s="6" t="str">
        <f t="shared" si="3010"/>
        <v>% of 1-Month Active Agents Leaders above UM</v>
      </c>
      <c r="C5832" s="4" t="str">
        <f>CHOOSE(2, "5462030031", "Jul 26")</f>
        <v>Jul 26</v>
      </c>
      <c r="D5832" s="14">
        <v>0.31170768083519762</v>
      </c>
    </row>
    <row r="5833" spans="1:4" x14ac:dyDescent="0.35">
      <c r="A5833" s="8" t="str">
        <f t="shared" si="3006"/>
        <v>Indonesia</v>
      </c>
      <c r="B5833" s="3" t="str">
        <f t="shared" ref="B5833:B5834" si="3011">CHOOSE(2, "1395000000542", "% of 1-Month Active Agents Top-tier agents")</f>
        <v>% of 1-Month Active Agents Top-tier agents</v>
      </c>
      <c r="C5833" s="4" t="str">
        <f>CHOOSE(2, "5461730030", "Jun 26")</f>
        <v>Jun 26</v>
      </c>
      <c r="D5833" s="14">
        <v>0.65057471264367817</v>
      </c>
    </row>
    <row r="5834" spans="1:4" x14ac:dyDescent="0.35">
      <c r="A5834" s="8" t="str">
        <f t="shared" si="3006"/>
        <v>Indonesia</v>
      </c>
      <c r="B5834" s="6" t="str">
        <f t="shared" si="3011"/>
        <v>% of 1-Month Active Agents Top-tier agents</v>
      </c>
      <c r="C5834" s="4" t="str">
        <f>CHOOSE(2, "5462030031", "Jul 26")</f>
        <v>Jul 26</v>
      </c>
      <c r="D5834" s="14">
        <v>0.71017699115044253</v>
      </c>
    </row>
    <row r="5835" spans="1:4" x14ac:dyDescent="0.35">
      <c r="A5835" s="8" t="str">
        <f t="shared" si="3006"/>
        <v>Indonesia</v>
      </c>
      <c r="B5835" s="3" t="str">
        <f t="shared" ref="B5835:B5836" si="3012">CHOOSE(2, "1395000000541", "% of 1-Month Active Agents FA or equivalent")</f>
        <v>% of 1-Month Active Agents FA or equivalent</v>
      </c>
      <c r="C5835" s="4" t="str">
        <f>CHOOSE(2, "5461730030", "Jun 26")</f>
        <v>Jun 26</v>
      </c>
      <c r="D5835" s="14">
        <v>0.14199731198504062</v>
      </c>
    </row>
    <row r="5836" spans="1:4" x14ac:dyDescent="0.35">
      <c r="A5836" s="8" t="str">
        <f t="shared" si="3006"/>
        <v>Indonesia</v>
      </c>
      <c r="B5836" s="6" t="str">
        <f t="shared" si="3012"/>
        <v>% of 1-Month Active Agents FA or equivalent</v>
      </c>
      <c r="C5836" s="4" t="str">
        <f>CHOOSE(2, "5462030031", "Jul 26")</f>
        <v>Jul 26</v>
      </c>
      <c r="D5836" s="14">
        <v>0.11822992906204256</v>
      </c>
    </row>
    <row r="5837" spans="1:4" x14ac:dyDescent="0.35">
      <c r="A5837" s="8" t="str">
        <f t="shared" si="3006"/>
        <v>Indonesia</v>
      </c>
      <c r="B5837" s="3" t="str">
        <f t="shared" ref="B5837:B5838" si="3013">CHOOSE(2, "1395000000540", "% of 1-Month Active Agents pro-rated MDRT agents (&gt;100%)")</f>
        <v>% of 1-Month Active Agents pro-rated MDRT agents (&gt;100%)</v>
      </c>
      <c r="C5837" s="4" t="str">
        <f>CHOOSE(2, "5461730030", "Jun 26")</f>
        <v>Jun 26</v>
      </c>
      <c r="D5837" s="14">
        <v>0.65680473372781067</v>
      </c>
    </row>
    <row r="5838" spans="1:4" x14ac:dyDescent="0.35">
      <c r="A5838" s="8" t="str">
        <f t="shared" si="3006"/>
        <v>Indonesia</v>
      </c>
      <c r="B5838" s="6" t="str">
        <f t="shared" si="3013"/>
        <v>% of 1-Month Active Agents pro-rated MDRT agents (&gt;100%)</v>
      </c>
      <c r="C5838" s="4" t="str">
        <f>CHOOSE(2, "5462030031", "Jul 26")</f>
        <v>Jul 26</v>
      </c>
      <c r="D5838" s="14">
        <v>0.68125000000000002</v>
      </c>
    </row>
    <row r="5839" spans="1:4" x14ac:dyDescent="0.35">
      <c r="A5839" s="8" t="str">
        <f t="shared" si="3006"/>
        <v>Indonesia</v>
      </c>
      <c r="B5839" s="3" t="str">
        <f t="shared" ref="B5839:B5840" si="3014">CHOOSE(2, "1395000000539", "% of 1-Month Active Agents pro-rated MDRT agents (70-99%)")</f>
        <v>% of 1-Month Active Agents pro-rated MDRT agents (70-99%)</v>
      </c>
      <c r="C5839" s="4" t="str">
        <f>CHOOSE(2, "5461730030", "Jun 26")</f>
        <v>Jun 26</v>
      </c>
      <c r="D5839" s="14">
        <v>0.64601769911504425</v>
      </c>
    </row>
    <row r="5840" spans="1:4" x14ac:dyDescent="0.35">
      <c r="A5840" s="8" t="str">
        <f t="shared" si="3006"/>
        <v>Indonesia</v>
      </c>
      <c r="B5840" s="6" t="str">
        <f t="shared" si="3014"/>
        <v>% of 1-Month Active Agents pro-rated MDRT agents (70-99%)</v>
      </c>
      <c r="C5840" s="4" t="str">
        <f>CHOOSE(2, "5462030031", "Jul 26")</f>
        <v>Jul 26</v>
      </c>
      <c r="D5840" s="14">
        <v>0.69354838709677424</v>
      </c>
    </row>
    <row r="5841" spans="1:4" x14ac:dyDescent="0.35">
      <c r="A5841" s="8" t="str">
        <f t="shared" si="3006"/>
        <v>Indonesia</v>
      </c>
      <c r="B5841" s="3" t="str">
        <f t="shared" ref="B5841:B5842" si="3015">CHOOSE(2, "1395000000538", "% of 1-Month Active Agents pro-rated MDRT agents (50-69%)")</f>
        <v>% of 1-Month Active Agents pro-rated MDRT agents (50-69%)</v>
      </c>
      <c r="C5841" s="4" t="str">
        <f>CHOOSE(2, "5461730030", "Jun 26")</f>
        <v>Jun 26</v>
      </c>
      <c r="D5841" s="14">
        <v>0.6470588235294118</v>
      </c>
    </row>
    <row r="5842" spans="1:4" x14ac:dyDescent="0.35">
      <c r="A5842" s="8" t="str">
        <f t="shared" si="3006"/>
        <v>Indonesia</v>
      </c>
      <c r="B5842" s="6" t="str">
        <f t="shared" si="3015"/>
        <v>% of 1-Month Active Agents pro-rated MDRT agents (50-69%)</v>
      </c>
      <c r="C5842" s="4" t="str">
        <f>CHOOSE(2, "5462030031", "Jul 26")</f>
        <v>Jul 26</v>
      </c>
      <c r="D5842" s="14">
        <v>0.75</v>
      </c>
    </row>
    <row r="5843" spans="1:4" x14ac:dyDescent="0.35">
      <c r="A5843" s="8" t="str">
        <f t="shared" si="3006"/>
        <v>Indonesia</v>
      </c>
      <c r="B5843" s="3" t="str">
        <f t="shared" ref="B5843:B5844" si="3016">CHOOSE(2, "1395000000537", "Avg. Case count per 1-Month Active Agent UM")</f>
        <v>Avg. Case count per 1-Month Active Agent UM</v>
      </c>
      <c r="C5843" s="4" t="str">
        <f>CHOOSE(2, "5461730030", "Jun 26")</f>
        <v>Jun 26</v>
      </c>
      <c r="D5843" s="14">
        <v>1.5</v>
      </c>
    </row>
    <row r="5844" spans="1:4" x14ac:dyDescent="0.35">
      <c r="A5844" s="8" t="str">
        <f t="shared" si="3006"/>
        <v>Indonesia</v>
      </c>
      <c r="B5844" s="6" t="str">
        <f t="shared" si="3016"/>
        <v>Avg. Case count per 1-Month Active Agent UM</v>
      </c>
      <c r="C5844" s="4" t="str">
        <f>CHOOSE(2, "5462030031", "Jul 26")</f>
        <v>Jul 26</v>
      </c>
      <c r="D5844" s="14">
        <v>1.5639412997903563</v>
      </c>
    </row>
    <row r="5845" spans="1:4" x14ac:dyDescent="0.35">
      <c r="A5845" s="8" t="str">
        <f t="shared" si="3006"/>
        <v>Indonesia</v>
      </c>
      <c r="B5845" s="3" t="str">
        <f t="shared" ref="B5845:B5846" si="3017">CHOOSE(2, "1395000000536", "Avg. Case count per 1-Month Active Agent Leaders above UM")</f>
        <v>Avg. Case count per 1-Month Active Agent Leaders above UM</v>
      </c>
      <c r="C5845" s="4" t="str">
        <f>CHOOSE(2, "5461730030", "Jun 26")</f>
        <v>Jun 26</v>
      </c>
      <c r="D5845" s="14">
        <v>2.3139204545454546</v>
      </c>
    </row>
    <row r="5846" spans="1:4" x14ac:dyDescent="0.35">
      <c r="A5846" s="8" t="str">
        <f t="shared" si="3006"/>
        <v>Indonesia</v>
      </c>
      <c r="B5846" s="6" t="str">
        <f t="shared" si="3017"/>
        <v>Avg. Case count per 1-Month Active Agent Leaders above UM</v>
      </c>
      <c r="C5846" s="4" t="str">
        <f>CHOOSE(2, "5462030031", "Jul 26")</f>
        <v>Jul 26</v>
      </c>
      <c r="D5846" s="14">
        <v>2.1614832535885169</v>
      </c>
    </row>
    <row r="5847" spans="1:4" x14ac:dyDescent="0.35">
      <c r="A5847" s="8" t="str">
        <f t="shared" si="3006"/>
        <v>Indonesia</v>
      </c>
      <c r="B5847" s="3" t="str">
        <f t="shared" ref="B5847:B5848" si="3018">CHOOSE(2, "1395000000535", "Avg. Case count per 1-Month Active Agent Top-tier agents")</f>
        <v>Avg. Case count per 1-Month Active Agent Top-tier agents</v>
      </c>
      <c r="C5847" s="4" t="str">
        <f>CHOOSE(2, "5461730030", "Jun 26")</f>
        <v>Jun 26</v>
      </c>
      <c r="D5847" s="14">
        <v>3.1413427561837457</v>
      </c>
    </row>
    <row r="5848" spans="1:4" x14ac:dyDescent="0.35">
      <c r="A5848" s="8" t="str">
        <f t="shared" si="3006"/>
        <v>Indonesia</v>
      </c>
      <c r="B5848" s="6" t="str">
        <f t="shared" si="3018"/>
        <v>Avg. Case count per 1-Month Active Agent Top-tier agents</v>
      </c>
      <c r="C5848" s="4" t="str">
        <f>CHOOSE(2, "5462030031", "Jul 26")</f>
        <v>Jul 26</v>
      </c>
      <c r="D5848" s="14">
        <v>2.9781931464174454</v>
      </c>
    </row>
    <row r="5849" spans="1:4" x14ac:dyDescent="0.35">
      <c r="A5849" s="8" t="str">
        <f t="shared" si="3006"/>
        <v>Indonesia</v>
      </c>
      <c r="B5849" s="3" t="str">
        <f t="shared" ref="B5849:B5850" si="3019">CHOOSE(2, "1395000000534", "Avg. Case count per 1-Month Manulife Pro Qualifiers - Total")</f>
        <v>Avg. Case count per 1-Month Manulife Pro Qualifiers - Total</v>
      </c>
      <c r="C5849" s="4" t="str">
        <f>CHOOSE(2, "5461730030", "Jun 26")</f>
        <v>Jun 26</v>
      </c>
      <c r="D5849" s="14">
        <v>3.8783783783783785</v>
      </c>
    </row>
    <row r="5850" spans="1:4" x14ac:dyDescent="0.35">
      <c r="A5850" s="8" t="str">
        <f t="shared" si="3006"/>
        <v>Indonesia</v>
      </c>
      <c r="B5850" s="6" t="str">
        <f t="shared" si="3019"/>
        <v>Avg. Case count per 1-Month Manulife Pro Qualifiers - Total</v>
      </c>
      <c r="C5850" s="4" t="str">
        <f>CHOOSE(2, "5462030031", "Jul 26")</f>
        <v>Jul 26</v>
      </c>
      <c r="D5850" s="14">
        <v>3.5257352941176472</v>
      </c>
    </row>
    <row r="5851" spans="1:4" x14ac:dyDescent="0.35">
      <c r="A5851" s="8" t="str">
        <f t="shared" si="3006"/>
        <v>Indonesia</v>
      </c>
      <c r="B5851" s="3" t="str">
        <f t="shared" ref="B5851:B5852" si="3020">CHOOSE(2, "1395000000533", "Avg. Case count per 1-Month Active Agent FA or equivalent")</f>
        <v>Avg. Case count per 1-Month Active Agent FA or equivalent</v>
      </c>
      <c r="C5851" s="4" t="str">
        <f>CHOOSE(2, "5461730030", "Jun 26")</f>
        <v>Jun 26</v>
      </c>
      <c r="D5851" s="14">
        <v>1.3685185185185185</v>
      </c>
    </row>
    <row r="5852" spans="1:4" x14ac:dyDescent="0.35">
      <c r="A5852" s="8" t="str">
        <f t="shared" si="3006"/>
        <v>Indonesia</v>
      </c>
      <c r="B5852" s="6" t="str">
        <f t="shared" si="3020"/>
        <v>Avg. Case count per 1-Month Active Agent FA or equivalent</v>
      </c>
      <c r="C5852" s="4" t="str">
        <f>CHOOSE(2, "5462030031", "Jul 26")</f>
        <v>Jul 26</v>
      </c>
      <c r="D5852" s="14">
        <v>1.4016666666666666</v>
      </c>
    </row>
    <row r="5853" spans="1:4" x14ac:dyDescent="0.35">
      <c r="A5853" s="8" t="str">
        <f t="shared" si="3006"/>
        <v>Indonesia</v>
      </c>
      <c r="B5853" s="3" t="str">
        <f t="shared" ref="B5853:B5854" si="3021">CHOOSE(2, "1395000000532", "Avg. Case count per 1-Month pro-rated MDRT agents (&gt;100%)")</f>
        <v>Avg. Case count per 1-Month pro-rated MDRT agents (&gt;100%)</v>
      </c>
      <c r="C5853" s="4" t="str">
        <f>CHOOSE(2, "5461730030", "Jun 26")</f>
        <v>Jun 26</v>
      </c>
      <c r="D5853" s="14">
        <v>3.8783783783783785</v>
      </c>
    </row>
    <row r="5854" spans="1:4" x14ac:dyDescent="0.35">
      <c r="A5854" s="8" t="str">
        <f t="shared" si="3006"/>
        <v>Indonesia</v>
      </c>
      <c r="B5854" s="6" t="str">
        <f t="shared" si="3021"/>
        <v>Avg. Case count per 1-Month pro-rated MDRT agents (&gt;100%)</v>
      </c>
      <c r="C5854" s="4" t="str">
        <f>CHOOSE(2, "5462030031", "Jul 26")</f>
        <v>Jul 26</v>
      </c>
      <c r="D5854" s="14">
        <v>3.6605504587155964</v>
      </c>
    </row>
    <row r="5855" spans="1:4" x14ac:dyDescent="0.35">
      <c r="A5855" s="8" t="str">
        <f t="shared" si="3006"/>
        <v>Indonesia</v>
      </c>
      <c r="B5855" s="3" t="str">
        <f t="shared" ref="B5855:B5856" si="3022">CHOOSE(2, "1395000000531", "Avg. Case count per 1-Month pro-rated MDRT agents (70-99%)")</f>
        <v>Avg. Case count per 1-Month pro-rated MDRT agents (70-99%)</v>
      </c>
      <c r="C5855" s="4" t="str">
        <f>CHOOSE(2, "5461730030", "Jun 26")</f>
        <v>Jun 26</v>
      </c>
      <c r="D5855" s="14">
        <v>2.6095890410958904</v>
      </c>
    </row>
    <row r="5856" spans="1:4" x14ac:dyDescent="0.35">
      <c r="A5856" s="8" t="str">
        <f t="shared" si="3006"/>
        <v>Indonesia</v>
      </c>
      <c r="B5856" s="6" t="str">
        <f t="shared" si="3022"/>
        <v>Avg. Case count per 1-Month pro-rated MDRT agents (70-99%)</v>
      </c>
      <c r="C5856" s="4" t="str">
        <f>CHOOSE(2, "5462030031", "Jul 26")</f>
        <v>Jul 26</v>
      </c>
      <c r="D5856" s="14">
        <v>2.558139534883721</v>
      </c>
    </row>
    <row r="5857" spans="1:4" x14ac:dyDescent="0.35">
      <c r="A5857" s="8" t="str">
        <f t="shared" si="3006"/>
        <v>Indonesia</v>
      </c>
      <c r="B5857" s="3" t="str">
        <f t="shared" ref="B5857:B5858" si="3023">CHOOSE(2, "1395000000530", "Avg. Case count per 1-Month pro-rated MDRT agents (50-69%)")</f>
        <v>Avg. Case count per 1-Month pro-rated MDRT agents (50-69%)</v>
      </c>
      <c r="C5857" s="4" t="str">
        <f>CHOOSE(2, "5461730030", "Jun 26")</f>
        <v>Jun 26</v>
      </c>
      <c r="D5857" s="14">
        <v>2.7070707070707072</v>
      </c>
    </row>
    <row r="5858" spans="1:4" x14ac:dyDescent="0.35">
      <c r="A5858" s="9" t="str">
        <f t="shared" si="3006"/>
        <v>Indonesia</v>
      </c>
      <c r="B5858" s="6" t="str">
        <f t="shared" si="3023"/>
        <v>Avg. Case count per 1-Month pro-rated MDRT agents (50-69%)</v>
      </c>
      <c r="C5858" s="4" t="str">
        <f>CHOOSE(2, "5462030031", "Jul 26")</f>
        <v>Jul 26</v>
      </c>
      <c r="D5858" s="14">
        <v>2.6746031746031744</v>
      </c>
    </row>
    <row r="5859" spans="1:4" x14ac:dyDescent="0.35">
      <c r="A5859" s="3" t="str">
        <f t="shared" ref="A5859:A5922" si="3024">CHOOSE(2, "1260000000007", "Agency")</f>
        <v>Agency</v>
      </c>
      <c r="B5859" s="3" t="str">
        <f t="shared" ref="B5859:B5860" si="3025">CHOOSE(2, "1395000000741", "Submitted APE")</f>
        <v>Submitted APE</v>
      </c>
      <c r="C5859" s="4" t="str">
        <f>CHOOSE(2, "5461730030", "Jun 26")</f>
        <v>Jun 26</v>
      </c>
      <c r="D5859" s="14">
        <v>58762.525043843343</v>
      </c>
    </row>
    <row r="5860" spans="1:4" x14ac:dyDescent="0.35">
      <c r="A5860" s="5" t="str">
        <f t="shared" si="3024"/>
        <v>Agency</v>
      </c>
      <c r="B5860" s="6" t="str">
        <f t="shared" si="3025"/>
        <v>Submitted APE</v>
      </c>
      <c r="C5860" s="4" t="str">
        <f>CHOOSE(2, "5462030031", "Jul 26")</f>
        <v>Jul 26</v>
      </c>
      <c r="D5860" s="14">
        <v>46856.341282299014</v>
      </c>
    </row>
    <row r="5861" spans="1:4" x14ac:dyDescent="0.35">
      <c r="A5861" s="5" t="str">
        <f t="shared" si="3024"/>
        <v>Agency</v>
      </c>
      <c r="B5861" s="3" t="str">
        <f t="shared" ref="B5861:B5862" si="3026">CHOOSE(2, "1395000000740", "# of 1-Month Active Agents")</f>
        <v># of 1-Month Active Agents</v>
      </c>
      <c r="C5861" s="4" t="str">
        <f>CHOOSE(2, "5461730030", "Jun 26")</f>
        <v>Jun 26</v>
      </c>
      <c r="D5861" s="14">
        <v>1438</v>
      </c>
    </row>
    <row r="5862" spans="1:4" x14ac:dyDescent="0.35">
      <c r="A5862" s="5" t="str">
        <f t="shared" si="3024"/>
        <v>Agency</v>
      </c>
      <c r="B5862" s="6" t="str">
        <f t="shared" si="3026"/>
        <v># of 1-Month Active Agents</v>
      </c>
      <c r="C5862" s="4" t="str">
        <f>CHOOSE(2, "5462030031", "Jul 26")</f>
        <v>Jul 26</v>
      </c>
      <c r="D5862" s="14">
        <v>1427</v>
      </c>
    </row>
    <row r="5863" spans="1:4" x14ac:dyDescent="0.35">
      <c r="A5863" s="5" t="str">
        <f t="shared" si="3024"/>
        <v>Agency</v>
      </c>
      <c r="B5863" s="3" t="str">
        <f t="shared" ref="B5863:B5864" si="3027">CHOOSE(2, "1395000000739", "# of 1-Month Active Agents in 0-1M")</f>
        <v># of 1-Month Active Agents in 0-1M</v>
      </c>
      <c r="C5863" s="4" t="str">
        <f>CHOOSE(2, "5461730030", "Jun 26")</f>
        <v>Jun 26</v>
      </c>
      <c r="D5863" s="14">
        <v>41</v>
      </c>
    </row>
    <row r="5864" spans="1:4" x14ac:dyDescent="0.35">
      <c r="A5864" s="5" t="str">
        <f t="shared" si="3024"/>
        <v>Agency</v>
      </c>
      <c r="B5864" s="6" t="str">
        <f t="shared" si="3027"/>
        <v># of 1-Month Active Agents in 0-1M</v>
      </c>
      <c r="C5864" s="4" t="str">
        <f>CHOOSE(2, "5462030031", "Jul 26")</f>
        <v>Jul 26</v>
      </c>
      <c r="D5864" s="14">
        <v>49</v>
      </c>
    </row>
    <row r="5865" spans="1:4" x14ac:dyDescent="0.35">
      <c r="A5865" s="5" t="str">
        <f t="shared" si="3024"/>
        <v>Agency</v>
      </c>
      <c r="B5865" s="3" t="str">
        <f t="shared" ref="B5865:B5866" si="3028">CHOOSE(2, "1395000000738", "# of 1-Month Active Agents in 2-3M")</f>
        <v># of 1-Month Active Agents in 2-3M</v>
      </c>
      <c r="C5865" s="4" t="str">
        <f>CHOOSE(2, "5461730030", "Jun 26")</f>
        <v>Jun 26</v>
      </c>
      <c r="D5865" s="14">
        <v>126</v>
      </c>
    </row>
    <row r="5866" spans="1:4" x14ac:dyDescent="0.35">
      <c r="A5866" s="5" t="str">
        <f t="shared" si="3024"/>
        <v>Agency</v>
      </c>
      <c r="B5866" s="6" t="str">
        <f t="shared" si="3028"/>
        <v># of 1-Month Active Agents in 2-3M</v>
      </c>
      <c r="C5866" s="4" t="str">
        <f>CHOOSE(2, "5462030031", "Jul 26")</f>
        <v>Jul 26</v>
      </c>
      <c r="D5866" s="14">
        <v>128</v>
      </c>
    </row>
    <row r="5867" spans="1:4" x14ac:dyDescent="0.35">
      <c r="A5867" s="5" t="str">
        <f t="shared" si="3024"/>
        <v>Agency</v>
      </c>
      <c r="B5867" s="3" t="str">
        <f t="shared" ref="B5867:B5868" si="3029">CHOOSE(2, "1395000000737", "# of 1-Month Active Agents in 4-12M")</f>
        <v># of 1-Month Active Agents in 4-12M</v>
      </c>
      <c r="C5867" s="4" t="str">
        <f>CHOOSE(2, "5461730030", "Jun 26")</f>
        <v>Jun 26</v>
      </c>
      <c r="D5867" s="14">
        <v>263</v>
      </c>
    </row>
    <row r="5868" spans="1:4" x14ac:dyDescent="0.35">
      <c r="A5868" s="5" t="str">
        <f t="shared" si="3024"/>
        <v>Agency</v>
      </c>
      <c r="B5868" s="6" t="str">
        <f t="shared" si="3029"/>
        <v># of 1-Month Active Agents in 4-12M</v>
      </c>
      <c r="C5868" s="4" t="str">
        <f>CHOOSE(2, "5462030031", "Jul 26")</f>
        <v>Jul 26</v>
      </c>
      <c r="D5868" s="14">
        <v>244</v>
      </c>
    </row>
    <row r="5869" spans="1:4" x14ac:dyDescent="0.35">
      <c r="A5869" s="5" t="str">
        <f t="shared" si="3024"/>
        <v>Agency</v>
      </c>
      <c r="B5869" s="3" t="str">
        <f t="shared" ref="B5869:B5870" si="3030">CHOOSE(2, "1395000000736", "# of 1-Month Active Agents 13+M")</f>
        <v># of 1-Month Active Agents 13+M</v>
      </c>
      <c r="C5869" s="4" t="str">
        <f>CHOOSE(2, "5461730030", "Jun 26")</f>
        <v>Jun 26</v>
      </c>
      <c r="D5869" s="14">
        <v>1008</v>
      </c>
    </row>
    <row r="5870" spans="1:4" x14ac:dyDescent="0.35">
      <c r="A5870" s="5" t="str">
        <f t="shared" si="3024"/>
        <v>Agency</v>
      </c>
      <c r="B5870" s="6" t="str">
        <f t="shared" si="3030"/>
        <v># of 1-Month Active Agents 13+M</v>
      </c>
      <c r="C5870" s="4" t="str">
        <f>CHOOSE(2, "5462030031", "Jul 26")</f>
        <v>Jul 26</v>
      </c>
      <c r="D5870" s="14">
        <v>1006</v>
      </c>
    </row>
    <row r="5871" spans="1:4" x14ac:dyDescent="0.35">
      <c r="A5871" s="5" t="str">
        <f t="shared" si="3024"/>
        <v>Agency</v>
      </c>
      <c r="B5871" s="3" t="str">
        <f t="shared" ref="B5871:B5872" si="3031">CHOOSE(2, "1395000000735", "# of 1-Month Active Agents in FA or equivalent")</f>
        <v># of 1-Month Active Agents in FA or equivalent</v>
      </c>
      <c r="C5871" s="4" t="str">
        <f>CHOOSE(2, "5461730030", "Jun 26")</f>
        <v>Jun 26</v>
      </c>
      <c r="D5871" s="14">
        <v>1183</v>
      </c>
    </row>
    <row r="5872" spans="1:4" x14ac:dyDescent="0.35">
      <c r="A5872" s="5" t="str">
        <f t="shared" si="3024"/>
        <v>Agency</v>
      </c>
      <c r="B5872" s="6" t="str">
        <f t="shared" si="3031"/>
        <v># of 1-Month Active Agents in FA or equivalent</v>
      </c>
      <c r="C5872" s="4" t="str">
        <f>CHOOSE(2, "5462030031", "Jul 26")</f>
        <v>Jul 26</v>
      </c>
      <c r="D5872" s="14">
        <v>1171</v>
      </c>
    </row>
    <row r="5873" spans="1:4" x14ac:dyDescent="0.35">
      <c r="A5873" s="5" t="str">
        <f t="shared" si="3024"/>
        <v>Agency</v>
      </c>
      <c r="B5873" s="3" t="str">
        <f t="shared" ref="B5873:B5874" si="3032">CHOOSE(2, "1395000000734", "# of 1-Month Active Agents in UM")</f>
        <v># of 1-Month Active Agents in UM</v>
      </c>
      <c r="C5873" s="4" t="str">
        <f>CHOOSE(2, "5461730030", "Jun 26")</f>
        <v>Jun 26</v>
      </c>
      <c r="D5873" s="14">
        <v>221</v>
      </c>
    </row>
    <row r="5874" spans="1:4" x14ac:dyDescent="0.35">
      <c r="A5874" s="5" t="str">
        <f t="shared" si="3024"/>
        <v>Agency</v>
      </c>
      <c r="B5874" s="6" t="str">
        <f t="shared" si="3032"/>
        <v># of 1-Month Active Agents in UM</v>
      </c>
      <c r="C5874" s="4" t="str">
        <f>CHOOSE(2, "5462030031", "Jul 26")</f>
        <v>Jul 26</v>
      </c>
      <c r="D5874" s="14">
        <v>228</v>
      </c>
    </row>
    <row r="5875" spans="1:4" x14ac:dyDescent="0.35">
      <c r="A5875" s="5" t="str">
        <f t="shared" si="3024"/>
        <v>Agency</v>
      </c>
      <c r="B5875" s="3" t="str">
        <f t="shared" ref="B5875:B5876" si="3033">CHOOSE(2, "1395000000733", "# of 1-Month Active Agents in Leaders above UM")</f>
        <v># of 1-Month Active Agents in Leaders above UM</v>
      </c>
      <c r="C5875" s="4" t="str">
        <f>CHOOSE(2, "5461730030", "Jun 26")</f>
        <v>Jun 26</v>
      </c>
      <c r="D5875" s="14">
        <v>34</v>
      </c>
    </row>
    <row r="5876" spans="1:4" x14ac:dyDescent="0.35">
      <c r="A5876" s="5" t="str">
        <f t="shared" si="3024"/>
        <v>Agency</v>
      </c>
      <c r="B5876" s="6" t="str">
        <f t="shared" si="3033"/>
        <v># of 1-Month Active Agents in Leaders above UM</v>
      </c>
      <c r="C5876" s="4" t="str">
        <f>CHOOSE(2, "5462030031", "Jul 26")</f>
        <v>Jul 26</v>
      </c>
      <c r="D5876" s="14">
        <v>28</v>
      </c>
    </row>
    <row r="5877" spans="1:4" x14ac:dyDescent="0.35">
      <c r="A5877" s="5" t="str">
        <f t="shared" si="3024"/>
        <v>Agency</v>
      </c>
      <c r="B5877" s="3" t="str">
        <f t="shared" ref="B5877:B5878" si="3034">CHOOSE(2, "1395000000732", "# of 1-Month Active Top-tier Agents")</f>
        <v># of 1-Month Active Top-tier Agents</v>
      </c>
      <c r="C5877" s="4" t="str">
        <f>CHOOSE(2, "5461730030", "Jun 26")</f>
        <v>Jun 26</v>
      </c>
      <c r="D5877" s="2" t="s">
        <v>5</v>
      </c>
    </row>
    <row r="5878" spans="1:4" x14ac:dyDescent="0.35">
      <c r="A5878" s="5" t="str">
        <f t="shared" si="3024"/>
        <v>Agency</v>
      </c>
      <c r="B5878" s="6" t="str">
        <f t="shared" si="3034"/>
        <v># of 1-Month Active Top-tier Agents</v>
      </c>
      <c r="C5878" s="4" t="str">
        <f>CHOOSE(2, "5462030031", "Jul 26")</f>
        <v>Jul 26</v>
      </c>
      <c r="D5878" s="2" t="s">
        <v>5</v>
      </c>
    </row>
    <row r="5879" spans="1:4" x14ac:dyDescent="0.35">
      <c r="A5879" s="5" t="str">
        <f t="shared" si="3024"/>
        <v>Agency</v>
      </c>
      <c r="B5879" s="3" t="str">
        <f t="shared" ref="B5879:B5880" si="3035">CHOOSE(2, "1395000000731", "# of 1-Month Active Agents in pro-rated MDRT agents (&gt;100%)")</f>
        <v># of 1-Month Active Agents in pro-rated MDRT agents (&gt;100%)</v>
      </c>
      <c r="C5879" s="4" t="str">
        <f>CHOOSE(2, "5461730030", "Jun 26")</f>
        <v>Jun 26</v>
      </c>
      <c r="D5879" s="2" t="s">
        <v>5</v>
      </c>
    </row>
    <row r="5880" spans="1:4" x14ac:dyDescent="0.35">
      <c r="A5880" s="5" t="str">
        <f t="shared" si="3024"/>
        <v>Agency</v>
      </c>
      <c r="B5880" s="6" t="str">
        <f t="shared" si="3035"/>
        <v># of 1-Month Active Agents in pro-rated MDRT agents (&gt;100%)</v>
      </c>
      <c r="C5880" s="4" t="str">
        <f>CHOOSE(2, "5462030031", "Jul 26")</f>
        <v>Jul 26</v>
      </c>
      <c r="D5880" s="2" t="s">
        <v>5</v>
      </c>
    </row>
    <row r="5881" spans="1:4" x14ac:dyDescent="0.35">
      <c r="A5881" s="5" t="str">
        <f t="shared" si="3024"/>
        <v>Agency</v>
      </c>
      <c r="B5881" s="3" t="str">
        <f t="shared" ref="B5881:B5882" si="3036">CHOOSE(2, "1395000000730", "# of 1-Month Active Agents in pro-rated MDRT agents (70-99%)")</f>
        <v># of 1-Month Active Agents in pro-rated MDRT agents (70-99%)</v>
      </c>
      <c r="C5881" s="4" t="str">
        <f>CHOOSE(2, "5461730030", "Jun 26")</f>
        <v>Jun 26</v>
      </c>
      <c r="D5881" s="2" t="s">
        <v>5</v>
      </c>
    </row>
    <row r="5882" spans="1:4" x14ac:dyDescent="0.35">
      <c r="A5882" s="5" t="str">
        <f t="shared" si="3024"/>
        <v>Agency</v>
      </c>
      <c r="B5882" s="6" t="str">
        <f t="shared" si="3036"/>
        <v># of 1-Month Active Agents in pro-rated MDRT agents (70-99%)</v>
      </c>
      <c r="C5882" s="4" t="str">
        <f>CHOOSE(2, "5462030031", "Jul 26")</f>
        <v>Jul 26</v>
      </c>
      <c r="D5882" s="2" t="s">
        <v>5</v>
      </c>
    </row>
    <row r="5883" spans="1:4" x14ac:dyDescent="0.35">
      <c r="A5883" s="5" t="str">
        <f t="shared" si="3024"/>
        <v>Agency</v>
      </c>
      <c r="B5883" s="3" t="str">
        <f t="shared" ref="B5883:B5884" si="3037">CHOOSE(2, "1395000000729", "# of 1-Month Active Agents in pro-rated MDRT agents (50-69%)")</f>
        <v># of 1-Month Active Agents in pro-rated MDRT agents (50-69%)</v>
      </c>
      <c r="C5883" s="4" t="str">
        <f>CHOOSE(2, "5461730030", "Jun 26")</f>
        <v>Jun 26</v>
      </c>
      <c r="D5883" s="2" t="s">
        <v>5</v>
      </c>
    </row>
    <row r="5884" spans="1:4" x14ac:dyDescent="0.35">
      <c r="A5884" s="5" t="str">
        <f t="shared" si="3024"/>
        <v>Agency</v>
      </c>
      <c r="B5884" s="6" t="str">
        <f t="shared" si="3037"/>
        <v># of 1-Month Active Agents in pro-rated MDRT agents (50-69%)</v>
      </c>
      <c r="C5884" s="4" t="str">
        <f>CHOOSE(2, "5462030031", "Jul 26")</f>
        <v>Jul 26</v>
      </c>
      <c r="D5884" s="2" t="s">
        <v>5</v>
      </c>
    </row>
    <row r="5885" spans="1:4" x14ac:dyDescent="0.35">
      <c r="A5885" s="5" t="str">
        <f t="shared" si="3024"/>
        <v>Agency</v>
      </c>
      <c r="B5885" s="3" t="str">
        <f t="shared" ref="B5885:B5886" si="3038">CHOOSE(2, "1395000000728", "# of 1-Month Active Agents in Manulife Pro Qualifiers -Total")</f>
        <v># of 1-Month Active Agents in Manulife Pro Qualifiers -Total</v>
      </c>
      <c r="C5885" s="4" t="str">
        <f>CHOOSE(2, "5461730030", "Jun 26")</f>
        <v>Jun 26</v>
      </c>
      <c r="D5885" s="2" t="s">
        <v>5</v>
      </c>
    </row>
    <row r="5886" spans="1:4" x14ac:dyDescent="0.35">
      <c r="A5886" s="5" t="str">
        <f t="shared" si="3024"/>
        <v>Agency</v>
      </c>
      <c r="B5886" s="6" t="str">
        <f t="shared" si="3038"/>
        <v># of 1-Month Active Agents in Manulife Pro Qualifiers -Total</v>
      </c>
      <c r="C5886" s="4" t="str">
        <f>CHOOSE(2, "5462030031", "Jul 26")</f>
        <v>Jul 26</v>
      </c>
      <c r="D5886" s="2" t="s">
        <v>5</v>
      </c>
    </row>
    <row r="5887" spans="1:4" x14ac:dyDescent="0.35">
      <c r="A5887" s="5" t="str">
        <f t="shared" si="3024"/>
        <v>Agency</v>
      </c>
      <c r="B5887" s="3" t="str">
        <f t="shared" ref="B5887:B5888" si="3039">CHOOSE(2, "1395000000727", "# of 3-Month Active Agents")</f>
        <v># of 3-Month Active Agents</v>
      </c>
      <c r="C5887" s="4" t="str">
        <f>CHOOSE(2, "5461730030", "Jun 26")</f>
        <v>Jun 26</v>
      </c>
      <c r="D5887" s="14">
        <v>2646</v>
      </c>
    </row>
    <row r="5888" spans="1:4" x14ac:dyDescent="0.35">
      <c r="A5888" s="5" t="str">
        <f t="shared" si="3024"/>
        <v>Agency</v>
      </c>
      <c r="B5888" s="6" t="str">
        <f t="shared" si="3039"/>
        <v># of 3-Month Active Agents</v>
      </c>
      <c r="C5888" s="4" t="str">
        <f>CHOOSE(2, "5462030031", "Jul 26")</f>
        <v>Jul 26</v>
      </c>
      <c r="D5888" s="14">
        <v>2649</v>
      </c>
    </row>
    <row r="5889" spans="1:4" x14ac:dyDescent="0.35">
      <c r="A5889" s="5" t="str">
        <f t="shared" si="3024"/>
        <v>Agency</v>
      </c>
      <c r="B5889" s="3" t="str">
        <f t="shared" ref="B5889:B5890" si="3040">CHOOSE(2, "1395000000726", "# of 3-Month Active Agents in 0-1M")</f>
        <v># of 3-Month Active Agents in 0-1M</v>
      </c>
      <c r="C5889" s="4" t="str">
        <f>CHOOSE(2, "5461730030", "Jun 26")</f>
        <v>Jun 26</v>
      </c>
      <c r="D5889" s="14">
        <v>41</v>
      </c>
    </row>
    <row r="5890" spans="1:4" x14ac:dyDescent="0.35">
      <c r="A5890" s="5" t="str">
        <f t="shared" si="3024"/>
        <v>Agency</v>
      </c>
      <c r="B5890" s="6" t="str">
        <f t="shared" si="3040"/>
        <v># of 3-Month Active Agents in 0-1M</v>
      </c>
      <c r="C5890" s="4" t="str">
        <f>CHOOSE(2, "5462030031", "Jul 26")</f>
        <v>Jul 26</v>
      </c>
      <c r="D5890" s="14">
        <v>49</v>
      </c>
    </row>
    <row r="5891" spans="1:4" x14ac:dyDescent="0.35">
      <c r="A5891" s="5" t="str">
        <f t="shared" si="3024"/>
        <v>Agency</v>
      </c>
      <c r="B5891" s="3" t="str">
        <f t="shared" ref="B5891:B5892" si="3041">CHOOSE(2, "1395000000725", "# of 3-Month Active Agents in 2-3M")</f>
        <v># of 3-Month Active Agents in 2-3M</v>
      </c>
      <c r="C5891" s="4" t="str">
        <f>CHOOSE(2, "5461730030", "Jun 26")</f>
        <v>Jun 26</v>
      </c>
      <c r="D5891" s="14">
        <v>196</v>
      </c>
    </row>
    <row r="5892" spans="1:4" x14ac:dyDescent="0.35">
      <c r="A5892" s="5" t="str">
        <f t="shared" si="3024"/>
        <v>Agency</v>
      </c>
      <c r="B5892" s="6" t="str">
        <f t="shared" si="3041"/>
        <v># of 3-Month Active Agents in 2-3M</v>
      </c>
      <c r="C5892" s="4" t="str">
        <f>CHOOSE(2, "5462030031", "Jul 26")</f>
        <v>Jul 26</v>
      </c>
      <c r="D5892" s="14">
        <v>203</v>
      </c>
    </row>
    <row r="5893" spans="1:4" x14ac:dyDescent="0.35">
      <c r="A5893" s="5" t="str">
        <f t="shared" si="3024"/>
        <v>Agency</v>
      </c>
      <c r="B5893" s="3" t="str">
        <f t="shared" ref="B5893:B5894" si="3042">CHOOSE(2, "1395000000724", "# of 3-Month Active Agents in 4-12M")</f>
        <v># of 3-Month Active Agents in 4-12M</v>
      </c>
      <c r="C5893" s="4" t="str">
        <f>CHOOSE(2, "5461730030", "Jun 26")</f>
        <v>Jun 26</v>
      </c>
      <c r="D5893" s="14">
        <v>549</v>
      </c>
    </row>
    <row r="5894" spans="1:4" x14ac:dyDescent="0.35">
      <c r="A5894" s="5" t="str">
        <f t="shared" si="3024"/>
        <v>Agency</v>
      </c>
      <c r="B5894" s="6" t="str">
        <f t="shared" si="3042"/>
        <v># of 3-Month Active Agents in 4-12M</v>
      </c>
      <c r="C5894" s="4" t="str">
        <f>CHOOSE(2, "5462030031", "Jul 26")</f>
        <v>Jul 26</v>
      </c>
      <c r="D5894" s="14">
        <v>531</v>
      </c>
    </row>
    <row r="5895" spans="1:4" x14ac:dyDescent="0.35">
      <c r="A5895" s="5" t="str">
        <f t="shared" si="3024"/>
        <v>Agency</v>
      </c>
      <c r="B5895" s="3" t="str">
        <f t="shared" ref="B5895:B5896" si="3043">CHOOSE(2, "1395000000723", "# of 3-Month Active Agents 13+M")</f>
        <v># of 3-Month Active Agents 13+M</v>
      </c>
      <c r="C5895" s="4" t="str">
        <f>CHOOSE(2, "5461730030", "Jun 26")</f>
        <v>Jun 26</v>
      </c>
      <c r="D5895" s="14">
        <v>1860</v>
      </c>
    </row>
    <row r="5896" spans="1:4" x14ac:dyDescent="0.35">
      <c r="A5896" s="5" t="str">
        <f t="shared" si="3024"/>
        <v>Agency</v>
      </c>
      <c r="B5896" s="6" t="str">
        <f t="shared" si="3043"/>
        <v># of 3-Month Active Agents 13+M</v>
      </c>
      <c r="C5896" s="4" t="str">
        <f>CHOOSE(2, "5462030031", "Jul 26")</f>
        <v>Jul 26</v>
      </c>
      <c r="D5896" s="14">
        <v>1866</v>
      </c>
    </row>
    <row r="5897" spans="1:4" x14ac:dyDescent="0.35">
      <c r="A5897" s="5" t="str">
        <f t="shared" si="3024"/>
        <v>Agency</v>
      </c>
      <c r="B5897" s="3" t="str">
        <f t="shared" ref="B5897:B5898" si="3044">CHOOSE(2, "1395000000722", "# of 3-Month Active Agents in UM")</f>
        <v># of 3-Month Active Agents in UM</v>
      </c>
      <c r="C5897" s="4" t="str">
        <f>CHOOSE(2, "5461730030", "Jun 26")</f>
        <v>Jun 26</v>
      </c>
      <c r="D5897" s="2" t="s">
        <v>5</v>
      </c>
    </row>
    <row r="5898" spans="1:4" x14ac:dyDescent="0.35">
      <c r="A5898" s="5" t="str">
        <f t="shared" si="3024"/>
        <v>Agency</v>
      </c>
      <c r="B5898" s="6" t="str">
        <f t="shared" si="3044"/>
        <v># of 3-Month Active Agents in UM</v>
      </c>
      <c r="C5898" s="4" t="str">
        <f>CHOOSE(2, "5462030031", "Jul 26")</f>
        <v>Jul 26</v>
      </c>
      <c r="D5898" s="2" t="s">
        <v>5</v>
      </c>
    </row>
    <row r="5899" spans="1:4" x14ac:dyDescent="0.35">
      <c r="A5899" s="5" t="str">
        <f t="shared" si="3024"/>
        <v>Agency</v>
      </c>
      <c r="B5899" s="3" t="str">
        <f t="shared" ref="B5899:B5900" si="3045">CHOOSE(2, "1395000000721", "# of 3-Month Active Agents in Leaders above UM")</f>
        <v># of 3-Month Active Agents in Leaders above UM</v>
      </c>
      <c r="C5899" s="4" t="str">
        <f>CHOOSE(2, "5461730030", "Jun 26")</f>
        <v>Jun 26</v>
      </c>
      <c r="D5899" s="2" t="s">
        <v>5</v>
      </c>
    </row>
    <row r="5900" spans="1:4" x14ac:dyDescent="0.35">
      <c r="A5900" s="5" t="str">
        <f t="shared" si="3024"/>
        <v>Agency</v>
      </c>
      <c r="B5900" s="6" t="str">
        <f t="shared" si="3045"/>
        <v># of 3-Month Active Agents in Leaders above UM</v>
      </c>
      <c r="C5900" s="4" t="str">
        <f>CHOOSE(2, "5462030031", "Jul 26")</f>
        <v>Jul 26</v>
      </c>
      <c r="D5900" s="2" t="s">
        <v>5</v>
      </c>
    </row>
    <row r="5901" spans="1:4" x14ac:dyDescent="0.35">
      <c r="A5901" s="5" t="str">
        <f t="shared" si="3024"/>
        <v>Agency</v>
      </c>
      <c r="B5901" s="3" t="str">
        <f t="shared" ref="B5901:B5902" si="3046">CHOOSE(2, "1395000000720", "# of 3-Month Active Agents in FA or equivalent")</f>
        <v># of 3-Month Active Agents in FA or equivalent</v>
      </c>
      <c r="C5901" s="4" t="str">
        <f>CHOOSE(2, "5461730030", "Jun 26")</f>
        <v>Jun 26</v>
      </c>
      <c r="D5901" s="2" t="s">
        <v>5</v>
      </c>
    </row>
    <row r="5902" spans="1:4" x14ac:dyDescent="0.35">
      <c r="A5902" s="5" t="str">
        <f t="shared" si="3024"/>
        <v>Agency</v>
      </c>
      <c r="B5902" s="6" t="str">
        <f t="shared" si="3046"/>
        <v># of 3-Month Active Agents in FA or equivalent</v>
      </c>
      <c r="C5902" s="4" t="str">
        <f>CHOOSE(2, "5462030031", "Jul 26")</f>
        <v>Jul 26</v>
      </c>
      <c r="D5902" s="2" t="s">
        <v>5</v>
      </c>
    </row>
    <row r="5903" spans="1:4" x14ac:dyDescent="0.35">
      <c r="A5903" s="5" t="str">
        <f t="shared" si="3024"/>
        <v>Agency</v>
      </c>
      <c r="B5903" s="3" t="str">
        <f t="shared" ref="B5903:B5904" si="3047">CHOOSE(2, "1395000000719", "Net Case Count - Agency")</f>
        <v>Net Case Count - Agency</v>
      </c>
      <c r="C5903" s="4" t="str">
        <f>CHOOSE(2, "5461730030", "Jun 26")</f>
        <v>Jun 26</v>
      </c>
      <c r="D5903" s="14">
        <v>2025</v>
      </c>
    </row>
    <row r="5904" spans="1:4" x14ac:dyDescent="0.35">
      <c r="A5904" s="5" t="str">
        <f t="shared" si="3024"/>
        <v>Agency</v>
      </c>
      <c r="B5904" s="6" t="str">
        <f t="shared" si="3047"/>
        <v>Net Case Count - Agency</v>
      </c>
      <c r="C5904" s="4" t="str">
        <f>CHOOSE(2, "5462030031", "Jul 26")</f>
        <v>Jul 26</v>
      </c>
      <c r="D5904" s="14">
        <v>2672</v>
      </c>
    </row>
    <row r="5905" spans="1:4" x14ac:dyDescent="0.35">
      <c r="A5905" s="5" t="str">
        <f t="shared" si="3024"/>
        <v>Agency</v>
      </c>
      <c r="B5905" s="3" t="str">
        <f t="shared" ref="B5905:B5906" si="3048">CHOOSE(2, "1395000000718", "Net Case Count - Agency in 0-1M")</f>
        <v>Net Case Count - Agency in 0-1M</v>
      </c>
      <c r="C5905" s="4" t="str">
        <f>CHOOSE(2, "5461730030", "Jun 26")</f>
        <v>Jun 26</v>
      </c>
      <c r="D5905" s="14">
        <v>58</v>
      </c>
    </row>
    <row r="5906" spans="1:4" x14ac:dyDescent="0.35">
      <c r="A5906" s="5" t="str">
        <f t="shared" si="3024"/>
        <v>Agency</v>
      </c>
      <c r="B5906" s="6" t="str">
        <f t="shared" si="3048"/>
        <v>Net Case Count - Agency in 0-1M</v>
      </c>
      <c r="C5906" s="4" t="str">
        <f>CHOOSE(2, "5462030031", "Jul 26")</f>
        <v>Jul 26</v>
      </c>
      <c r="D5906" s="14">
        <v>77</v>
      </c>
    </row>
    <row r="5907" spans="1:4" x14ac:dyDescent="0.35">
      <c r="A5907" s="5" t="str">
        <f t="shared" si="3024"/>
        <v>Agency</v>
      </c>
      <c r="B5907" s="3" t="str">
        <f t="shared" ref="B5907:B5908" si="3049">CHOOSE(2, "1395000000717", "Net Case Count - Agency in 2-3M")</f>
        <v>Net Case Count - Agency in 2-3M</v>
      </c>
      <c r="C5907" s="4" t="str">
        <f>CHOOSE(2, "5461730030", "Jun 26")</f>
        <v>Jun 26</v>
      </c>
      <c r="D5907" s="14">
        <v>255.5</v>
      </c>
    </row>
    <row r="5908" spans="1:4" x14ac:dyDescent="0.35">
      <c r="A5908" s="5" t="str">
        <f t="shared" si="3024"/>
        <v>Agency</v>
      </c>
      <c r="B5908" s="6" t="str">
        <f t="shared" si="3049"/>
        <v>Net Case Count - Agency in 2-3M</v>
      </c>
      <c r="C5908" s="4" t="str">
        <f>CHOOSE(2, "5462030031", "Jul 26")</f>
        <v>Jul 26</v>
      </c>
      <c r="D5908" s="14">
        <v>212</v>
      </c>
    </row>
    <row r="5909" spans="1:4" x14ac:dyDescent="0.35">
      <c r="A5909" s="5" t="str">
        <f t="shared" si="3024"/>
        <v>Agency</v>
      </c>
      <c r="B5909" s="3" t="str">
        <f t="shared" ref="B5909:B5910" si="3050">CHOOSE(2, "1395000000716", "Net Case Count - Agency in 4-12M")</f>
        <v>Net Case Count - Agency in 4-12M</v>
      </c>
      <c r="C5909" s="4" t="str">
        <f>CHOOSE(2, "5461730030", "Jun 26")</f>
        <v>Jun 26</v>
      </c>
      <c r="D5909" s="14">
        <v>246.5</v>
      </c>
    </row>
    <row r="5910" spans="1:4" x14ac:dyDescent="0.35">
      <c r="A5910" s="5" t="str">
        <f t="shared" si="3024"/>
        <v>Agency</v>
      </c>
      <c r="B5910" s="6" t="str">
        <f t="shared" si="3050"/>
        <v>Net Case Count - Agency in 4-12M</v>
      </c>
      <c r="C5910" s="4" t="str">
        <f>CHOOSE(2, "5462030031", "Jul 26")</f>
        <v>Jul 26</v>
      </c>
      <c r="D5910" s="14">
        <v>159.5</v>
      </c>
    </row>
    <row r="5911" spans="1:4" x14ac:dyDescent="0.35">
      <c r="A5911" s="5" t="str">
        <f t="shared" si="3024"/>
        <v>Agency</v>
      </c>
      <c r="B5911" s="3" t="str">
        <f t="shared" ref="B5911:B5912" si="3051">CHOOSE(2, "1395000000715", "Net Case Count - Agency 13+M")</f>
        <v>Net Case Count - Agency 13+M</v>
      </c>
      <c r="C5911" s="4" t="str">
        <f>CHOOSE(2, "5461730030", "Jun 26")</f>
        <v>Jun 26</v>
      </c>
      <c r="D5911" s="14">
        <v>1465</v>
      </c>
    </row>
    <row r="5912" spans="1:4" x14ac:dyDescent="0.35">
      <c r="A5912" s="5" t="str">
        <f t="shared" si="3024"/>
        <v>Agency</v>
      </c>
      <c r="B5912" s="6" t="str">
        <f t="shared" si="3051"/>
        <v>Net Case Count - Agency 13+M</v>
      </c>
      <c r="C5912" s="4" t="str">
        <f>CHOOSE(2, "5462030031", "Jul 26")</f>
        <v>Jul 26</v>
      </c>
      <c r="D5912" s="14">
        <v>1241.5</v>
      </c>
    </row>
    <row r="5913" spans="1:4" x14ac:dyDescent="0.35">
      <c r="A5913" s="5" t="str">
        <f t="shared" si="3024"/>
        <v>Agency</v>
      </c>
      <c r="B5913" s="3" t="str">
        <f t="shared" ref="B5913:B5914" si="3052">CHOOSE(2, "1395000000714", "Net Case Count - Agency in FA or equivalent")</f>
        <v>Net Case Count - Agency in FA or equivalent</v>
      </c>
      <c r="C5913" s="4" t="str">
        <f>CHOOSE(2, "5461730030", "Jun 26")</f>
        <v>Jun 26</v>
      </c>
      <c r="D5913" s="14">
        <v>1463.5</v>
      </c>
    </row>
    <row r="5914" spans="1:4" x14ac:dyDescent="0.35">
      <c r="A5914" s="5" t="str">
        <f t="shared" si="3024"/>
        <v>Agency</v>
      </c>
      <c r="B5914" s="6" t="str">
        <f t="shared" si="3052"/>
        <v>Net Case Count - Agency in FA or equivalent</v>
      </c>
      <c r="C5914" s="4" t="str">
        <f>CHOOSE(2, "5462030031", "Jul 26")</f>
        <v>Jul 26</v>
      </c>
      <c r="D5914" s="14">
        <v>1261.5</v>
      </c>
    </row>
    <row r="5915" spans="1:4" x14ac:dyDescent="0.35">
      <c r="A5915" s="5" t="str">
        <f t="shared" si="3024"/>
        <v>Agency</v>
      </c>
      <c r="B5915" s="3" t="str">
        <f t="shared" ref="B5915:B5916" si="3053">CHOOSE(2, "1395000000713", "Net Case Count - Agency in UM")</f>
        <v>Net Case Count - Agency in UM</v>
      </c>
      <c r="C5915" s="4" t="str">
        <f>CHOOSE(2, "5461730030", "Jun 26")</f>
        <v>Jun 26</v>
      </c>
      <c r="D5915" s="14">
        <v>493</v>
      </c>
    </row>
    <row r="5916" spans="1:4" x14ac:dyDescent="0.35">
      <c r="A5916" s="5" t="str">
        <f t="shared" si="3024"/>
        <v>Agency</v>
      </c>
      <c r="B5916" s="6" t="str">
        <f t="shared" si="3053"/>
        <v>Net Case Count - Agency in UM</v>
      </c>
      <c r="C5916" s="4" t="str">
        <f>CHOOSE(2, "5462030031", "Jul 26")</f>
        <v>Jul 26</v>
      </c>
      <c r="D5916" s="14">
        <v>372.5</v>
      </c>
    </row>
    <row r="5917" spans="1:4" x14ac:dyDescent="0.35">
      <c r="A5917" s="5" t="str">
        <f t="shared" si="3024"/>
        <v>Agency</v>
      </c>
      <c r="B5917" s="3" t="str">
        <f t="shared" ref="B5917:B5918" si="3054">CHOOSE(2, "1395000000712", "Net Case Count - Agency in Leaders above UM")</f>
        <v>Net Case Count - Agency in Leaders above UM</v>
      </c>
      <c r="C5917" s="4" t="str">
        <f>CHOOSE(2, "5461730030", "Jun 26")</f>
        <v>Jun 26</v>
      </c>
      <c r="D5917" s="14">
        <v>68.5</v>
      </c>
    </row>
    <row r="5918" spans="1:4" x14ac:dyDescent="0.35">
      <c r="A5918" s="5" t="str">
        <f t="shared" si="3024"/>
        <v>Agency</v>
      </c>
      <c r="B5918" s="6" t="str">
        <f t="shared" si="3054"/>
        <v>Net Case Count - Agency in Leaders above UM</v>
      </c>
      <c r="C5918" s="4" t="str">
        <f>CHOOSE(2, "5462030031", "Jul 26")</f>
        <v>Jul 26</v>
      </c>
      <c r="D5918" s="14">
        <v>56</v>
      </c>
    </row>
    <row r="5919" spans="1:4" x14ac:dyDescent="0.35">
      <c r="A5919" s="5" t="str">
        <f t="shared" si="3024"/>
        <v>Agency</v>
      </c>
      <c r="B5919" s="3" t="str">
        <f t="shared" ref="B5919:B5920" si="3055">CHOOSE(2, "1395000000711", "Net Case Count - Agency in Top-tier Agents")</f>
        <v>Net Case Count - Agency in Top-tier Agents</v>
      </c>
      <c r="C5919" s="4" t="str">
        <f>CHOOSE(2, "5461730030", "Jun 26")</f>
        <v>Jun 26</v>
      </c>
      <c r="D5919" s="2" t="s">
        <v>5</v>
      </c>
    </row>
    <row r="5920" spans="1:4" x14ac:dyDescent="0.35">
      <c r="A5920" s="5" t="str">
        <f t="shared" si="3024"/>
        <v>Agency</v>
      </c>
      <c r="B5920" s="6" t="str">
        <f t="shared" si="3055"/>
        <v>Net Case Count - Agency in Top-tier Agents</v>
      </c>
      <c r="C5920" s="4" t="str">
        <f>CHOOSE(2, "5462030031", "Jul 26")</f>
        <v>Jul 26</v>
      </c>
      <c r="D5920" s="2" t="s">
        <v>5</v>
      </c>
    </row>
    <row r="5921" spans="1:4" x14ac:dyDescent="0.35">
      <c r="A5921" s="5" t="str">
        <f t="shared" si="3024"/>
        <v>Agency</v>
      </c>
      <c r="B5921" s="3" t="str">
        <f t="shared" ref="B5921:B5922" si="3056">CHOOSE(2, "1395000000710", "Net Case Count - Agency in pro-rated MDRT agents (&gt;100%)")</f>
        <v>Net Case Count - Agency in pro-rated MDRT agents (&gt;100%)</v>
      </c>
      <c r="C5921" s="4" t="str">
        <f>CHOOSE(2, "5461730030", "Jun 26")</f>
        <v>Jun 26</v>
      </c>
      <c r="D5921" s="2" t="s">
        <v>5</v>
      </c>
    </row>
    <row r="5922" spans="1:4" x14ac:dyDescent="0.35">
      <c r="A5922" s="5" t="str">
        <f t="shared" si="3024"/>
        <v>Agency</v>
      </c>
      <c r="B5922" s="6" t="str">
        <f t="shared" si="3056"/>
        <v>Net Case Count - Agency in pro-rated MDRT agents (&gt;100%)</v>
      </c>
      <c r="C5922" s="4" t="str">
        <f>CHOOSE(2, "5462030031", "Jul 26")</f>
        <v>Jul 26</v>
      </c>
      <c r="D5922" s="2" t="s">
        <v>5</v>
      </c>
    </row>
    <row r="5923" spans="1:4" x14ac:dyDescent="0.35">
      <c r="A5923" s="5" t="str">
        <f t="shared" ref="A5923:A5986" si="3057">CHOOSE(2, "1260000000007", "Agency")</f>
        <v>Agency</v>
      </c>
      <c r="B5923" s="3" t="str">
        <f t="shared" ref="B5923:B5924" si="3058">CHOOSE(2, "1395000000709", "Net Case Count - Agency in pro-rated MDRT agents (70-99%)")</f>
        <v>Net Case Count - Agency in pro-rated MDRT agents (70-99%)</v>
      </c>
      <c r="C5923" s="4" t="str">
        <f>CHOOSE(2, "5461730030", "Jun 26")</f>
        <v>Jun 26</v>
      </c>
      <c r="D5923" s="2" t="s">
        <v>5</v>
      </c>
    </row>
    <row r="5924" spans="1:4" x14ac:dyDescent="0.35">
      <c r="A5924" s="5" t="str">
        <f t="shared" si="3057"/>
        <v>Agency</v>
      </c>
      <c r="B5924" s="6" t="str">
        <f t="shared" si="3058"/>
        <v>Net Case Count - Agency in pro-rated MDRT agents (70-99%)</v>
      </c>
      <c r="C5924" s="4" t="str">
        <f>CHOOSE(2, "5462030031", "Jul 26")</f>
        <v>Jul 26</v>
      </c>
      <c r="D5924" s="2" t="s">
        <v>5</v>
      </c>
    </row>
    <row r="5925" spans="1:4" x14ac:dyDescent="0.35">
      <c r="A5925" s="5" t="str">
        <f t="shared" si="3057"/>
        <v>Agency</v>
      </c>
      <c r="B5925" s="3" t="str">
        <f t="shared" ref="B5925:B5926" si="3059">CHOOSE(2, "1395000000708", "Net Case Count - Agency in pro-rated MDRT agents (50-69%)")</f>
        <v>Net Case Count - Agency in pro-rated MDRT agents (50-69%)</v>
      </c>
      <c r="C5925" s="4" t="str">
        <f>CHOOSE(2, "5461730030", "Jun 26")</f>
        <v>Jun 26</v>
      </c>
      <c r="D5925" s="2" t="s">
        <v>5</v>
      </c>
    </row>
    <row r="5926" spans="1:4" x14ac:dyDescent="0.35">
      <c r="A5926" s="5" t="str">
        <f t="shared" si="3057"/>
        <v>Agency</v>
      </c>
      <c r="B5926" s="6" t="str">
        <f t="shared" si="3059"/>
        <v>Net Case Count - Agency in pro-rated MDRT agents (50-69%)</v>
      </c>
      <c r="C5926" s="4" t="str">
        <f>CHOOSE(2, "5462030031", "Jul 26")</f>
        <v>Jul 26</v>
      </c>
      <c r="D5926" s="2" t="s">
        <v>5</v>
      </c>
    </row>
    <row r="5927" spans="1:4" x14ac:dyDescent="0.35">
      <c r="A5927" s="5" t="str">
        <f t="shared" si="3057"/>
        <v>Agency</v>
      </c>
      <c r="B5927" s="3" t="str">
        <f t="shared" ref="B5927:B5928" si="3060">CHOOSE(2, "1395000000707", "Net Case Count - Agency in Manulife Pro Qualifiers - Total")</f>
        <v>Net Case Count - Agency in Manulife Pro Qualifiers - Total</v>
      </c>
      <c r="C5927" s="4" t="str">
        <f>CHOOSE(2, "5461730030", "Jun 26")</f>
        <v>Jun 26</v>
      </c>
      <c r="D5927" s="2" t="s">
        <v>5</v>
      </c>
    </row>
    <row r="5928" spans="1:4" x14ac:dyDescent="0.35">
      <c r="A5928" s="5" t="str">
        <f t="shared" si="3057"/>
        <v>Agency</v>
      </c>
      <c r="B5928" s="6" t="str">
        <f t="shared" si="3060"/>
        <v>Net Case Count - Agency in Manulife Pro Qualifiers - Total</v>
      </c>
      <c r="C5928" s="4" t="str">
        <f>CHOOSE(2, "5462030031", "Jul 26")</f>
        <v>Jul 26</v>
      </c>
      <c r="D5928" s="2" t="s">
        <v>5</v>
      </c>
    </row>
    <row r="5929" spans="1:4" x14ac:dyDescent="0.35">
      <c r="A5929" s="5" t="str">
        <f t="shared" si="3057"/>
        <v>Agency</v>
      </c>
      <c r="B5929" s="3" t="str">
        <f t="shared" ref="B5929:B5930" si="3061">CHOOSE(2, "1395000000706", "No. of Sales Proposal Generated")</f>
        <v>No. of Sales Proposal Generated</v>
      </c>
      <c r="C5929" s="4" t="str">
        <f>CHOOSE(2, "5461730030", "Jun 26")</f>
        <v>Jun 26</v>
      </c>
      <c r="D5929" s="2" t="s">
        <v>5</v>
      </c>
    </row>
    <row r="5930" spans="1:4" x14ac:dyDescent="0.35">
      <c r="A5930" s="5" t="str">
        <f t="shared" si="3057"/>
        <v>Agency</v>
      </c>
      <c r="B5930" s="6" t="str">
        <f t="shared" si="3061"/>
        <v>No. of Sales Proposal Generated</v>
      </c>
      <c r="C5930" s="4" t="str">
        <f>CHOOSE(2, "5462030031", "Jul 26")</f>
        <v>Jul 26</v>
      </c>
      <c r="D5930" s="2" t="s">
        <v>5</v>
      </c>
    </row>
    <row r="5931" spans="1:4" x14ac:dyDescent="0.35">
      <c r="A5931" s="5" t="str">
        <f t="shared" si="3057"/>
        <v>Agency</v>
      </c>
      <c r="B5931" s="3" t="str">
        <f t="shared" ref="B5931:B5932" si="3062">CHOOSE(2, "1395000000705", "$ APE from Agents in X tenure")</f>
        <v>$ APE from Agents in X tenure</v>
      </c>
      <c r="C5931" s="4" t="str">
        <f>CHOOSE(2, "5461730030", "Jun 26")</f>
        <v>Jun 26</v>
      </c>
      <c r="D5931" s="14">
        <v>3598313.5864473092</v>
      </c>
    </row>
    <row r="5932" spans="1:4" x14ac:dyDescent="0.35">
      <c r="A5932" s="5" t="str">
        <f t="shared" si="3057"/>
        <v>Agency</v>
      </c>
      <c r="B5932" s="6" t="str">
        <f t="shared" si="3062"/>
        <v>$ APE from Agents in X tenure</v>
      </c>
      <c r="C5932" s="4" t="str">
        <f>CHOOSE(2, "5462030031", "Jul 26")</f>
        <v>Jul 26</v>
      </c>
      <c r="D5932" s="14">
        <v>2986513.5003691399</v>
      </c>
    </row>
    <row r="5933" spans="1:4" x14ac:dyDescent="0.35">
      <c r="A5933" s="5" t="str">
        <f t="shared" si="3057"/>
        <v>Agency</v>
      </c>
      <c r="B5933" s="3" t="str">
        <f t="shared" ref="B5933:B5934" si="3063">CHOOSE(2, "1395000000704", "$ APE from Agents in X tenure in 0-1M")</f>
        <v>$ APE from Agents in X tenure in 0-1M</v>
      </c>
      <c r="C5933" s="4" t="str">
        <f>CHOOSE(2, "5461730030", "Jun 26")</f>
        <v>Jun 26</v>
      </c>
      <c r="D5933" s="14">
        <v>359831.35864473094</v>
      </c>
    </row>
    <row r="5934" spans="1:4" x14ac:dyDescent="0.35">
      <c r="A5934" s="5" t="str">
        <f t="shared" si="3057"/>
        <v>Agency</v>
      </c>
      <c r="B5934" s="6" t="str">
        <f t="shared" si="3063"/>
        <v>$ APE from Agents in X tenure in 0-1M</v>
      </c>
      <c r="C5934" s="4" t="str">
        <f>CHOOSE(2, "5462030031", "Jul 26")</f>
        <v>Jul 26</v>
      </c>
      <c r="D5934" s="14">
        <v>298651.35003691399</v>
      </c>
    </row>
    <row r="5935" spans="1:4" x14ac:dyDescent="0.35">
      <c r="A5935" s="5" t="str">
        <f t="shared" si="3057"/>
        <v>Agency</v>
      </c>
      <c r="B5935" s="3" t="str">
        <f t="shared" ref="B5935:B5936" si="3064">CHOOSE(2, "1395000000703", "$ APE from Agents in X tenure in 2-3M")</f>
        <v>$ APE from Agents in X tenure in 2-3M</v>
      </c>
      <c r="C5935" s="4" t="str">
        <f>CHOOSE(2, "5461730030", "Jun 26")</f>
        <v>Jun 26</v>
      </c>
      <c r="D5935" s="14">
        <v>719662.71728946187</v>
      </c>
    </row>
    <row r="5936" spans="1:4" x14ac:dyDescent="0.35">
      <c r="A5936" s="5" t="str">
        <f t="shared" si="3057"/>
        <v>Agency</v>
      </c>
      <c r="B5936" s="6" t="str">
        <f t="shared" si="3064"/>
        <v>$ APE from Agents in X tenure in 2-3M</v>
      </c>
      <c r="C5936" s="4" t="str">
        <f>CHOOSE(2, "5462030031", "Jul 26")</f>
        <v>Jul 26</v>
      </c>
      <c r="D5936" s="14">
        <v>597302.70007382799</v>
      </c>
    </row>
    <row r="5937" spans="1:4" x14ac:dyDescent="0.35">
      <c r="A5937" s="5" t="str">
        <f t="shared" si="3057"/>
        <v>Agency</v>
      </c>
      <c r="B5937" s="3" t="str">
        <f t="shared" ref="B5937:B5938" si="3065">CHOOSE(2, "1395000000702", "$ APE from Agents in X tenure in 4-12M")</f>
        <v>$ APE from Agents in X tenure in 4-12M</v>
      </c>
      <c r="C5937" s="4" t="str">
        <f>CHOOSE(2, "5461730030", "Jun 26")</f>
        <v>Jun 26</v>
      </c>
      <c r="D5937" s="14">
        <v>1079494.0759341926</v>
      </c>
    </row>
    <row r="5938" spans="1:4" x14ac:dyDescent="0.35">
      <c r="A5938" s="5" t="str">
        <f t="shared" si="3057"/>
        <v>Agency</v>
      </c>
      <c r="B5938" s="6" t="str">
        <f t="shared" si="3065"/>
        <v>$ APE from Agents in X tenure in 4-12M</v>
      </c>
      <c r="C5938" s="4" t="str">
        <f>CHOOSE(2, "5462030031", "Jul 26")</f>
        <v>Jul 26</v>
      </c>
      <c r="D5938" s="14">
        <v>895954.05011074198</v>
      </c>
    </row>
    <row r="5939" spans="1:4" x14ac:dyDescent="0.35">
      <c r="A5939" s="5" t="str">
        <f t="shared" si="3057"/>
        <v>Agency</v>
      </c>
      <c r="B5939" s="3" t="str">
        <f t="shared" ref="B5939:B5940" si="3066">CHOOSE(2, "1395000000701", "$ APE from Agents in X tenure 13+M")</f>
        <v>$ APE from Agents in X tenure 13+M</v>
      </c>
      <c r="C5939" s="4" t="str">
        <f>CHOOSE(2, "5461730030", "Jun 26")</f>
        <v>Jun 26</v>
      </c>
      <c r="D5939" s="14">
        <v>1439325.4345789237</v>
      </c>
    </row>
    <row r="5940" spans="1:4" x14ac:dyDescent="0.35">
      <c r="A5940" s="5" t="str">
        <f t="shared" si="3057"/>
        <v>Agency</v>
      </c>
      <c r="B5940" s="6" t="str">
        <f t="shared" si="3066"/>
        <v>$ APE from Agents in X tenure 13+M</v>
      </c>
      <c r="C5940" s="4" t="str">
        <f>CHOOSE(2, "5462030031", "Jul 26")</f>
        <v>Jul 26</v>
      </c>
      <c r="D5940" s="14">
        <v>1194605.400147656</v>
      </c>
    </row>
    <row r="5941" spans="1:4" x14ac:dyDescent="0.35">
      <c r="A5941" s="5" t="str">
        <f t="shared" si="3057"/>
        <v>Agency</v>
      </c>
      <c r="B5941" s="3" t="str">
        <f t="shared" ref="B5941:B5942" si="3067">CHOOSE(2, "1395000000700", "Total agent headcount (end of period)")</f>
        <v>Total agent headcount (end of period)</v>
      </c>
      <c r="C5941" s="4" t="str">
        <f>CHOOSE(2, "5461730030", "Jun 26")</f>
        <v>Jun 26</v>
      </c>
      <c r="D5941" s="14">
        <v>6237</v>
      </c>
    </row>
    <row r="5942" spans="1:4" x14ac:dyDescent="0.35">
      <c r="A5942" s="5" t="str">
        <f t="shared" si="3057"/>
        <v>Agency</v>
      </c>
      <c r="B5942" s="6" t="str">
        <f t="shared" si="3067"/>
        <v>Total agent headcount (end of period)</v>
      </c>
      <c r="C5942" s="4" t="str">
        <f>CHOOSE(2, "5462030031", "Jul 26")</f>
        <v>Jul 26</v>
      </c>
      <c r="D5942" s="14">
        <v>6385</v>
      </c>
    </row>
    <row r="5943" spans="1:4" x14ac:dyDescent="0.35">
      <c r="A5943" s="5" t="str">
        <f t="shared" si="3057"/>
        <v>Agency</v>
      </c>
      <c r="B5943" s="3" t="str">
        <f t="shared" ref="B5943:B5944" si="3068">CHOOSE(2, "1395000000699", "Total agent headcount (end of period) in 0-1M")</f>
        <v>Total agent headcount (end of period) in 0-1M</v>
      </c>
      <c r="C5943" s="4" t="str">
        <f>CHOOSE(2, "5461730030", "Jun 26")</f>
        <v>Jun 26</v>
      </c>
      <c r="D5943" s="14">
        <v>271</v>
      </c>
    </row>
    <row r="5944" spans="1:4" x14ac:dyDescent="0.35">
      <c r="A5944" s="5" t="str">
        <f t="shared" si="3057"/>
        <v>Agency</v>
      </c>
      <c r="B5944" s="6" t="str">
        <f t="shared" si="3068"/>
        <v>Total agent headcount (end of period) in 0-1M</v>
      </c>
      <c r="C5944" s="4" t="str">
        <f>CHOOSE(2, "5462030031", "Jul 26")</f>
        <v>Jul 26</v>
      </c>
      <c r="D5944" s="14">
        <v>357</v>
      </c>
    </row>
    <row r="5945" spans="1:4" x14ac:dyDescent="0.35">
      <c r="A5945" s="5" t="str">
        <f t="shared" si="3057"/>
        <v>Agency</v>
      </c>
      <c r="B5945" s="3" t="str">
        <f t="shared" ref="B5945:B5946" si="3069">CHOOSE(2, "1395000000698", "Total agent headcount (end of period) in 2-3M")</f>
        <v>Total agent headcount (end of period) in 2-3M</v>
      </c>
      <c r="C5945" s="4" t="str">
        <f>CHOOSE(2, "5461730030", "Jun 26")</f>
        <v>Jun 26</v>
      </c>
      <c r="D5945" s="14">
        <v>558</v>
      </c>
    </row>
    <row r="5946" spans="1:4" x14ac:dyDescent="0.35">
      <c r="A5946" s="5" t="str">
        <f t="shared" si="3057"/>
        <v>Agency</v>
      </c>
      <c r="B5946" s="6" t="str">
        <f t="shared" si="3069"/>
        <v>Total agent headcount (end of period) in 2-3M</v>
      </c>
      <c r="C5946" s="4" t="str">
        <f>CHOOSE(2, "5462030031", "Jul 26")</f>
        <v>Jul 26</v>
      </c>
      <c r="D5946" s="14">
        <v>503</v>
      </c>
    </row>
    <row r="5947" spans="1:4" x14ac:dyDescent="0.35">
      <c r="A5947" s="5" t="str">
        <f t="shared" si="3057"/>
        <v>Agency</v>
      </c>
      <c r="B5947" s="3" t="str">
        <f t="shared" ref="B5947:B5948" si="3070">CHOOSE(2, "1395000000697", "Total agent headcount (end of period) in 4-12M")</f>
        <v>Total agent headcount (end of period) in 4-12M</v>
      </c>
      <c r="C5947" s="4" t="str">
        <f>CHOOSE(2, "5461730030", "Jun 26")</f>
        <v>Jun 26</v>
      </c>
      <c r="D5947" s="14">
        <v>1706</v>
      </c>
    </row>
    <row r="5948" spans="1:4" x14ac:dyDescent="0.35">
      <c r="A5948" s="5" t="str">
        <f t="shared" si="3057"/>
        <v>Agency</v>
      </c>
      <c r="B5948" s="6" t="str">
        <f t="shared" si="3070"/>
        <v>Total agent headcount (end of period) in 4-12M</v>
      </c>
      <c r="C5948" s="4" t="str">
        <f>CHOOSE(2, "5462030031", "Jul 26")</f>
        <v>Jul 26</v>
      </c>
      <c r="D5948" s="14">
        <v>1757</v>
      </c>
    </row>
    <row r="5949" spans="1:4" x14ac:dyDescent="0.35">
      <c r="A5949" s="5" t="str">
        <f t="shared" si="3057"/>
        <v>Agency</v>
      </c>
      <c r="B5949" s="3" t="str">
        <f t="shared" ref="B5949:B5950" si="3071">CHOOSE(2, "1395000000696", "Total agent headcount (end of period) 13+M")</f>
        <v>Total agent headcount (end of period) 13+M</v>
      </c>
      <c r="C5949" s="4" t="str">
        <f>CHOOSE(2, "5461730030", "Jun 26")</f>
        <v>Jun 26</v>
      </c>
      <c r="D5949" s="14">
        <v>3702</v>
      </c>
    </row>
    <row r="5950" spans="1:4" x14ac:dyDescent="0.35">
      <c r="A5950" s="5" t="str">
        <f t="shared" si="3057"/>
        <v>Agency</v>
      </c>
      <c r="B5950" s="6" t="str">
        <f t="shared" si="3071"/>
        <v>Total agent headcount (end of period) 13+M</v>
      </c>
      <c r="C5950" s="4" t="str">
        <f>CHOOSE(2, "5462030031", "Jul 26")</f>
        <v>Jul 26</v>
      </c>
      <c r="D5950" s="14">
        <v>3768</v>
      </c>
    </row>
    <row r="5951" spans="1:4" x14ac:dyDescent="0.35">
      <c r="A5951" s="5" t="str">
        <f t="shared" si="3057"/>
        <v>Agency</v>
      </c>
      <c r="B5951" s="3" t="str">
        <f t="shared" ref="B5951:B5952" si="3072">CHOOSE(2, "1395000000695", "Total agent headcount (end of period) in FA or equivalent")</f>
        <v>Total agent headcount (end of period) in FA or equivalent</v>
      </c>
      <c r="C5951" s="4" t="str">
        <f>CHOOSE(2, "5461730030", "Jun 26")</f>
        <v>Jun 26</v>
      </c>
      <c r="D5951" s="14">
        <v>5200</v>
      </c>
    </row>
    <row r="5952" spans="1:4" x14ac:dyDescent="0.35">
      <c r="A5952" s="5" t="str">
        <f t="shared" si="3057"/>
        <v>Agency</v>
      </c>
      <c r="B5952" s="6" t="str">
        <f t="shared" si="3072"/>
        <v>Total agent headcount (end of period) in FA or equivalent</v>
      </c>
      <c r="C5952" s="4" t="str">
        <f>CHOOSE(2, "5462030031", "Jul 26")</f>
        <v>Jul 26</v>
      </c>
      <c r="D5952" s="14">
        <v>5343</v>
      </c>
    </row>
    <row r="5953" spans="1:4" x14ac:dyDescent="0.35">
      <c r="A5953" s="5" t="str">
        <f t="shared" si="3057"/>
        <v>Agency</v>
      </c>
      <c r="B5953" s="3" t="str">
        <f t="shared" ref="B5953:B5954" si="3073">CHOOSE(2, "1395000000694", "Total agent headcount (end of period) in UM")</f>
        <v>Total agent headcount (end of period) in UM</v>
      </c>
      <c r="C5953" s="4" t="str">
        <f>CHOOSE(2, "5461730030", "Jun 26")</f>
        <v>Jun 26</v>
      </c>
      <c r="D5953" s="14">
        <v>853</v>
      </c>
    </row>
    <row r="5954" spans="1:4" x14ac:dyDescent="0.35">
      <c r="A5954" s="5" t="str">
        <f t="shared" si="3057"/>
        <v>Agency</v>
      </c>
      <c r="B5954" s="6" t="str">
        <f t="shared" si="3073"/>
        <v>Total agent headcount (end of period) in UM</v>
      </c>
      <c r="C5954" s="4" t="str">
        <f>CHOOSE(2, "5462030031", "Jul 26")</f>
        <v>Jul 26</v>
      </c>
      <c r="D5954" s="14">
        <v>853</v>
      </c>
    </row>
    <row r="5955" spans="1:4" x14ac:dyDescent="0.35">
      <c r="A5955" s="5" t="str">
        <f t="shared" si="3057"/>
        <v>Agency</v>
      </c>
      <c r="B5955" s="3" t="str">
        <f t="shared" ref="B5955:B5956" si="3074">CHOOSE(2, "1395000000693", "Total agent headcount (end of period) in Leaders above UM")</f>
        <v>Total agent headcount (end of period) in Leaders above UM</v>
      </c>
      <c r="C5955" s="4" t="str">
        <f>CHOOSE(2, "5461730030", "Jun 26")</f>
        <v>Jun 26</v>
      </c>
      <c r="D5955" s="14">
        <v>184</v>
      </c>
    </row>
    <row r="5956" spans="1:4" x14ac:dyDescent="0.35">
      <c r="A5956" s="5" t="str">
        <f t="shared" si="3057"/>
        <v>Agency</v>
      </c>
      <c r="B5956" s="6" t="str">
        <f t="shared" si="3074"/>
        <v>Total agent headcount (end of period) in Leaders above UM</v>
      </c>
      <c r="C5956" s="4" t="str">
        <f>CHOOSE(2, "5462030031", "Jul 26")</f>
        <v>Jul 26</v>
      </c>
      <c r="D5956" s="14">
        <v>189</v>
      </c>
    </row>
    <row r="5957" spans="1:4" x14ac:dyDescent="0.35">
      <c r="A5957" s="5" t="str">
        <f t="shared" si="3057"/>
        <v>Agency</v>
      </c>
      <c r="B5957" s="3" t="str">
        <f t="shared" ref="B5957:B5958" si="3075">CHOOSE(2, "1395000000692", "Total agent headcount (end of period) in Top-tier agents")</f>
        <v>Total agent headcount (end of period) in Top-tier agents</v>
      </c>
      <c r="C5957" s="4" t="str">
        <f>CHOOSE(2, "5461730030", "Jun 26")</f>
        <v>Jun 26</v>
      </c>
      <c r="D5957" s="2" t="s">
        <v>5</v>
      </c>
    </row>
    <row r="5958" spans="1:4" x14ac:dyDescent="0.35">
      <c r="A5958" s="5" t="str">
        <f t="shared" si="3057"/>
        <v>Agency</v>
      </c>
      <c r="B5958" s="6" t="str">
        <f t="shared" si="3075"/>
        <v>Total agent headcount (end of period) in Top-tier agents</v>
      </c>
      <c r="C5958" s="4" t="str">
        <f>CHOOSE(2, "5462030031", "Jul 26")</f>
        <v>Jul 26</v>
      </c>
      <c r="D5958" s="2" t="s">
        <v>5</v>
      </c>
    </row>
    <row r="5959" spans="1:4" x14ac:dyDescent="0.35">
      <c r="A5959" s="5" t="str">
        <f t="shared" si="3057"/>
        <v>Agency</v>
      </c>
      <c r="B5959" s="3" t="str">
        <f t="shared" ref="B5959:B5960" si="3076">CHOOSE(2, "1395000000691", "Total agent headcount  in pro-rated MDRT agents (&gt;100%)")</f>
        <v>Total agent headcount  in pro-rated MDRT agents (&gt;100%)</v>
      </c>
      <c r="C5959" s="4" t="str">
        <f>CHOOSE(2, "5461730030", "Jun 26")</f>
        <v>Jun 26</v>
      </c>
      <c r="D5959" s="2" t="s">
        <v>5</v>
      </c>
    </row>
    <row r="5960" spans="1:4" x14ac:dyDescent="0.35">
      <c r="A5960" s="5" t="str">
        <f t="shared" si="3057"/>
        <v>Agency</v>
      </c>
      <c r="B5960" s="6" t="str">
        <f t="shared" si="3076"/>
        <v>Total agent headcount  in pro-rated MDRT agents (&gt;100%)</v>
      </c>
      <c r="C5960" s="4" t="str">
        <f>CHOOSE(2, "5462030031", "Jul 26")</f>
        <v>Jul 26</v>
      </c>
      <c r="D5960" s="2" t="s">
        <v>5</v>
      </c>
    </row>
    <row r="5961" spans="1:4" x14ac:dyDescent="0.35">
      <c r="A5961" s="5" t="str">
        <f t="shared" si="3057"/>
        <v>Agency</v>
      </c>
      <c r="B5961" s="3" t="str">
        <f t="shared" ref="B5961:B5962" si="3077">CHOOSE(2, "1395000000690", "Total agent headcount  in pro-rated MDRT agents (70-99%)")</f>
        <v>Total agent headcount  in pro-rated MDRT agents (70-99%)</v>
      </c>
      <c r="C5961" s="4" t="str">
        <f>CHOOSE(2, "5461730030", "Jun 26")</f>
        <v>Jun 26</v>
      </c>
      <c r="D5961" s="2" t="s">
        <v>5</v>
      </c>
    </row>
    <row r="5962" spans="1:4" x14ac:dyDescent="0.35">
      <c r="A5962" s="5" t="str">
        <f t="shared" si="3057"/>
        <v>Agency</v>
      </c>
      <c r="B5962" s="6" t="str">
        <f t="shared" si="3077"/>
        <v>Total agent headcount  in pro-rated MDRT agents (70-99%)</v>
      </c>
      <c r="C5962" s="4" t="str">
        <f>CHOOSE(2, "5462030031", "Jul 26")</f>
        <v>Jul 26</v>
      </c>
      <c r="D5962" s="2" t="s">
        <v>5</v>
      </c>
    </row>
    <row r="5963" spans="1:4" x14ac:dyDescent="0.35">
      <c r="A5963" s="5" t="str">
        <f t="shared" si="3057"/>
        <v>Agency</v>
      </c>
      <c r="B5963" s="3" t="str">
        <f t="shared" ref="B5963:B5964" si="3078">CHOOSE(2, "1395000000689", "Total agent headcount  in pro-rated MDRT agents (50-69%)")</f>
        <v>Total agent headcount  in pro-rated MDRT agents (50-69%)</v>
      </c>
      <c r="C5963" s="4" t="str">
        <f>CHOOSE(2, "5461730030", "Jun 26")</f>
        <v>Jun 26</v>
      </c>
      <c r="D5963" s="2" t="s">
        <v>5</v>
      </c>
    </row>
    <row r="5964" spans="1:4" x14ac:dyDescent="0.35">
      <c r="A5964" s="5" t="str">
        <f t="shared" si="3057"/>
        <v>Agency</v>
      </c>
      <c r="B5964" s="6" t="str">
        <f t="shared" si="3078"/>
        <v>Total agent headcount  in pro-rated MDRT agents (50-69%)</v>
      </c>
      <c r="C5964" s="4" t="str">
        <f>CHOOSE(2, "5462030031", "Jul 26")</f>
        <v>Jul 26</v>
      </c>
      <c r="D5964" s="2" t="s">
        <v>5</v>
      </c>
    </row>
    <row r="5965" spans="1:4" x14ac:dyDescent="0.35">
      <c r="A5965" s="5" t="str">
        <f t="shared" si="3057"/>
        <v>Agency</v>
      </c>
      <c r="B5965" s="3" t="str">
        <f t="shared" ref="B5965:B5966" si="3079">CHOOSE(2, "1395000000688", "Total agent headcount  in Manulife Pro Qualifiers - Total")</f>
        <v>Total agent headcount  in Manulife Pro Qualifiers - Total</v>
      </c>
      <c r="C5965" s="4" t="str">
        <f>CHOOSE(2, "5461730030", "Jun 26")</f>
        <v>Jun 26</v>
      </c>
      <c r="D5965" s="2" t="s">
        <v>5</v>
      </c>
    </row>
    <row r="5966" spans="1:4" x14ac:dyDescent="0.35">
      <c r="A5966" s="5" t="str">
        <f t="shared" si="3057"/>
        <v>Agency</v>
      </c>
      <c r="B5966" s="6" t="str">
        <f t="shared" si="3079"/>
        <v>Total agent headcount  in Manulife Pro Qualifiers - Total</v>
      </c>
      <c r="C5966" s="4" t="str">
        <f>CHOOSE(2, "5462030031", "Jul 26")</f>
        <v>Jul 26</v>
      </c>
      <c r="D5966" s="2" t="s">
        <v>5</v>
      </c>
    </row>
    <row r="5967" spans="1:4" x14ac:dyDescent="0.35">
      <c r="A5967" s="5" t="str">
        <f t="shared" si="3057"/>
        <v>Agency</v>
      </c>
      <c r="B5967" s="3" t="str">
        <f t="shared" ref="B5967:B5968" si="3080">CHOOSE(2, "1395000000687", "New recruits")</f>
        <v>New recruits</v>
      </c>
      <c r="C5967" s="4" t="str">
        <f>CHOOSE(2, "5461730030", "Jun 26")</f>
        <v>Jun 26</v>
      </c>
      <c r="D5967" s="14">
        <v>271</v>
      </c>
    </row>
    <row r="5968" spans="1:4" x14ac:dyDescent="0.35">
      <c r="A5968" s="5" t="str">
        <f t="shared" si="3057"/>
        <v>Agency</v>
      </c>
      <c r="B5968" s="6" t="str">
        <f t="shared" si="3080"/>
        <v>New recruits</v>
      </c>
      <c r="C5968" s="4" t="str">
        <f>CHOOSE(2, "5462030031", "Jul 26")</f>
        <v>Jul 26</v>
      </c>
      <c r="D5968" s="14">
        <v>357</v>
      </c>
    </row>
    <row r="5969" spans="1:4" x14ac:dyDescent="0.35">
      <c r="A5969" s="5" t="str">
        <f t="shared" si="3057"/>
        <v>Agency</v>
      </c>
      <c r="B5969" s="3" t="str">
        <f t="shared" ref="B5969:B5970" si="3081">CHOOSE(2, "1395000000686", "New recruits - Leader level")</f>
        <v>New recruits - Leader level</v>
      </c>
      <c r="C5969" s="4" t="str">
        <f>CHOOSE(2, "5461730030", "Jun 26")</f>
        <v>Jun 26</v>
      </c>
      <c r="D5969" s="2" t="s">
        <v>5</v>
      </c>
    </row>
    <row r="5970" spans="1:4" x14ac:dyDescent="0.35">
      <c r="A5970" s="5" t="str">
        <f t="shared" si="3057"/>
        <v>Agency</v>
      </c>
      <c r="B5970" s="6" t="str">
        <f t="shared" si="3081"/>
        <v>New recruits - Leader level</v>
      </c>
      <c r="C5970" s="4" t="str">
        <f>CHOOSE(2, "5462030031", "Jul 26")</f>
        <v>Jul 26</v>
      </c>
      <c r="D5970" s="2" t="s">
        <v>5</v>
      </c>
    </row>
    <row r="5971" spans="1:4" x14ac:dyDescent="0.35">
      <c r="A5971" s="5" t="str">
        <f t="shared" si="3057"/>
        <v>Agency</v>
      </c>
      <c r="B5971" s="3" t="str">
        <f t="shared" ref="B5971:B5972" si="3082">CHOOSE(2, "1395000000685", "New recruits - FA or equivalent")</f>
        <v>New recruits - FA or equivalent</v>
      </c>
      <c r="C5971" s="4" t="str">
        <f>CHOOSE(2, "5461730030", "Jun 26")</f>
        <v>Jun 26</v>
      </c>
      <c r="D5971" s="14">
        <v>251</v>
      </c>
    </row>
    <row r="5972" spans="1:4" x14ac:dyDescent="0.35">
      <c r="A5972" s="5" t="str">
        <f t="shared" si="3057"/>
        <v>Agency</v>
      </c>
      <c r="B5972" s="6" t="str">
        <f t="shared" si="3082"/>
        <v>New recruits - FA or equivalent</v>
      </c>
      <c r="C5972" s="4" t="str">
        <f>CHOOSE(2, "5462030031", "Jul 26")</f>
        <v>Jul 26</v>
      </c>
      <c r="D5972" s="14">
        <v>330</v>
      </c>
    </row>
    <row r="5973" spans="1:4" x14ac:dyDescent="0.35">
      <c r="A5973" s="5" t="str">
        <f t="shared" si="3057"/>
        <v>Agency</v>
      </c>
      <c r="B5973" s="3" t="str">
        <f t="shared" ref="B5973:B5974" si="3083">CHOOSE(2, "1395000000684", "New recruits in UM")</f>
        <v>New recruits in UM</v>
      </c>
      <c r="C5973" s="4" t="str">
        <f>CHOOSE(2, "5461730030", "Jun 26")</f>
        <v>Jun 26</v>
      </c>
      <c r="D5973" s="14">
        <v>18</v>
      </c>
    </row>
    <row r="5974" spans="1:4" x14ac:dyDescent="0.35">
      <c r="A5974" s="5" t="str">
        <f t="shared" si="3057"/>
        <v>Agency</v>
      </c>
      <c r="B5974" s="6" t="str">
        <f t="shared" si="3083"/>
        <v>New recruits in UM</v>
      </c>
      <c r="C5974" s="4" t="str">
        <f>CHOOSE(2, "5462030031", "Jul 26")</f>
        <v>Jul 26</v>
      </c>
      <c r="D5974" s="14">
        <v>21</v>
      </c>
    </row>
    <row r="5975" spans="1:4" x14ac:dyDescent="0.35">
      <c r="A5975" s="5" t="str">
        <f t="shared" si="3057"/>
        <v>Agency</v>
      </c>
      <c r="B5975" s="3" t="str">
        <f t="shared" ref="B5975:B5976" si="3084">CHOOSE(2, "1395000000683", "New recruits in Leaders above UM")</f>
        <v>New recruits in Leaders above UM</v>
      </c>
      <c r="C5975" s="4" t="str">
        <f>CHOOSE(2, "5461730030", "Jun 26")</f>
        <v>Jun 26</v>
      </c>
      <c r="D5975" s="14">
        <v>2</v>
      </c>
    </row>
    <row r="5976" spans="1:4" x14ac:dyDescent="0.35">
      <c r="A5976" s="5" t="str">
        <f t="shared" si="3057"/>
        <v>Agency</v>
      </c>
      <c r="B5976" s="6" t="str">
        <f t="shared" si="3084"/>
        <v>New recruits in Leaders above UM</v>
      </c>
      <c r="C5976" s="4" t="str">
        <f>CHOOSE(2, "5462030031", "Jul 26")</f>
        <v>Jul 26</v>
      </c>
      <c r="D5976" s="14">
        <v>6</v>
      </c>
    </row>
    <row r="5977" spans="1:4" x14ac:dyDescent="0.35">
      <c r="A5977" s="5" t="str">
        <f t="shared" si="3057"/>
        <v>Agency</v>
      </c>
      <c r="B5977" s="3" t="str">
        <f t="shared" ref="B5977:B5978" si="3085">CHOOSE(2, "1395000000682", "# of 6-90 agents")</f>
        <v># of 6-90 agents</v>
      </c>
      <c r="C5977" s="4" t="str">
        <f>CHOOSE(2, "5461730030", "Jun 26")</f>
        <v>Jun 26</v>
      </c>
      <c r="D5977" s="14">
        <v>38</v>
      </c>
    </row>
    <row r="5978" spans="1:4" x14ac:dyDescent="0.35">
      <c r="A5978" s="5" t="str">
        <f t="shared" si="3057"/>
        <v>Agency</v>
      </c>
      <c r="B5978" s="6" t="str">
        <f t="shared" si="3085"/>
        <v># of 6-90 agents</v>
      </c>
      <c r="C5978" s="4" t="str">
        <f>CHOOSE(2, "5462030031", "Jul 26")</f>
        <v>Jul 26</v>
      </c>
      <c r="D5978" s="14">
        <v>27</v>
      </c>
    </row>
    <row r="5979" spans="1:4" x14ac:dyDescent="0.35">
      <c r="A5979" s="5" t="str">
        <f t="shared" si="3057"/>
        <v>Agency</v>
      </c>
      <c r="B5979" s="3" t="str">
        <f t="shared" ref="B5979:B5980" si="3086">CHOOSE(2, "1395000000681", "New Recruits 3M Activation #")</f>
        <v>New Recruits 3M Activation #</v>
      </c>
      <c r="C5979" s="4" t="str">
        <f>CHOOSE(2, "5461730030", "Jun 26")</f>
        <v>Jun 26</v>
      </c>
      <c r="D5979" s="14">
        <v>174</v>
      </c>
    </row>
    <row r="5980" spans="1:4" x14ac:dyDescent="0.35">
      <c r="A5980" s="5" t="str">
        <f t="shared" si="3057"/>
        <v>Agency</v>
      </c>
      <c r="B5980" s="6" t="str">
        <f t="shared" si="3086"/>
        <v>New Recruits 3M Activation #</v>
      </c>
      <c r="C5980" s="4" t="str">
        <f>CHOOSE(2, "5462030031", "Jul 26")</f>
        <v>Jul 26</v>
      </c>
      <c r="D5980" s="14">
        <v>126</v>
      </c>
    </row>
    <row r="5981" spans="1:4" x14ac:dyDescent="0.35">
      <c r="A5981" s="5" t="str">
        <f t="shared" si="3057"/>
        <v>Agency</v>
      </c>
      <c r="B5981" s="3" t="str">
        <f t="shared" ref="B5981:B5982" si="3087">CHOOSE(2, "1395000000680", "No of Terminations")</f>
        <v>No of Terminations</v>
      </c>
      <c r="C5981" s="4" t="str">
        <f>CHOOSE(2, "5461730030", "Jun 26")</f>
        <v>Jun 26</v>
      </c>
      <c r="D5981" s="14">
        <v>1461</v>
      </c>
    </row>
    <row r="5982" spans="1:4" x14ac:dyDescent="0.35">
      <c r="A5982" s="5" t="str">
        <f t="shared" si="3057"/>
        <v>Agency</v>
      </c>
      <c r="B5982" s="6" t="str">
        <f t="shared" si="3087"/>
        <v>No of Terminations</v>
      </c>
      <c r="C5982" s="4" t="str">
        <f>CHOOSE(2, "5462030031", "Jul 26")</f>
        <v>Jul 26</v>
      </c>
      <c r="D5982" s="14">
        <v>265</v>
      </c>
    </row>
    <row r="5983" spans="1:4" x14ac:dyDescent="0.35">
      <c r="A5983" s="5" t="str">
        <f t="shared" si="3057"/>
        <v>Agency</v>
      </c>
      <c r="B5983" s="3" t="str">
        <f t="shared" ref="B5983:B5984" si="3088">CHOOSE(2, "1395000000679", "No of Terminations in FA or equivalent")</f>
        <v>No of Terminations in FA or equivalent</v>
      </c>
      <c r="C5983" s="4" t="str">
        <f>CHOOSE(2, "5461730030", "Jun 26")</f>
        <v>Jun 26</v>
      </c>
      <c r="D5983" s="14">
        <v>1437</v>
      </c>
    </row>
    <row r="5984" spans="1:4" x14ac:dyDescent="0.35">
      <c r="A5984" s="5" t="str">
        <f t="shared" si="3057"/>
        <v>Agency</v>
      </c>
      <c r="B5984" s="6" t="str">
        <f t="shared" si="3088"/>
        <v>No of Terminations in FA or equivalent</v>
      </c>
      <c r="C5984" s="4" t="str">
        <f>CHOOSE(2, "5462030031", "Jul 26")</f>
        <v>Jul 26</v>
      </c>
      <c r="D5984" s="14">
        <v>256</v>
      </c>
    </row>
    <row r="5985" spans="1:4" x14ac:dyDescent="0.35">
      <c r="A5985" s="5" t="str">
        <f t="shared" si="3057"/>
        <v>Agency</v>
      </c>
      <c r="B5985" s="3" t="str">
        <f t="shared" ref="B5985:B5986" si="3089">CHOOSE(2, "1395000000678", "No of Terminations in UM")</f>
        <v>No of Terminations in UM</v>
      </c>
      <c r="C5985" s="4" t="str">
        <f>CHOOSE(2, "5461730030", "Jun 26")</f>
        <v>Jun 26</v>
      </c>
      <c r="D5985" s="14">
        <v>15</v>
      </c>
    </row>
    <row r="5986" spans="1:4" x14ac:dyDescent="0.35">
      <c r="A5986" s="5" t="str">
        <f t="shared" si="3057"/>
        <v>Agency</v>
      </c>
      <c r="B5986" s="6" t="str">
        <f t="shared" si="3089"/>
        <v>No of Terminations in UM</v>
      </c>
      <c r="C5986" s="4" t="str">
        <f>CHOOSE(2, "5462030031", "Jul 26")</f>
        <v>Jul 26</v>
      </c>
      <c r="D5986" s="14">
        <v>8</v>
      </c>
    </row>
    <row r="5987" spans="1:4" x14ac:dyDescent="0.35">
      <c r="A5987" s="5" t="str">
        <f t="shared" ref="A5987:A6050" si="3090">CHOOSE(2, "1260000000007", "Agency")</f>
        <v>Agency</v>
      </c>
      <c r="B5987" s="3" t="str">
        <f t="shared" ref="B5987:B5988" si="3091">CHOOSE(2, "1395000000677", "No of Terminations in Leaders above UM")</f>
        <v>No of Terminations in Leaders above UM</v>
      </c>
      <c r="C5987" s="4" t="str">
        <f>CHOOSE(2, "5461730030", "Jun 26")</f>
        <v>Jun 26</v>
      </c>
      <c r="D5987" s="14">
        <v>9</v>
      </c>
    </row>
    <row r="5988" spans="1:4" x14ac:dyDescent="0.35">
      <c r="A5988" s="5" t="str">
        <f t="shared" si="3090"/>
        <v>Agency</v>
      </c>
      <c r="B5988" s="6" t="str">
        <f t="shared" si="3091"/>
        <v>No of Terminations in Leaders above UM</v>
      </c>
      <c r="C5988" s="4" t="str">
        <f>CHOOSE(2, "5462030031", "Jul 26")</f>
        <v>Jul 26</v>
      </c>
      <c r="D5988" s="14">
        <v>1</v>
      </c>
    </row>
    <row r="5989" spans="1:4" x14ac:dyDescent="0.35">
      <c r="A5989" s="5" t="str">
        <f t="shared" si="3090"/>
        <v>Agency</v>
      </c>
      <c r="B5989" s="3" t="str">
        <f t="shared" ref="B5989:B5990" si="3092">CHOOSE(2, "1395000000676", "No of Terminations in Top-tier Agents")</f>
        <v>No of Terminations in Top-tier Agents</v>
      </c>
      <c r="C5989" s="4" t="str">
        <f>CHOOSE(2, "5461730030", "Jun 26")</f>
        <v>Jun 26</v>
      </c>
      <c r="D5989" s="2" t="s">
        <v>5</v>
      </c>
    </row>
    <row r="5990" spans="1:4" x14ac:dyDescent="0.35">
      <c r="A5990" s="5" t="str">
        <f t="shared" si="3090"/>
        <v>Agency</v>
      </c>
      <c r="B5990" s="6" t="str">
        <f t="shared" si="3092"/>
        <v>No of Terminations in Top-tier Agents</v>
      </c>
      <c r="C5990" s="4" t="str">
        <f>CHOOSE(2, "5462030031", "Jul 26")</f>
        <v>Jul 26</v>
      </c>
      <c r="D5990" s="2" t="s">
        <v>5</v>
      </c>
    </row>
    <row r="5991" spans="1:4" x14ac:dyDescent="0.35">
      <c r="A5991" s="5" t="str">
        <f t="shared" si="3090"/>
        <v>Agency</v>
      </c>
      <c r="B5991" s="3" t="str">
        <f t="shared" ref="B5991:B5992" si="3093">CHOOSE(2, "1395000000675", "No of Terminations in pro-rated MDRT agents (&gt;100%)")</f>
        <v>No of Terminations in pro-rated MDRT agents (&gt;100%)</v>
      </c>
      <c r="C5991" s="4" t="str">
        <f>CHOOSE(2, "5461730030", "Jun 26")</f>
        <v>Jun 26</v>
      </c>
      <c r="D5991" s="2" t="s">
        <v>5</v>
      </c>
    </row>
    <row r="5992" spans="1:4" x14ac:dyDescent="0.35">
      <c r="A5992" s="5" t="str">
        <f t="shared" si="3090"/>
        <v>Agency</v>
      </c>
      <c r="B5992" s="6" t="str">
        <f t="shared" si="3093"/>
        <v>No of Terminations in pro-rated MDRT agents (&gt;100%)</v>
      </c>
      <c r="C5992" s="4" t="str">
        <f>CHOOSE(2, "5462030031", "Jul 26")</f>
        <v>Jul 26</v>
      </c>
      <c r="D5992" s="2" t="s">
        <v>5</v>
      </c>
    </row>
    <row r="5993" spans="1:4" x14ac:dyDescent="0.35">
      <c r="A5993" s="5" t="str">
        <f t="shared" si="3090"/>
        <v>Agency</v>
      </c>
      <c r="B5993" s="3" t="str">
        <f t="shared" ref="B5993:B5994" si="3094">CHOOSE(2, "1395000000674", "No of Terminations in pro-rated MDRT agents (70-99%)")</f>
        <v>No of Terminations in pro-rated MDRT agents (70-99%)</v>
      </c>
      <c r="C5993" s="4" t="str">
        <f>CHOOSE(2, "5461730030", "Jun 26")</f>
        <v>Jun 26</v>
      </c>
      <c r="D5993" s="2" t="s">
        <v>5</v>
      </c>
    </row>
    <row r="5994" spans="1:4" x14ac:dyDescent="0.35">
      <c r="A5994" s="5" t="str">
        <f t="shared" si="3090"/>
        <v>Agency</v>
      </c>
      <c r="B5994" s="6" t="str">
        <f t="shared" si="3094"/>
        <v>No of Terminations in pro-rated MDRT agents (70-99%)</v>
      </c>
      <c r="C5994" s="4" t="str">
        <f>CHOOSE(2, "5462030031", "Jul 26")</f>
        <v>Jul 26</v>
      </c>
      <c r="D5994" s="2" t="s">
        <v>5</v>
      </c>
    </row>
    <row r="5995" spans="1:4" x14ac:dyDescent="0.35">
      <c r="A5995" s="5" t="str">
        <f t="shared" si="3090"/>
        <v>Agency</v>
      </c>
      <c r="B5995" s="3" t="str">
        <f t="shared" ref="B5995:B5996" si="3095">CHOOSE(2, "1395000000673", "No of Terminations in pro-rated MDRT agents (50-69%)")</f>
        <v>No of Terminations in pro-rated MDRT agents (50-69%)</v>
      </c>
      <c r="C5995" s="4" t="str">
        <f>CHOOSE(2, "5461730030", "Jun 26")</f>
        <v>Jun 26</v>
      </c>
      <c r="D5995" s="2" t="s">
        <v>5</v>
      </c>
    </row>
    <row r="5996" spans="1:4" x14ac:dyDescent="0.35">
      <c r="A5996" s="5" t="str">
        <f t="shared" si="3090"/>
        <v>Agency</v>
      </c>
      <c r="B5996" s="6" t="str">
        <f t="shared" si="3095"/>
        <v>No of Terminations in pro-rated MDRT agents (50-69%)</v>
      </c>
      <c r="C5996" s="4" t="str">
        <f>CHOOSE(2, "5462030031", "Jul 26")</f>
        <v>Jul 26</v>
      </c>
      <c r="D5996" s="2" t="s">
        <v>5</v>
      </c>
    </row>
    <row r="5997" spans="1:4" x14ac:dyDescent="0.35">
      <c r="A5997" s="5" t="str">
        <f t="shared" si="3090"/>
        <v>Agency</v>
      </c>
      <c r="B5997" s="3" t="str">
        <f t="shared" ref="B5997:B5998" si="3096">CHOOSE(2, "1395000000672", "No of Terminations in Manulife Pro Qualifiers - Total")</f>
        <v>No of Terminations in Manulife Pro Qualifiers - Total</v>
      </c>
      <c r="C5997" s="4" t="str">
        <f>CHOOSE(2, "5461730030", "Jun 26")</f>
        <v>Jun 26</v>
      </c>
      <c r="D5997" s="2" t="s">
        <v>5</v>
      </c>
    </row>
    <row r="5998" spans="1:4" x14ac:dyDescent="0.35">
      <c r="A5998" s="5" t="str">
        <f t="shared" si="3090"/>
        <v>Agency</v>
      </c>
      <c r="B5998" s="6" t="str">
        <f t="shared" si="3096"/>
        <v>No of Terminations in Manulife Pro Qualifiers - Total</v>
      </c>
      <c r="C5998" s="4" t="str">
        <f>CHOOSE(2, "5462030031", "Jul 26")</f>
        <v>Jul 26</v>
      </c>
      <c r="D5998" s="2" t="s">
        <v>5</v>
      </c>
    </row>
    <row r="5999" spans="1:4" x14ac:dyDescent="0.35">
      <c r="A5999" s="5" t="str">
        <f t="shared" si="3090"/>
        <v>Agency</v>
      </c>
      <c r="B5999" s="3" t="str">
        <f t="shared" ref="B5999:B6000" si="3097">CHOOSE(2, "1395000000671", "First Year Agents Terminated without Sales")</f>
        <v>First Year Agents Terminated without Sales</v>
      </c>
      <c r="C5999" s="4" t="str">
        <f>CHOOSE(2, "5461730030", "Jun 26")</f>
        <v>Jun 26</v>
      </c>
      <c r="D5999" s="14">
        <v>476</v>
      </c>
    </row>
    <row r="6000" spans="1:4" x14ac:dyDescent="0.35">
      <c r="A6000" s="5" t="str">
        <f t="shared" si="3090"/>
        <v>Agency</v>
      </c>
      <c r="B6000" s="6" t="str">
        <f t="shared" si="3097"/>
        <v>First Year Agents Terminated without Sales</v>
      </c>
      <c r="C6000" s="4" t="str">
        <f>CHOOSE(2, "5462030031", "Jul 26")</f>
        <v>Jul 26</v>
      </c>
      <c r="D6000" s="14">
        <v>43</v>
      </c>
    </row>
    <row r="6001" spans="1:4" x14ac:dyDescent="0.35">
      <c r="A6001" s="5" t="str">
        <f t="shared" si="3090"/>
        <v>Agency</v>
      </c>
      <c r="B6001" s="3" t="str">
        <f t="shared" ref="B6001:B6002" si="3098">CHOOSE(2, "1395000000670", "6mth Agency Retention Ratio")</f>
        <v>6mth Agency Retention Ratio</v>
      </c>
      <c r="C6001" s="4" t="str">
        <f>CHOOSE(2, "5461730030", "Jun 26")</f>
        <v>Jun 26</v>
      </c>
      <c r="D6001" s="14">
        <v>0.900034</v>
      </c>
    </row>
    <row r="6002" spans="1:4" x14ac:dyDescent="0.35">
      <c r="A6002" s="5" t="str">
        <f t="shared" si="3090"/>
        <v>Agency</v>
      </c>
      <c r="B6002" s="6" t="str">
        <f t="shared" si="3098"/>
        <v>6mth Agency Retention Ratio</v>
      </c>
      <c r="C6002" s="4" t="str">
        <f>CHOOSE(2, "5462030031", "Jul 26")</f>
        <v>Jul 26</v>
      </c>
      <c r="D6002" s="14">
        <v>0.89251400000000003</v>
      </c>
    </row>
    <row r="6003" spans="1:4" x14ac:dyDescent="0.35">
      <c r="A6003" s="5" t="str">
        <f t="shared" si="3090"/>
        <v>Agency</v>
      </c>
      <c r="B6003" s="3" t="str">
        <f t="shared" ref="B6003:B6004" si="3099">CHOOSE(2, "1395000000669", "12mth Agency Retention Ratio")</f>
        <v>12mth Agency Retention Ratio</v>
      </c>
      <c r="C6003" s="4" t="str">
        <f>CHOOSE(2, "5461730030", "Jun 26")</f>
        <v>Jun 26</v>
      </c>
      <c r="D6003" s="14">
        <v>0.614591</v>
      </c>
    </row>
    <row r="6004" spans="1:4" x14ac:dyDescent="0.35">
      <c r="A6004" s="5" t="str">
        <f t="shared" si="3090"/>
        <v>Agency</v>
      </c>
      <c r="B6004" s="6" t="str">
        <f t="shared" si="3099"/>
        <v>12mth Agency Retention Ratio</v>
      </c>
      <c r="C6004" s="4" t="str">
        <f>CHOOSE(2, "5462030031", "Jul 26")</f>
        <v>Jul 26</v>
      </c>
      <c r="D6004" s="14">
        <v>0.59648900000000005</v>
      </c>
    </row>
    <row r="6005" spans="1:4" x14ac:dyDescent="0.35">
      <c r="A6005" s="5" t="str">
        <f t="shared" si="3090"/>
        <v>Agency</v>
      </c>
      <c r="B6005" s="3" t="str">
        <f t="shared" ref="B6005:B6006" si="3100">CHOOSE(2, "1395000000668", "24mth Agency Retention Ratio")</f>
        <v>24mth Agency Retention Ratio</v>
      </c>
      <c r="C6005" s="4" t="str">
        <f>CHOOSE(2, "5461730030", "Jun 26")</f>
        <v>Jun 26</v>
      </c>
      <c r="D6005" s="14">
        <v>0.20318600000000001</v>
      </c>
    </row>
    <row r="6006" spans="1:4" x14ac:dyDescent="0.35">
      <c r="A6006" s="5" t="str">
        <f t="shared" si="3090"/>
        <v>Agency</v>
      </c>
      <c r="B6006" s="6" t="str">
        <f t="shared" si="3100"/>
        <v>24mth Agency Retention Ratio</v>
      </c>
      <c r="C6006" s="4" t="str">
        <f>CHOOSE(2, "5462030031", "Jul 26")</f>
        <v>Jul 26</v>
      </c>
      <c r="D6006" s="14">
        <v>0.19195100000000001</v>
      </c>
    </row>
    <row r="6007" spans="1:4" x14ac:dyDescent="0.35">
      <c r="A6007" s="5" t="str">
        <f t="shared" si="3090"/>
        <v>Agency</v>
      </c>
      <c r="B6007" s="3" t="str">
        <f t="shared" ref="B6007:B6008" si="3101">CHOOSE(2, "1395000000667", "Total # of Leaders (end of period)")</f>
        <v>Total # of Leaders (end of period)</v>
      </c>
      <c r="C6007" s="4" t="str">
        <f>CHOOSE(2, "5461730030", "Jun 26")</f>
        <v>Jun 26</v>
      </c>
      <c r="D6007" s="14">
        <v>1037</v>
      </c>
    </row>
    <row r="6008" spans="1:4" x14ac:dyDescent="0.35">
      <c r="A6008" s="5" t="str">
        <f t="shared" si="3090"/>
        <v>Agency</v>
      </c>
      <c r="B6008" s="6" t="str">
        <f t="shared" si="3101"/>
        <v>Total # of Leaders (end of period)</v>
      </c>
      <c r="C6008" s="4" t="str">
        <f>CHOOSE(2, "5462030031", "Jul 26")</f>
        <v>Jul 26</v>
      </c>
      <c r="D6008" s="14">
        <v>1042</v>
      </c>
    </row>
    <row r="6009" spans="1:4" x14ac:dyDescent="0.35">
      <c r="A6009" s="5" t="str">
        <f t="shared" si="3090"/>
        <v>Agency</v>
      </c>
      <c r="B6009" s="3" t="str">
        <f t="shared" ref="B6009:B6010" si="3102">CHOOSE(2, "1395000000666", "Total # of Unit Managers")</f>
        <v>Total # of Unit Managers</v>
      </c>
      <c r="C6009" s="4" t="str">
        <f>CHOOSE(2, "5461730030", "Jun 26")</f>
        <v>Jun 26</v>
      </c>
      <c r="D6009" s="14">
        <v>853</v>
      </c>
    </row>
    <row r="6010" spans="1:4" x14ac:dyDescent="0.35">
      <c r="A6010" s="5" t="str">
        <f t="shared" si="3090"/>
        <v>Agency</v>
      </c>
      <c r="B6010" s="6" t="str">
        <f t="shared" si="3102"/>
        <v>Total # of Unit Managers</v>
      </c>
      <c r="C6010" s="4" t="str">
        <f>CHOOSE(2, "5462030031", "Jul 26")</f>
        <v>Jul 26</v>
      </c>
      <c r="D6010" s="14">
        <v>853</v>
      </c>
    </row>
    <row r="6011" spans="1:4" x14ac:dyDescent="0.35">
      <c r="A6011" s="5" t="str">
        <f t="shared" si="3090"/>
        <v>Agency</v>
      </c>
      <c r="B6011" s="3" t="str">
        <f t="shared" ref="B6011:B6012" si="3103">CHOOSE(2, "1395000000665", "Total # of Leaders above Unit Manager level")</f>
        <v>Total # of Leaders above Unit Manager level</v>
      </c>
      <c r="C6011" s="4" t="str">
        <f>CHOOSE(2, "5461730030", "Jun 26")</f>
        <v>Jun 26</v>
      </c>
      <c r="D6011" s="14">
        <v>184</v>
      </c>
    </row>
    <row r="6012" spans="1:4" x14ac:dyDescent="0.35">
      <c r="A6012" s="5" t="str">
        <f t="shared" si="3090"/>
        <v>Agency</v>
      </c>
      <c r="B6012" s="6" t="str">
        <f t="shared" si="3103"/>
        <v>Total # of Leaders above Unit Manager level</v>
      </c>
      <c r="C6012" s="4" t="str">
        <f>CHOOSE(2, "5462030031", "Jul 26")</f>
        <v>Jul 26</v>
      </c>
      <c r="D6012" s="14">
        <v>189</v>
      </c>
    </row>
    <row r="6013" spans="1:4" x14ac:dyDescent="0.35">
      <c r="A6013" s="5" t="str">
        <f t="shared" si="3090"/>
        <v>Agency</v>
      </c>
      <c r="B6013" s="3" t="str">
        <f t="shared" ref="B6013:B6014" si="3104">CHOOSE(2, "1395000000664", "Total # of Agents below Unit Manager level (end of period)")</f>
        <v>Total # of Agents below Unit Manager level (end of period)</v>
      </c>
      <c r="C6013" s="4" t="str">
        <f>CHOOSE(2, "5461730030", "Jun 26")</f>
        <v>Jun 26</v>
      </c>
      <c r="D6013" s="14">
        <v>5200</v>
      </c>
    </row>
    <row r="6014" spans="1:4" x14ac:dyDescent="0.35">
      <c r="A6014" s="5" t="str">
        <f t="shared" si="3090"/>
        <v>Agency</v>
      </c>
      <c r="B6014" s="6" t="str">
        <f t="shared" si="3104"/>
        <v>Total # of Agents below Unit Manager level (end of period)</v>
      </c>
      <c r="C6014" s="4" t="str">
        <f>CHOOSE(2, "5462030031", "Jul 26")</f>
        <v>Jul 26</v>
      </c>
      <c r="D6014" s="14">
        <v>5343</v>
      </c>
    </row>
    <row r="6015" spans="1:4" x14ac:dyDescent="0.35">
      <c r="A6015" s="5" t="str">
        <f t="shared" si="3090"/>
        <v>Agency</v>
      </c>
      <c r="B6015" s="3" t="str">
        <f t="shared" ref="B6015:B6016" si="3105">CHOOSE(2, "1395000000663", "# of Active Recruiting Leaders")</f>
        <v># of Active Recruiting Leaders</v>
      </c>
      <c r="C6015" s="4" t="str">
        <f>CHOOSE(2, "5461730030", "Jun 26")</f>
        <v>Jun 26</v>
      </c>
      <c r="D6015" s="14">
        <v>99</v>
      </c>
    </row>
    <row r="6016" spans="1:4" x14ac:dyDescent="0.35">
      <c r="A6016" s="5" t="str">
        <f t="shared" si="3090"/>
        <v>Agency</v>
      </c>
      <c r="B6016" s="6" t="str">
        <f t="shared" si="3105"/>
        <v># of Active Recruiting Leaders</v>
      </c>
      <c r="C6016" s="4" t="str">
        <f>CHOOSE(2, "5462030031", "Jul 26")</f>
        <v>Jul 26</v>
      </c>
      <c r="D6016" s="14">
        <v>143</v>
      </c>
    </row>
    <row r="6017" spans="1:4" x14ac:dyDescent="0.35">
      <c r="A6017" s="5" t="str">
        <f t="shared" si="3090"/>
        <v>Agency</v>
      </c>
      <c r="B6017" s="3" t="str">
        <f t="shared" ref="B6017:B6018" si="3106">CHOOSE(2, "1395000000662", "# of leaders with &gt;1 YTD recruit")</f>
        <v># of leaders with &gt;1 YTD recruit</v>
      </c>
      <c r="C6017" s="4" t="str">
        <f>CHOOSE(2, "5461730030", "Jun 26")</f>
        <v>Jun 26</v>
      </c>
      <c r="D6017" s="14">
        <v>396</v>
      </c>
    </row>
    <row r="6018" spans="1:4" x14ac:dyDescent="0.35">
      <c r="A6018" s="5" t="str">
        <f t="shared" si="3090"/>
        <v>Agency</v>
      </c>
      <c r="B6018" s="6" t="str">
        <f t="shared" si="3106"/>
        <v># of leaders with &gt;1 YTD recruit</v>
      </c>
      <c r="C6018" s="4" t="str">
        <f>CHOOSE(2, "5462030031", "Jul 26")</f>
        <v>Jul 26</v>
      </c>
      <c r="D6018" s="14">
        <v>466</v>
      </c>
    </row>
    <row r="6019" spans="1:4" x14ac:dyDescent="0.35">
      <c r="A6019" s="5" t="str">
        <f t="shared" si="3090"/>
        <v>Agency</v>
      </c>
      <c r="B6019" s="3" t="str">
        <f t="shared" ref="B6019:B6020" si="3107">CHOOSE(2, "1395000000661", "Income ratio from personal sales (UM)")</f>
        <v>Income ratio from personal sales (UM)</v>
      </c>
      <c r="C6019" s="4" t="str">
        <f>CHOOSE(2, "5461730030", "Jun 26")</f>
        <v>Jun 26</v>
      </c>
      <c r="D6019" s="14">
        <v>0</v>
      </c>
    </row>
    <row r="6020" spans="1:4" x14ac:dyDescent="0.35">
      <c r="A6020" s="5" t="str">
        <f t="shared" si="3090"/>
        <v>Agency</v>
      </c>
      <c r="B6020" s="6" t="str">
        <f t="shared" si="3107"/>
        <v>Income ratio from personal sales (UM)</v>
      </c>
      <c r="C6020" s="4" t="str">
        <f>CHOOSE(2, "5462030031", "Jul 26")</f>
        <v>Jul 26</v>
      </c>
      <c r="D6020" s="14">
        <v>0</v>
      </c>
    </row>
    <row r="6021" spans="1:4" x14ac:dyDescent="0.35">
      <c r="A6021" s="5" t="str">
        <f t="shared" si="3090"/>
        <v>Agency</v>
      </c>
      <c r="B6021" s="3" t="str">
        <f t="shared" ref="B6021:B6022" si="3108">CHOOSE(2, "1395000000660", "Income ratio from personal sales (UM) (numerator)")</f>
        <v>Income ratio from personal sales (UM) (numerator)</v>
      </c>
      <c r="C6021" s="4" t="str">
        <f>CHOOSE(2, "5461730030", "Jun 26")</f>
        <v>Jun 26</v>
      </c>
      <c r="D6021" s="14">
        <v>0</v>
      </c>
    </row>
    <row r="6022" spans="1:4" x14ac:dyDescent="0.35">
      <c r="A6022" s="5" t="str">
        <f t="shared" si="3090"/>
        <v>Agency</v>
      </c>
      <c r="B6022" s="6" t="str">
        <f t="shared" si="3108"/>
        <v>Income ratio from personal sales (UM) (numerator)</v>
      </c>
      <c r="C6022" s="4" t="str">
        <f>CHOOSE(2, "5462030031", "Jul 26")</f>
        <v>Jul 26</v>
      </c>
      <c r="D6022" s="14">
        <v>0</v>
      </c>
    </row>
    <row r="6023" spans="1:4" x14ac:dyDescent="0.35">
      <c r="A6023" s="5" t="str">
        <f t="shared" si="3090"/>
        <v>Agency</v>
      </c>
      <c r="B6023" s="3" t="str">
        <f t="shared" ref="B6023:B6024" si="3109">CHOOSE(2, "1395000000659", "Income ratio from personal sales (UM) (denominator)")</f>
        <v>Income ratio from personal sales (UM) (denominator)</v>
      </c>
      <c r="C6023" s="4" t="str">
        <f>CHOOSE(2, "5461730030", "Jun 26")</f>
        <v>Jun 26</v>
      </c>
      <c r="D6023" s="14">
        <v>0</v>
      </c>
    </row>
    <row r="6024" spans="1:4" x14ac:dyDescent="0.35">
      <c r="A6024" s="5" t="str">
        <f t="shared" si="3090"/>
        <v>Agency</v>
      </c>
      <c r="B6024" s="6" t="str">
        <f t="shared" si="3109"/>
        <v>Income ratio from personal sales (UM) (denominator)</v>
      </c>
      <c r="C6024" s="4" t="str">
        <f>CHOOSE(2, "5462030031", "Jul 26")</f>
        <v>Jul 26</v>
      </c>
      <c r="D6024" s="14">
        <v>0</v>
      </c>
    </row>
    <row r="6025" spans="1:4" x14ac:dyDescent="0.35">
      <c r="A6025" s="5" t="str">
        <f t="shared" si="3090"/>
        <v>Agency</v>
      </c>
      <c r="B6025" s="3" t="str">
        <f t="shared" ref="B6025:B6026" si="3110">CHOOSE(2, "1395000000658", "Income ratio from personal sales (Leader above UM)")</f>
        <v>Income ratio from personal sales (Leader above UM)</v>
      </c>
      <c r="C6025" s="4" t="str">
        <f>CHOOSE(2, "5461730030", "Jun 26")</f>
        <v>Jun 26</v>
      </c>
      <c r="D6025" s="14">
        <v>0</v>
      </c>
    </row>
    <row r="6026" spans="1:4" x14ac:dyDescent="0.35">
      <c r="A6026" s="5" t="str">
        <f t="shared" si="3090"/>
        <v>Agency</v>
      </c>
      <c r="B6026" s="6" t="str">
        <f t="shared" si="3110"/>
        <v>Income ratio from personal sales (Leader above UM)</v>
      </c>
      <c r="C6026" s="4" t="str">
        <f>CHOOSE(2, "5462030031", "Jul 26")</f>
        <v>Jul 26</v>
      </c>
      <c r="D6026" s="14">
        <v>0</v>
      </c>
    </row>
    <row r="6027" spans="1:4" x14ac:dyDescent="0.35">
      <c r="A6027" s="5" t="str">
        <f t="shared" si="3090"/>
        <v>Agency</v>
      </c>
      <c r="B6027" s="3" t="str">
        <f t="shared" ref="B6027:B6028" si="3111">CHOOSE(2, "1395000000657", "Income ratio from personal sales (Leader above UM) (num)")</f>
        <v>Income ratio from personal sales (Leader above UM) (num)</v>
      </c>
      <c r="C6027" s="4" t="str">
        <f>CHOOSE(2, "5461730030", "Jun 26")</f>
        <v>Jun 26</v>
      </c>
      <c r="D6027" s="14">
        <v>0</v>
      </c>
    </row>
    <row r="6028" spans="1:4" x14ac:dyDescent="0.35">
      <c r="A6028" s="5" t="str">
        <f t="shared" si="3090"/>
        <v>Agency</v>
      </c>
      <c r="B6028" s="6" t="str">
        <f t="shared" si="3111"/>
        <v>Income ratio from personal sales (Leader above UM) (num)</v>
      </c>
      <c r="C6028" s="4" t="str">
        <f>CHOOSE(2, "5462030031", "Jul 26")</f>
        <v>Jul 26</v>
      </c>
      <c r="D6028" s="14">
        <v>0</v>
      </c>
    </row>
    <row r="6029" spans="1:4" x14ac:dyDescent="0.35">
      <c r="A6029" s="5" t="str">
        <f t="shared" si="3090"/>
        <v>Agency</v>
      </c>
      <c r="B6029" s="3" t="str">
        <f t="shared" ref="B6029:B6030" si="3112">CHOOSE(2, "1395000000656", "Income ratio from personal sales (Leader above UM) (den)")</f>
        <v>Income ratio from personal sales (Leader above UM) (den)</v>
      </c>
      <c r="C6029" s="4" t="str">
        <f>CHOOSE(2, "5461730030", "Jun 26")</f>
        <v>Jun 26</v>
      </c>
      <c r="D6029" s="14">
        <v>0</v>
      </c>
    </row>
    <row r="6030" spans="1:4" x14ac:dyDescent="0.35">
      <c r="A6030" s="5" t="str">
        <f t="shared" si="3090"/>
        <v>Agency</v>
      </c>
      <c r="B6030" s="6" t="str">
        <f t="shared" si="3112"/>
        <v>Income ratio from personal sales (Leader above UM) (den)</v>
      </c>
      <c r="C6030" s="4" t="str">
        <f>CHOOSE(2, "5462030031", "Jul 26")</f>
        <v>Jul 26</v>
      </c>
      <c r="D6030" s="14">
        <v>0</v>
      </c>
    </row>
    <row r="6031" spans="1:4" x14ac:dyDescent="0.35">
      <c r="A6031" s="5" t="str">
        <f t="shared" si="3090"/>
        <v>Agency</v>
      </c>
      <c r="B6031" s="3" t="str">
        <f t="shared" ref="B6031:B6032" si="3113">CHOOSE(2, "1395000000655", "Total agent earnings")</f>
        <v>Total agent earnings</v>
      </c>
      <c r="C6031" s="4" t="str">
        <f>CHOOSE(2, "5461730030", "Jun 26")</f>
        <v>Jun 26</v>
      </c>
      <c r="D6031" s="14">
        <v>0</v>
      </c>
    </row>
    <row r="6032" spans="1:4" x14ac:dyDescent="0.35">
      <c r="A6032" s="5" t="str">
        <f t="shared" si="3090"/>
        <v>Agency</v>
      </c>
      <c r="B6032" s="6" t="str">
        <f t="shared" si="3113"/>
        <v>Total agent earnings</v>
      </c>
      <c r="C6032" s="4" t="str">
        <f>CHOOSE(2, "5462030031", "Jul 26")</f>
        <v>Jul 26</v>
      </c>
      <c r="D6032" s="14">
        <v>0</v>
      </c>
    </row>
    <row r="6033" spans="1:4" x14ac:dyDescent="0.35">
      <c r="A6033" s="5" t="str">
        <f t="shared" si="3090"/>
        <v>Agency</v>
      </c>
      <c r="B6033" s="3" t="str">
        <f t="shared" ref="B6033:B6034" si="3114">CHOOSE(2, "1395000000654", "Total agent earnings in FA or equivalent")</f>
        <v>Total agent earnings in FA or equivalent</v>
      </c>
      <c r="C6033" s="4" t="str">
        <f>CHOOSE(2, "5461730030", "Jun 26")</f>
        <v>Jun 26</v>
      </c>
      <c r="D6033" s="14">
        <v>0</v>
      </c>
    </row>
    <row r="6034" spans="1:4" x14ac:dyDescent="0.35">
      <c r="A6034" s="5" t="str">
        <f t="shared" si="3090"/>
        <v>Agency</v>
      </c>
      <c r="B6034" s="6" t="str">
        <f t="shared" si="3114"/>
        <v>Total agent earnings in FA or equivalent</v>
      </c>
      <c r="C6034" s="4" t="str">
        <f>CHOOSE(2, "5462030031", "Jul 26")</f>
        <v>Jul 26</v>
      </c>
      <c r="D6034" s="14">
        <v>0</v>
      </c>
    </row>
    <row r="6035" spans="1:4" x14ac:dyDescent="0.35">
      <c r="A6035" s="5" t="str">
        <f t="shared" si="3090"/>
        <v>Agency</v>
      </c>
      <c r="B6035" s="3" t="str">
        <f t="shared" ref="B6035:B6036" si="3115">CHOOSE(2, "1395000000653", "Total agent earnings in UM")</f>
        <v>Total agent earnings in UM</v>
      </c>
      <c r="C6035" s="4" t="str">
        <f>CHOOSE(2, "5461730030", "Jun 26")</f>
        <v>Jun 26</v>
      </c>
      <c r="D6035" s="14">
        <v>0</v>
      </c>
    </row>
    <row r="6036" spans="1:4" x14ac:dyDescent="0.35">
      <c r="A6036" s="5" t="str">
        <f t="shared" si="3090"/>
        <v>Agency</v>
      </c>
      <c r="B6036" s="6" t="str">
        <f t="shared" si="3115"/>
        <v>Total agent earnings in UM</v>
      </c>
      <c r="C6036" s="4" t="str">
        <f>CHOOSE(2, "5462030031", "Jul 26")</f>
        <v>Jul 26</v>
      </c>
      <c r="D6036" s="14">
        <v>0</v>
      </c>
    </row>
    <row r="6037" spans="1:4" x14ac:dyDescent="0.35">
      <c r="A6037" s="5" t="str">
        <f t="shared" si="3090"/>
        <v>Agency</v>
      </c>
      <c r="B6037" s="3" t="str">
        <f t="shared" ref="B6037:B6038" si="3116">CHOOSE(2, "1395000000652", "Total agent earnings in Leaders above UM")</f>
        <v>Total agent earnings in Leaders above UM</v>
      </c>
      <c r="C6037" s="4" t="str">
        <f>CHOOSE(2, "5461730030", "Jun 26")</f>
        <v>Jun 26</v>
      </c>
      <c r="D6037" s="14">
        <v>0</v>
      </c>
    </row>
    <row r="6038" spans="1:4" x14ac:dyDescent="0.35">
      <c r="A6038" s="5" t="str">
        <f t="shared" si="3090"/>
        <v>Agency</v>
      </c>
      <c r="B6038" s="6" t="str">
        <f t="shared" si="3116"/>
        <v>Total agent earnings in Leaders above UM</v>
      </c>
      <c r="C6038" s="4" t="str">
        <f>CHOOSE(2, "5462030031", "Jul 26")</f>
        <v>Jul 26</v>
      </c>
      <c r="D6038" s="14">
        <v>0</v>
      </c>
    </row>
    <row r="6039" spans="1:4" x14ac:dyDescent="0.35">
      <c r="A6039" s="5" t="str">
        <f t="shared" si="3090"/>
        <v>Agency</v>
      </c>
      <c r="B6039" s="3" t="str">
        <f t="shared" ref="B6039:B6040" si="3117">CHOOSE(2, "1395000000651", "# of Newly Promoted UM")</f>
        <v># of Newly Promoted UM</v>
      </c>
      <c r="C6039" s="4" t="str">
        <f>CHOOSE(2, "5461730030", "Jun 26")</f>
        <v>Jun 26</v>
      </c>
      <c r="D6039" s="14">
        <v>1</v>
      </c>
    </row>
    <row r="6040" spans="1:4" x14ac:dyDescent="0.35">
      <c r="A6040" s="5" t="str">
        <f t="shared" si="3090"/>
        <v>Agency</v>
      </c>
      <c r="B6040" s="6" t="str">
        <f t="shared" si="3117"/>
        <v># of Newly Promoted UM</v>
      </c>
      <c r="C6040" s="4" t="str">
        <f>CHOOSE(2, "5462030031", "Jul 26")</f>
        <v>Jul 26</v>
      </c>
      <c r="D6040" s="14">
        <v>1</v>
      </c>
    </row>
    <row r="6041" spans="1:4" x14ac:dyDescent="0.35">
      <c r="A6041" s="5" t="str">
        <f t="shared" si="3090"/>
        <v>Agency</v>
      </c>
      <c r="B6041" s="3" t="str">
        <f t="shared" ref="B6041:B6042" si="3118">CHOOSE(2, "1395000000650", "# of Newly Promoted Leaders above UM")</f>
        <v># of Newly Promoted Leaders above UM</v>
      </c>
      <c r="C6041" s="4" t="str">
        <f>CHOOSE(2, "5461730030", "Jun 26")</f>
        <v>Jun 26</v>
      </c>
      <c r="D6041" s="14">
        <v>0</v>
      </c>
    </row>
    <row r="6042" spans="1:4" x14ac:dyDescent="0.35">
      <c r="A6042" s="5" t="str">
        <f t="shared" si="3090"/>
        <v>Agency</v>
      </c>
      <c r="B6042" s="6" t="str">
        <f t="shared" si="3118"/>
        <v># of Newly Promoted Leaders above UM</v>
      </c>
      <c r="C6042" s="4" t="str">
        <f>CHOOSE(2, "5462030031", "Jul 26")</f>
        <v>Jul 26</v>
      </c>
      <c r="D6042" s="14">
        <v>0</v>
      </c>
    </row>
    <row r="6043" spans="1:4" x14ac:dyDescent="0.35">
      <c r="A6043" s="5" t="str">
        <f t="shared" si="3090"/>
        <v>Agency</v>
      </c>
      <c r="B6043" s="3" t="str">
        <f t="shared" ref="B6043:B6044" si="3119">CHOOSE(2, "1395000000649", "# of Total Leader Promotions")</f>
        <v># of Total Leader Promotions</v>
      </c>
      <c r="C6043" s="4" t="str">
        <f>CHOOSE(2, "5461730030", "Jun 26")</f>
        <v>Jun 26</v>
      </c>
      <c r="D6043" s="14">
        <v>1</v>
      </c>
    </row>
    <row r="6044" spans="1:4" x14ac:dyDescent="0.35">
      <c r="A6044" s="5" t="str">
        <f t="shared" si="3090"/>
        <v>Agency</v>
      </c>
      <c r="B6044" s="6" t="str">
        <f t="shared" si="3119"/>
        <v># of Total Leader Promotions</v>
      </c>
      <c r="C6044" s="4" t="str">
        <f>CHOOSE(2, "5462030031", "Jul 26")</f>
        <v>Jul 26</v>
      </c>
      <c r="D6044" s="14">
        <v>1</v>
      </c>
    </row>
    <row r="6045" spans="1:4" x14ac:dyDescent="0.35">
      <c r="A6045" s="5" t="str">
        <f t="shared" si="3090"/>
        <v>Agency</v>
      </c>
      <c r="B6045" s="3" t="str">
        <f t="shared" ref="B6045:B6046" si="3120">CHOOSE(2, "1395000000648", "# of Newly Demoted UM")</f>
        <v># of Newly Demoted UM</v>
      </c>
      <c r="C6045" s="4" t="str">
        <f>CHOOSE(2, "5461730030", "Jun 26")</f>
        <v>Jun 26</v>
      </c>
      <c r="D6045" s="14">
        <v>8</v>
      </c>
    </row>
    <row r="6046" spans="1:4" x14ac:dyDescent="0.35">
      <c r="A6046" s="5" t="str">
        <f t="shared" si="3090"/>
        <v>Agency</v>
      </c>
      <c r="B6046" s="6" t="str">
        <f t="shared" si="3120"/>
        <v># of Newly Demoted UM</v>
      </c>
      <c r="C6046" s="4" t="str">
        <f>CHOOSE(2, "5462030031", "Jul 26")</f>
        <v>Jul 26</v>
      </c>
      <c r="D6046" s="14">
        <v>14</v>
      </c>
    </row>
    <row r="6047" spans="1:4" x14ac:dyDescent="0.35">
      <c r="A6047" s="5" t="str">
        <f t="shared" si="3090"/>
        <v>Agency</v>
      </c>
      <c r="B6047" s="3" t="str">
        <f t="shared" ref="B6047:B6048" si="3121">CHOOSE(2, "1395000000647", "# of Newly Demoted Leaders above UM")</f>
        <v># of Newly Demoted Leaders above UM</v>
      </c>
      <c r="C6047" s="4" t="str">
        <f>CHOOSE(2, "5461730030", "Jun 26")</f>
        <v>Jun 26</v>
      </c>
      <c r="D6047" s="14">
        <v>2</v>
      </c>
    </row>
    <row r="6048" spans="1:4" x14ac:dyDescent="0.35">
      <c r="A6048" s="5" t="str">
        <f t="shared" si="3090"/>
        <v>Agency</v>
      </c>
      <c r="B6048" s="6" t="str">
        <f t="shared" si="3121"/>
        <v># of Newly Demoted Leaders above UM</v>
      </c>
      <c r="C6048" s="4" t="str">
        <f>CHOOSE(2, "5462030031", "Jul 26")</f>
        <v>Jul 26</v>
      </c>
      <c r="D6048" s="14">
        <v>0</v>
      </c>
    </row>
    <row r="6049" spans="1:4" x14ac:dyDescent="0.35">
      <c r="A6049" s="5" t="str">
        <f t="shared" si="3090"/>
        <v>Agency</v>
      </c>
      <c r="B6049" s="3" t="str">
        <f t="shared" ref="B6049:B6050" si="3122">CHOOSE(2, "1395000000646", "# of Total Leader Demotions")</f>
        <v># of Total Leader Demotions</v>
      </c>
      <c r="C6049" s="4" t="str">
        <f>CHOOSE(2, "5461730030", "Jun 26")</f>
        <v>Jun 26</v>
      </c>
      <c r="D6049" s="14">
        <v>10</v>
      </c>
    </row>
    <row r="6050" spans="1:4" x14ac:dyDescent="0.35">
      <c r="A6050" s="5" t="str">
        <f t="shared" si="3090"/>
        <v>Agency</v>
      </c>
      <c r="B6050" s="6" t="str">
        <f t="shared" si="3122"/>
        <v># of Total Leader Demotions</v>
      </c>
      <c r="C6050" s="4" t="str">
        <f>CHOOSE(2, "5462030031", "Jul 26")</f>
        <v>Jul 26</v>
      </c>
      <c r="D6050" s="14">
        <v>14</v>
      </c>
    </row>
    <row r="6051" spans="1:4" x14ac:dyDescent="0.35">
      <c r="A6051" s="5" t="str">
        <f t="shared" ref="A6051:A6114" si="3123">CHOOSE(2, "1260000000007", "Agency")</f>
        <v>Agency</v>
      </c>
      <c r="B6051" s="3" t="str">
        <f t="shared" ref="B6051:B6052" si="3124">CHOOSE(2, "1395000000645", "# of agents meeting MOC")</f>
        <v># of agents meeting MOC</v>
      </c>
      <c r="C6051" s="4" t="str">
        <f>CHOOSE(2, "5461730030", "Jun 26")</f>
        <v>Jun 26</v>
      </c>
      <c r="D6051" s="14">
        <v>5945</v>
      </c>
    </row>
    <row r="6052" spans="1:4" x14ac:dyDescent="0.35">
      <c r="A6052" s="5" t="str">
        <f t="shared" si="3123"/>
        <v>Agency</v>
      </c>
      <c r="B6052" s="6" t="str">
        <f t="shared" si="3124"/>
        <v># of agents meeting MOC</v>
      </c>
      <c r="C6052" s="4" t="str">
        <f>CHOOSE(2, "5462030031", "Jul 26")</f>
        <v>Jul 26</v>
      </c>
      <c r="D6052" s="14">
        <v>5970</v>
      </c>
    </row>
    <row r="6053" spans="1:4" x14ac:dyDescent="0.35">
      <c r="A6053" s="5" t="str">
        <f t="shared" si="3123"/>
        <v>Agency</v>
      </c>
      <c r="B6053" s="3" t="str">
        <f t="shared" ref="B6053:B6054" si="3125">CHOOSE(2, "1395000000644", "# of agents meeting MOC in FA or equivalent")</f>
        <v># of agents meeting MOC in FA or equivalent</v>
      </c>
      <c r="C6053" s="4" t="str">
        <f>CHOOSE(2, "5461730030", "Jun 26")</f>
        <v>Jun 26</v>
      </c>
      <c r="D6053" s="14">
        <v>4929</v>
      </c>
    </row>
    <row r="6054" spans="1:4" x14ac:dyDescent="0.35">
      <c r="A6054" s="5" t="str">
        <f t="shared" si="3123"/>
        <v>Agency</v>
      </c>
      <c r="B6054" s="6" t="str">
        <f t="shared" si="3125"/>
        <v># of agents meeting MOC in FA or equivalent</v>
      </c>
      <c r="C6054" s="4" t="str">
        <f>CHOOSE(2, "5462030031", "Jul 26")</f>
        <v>Jul 26</v>
      </c>
      <c r="D6054" s="14">
        <v>4956</v>
      </c>
    </row>
    <row r="6055" spans="1:4" x14ac:dyDescent="0.35">
      <c r="A6055" s="5" t="str">
        <f t="shared" si="3123"/>
        <v>Agency</v>
      </c>
      <c r="B6055" s="3" t="str">
        <f t="shared" ref="B6055:B6056" si="3126">CHOOSE(2, "1395000000643", "# of agents meeting MOC in UM")</f>
        <v># of agents meeting MOC in UM</v>
      </c>
      <c r="C6055" s="4" t="str">
        <f>CHOOSE(2, "5461730030", "Jun 26")</f>
        <v>Jun 26</v>
      </c>
      <c r="D6055" s="14">
        <v>834</v>
      </c>
    </row>
    <row r="6056" spans="1:4" x14ac:dyDescent="0.35">
      <c r="A6056" s="5" t="str">
        <f t="shared" si="3123"/>
        <v>Agency</v>
      </c>
      <c r="B6056" s="6" t="str">
        <f t="shared" si="3126"/>
        <v># of agents meeting MOC in UM</v>
      </c>
      <c r="C6056" s="4" t="str">
        <f>CHOOSE(2, "5462030031", "Jul 26")</f>
        <v>Jul 26</v>
      </c>
      <c r="D6056" s="14">
        <v>831</v>
      </c>
    </row>
    <row r="6057" spans="1:4" x14ac:dyDescent="0.35">
      <c r="A6057" s="5" t="str">
        <f t="shared" si="3123"/>
        <v>Agency</v>
      </c>
      <c r="B6057" s="3" t="str">
        <f t="shared" ref="B6057:B6058" si="3127">CHOOSE(2, "1395000000642", "# of agents meeting MOC in Leaders above UM")</f>
        <v># of agents meeting MOC in Leaders above UM</v>
      </c>
      <c r="C6057" s="4" t="str">
        <f>CHOOSE(2, "5461730030", "Jun 26")</f>
        <v>Jun 26</v>
      </c>
      <c r="D6057" s="14">
        <v>182</v>
      </c>
    </row>
    <row r="6058" spans="1:4" x14ac:dyDescent="0.35">
      <c r="A6058" s="5" t="str">
        <f t="shared" si="3123"/>
        <v>Agency</v>
      </c>
      <c r="B6058" s="6" t="str">
        <f t="shared" si="3127"/>
        <v># of agents meeting MOC in Leaders above UM</v>
      </c>
      <c r="C6058" s="4" t="str">
        <f>CHOOSE(2, "5462030031", "Jul 26")</f>
        <v>Jul 26</v>
      </c>
      <c r="D6058" s="14">
        <v>183</v>
      </c>
    </row>
    <row r="6059" spans="1:4" x14ac:dyDescent="0.35">
      <c r="A6059" s="5" t="str">
        <f t="shared" si="3123"/>
        <v>Agency</v>
      </c>
      <c r="B6059" s="3" t="str">
        <f t="shared" ref="B6059:B6060" si="3128">CHOOSE(2, "1395000000641", "New Leaders 3M Activation Rate (by cohort)")</f>
        <v>New Leaders 3M Activation Rate (by cohort)</v>
      </c>
      <c r="C6059" s="4" t="str">
        <f>CHOOSE(2, "5461730030", "Jun 26")</f>
        <v>Jun 26</v>
      </c>
      <c r="D6059" s="14">
        <v>1</v>
      </c>
    </row>
    <row r="6060" spans="1:4" x14ac:dyDescent="0.35">
      <c r="A6060" s="5" t="str">
        <f t="shared" si="3123"/>
        <v>Agency</v>
      </c>
      <c r="B6060" s="6" t="str">
        <f t="shared" si="3128"/>
        <v>New Leaders 3M Activation Rate (by cohort)</v>
      </c>
      <c r="C6060" s="4" t="str">
        <f>CHOOSE(2, "5462030031", "Jul 26")</f>
        <v>Jul 26</v>
      </c>
      <c r="D6060" s="14">
        <v>0</v>
      </c>
    </row>
    <row r="6061" spans="1:4" x14ac:dyDescent="0.35">
      <c r="A6061" s="5" t="str">
        <f t="shared" si="3123"/>
        <v>Agency</v>
      </c>
      <c r="B6061" s="3" t="str">
        <f t="shared" ref="B6061:B6062" si="3129">CHOOSE(2, "1395000000640", "New Leaders 3M Activation Rate (by cohort) (numerator)")</f>
        <v>New Leaders 3M Activation Rate (by cohort) (numerator)</v>
      </c>
      <c r="C6061" s="4" t="str">
        <f>CHOOSE(2, "5461730030", "Jun 26")</f>
        <v>Jun 26</v>
      </c>
      <c r="D6061" s="14">
        <v>2</v>
      </c>
    </row>
    <row r="6062" spans="1:4" x14ac:dyDescent="0.35">
      <c r="A6062" s="5" t="str">
        <f t="shared" si="3123"/>
        <v>Agency</v>
      </c>
      <c r="B6062" s="6" t="str">
        <f t="shared" si="3129"/>
        <v>New Leaders 3M Activation Rate (by cohort) (numerator)</v>
      </c>
      <c r="C6062" s="4" t="str">
        <f>CHOOSE(2, "5462030031", "Jul 26")</f>
        <v>Jul 26</v>
      </c>
      <c r="D6062" s="14">
        <v>0</v>
      </c>
    </row>
    <row r="6063" spans="1:4" x14ac:dyDescent="0.35">
      <c r="A6063" s="5" t="str">
        <f t="shared" si="3123"/>
        <v>Agency</v>
      </c>
      <c r="B6063" s="3" t="str">
        <f t="shared" ref="B6063:B6064" si="3130">CHOOSE(2, "1395000000639", "New Leaders 3M Activation Rate (by cohort) (denominator)")</f>
        <v>New Leaders 3M Activation Rate (by cohort) (denominator)</v>
      </c>
      <c r="C6063" s="4" t="str">
        <f>CHOOSE(2, "5461730030", "Jun 26")</f>
        <v>Jun 26</v>
      </c>
      <c r="D6063" s="14">
        <v>2</v>
      </c>
    </row>
    <row r="6064" spans="1:4" x14ac:dyDescent="0.35">
      <c r="A6064" s="5" t="str">
        <f t="shared" si="3123"/>
        <v>Agency</v>
      </c>
      <c r="B6064" s="6" t="str">
        <f t="shared" si="3130"/>
        <v>New Leaders 3M Activation Rate (by cohort) (denominator)</v>
      </c>
      <c r="C6064" s="4" t="str">
        <f>CHOOSE(2, "5462030031", "Jul 26")</f>
        <v>Jul 26</v>
      </c>
      <c r="D6064" s="14">
        <v>3</v>
      </c>
    </row>
    <row r="6065" spans="1:4" x14ac:dyDescent="0.35">
      <c r="A6065" s="5" t="str">
        <f t="shared" si="3123"/>
        <v>Agency</v>
      </c>
      <c r="B6065" s="3" t="str">
        <f t="shared" ref="B6065:B6066" si="3131">CHOOSE(2, "1395000000638", "# of pro-rated MDRT agents (100%)")</f>
        <v># of pro-rated MDRT agents (100%)</v>
      </c>
      <c r="C6065" s="4" t="str">
        <f>CHOOSE(2, "5461730030", "Jun 26")</f>
        <v>Jun 26</v>
      </c>
      <c r="D6065" s="14">
        <v>60</v>
      </c>
    </row>
    <row r="6066" spans="1:4" x14ac:dyDescent="0.35">
      <c r="A6066" s="5" t="str">
        <f t="shared" si="3123"/>
        <v>Agency</v>
      </c>
      <c r="B6066" s="6" t="str">
        <f t="shared" si="3131"/>
        <v># of pro-rated MDRT agents (100%)</v>
      </c>
      <c r="C6066" s="4" t="str">
        <f>CHOOSE(2, "5462030031", "Jul 26")</f>
        <v>Jul 26</v>
      </c>
      <c r="D6066" s="14">
        <v>83</v>
      </c>
    </row>
    <row r="6067" spans="1:4" x14ac:dyDescent="0.35">
      <c r="A6067" s="5" t="str">
        <f t="shared" si="3123"/>
        <v>Agency</v>
      </c>
      <c r="B6067" s="3" t="str">
        <f t="shared" ref="B6067:B6068" si="3132">CHOOSE(2, "1395000000637", "# of pro-rated MDRT agents (90%-99%)")</f>
        <v># of pro-rated MDRT agents (90%-99%)</v>
      </c>
      <c r="C6067" s="4" t="str">
        <f>CHOOSE(2, "5461730030", "Jun 26")</f>
        <v>Jun 26</v>
      </c>
      <c r="D6067" s="2" t="s">
        <v>5</v>
      </c>
    </row>
    <row r="6068" spans="1:4" x14ac:dyDescent="0.35">
      <c r="A6068" s="5" t="str">
        <f t="shared" si="3123"/>
        <v>Agency</v>
      </c>
      <c r="B6068" s="6" t="str">
        <f t="shared" si="3132"/>
        <v># of pro-rated MDRT agents (90%-99%)</v>
      </c>
      <c r="C6068" s="4" t="str">
        <f>CHOOSE(2, "5462030031", "Jul 26")</f>
        <v>Jul 26</v>
      </c>
      <c r="D6068" s="2" t="s">
        <v>5</v>
      </c>
    </row>
    <row r="6069" spans="1:4" x14ac:dyDescent="0.35">
      <c r="A6069" s="5" t="str">
        <f t="shared" si="3123"/>
        <v>Agency</v>
      </c>
      <c r="B6069" s="3" t="str">
        <f t="shared" ref="B6069:B6070" si="3133">CHOOSE(2, "1395000000636", "# of pro-rated MDRT agents (70%-90%)")</f>
        <v># of pro-rated MDRT agents (70%-90%)</v>
      </c>
      <c r="C6069" s="4" t="str">
        <f>CHOOSE(2, "5461730030", "Jun 26")</f>
        <v>Jun 26</v>
      </c>
      <c r="D6069" s="2" t="s">
        <v>5</v>
      </c>
    </row>
    <row r="6070" spans="1:4" x14ac:dyDescent="0.35">
      <c r="A6070" s="5" t="str">
        <f t="shared" si="3123"/>
        <v>Agency</v>
      </c>
      <c r="B6070" s="6" t="str">
        <f t="shared" si="3133"/>
        <v># of pro-rated MDRT agents (70%-90%)</v>
      </c>
      <c r="C6070" s="4" t="str">
        <f>CHOOSE(2, "5462030031", "Jul 26")</f>
        <v>Jul 26</v>
      </c>
      <c r="D6070" s="2" t="s">
        <v>5</v>
      </c>
    </row>
    <row r="6071" spans="1:4" x14ac:dyDescent="0.35">
      <c r="A6071" s="5" t="str">
        <f t="shared" si="3123"/>
        <v>Agency</v>
      </c>
      <c r="B6071" s="3" t="str">
        <f t="shared" ref="B6071:B6072" si="3134">CHOOSE(2, "1395000000635", "# of pro-rated MDRT agents (&lt;70%)")</f>
        <v># of pro-rated MDRT agents (&lt;70%)</v>
      </c>
      <c r="C6071" s="4" t="str">
        <f>CHOOSE(2, "5461730030", "Jun 26")</f>
        <v>Jun 26</v>
      </c>
      <c r="D6071" s="2" t="s">
        <v>5</v>
      </c>
    </row>
    <row r="6072" spans="1:4" x14ac:dyDescent="0.35">
      <c r="A6072" s="5" t="str">
        <f t="shared" si="3123"/>
        <v>Agency</v>
      </c>
      <c r="B6072" s="6" t="str">
        <f t="shared" si="3134"/>
        <v># of pro-rated MDRT agents (&lt;70%)</v>
      </c>
      <c r="C6072" s="4" t="str">
        <f>CHOOSE(2, "5462030031", "Jul 26")</f>
        <v>Jul 26</v>
      </c>
      <c r="D6072" s="2" t="s">
        <v>5</v>
      </c>
    </row>
    <row r="6073" spans="1:4" x14ac:dyDescent="0.35">
      <c r="A6073" s="5" t="str">
        <f t="shared" si="3123"/>
        <v>Agency</v>
      </c>
      <c r="B6073" s="3" t="str">
        <f t="shared" ref="B6073:B6074" si="3135">CHOOSE(2, "1395000000634", "# of pro-rated MDRT agents (50%-70%)")</f>
        <v># of pro-rated MDRT agents (50%-70%)</v>
      </c>
      <c r="C6073" s="4" t="str">
        <f>CHOOSE(2, "5461730030", "Jun 26")</f>
        <v>Jun 26</v>
      </c>
      <c r="D6073" s="2" t="s">
        <v>5</v>
      </c>
    </row>
    <row r="6074" spans="1:4" x14ac:dyDescent="0.35">
      <c r="A6074" s="5" t="str">
        <f t="shared" si="3123"/>
        <v>Agency</v>
      </c>
      <c r="B6074" s="6" t="str">
        <f t="shared" si="3135"/>
        <v># of pro-rated MDRT agents (50%-70%)</v>
      </c>
      <c r="C6074" s="4" t="str">
        <f>CHOOSE(2, "5462030031", "Jul 26")</f>
        <v>Jul 26</v>
      </c>
      <c r="D6074" s="2" t="s">
        <v>5</v>
      </c>
    </row>
    <row r="6075" spans="1:4" x14ac:dyDescent="0.35">
      <c r="A6075" s="5" t="str">
        <f t="shared" si="3123"/>
        <v>Agency</v>
      </c>
      <c r="B6075" s="3" t="str">
        <f t="shared" ref="B6075:B6076" si="3136">CHOOSE(2, "1395000000633", "# of pro-rated MDRT agents (&lt;50%)")</f>
        <v># of pro-rated MDRT agents (&lt;50%)</v>
      </c>
      <c r="C6075" s="4" t="str">
        <f>CHOOSE(2, "5461730030", "Jun 26")</f>
        <v>Jun 26</v>
      </c>
      <c r="D6075" s="2" t="s">
        <v>5</v>
      </c>
    </row>
    <row r="6076" spans="1:4" x14ac:dyDescent="0.35">
      <c r="A6076" s="5" t="str">
        <f t="shared" si="3123"/>
        <v>Agency</v>
      </c>
      <c r="B6076" s="6" t="str">
        <f t="shared" si="3136"/>
        <v># of pro-rated MDRT agents (&lt;50%)</v>
      </c>
      <c r="C6076" s="4" t="str">
        <f>CHOOSE(2, "5462030031", "Jul 26")</f>
        <v>Jul 26</v>
      </c>
      <c r="D6076" s="2" t="s">
        <v>5</v>
      </c>
    </row>
    <row r="6077" spans="1:4" x14ac:dyDescent="0.35">
      <c r="A6077" s="5" t="str">
        <f t="shared" si="3123"/>
        <v>Agency</v>
      </c>
      <c r="B6077" s="3" t="str">
        <f t="shared" ref="B6077:B6078" si="3137">CHOOSE(2, "1395000000632", "# of pro-rated MDRT agents (70-99%)")</f>
        <v># of pro-rated MDRT agents (70-99%)</v>
      </c>
      <c r="C6077" s="4" t="str">
        <f>CHOOSE(2, "5461730030", "Jun 26")</f>
        <v>Jun 26</v>
      </c>
      <c r="D6077" s="14">
        <v>42</v>
      </c>
    </row>
    <row r="6078" spans="1:4" x14ac:dyDescent="0.35">
      <c r="A6078" s="5" t="str">
        <f t="shared" si="3123"/>
        <v>Agency</v>
      </c>
      <c r="B6078" s="6" t="str">
        <f t="shared" si="3137"/>
        <v># of pro-rated MDRT agents (70-99%)</v>
      </c>
      <c r="C6078" s="4" t="str">
        <f>CHOOSE(2, "5462030031", "Jul 26")</f>
        <v>Jul 26</v>
      </c>
      <c r="D6078" s="14">
        <v>54</v>
      </c>
    </row>
    <row r="6079" spans="1:4" x14ac:dyDescent="0.35">
      <c r="A6079" s="5" t="str">
        <f t="shared" si="3123"/>
        <v>Agency</v>
      </c>
      <c r="B6079" s="3" t="str">
        <f t="shared" ref="B6079:B6080" si="3138">CHOOSE(2, "1395000000631", "# of pro-rated MDRT agents (50-69%)")</f>
        <v># of pro-rated MDRT agents (50-69%)</v>
      </c>
      <c r="C6079" s="4" t="str">
        <f>CHOOSE(2, "5461730030", "Jun 26")</f>
        <v>Jun 26</v>
      </c>
      <c r="D6079" s="14">
        <v>57</v>
      </c>
    </row>
    <row r="6080" spans="1:4" x14ac:dyDescent="0.35">
      <c r="A6080" s="5" t="str">
        <f t="shared" si="3123"/>
        <v>Agency</v>
      </c>
      <c r="B6080" s="6" t="str">
        <f t="shared" si="3138"/>
        <v># of pro-rated MDRT agents (50-69%)</v>
      </c>
      <c r="C6080" s="4" t="str">
        <f>CHOOSE(2, "5462030031", "Jul 26")</f>
        <v>Jul 26</v>
      </c>
      <c r="D6080" s="14">
        <v>61</v>
      </c>
    </row>
    <row r="6081" spans="1:4" x14ac:dyDescent="0.35">
      <c r="A6081" s="5" t="str">
        <f t="shared" si="3123"/>
        <v>Agency</v>
      </c>
      <c r="B6081" s="3" t="str">
        <f t="shared" ref="B6081:B6082" si="3139">CHOOSE(2, "1395000000630", "# of Top-tier agents")</f>
        <v># of Top-tier agents</v>
      </c>
      <c r="C6081" s="4" t="str">
        <f>CHOOSE(2, "5461730030", "Jun 26")</f>
        <v>Jun 26</v>
      </c>
      <c r="D6081" s="14">
        <v>159</v>
      </c>
    </row>
    <row r="6082" spans="1:4" x14ac:dyDescent="0.35">
      <c r="A6082" s="5" t="str">
        <f t="shared" si="3123"/>
        <v>Agency</v>
      </c>
      <c r="B6082" s="6" t="str">
        <f t="shared" si="3139"/>
        <v># of Top-tier agents</v>
      </c>
      <c r="C6082" s="4" t="str">
        <f>CHOOSE(2, "5462030031", "Jul 26")</f>
        <v>Jul 26</v>
      </c>
      <c r="D6082" s="14">
        <v>198</v>
      </c>
    </row>
    <row r="6083" spans="1:4" x14ac:dyDescent="0.35">
      <c r="A6083" s="5" t="str">
        <f t="shared" si="3123"/>
        <v>Agency</v>
      </c>
      <c r="B6083" s="3" t="str">
        <f t="shared" ref="B6083:B6084" si="3140">CHOOSE(2, "1395000000629", "$ APE from pro-rated MDRT agents (100%)")</f>
        <v>$ APE from pro-rated MDRT agents (100%)</v>
      </c>
      <c r="C6083" s="4" t="str">
        <f>CHOOSE(2, "5461730030", "Jun 26")</f>
        <v>Jun 26</v>
      </c>
      <c r="D6083" s="2" t="s">
        <v>5</v>
      </c>
    </row>
    <row r="6084" spans="1:4" x14ac:dyDescent="0.35">
      <c r="A6084" s="5" t="str">
        <f t="shared" si="3123"/>
        <v>Agency</v>
      </c>
      <c r="B6084" s="6" t="str">
        <f t="shared" si="3140"/>
        <v>$ APE from pro-rated MDRT agents (100%)</v>
      </c>
      <c r="C6084" s="4" t="str">
        <f>CHOOSE(2, "5462030031", "Jul 26")</f>
        <v>Jul 26</v>
      </c>
      <c r="D6084" s="2" t="s">
        <v>5</v>
      </c>
    </row>
    <row r="6085" spans="1:4" x14ac:dyDescent="0.35">
      <c r="A6085" s="5" t="str">
        <f t="shared" si="3123"/>
        <v>Agency</v>
      </c>
      <c r="B6085" s="3" t="str">
        <f t="shared" ref="B6085:B6086" si="3141">CHOOSE(2, "1395000000628", "$ APE from pro-rated MDRT agents (70-99%)")</f>
        <v>$ APE from pro-rated MDRT agents (70-99%)</v>
      </c>
      <c r="C6085" s="4" t="str">
        <f>CHOOSE(2, "5461730030", "Jun 26")</f>
        <v>Jun 26</v>
      </c>
      <c r="D6085" s="2" t="s">
        <v>5</v>
      </c>
    </row>
    <row r="6086" spans="1:4" x14ac:dyDescent="0.35">
      <c r="A6086" s="5" t="str">
        <f t="shared" si="3123"/>
        <v>Agency</v>
      </c>
      <c r="B6086" s="6" t="str">
        <f t="shared" si="3141"/>
        <v>$ APE from pro-rated MDRT agents (70-99%)</v>
      </c>
      <c r="C6086" s="4" t="str">
        <f>CHOOSE(2, "5462030031", "Jul 26")</f>
        <v>Jul 26</v>
      </c>
      <c r="D6086" s="2" t="s">
        <v>5</v>
      </c>
    </row>
    <row r="6087" spans="1:4" x14ac:dyDescent="0.35">
      <c r="A6087" s="5" t="str">
        <f t="shared" si="3123"/>
        <v>Agency</v>
      </c>
      <c r="B6087" s="3" t="str">
        <f t="shared" ref="B6087:B6088" si="3142">CHOOSE(2, "1395000000627", "$ APE from pro-rated MDRT agents (50-69%)")</f>
        <v>$ APE from pro-rated MDRT agents (50-69%)</v>
      </c>
      <c r="C6087" s="4" t="str">
        <f>CHOOSE(2, "5461730030", "Jun 26")</f>
        <v>Jun 26</v>
      </c>
      <c r="D6087" s="2" t="s">
        <v>5</v>
      </c>
    </row>
    <row r="6088" spans="1:4" x14ac:dyDescent="0.35">
      <c r="A6088" s="5" t="str">
        <f t="shared" si="3123"/>
        <v>Agency</v>
      </c>
      <c r="B6088" s="6" t="str">
        <f t="shared" si="3142"/>
        <v>$ APE from pro-rated MDRT agents (50-69%)</v>
      </c>
      <c r="C6088" s="4" t="str">
        <f>CHOOSE(2, "5462030031", "Jul 26")</f>
        <v>Jul 26</v>
      </c>
      <c r="D6088" s="2" t="s">
        <v>5</v>
      </c>
    </row>
    <row r="6089" spans="1:4" x14ac:dyDescent="0.35">
      <c r="A6089" s="5" t="str">
        <f t="shared" si="3123"/>
        <v>Agency</v>
      </c>
      <c r="B6089" s="3" t="str">
        <f t="shared" ref="B6089:B6090" si="3143">CHOOSE(2, "1395000000626", "$ APE from Top-tier agents")</f>
        <v>$ APE from Top-tier agents</v>
      </c>
      <c r="C6089" s="4" t="str">
        <f>CHOOSE(2, "5461730030", "Jun 26")</f>
        <v>Jun 26</v>
      </c>
      <c r="D6089" s="2" t="s">
        <v>5</v>
      </c>
    </row>
    <row r="6090" spans="1:4" x14ac:dyDescent="0.35">
      <c r="A6090" s="5" t="str">
        <f t="shared" si="3123"/>
        <v>Agency</v>
      </c>
      <c r="B6090" s="6" t="str">
        <f t="shared" si="3143"/>
        <v>$ APE from Top-tier agents</v>
      </c>
      <c r="C6090" s="4" t="str">
        <f>CHOOSE(2, "5462030031", "Jul 26")</f>
        <v>Jul 26</v>
      </c>
      <c r="D6090" s="2" t="s">
        <v>5</v>
      </c>
    </row>
    <row r="6091" spans="1:4" x14ac:dyDescent="0.35">
      <c r="A6091" s="5" t="str">
        <f t="shared" si="3123"/>
        <v>Agency</v>
      </c>
      <c r="B6091" s="3" t="str">
        <f t="shared" ref="B6091:B6092" si="3144">CHOOSE(2, "1395000000625", "# of MDRT qualifiers - YTD")</f>
        <v># of MDRT qualifiers - YTD</v>
      </c>
      <c r="C6091" s="4" t="str">
        <f>CHOOSE(2, "5461730030", "Jun 26")</f>
        <v>Jun 26</v>
      </c>
      <c r="D6091" s="2" t="s">
        <v>5</v>
      </c>
    </row>
    <row r="6092" spans="1:4" x14ac:dyDescent="0.35">
      <c r="A6092" s="5" t="str">
        <f t="shared" si="3123"/>
        <v>Agency</v>
      </c>
      <c r="B6092" s="6" t="str">
        <f t="shared" si="3144"/>
        <v># of MDRT qualifiers - YTD</v>
      </c>
      <c r="C6092" s="4" t="str">
        <f>CHOOSE(2, "5462030031", "Jul 26")</f>
        <v>Jul 26</v>
      </c>
      <c r="D6092" s="2" t="s">
        <v>5</v>
      </c>
    </row>
    <row r="6093" spans="1:4" x14ac:dyDescent="0.35">
      <c r="A6093" s="5" t="str">
        <f t="shared" si="3123"/>
        <v>Agency</v>
      </c>
      <c r="B6093" s="3" t="str">
        <f t="shared" ref="B6093:B6094" si="3145">CHOOSE(2, "1395000000624", "# of MDRT COT qualifiers - YTD")</f>
        <v># of MDRT COT qualifiers - YTD</v>
      </c>
      <c r="C6093" s="4" t="str">
        <f>CHOOSE(2, "5461730030", "Jun 26")</f>
        <v>Jun 26</v>
      </c>
      <c r="D6093" s="2" t="s">
        <v>5</v>
      </c>
    </row>
    <row r="6094" spans="1:4" x14ac:dyDescent="0.35">
      <c r="A6094" s="5" t="str">
        <f t="shared" si="3123"/>
        <v>Agency</v>
      </c>
      <c r="B6094" s="6" t="str">
        <f t="shared" si="3145"/>
        <v># of MDRT COT qualifiers - YTD</v>
      </c>
      <c r="C6094" s="4" t="str">
        <f>CHOOSE(2, "5462030031", "Jul 26")</f>
        <v>Jul 26</v>
      </c>
      <c r="D6094" s="2" t="s">
        <v>5</v>
      </c>
    </row>
    <row r="6095" spans="1:4" x14ac:dyDescent="0.35">
      <c r="A6095" s="5" t="str">
        <f t="shared" si="3123"/>
        <v>Agency</v>
      </c>
      <c r="B6095" s="3" t="str">
        <f t="shared" ref="B6095:B6096" si="3146">CHOOSE(2, "1395000000623", "# of MDRT TOT qualifiers - YTD")</f>
        <v># of MDRT TOT qualifiers - YTD</v>
      </c>
      <c r="C6095" s="4" t="str">
        <f>CHOOSE(2, "5461730030", "Jun 26")</f>
        <v>Jun 26</v>
      </c>
      <c r="D6095" s="2" t="s">
        <v>5</v>
      </c>
    </row>
    <row r="6096" spans="1:4" x14ac:dyDescent="0.35">
      <c r="A6096" s="5" t="str">
        <f t="shared" si="3123"/>
        <v>Agency</v>
      </c>
      <c r="B6096" s="6" t="str">
        <f t="shared" si="3146"/>
        <v># of MDRT TOT qualifiers - YTD</v>
      </c>
      <c r="C6096" s="4" t="str">
        <f>CHOOSE(2, "5462030031", "Jul 26")</f>
        <v>Jul 26</v>
      </c>
      <c r="D6096" s="2" t="s">
        <v>5</v>
      </c>
    </row>
    <row r="6097" spans="1:4" x14ac:dyDescent="0.35">
      <c r="A6097" s="5" t="str">
        <f t="shared" si="3123"/>
        <v>Agency</v>
      </c>
      <c r="B6097" s="3" t="str">
        <f t="shared" ref="B6097:B6098" si="3147">CHOOSE(2, "1395000000622", "Manulife Pro Qualifiers - Total")</f>
        <v>Manulife Pro Qualifiers - Total</v>
      </c>
      <c r="C6097" s="4" t="str">
        <f>CHOOSE(2, "5461730030", "Jun 26")</f>
        <v>Jun 26</v>
      </c>
      <c r="D6097" s="2" t="s">
        <v>5</v>
      </c>
    </row>
    <row r="6098" spans="1:4" x14ac:dyDescent="0.35">
      <c r="A6098" s="5" t="str">
        <f t="shared" si="3123"/>
        <v>Agency</v>
      </c>
      <c r="B6098" s="6" t="str">
        <f t="shared" si="3147"/>
        <v>Manulife Pro Qualifiers - Total</v>
      </c>
      <c r="C6098" s="4" t="str">
        <f>CHOOSE(2, "5462030031", "Jul 26")</f>
        <v>Jul 26</v>
      </c>
      <c r="D6098" s="2" t="s">
        <v>5</v>
      </c>
    </row>
    <row r="6099" spans="1:4" x14ac:dyDescent="0.35">
      <c r="A6099" s="5" t="str">
        <f t="shared" si="3123"/>
        <v>Agency</v>
      </c>
      <c r="B6099" s="3" t="str">
        <f t="shared" ref="B6099:B6100" si="3148">CHOOSE(2, "1395000000621", "Manulife Pro Qualifiers - Silver")</f>
        <v>Manulife Pro Qualifiers - Silver</v>
      </c>
      <c r="C6099" s="4" t="str">
        <f>CHOOSE(2, "5461730030", "Jun 26")</f>
        <v>Jun 26</v>
      </c>
      <c r="D6099" s="2" t="s">
        <v>5</v>
      </c>
    </row>
    <row r="6100" spans="1:4" x14ac:dyDescent="0.35">
      <c r="A6100" s="5" t="str">
        <f t="shared" si="3123"/>
        <v>Agency</v>
      </c>
      <c r="B6100" s="6" t="str">
        <f t="shared" si="3148"/>
        <v>Manulife Pro Qualifiers - Silver</v>
      </c>
      <c r="C6100" s="4" t="str">
        <f>CHOOSE(2, "5462030031", "Jul 26")</f>
        <v>Jul 26</v>
      </c>
      <c r="D6100" s="2" t="s">
        <v>5</v>
      </c>
    </row>
    <row r="6101" spans="1:4" x14ac:dyDescent="0.35">
      <c r="A6101" s="5" t="str">
        <f t="shared" si="3123"/>
        <v>Agency</v>
      </c>
      <c r="B6101" s="3" t="str">
        <f t="shared" ref="B6101:B6102" si="3149">CHOOSE(2, "1395000000620", "Manulife Pro Qualifiers - Gold")</f>
        <v>Manulife Pro Qualifiers - Gold</v>
      </c>
      <c r="C6101" s="4" t="str">
        <f>CHOOSE(2, "5461730030", "Jun 26")</f>
        <v>Jun 26</v>
      </c>
      <c r="D6101" s="2" t="s">
        <v>5</v>
      </c>
    </row>
    <row r="6102" spans="1:4" x14ac:dyDescent="0.35">
      <c r="A6102" s="5" t="str">
        <f t="shared" si="3123"/>
        <v>Agency</v>
      </c>
      <c r="B6102" s="6" t="str">
        <f t="shared" si="3149"/>
        <v>Manulife Pro Qualifiers - Gold</v>
      </c>
      <c r="C6102" s="4" t="str">
        <f>CHOOSE(2, "5462030031", "Jul 26")</f>
        <v>Jul 26</v>
      </c>
      <c r="D6102" s="2" t="s">
        <v>5</v>
      </c>
    </row>
    <row r="6103" spans="1:4" x14ac:dyDescent="0.35">
      <c r="A6103" s="5" t="str">
        <f t="shared" si="3123"/>
        <v>Agency</v>
      </c>
      <c r="B6103" s="3" t="str">
        <f t="shared" ref="B6103:B6104" si="3150">CHOOSE(2, "1395000000619", "Manulife Pro Qualifiers  - Platinum")</f>
        <v>Manulife Pro Qualifiers  - Platinum</v>
      </c>
      <c r="C6103" s="4" t="str">
        <f>CHOOSE(2, "5461730030", "Jun 26")</f>
        <v>Jun 26</v>
      </c>
      <c r="D6103" s="2" t="s">
        <v>5</v>
      </c>
    </row>
    <row r="6104" spans="1:4" x14ac:dyDescent="0.35">
      <c r="A6104" s="5" t="str">
        <f t="shared" si="3123"/>
        <v>Agency</v>
      </c>
      <c r="B6104" s="6" t="str">
        <f t="shared" si="3150"/>
        <v>Manulife Pro Qualifiers  - Platinum</v>
      </c>
      <c r="C6104" s="4" t="str">
        <f>CHOOSE(2, "5462030031", "Jul 26")</f>
        <v>Jul 26</v>
      </c>
      <c r="D6104" s="2" t="s">
        <v>5</v>
      </c>
    </row>
    <row r="6105" spans="1:4" x14ac:dyDescent="0.35">
      <c r="A6105" s="5" t="str">
        <f t="shared" si="3123"/>
        <v>Agency</v>
      </c>
      <c r="B6105" s="3" t="str">
        <f t="shared" ref="B6105:B6106" si="3151">CHOOSE(2, "1395000000618", "$ APE from Manulife Pro - Total")</f>
        <v>$ APE from Manulife Pro - Total</v>
      </c>
      <c r="C6105" s="4" t="str">
        <f>CHOOSE(2, "5461730030", "Jun 26")</f>
        <v>Jun 26</v>
      </c>
      <c r="D6105" s="2" t="s">
        <v>5</v>
      </c>
    </row>
    <row r="6106" spans="1:4" x14ac:dyDescent="0.35">
      <c r="A6106" s="5" t="str">
        <f t="shared" si="3123"/>
        <v>Agency</v>
      </c>
      <c r="B6106" s="6" t="str">
        <f t="shared" si="3151"/>
        <v>$ APE from Manulife Pro - Total</v>
      </c>
      <c r="C6106" s="4" t="str">
        <f>CHOOSE(2, "5462030031", "Jul 26")</f>
        <v>Jul 26</v>
      </c>
      <c r="D6106" s="2" t="s">
        <v>5</v>
      </c>
    </row>
    <row r="6107" spans="1:4" x14ac:dyDescent="0.35">
      <c r="A6107" s="5" t="str">
        <f t="shared" si="3123"/>
        <v>Agency</v>
      </c>
      <c r="B6107" s="3" t="str">
        <f t="shared" ref="B6107:B6108" si="3152">CHOOSE(2, "1395000000617", "$ APE from Manulife Pro - Silver")</f>
        <v>$ APE from Manulife Pro - Silver</v>
      </c>
      <c r="C6107" s="4" t="str">
        <f>CHOOSE(2, "5461730030", "Jun 26")</f>
        <v>Jun 26</v>
      </c>
      <c r="D6107" s="2" t="s">
        <v>5</v>
      </c>
    </row>
    <row r="6108" spans="1:4" x14ac:dyDescent="0.35">
      <c r="A6108" s="5" t="str">
        <f t="shared" si="3123"/>
        <v>Agency</v>
      </c>
      <c r="B6108" s="6" t="str">
        <f t="shared" si="3152"/>
        <v>$ APE from Manulife Pro - Silver</v>
      </c>
      <c r="C6108" s="4" t="str">
        <f>CHOOSE(2, "5462030031", "Jul 26")</f>
        <v>Jul 26</v>
      </c>
      <c r="D6108" s="2" t="s">
        <v>5</v>
      </c>
    </row>
    <row r="6109" spans="1:4" x14ac:dyDescent="0.35">
      <c r="A6109" s="5" t="str">
        <f t="shared" si="3123"/>
        <v>Agency</v>
      </c>
      <c r="B6109" s="3" t="str">
        <f t="shared" ref="B6109:B6110" si="3153">CHOOSE(2, "1395000000616", "$ APE from Manulife Pro - Gold")</f>
        <v>$ APE from Manulife Pro - Gold</v>
      </c>
      <c r="C6109" s="4" t="str">
        <f>CHOOSE(2, "5461730030", "Jun 26")</f>
        <v>Jun 26</v>
      </c>
      <c r="D6109" s="2" t="s">
        <v>5</v>
      </c>
    </row>
    <row r="6110" spans="1:4" x14ac:dyDescent="0.35">
      <c r="A6110" s="5" t="str">
        <f t="shared" si="3123"/>
        <v>Agency</v>
      </c>
      <c r="B6110" s="6" t="str">
        <f t="shared" si="3153"/>
        <v>$ APE from Manulife Pro - Gold</v>
      </c>
      <c r="C6110" s="4" t="str">
        <f>CHOOSE(2, "5462030031", "Jul 26")</f>
        <v>Jul 26</v>
      </c>
      <c r="D6110" s="2" t="s">
        <v>5</v>
      </c>
    </row>
    <row r="6111" spans="1:4" x14ac:dyDescent="0.35">
      <c r="A6111" s="5" t="str">
        <f t="shared" si="3123"/>
        <v>Agency</v>
      </c>
      <c r="B6111" s="3" t="str">
        <f t="shared" ref="B6111:B6112" si="3154">CHOOSE(2, "1395000000615", "$ APE from Manulife Pro  - Platinum")</f>
        <v>$ APE from Manulife Pro  - Platinum</v>
      </c>
      <c r="C6111" s="4" t="str">
        <f>CHOOSE(2, "5461730030", "Jun 26")</f>
        <v>Jun 26</v>
      </c>
      <c r="D6111" s="2" t="s">
        <v>5</v>
      </c>
    </row>
    <row r="6112" spans="1:4" x14ac:dyDescent="0.35">
      <c r="A6112" s="5" t="str">
        <f t="shared" si="3123"/>
        <v>Agency</v>
      </c>
      <c r="B6112" s="6" t="str">
        <f t="shared" si="3154"/>
        <v>$ APE from Manulife Pro  - Platinum</v>
      </c>
      <c r="C6112" s="4" t="str">
        <f>CHOOSE(2, "5462030031", "Jul 26")</f>
        <v>Jul 26</v>
      </c>
      <c r="D6112" s="2" t="s">
        <v>5</v>
      </c>
    </row>
    <row r="6113" spans="1:4" x14ac:dyDescent="0.35">
      <c r="A6113" s="5" t="str">
        <f t="shared" si="3123"/>
        <v>Agency</v>
      </c>
      <c r="B6113" s="3" t="str">
        <f t="shared" ref="B6113:B6114" si="3155">CHOOSE(2, "1395000000614", "Issued APE")</f>
        <v>Issued APE</v>
      </c>
      <c r="C6113" s="4" t="str">
        <f>CHOOSE(2, "5461730030", "Jun 26")</f>
        <v>Jun 26</v>
      </c>
      <c r="D6113" s="14">
        <v>3598313.5864473092</v>
      </c>
    </row>
    <row r="6114" spans="1:4" x14ac:dyDescent="0.35">
      <c r="A6114" s="5" t="str">
        <f t="shared" si="3123"/>
        <v>Agency</v>
      </c>
      <c r="B6114" s="6" t="str">
        <f t="shared" si="3155"/>
        <v>Issued APE</v>
      </c>
      <c r="C6114" s="4" t="str">
        <f>CHOOSE(2, "5462030031", "Jul 26")</f>
        <v>Jul 26</v>
      </c>
      <c r="D6114" s="14">
        <v>2986513.5003691399</v>
      </c>
    </row>
    <row r="6115" spans="1:4" x14ac:dyDescent="0.35">
      <c r="A6115" s="5" t="str">
        <f t="shared" ref="A6115:A6178" si="3156">CHOOSE(2, "1260000000007", "Agency")</f>
        <v>Agency</v>
      </c>
      <c r="B6115" s="3" t="str">
        <f t="shared" ref="B6115:B6116" si="3157">CHOOSE(2, "1395000000613", "Post-MI APE")</f>
        <v>Post-MI APE</v>
      </c>
      <c r="C6115" s="4" t="str">
        <f>CHOOSE(2, "5461730030", "Jun 26")</f>
        <v>Jun 26</v>
      </c>
      <c r="D6115" s="14">
        <v>3598313.5864473092</v>
      </c>
    </row>
    <row r="6116" spans="1:4" x14ac:dyDescent="0.35">
      <c r="A6116" s="5" t="str">
        <f t="shared" si="3156"/>
        <v>Agency</v>
      </c>
      <c r="B6116" s="6" t="str">
        <f t="shared" si="3157"/>
        <v>Post-MI APE</v>
      </c>
      <c r="C6116" s="4" t="str">
        <f>CHOOSE(2, "5462030031", "Jul 26")</f>
        <v>Jul 26</v>
      </c>
      <c r="D6116" s="14">
        <v>2986513.5003691399</v>
      </c>
    </row>
    <row r="6117" spans="1:4" x14ac:dyDescent="0.35">
      <c r="A6117" s="5" t="str">
        <f t="shared" si="3156"/>
        <v>Agency</v>
      </c>
      <c r="B6117" s="3" t="str">
        <f t="shared" ref="B6117:B6118" si="3158">CHOOSE(2, "1395000000610", "Pre-gap NBV")</f>
        <v>Pre-gap NBV</v>
      </c>
      <c r="C6117" s="4" t="str">
        <f>CHOOSE(2, "5461730030", "Jun 26")</f>
        <v>Jun 26</v>
      </c>
      <c r="D6117" s="14">
        <v>1788488.2574241399</v>
      </c>
    </row>
    <row r="6118" spans="1:4" x14ac:dyDescent="0.35">
      <c r="A6118" s="5" t="str">
        <f t="shared" si="3156"/>
        <v>Agency</v>
      </c>
      <c r="B6118" s="6" t="str">
        <f t="shared" si="3158"/>
        <v>Pre-gap NBV</v>
      </c>
      <c r="C6118" s="4" t="str">
        <f>CHOOSE(2, "5462030031", "Jul 26")</f>
        <v>Jul 26</v>
      </c>
      <c r="D6118" s="14">
        <v>1567278.7440625397</v>
      </c>
    </row>
    <row r="6119" spans="1:4" x14ac:dyDescent="0.35">
      <c r="A6119" s="5" t="str">
        <f t="shared" si="3156"/>
        <v>Agency</v>
      </c>
      <c r="B6119" s="3" t="str">
        <f t="shared" ref="B6119:B6120" si="3159">CHOOSE(2, "1395000000609", "Pre-gap NBV Margin %")</f>
        <v>Pre-gap NBV Margin %</v>
      </c>
      <c r="C6119" s="4" t="str">
        <f>CHOOSE(2, "5461730030", "Jun 26")</f>
        <v>Jun 26</v>
      </c>
      <c r="D6119" s="14">
        <v>0.49703512894493224</v>
      </c>
    </row>
    <row r="6120" spans="1:4" x14ac:dyDescent="0.35">
      <c r="A6120" s="5" t="str">
        <f t="shared" si="3156"/>
        <v>Agency</v>
      </c>
      <c r="B6120" s="6" t="str">
        <f t="shared" si="3159"/>
        <v>Pre-gap NBV Margin %</v>
      </c>
      <c r="C6120" s="4" t="str">
        <f>CHOOSE(2, "5462030031", "Jul 26")</f>
        <v>Jul 26</v>
      </c>
      <c r="D6120" s="14">
        <v>0.5247854208155498</v>
      </c>
    </row>
    <row r="6121" spans="1:4" x14ac:dyDescent="0.35">
      <c r="A6121" s="5" t="str">
        <f t="shared" si="3156"/>
        <v>Agency</v>
      </c>
      <c r="B6121" s="3" t="str">
        <f t="shared" ref="B6121:B6122" si="3160">CHOOSE(2, "1395000000608", "Post-gap NBV")</f>
        <v>Post-gap NBV</v>
      </c>
      <c r="C6121" s="4" t="str">
        <f>CHOOSE(2, "5461730030", "Jun 26")</f>
        <v>Jun 26</v>
      </c>
      <c r="D6121" s="14">
        <v>1788488.2574241399</v>
      </c>
    </row>
    <row r="6122" spans="1:4" x14ac:dyDescent="0.35">
      <c r="A6122" s="5" t="str">
        <f t="shared" si="3156"/>
        <v>Agency</v>
      </c>
      <c r="B6122" s="6" t="str">
        <f t="shared" si="3160"/>
        <v>Post-gap NBV</v>
      </c>
      <c r="C6122" s="4" t="str">
        <f>CHOOSE(2, "5462030031", "Jul 26")</f>
        <v>Jul 26</v>
      </c>
      <c r="D6122" s="14">
        <v>1567278.7440625397</v>
      </c>
    </row>
    <row r="6123" spans="1:4" x14ac:dyDescent="0.35">
      <c r="A6123" s="5" t="str">
        <f t="shared" si="3156"/>
        <v>Agency</v>
      </c>
      <c r="B6123" s="3" t="str">
        <f t="shared" ref="B6123:B6124" si="3161">CHOOSE(2, "1395000000607", "Post-gap NBV Margin %")</f>
        <v>Post-gap NBV Margin %</v>
      </c>
      <c r="C6123" s="4" t="str">
        <f>CHOOSE(2, "5461730030", "Jun 26")</f>
        <v>Jun 26</v>
      </c>
      <c r="D6123" s="14">
        <v>0.49703512894493224</v>
      </c>
    </row>
    <row r="6124" spans="1:4" x14ac:dyDescent="0.35">
      <c r="A6124" s="5" t="str">
        <f t="shared" si="3156"/>
        <v>Agency</v>
      </c>
      <c r="B6124" s="6" t="str">
        <f t="shared" si="3161"/>
        <v>Post-gap NBV Margin %</v>
      </c>
      <c r="C6124" s="4" t="str">
        <f>CHOOSE(2, "5462030031", "Jul 26")</f>
        <v>Jul 26</v>
      </c>
      <c r="D6124" s="14">
        <v>0.5247854208155498</v>
      </c>
    </row>
    <row r="6125" spans="1:4" x14ac:dyDescent="0.35">
      <c r="A6125" s="5" t="str">
        <f t="shared" si="3156"/>
        <v>Agency</v>
      </c>
      <c r="B6125" s="3" t="str">
        <f t="shared" ref="B6125:B6126" si="3162">CHOOSE(2, "1395000000606", "NB CSM")</f>
        <v>NB CSM</v>
      </c>
      <c r="C6125" s="4" t="str">
        <f>CHOOSE(2, "5461730030", "Jun 26")</f>
        <v>Jun 26</v>
      </c>
      <c r="D6125" s="14">
        <v>1428830.0544279998</v>
      </c>
    </row>
    <row r="6126" spans="1:4" x14ac:dyDescent="0.35">
      <c r="A6126" s="5" t="str">
        <f t="shared" si="3156"/>
        <v>Agency</v>
      </c>
      <c r="B6126" s="6" t="str">
        <f t="shared" si="3162"/>
        <v>NB CSM</v>
      </c>
      <c r="C6126" s="4" t="str">
        <f>CHOOSE(2, "5462030031", "Jul 26")</f>
        <v>Jul 26</v>
      </c>
      <c r="D6126" s="14">
        <v>1167526.6452015198</v>
      </c>
    </row>
    <row r="6127" spans="1:4" x14ac:dyDescent="0.35">
      <c r="A6127" s="5" t="str">
        <f t="shared" si="3156"/>
        <v>Agency</v>
      </c>
      <c r="B6127" s="3" t="str">
        <f t="shared" ref="B6127:B6128" si="3163">CHOOSE(2, "1395000000605", "NB CSM Margin %")</f>
        <v>NB CSM Margin %</v>
      </c>
      <c r="C6127" s="4" t="str">
        <f>CHOOSE(2, "5461730030", "Jun 26")</f>
        <v>Jun 26</v>
      </c>
      <c r="D6127" s="14">
        <v>0.39708325027856001</v>
      </c>
    </row>
    <row r="6128" spans="1:4" x14ac:dyDescent="0.35">
      <c r="A6128" s="5" t="str">
        <f t="shared" si="3156"/>
        <v>Agency</v>
      </c>
      <c r="B6128" s="6" t="str">
        <f t="shared" si="3163"/>
        <v>NB CSM Margin %</v>
      </c>
      <c r="C6128" s="4" t="str">
        <f>CHOOSE(2, "5462030031", "Jul 26")</f>
        <v>Jul 26</v>
      </c>
      <c r="D6128" s="14">
        <v>0.39093298759815109</v>
      </c>
    </row>
    <row r="6129" spans="1:4" x14ac:dyDescent="0.35">
      <c r="A6129" s="5" t="str">
        <f t="shared" si="3156"/>
        <v>Agency</v>
      </c>
      <c r="B6129" s="3" t="str">
        <f t="shared" ref="B6129:B6130" si="3164">CHOOSE(2, "1395000000604", "PRE")</f>
        <v>PRE</v>
      </c>
      <c r="C6129" s="4" t="str">
        <f>CHOOSE(2, "5461730030", "Jun 26")</f>
        <v>Jun 26</v>
      </c>
      <c r="D6129" s="14">
        <v>556826.69904832984</v>
      </c>
    </row>
    <row r="6130" spans="1:4" x14ac:dyDescent="0.35">
      <c r="A6130" s="5" t="str">
        <f t="shared" si="3156"/>
        <v>Agency</v>
      </c>
      <c r="B6130" s="6" t="str">
        <f t="shared" si="3164"/>
        <v>PRE</v>
      </c>
      <c r="C6130" s="4" t="str">
        <f>CHOOSE(2, "5462030031", "Jul 26")</f>
        <v>Jul 26</v>
      </c>
      <c r="D6130" s="14">
        <v>417482.49020339613</v>
      </c>
    </row>
    <row r="6131" spans="1:4" x14ac:dyDescent="0.35">
      <c r="A6131" s="5" t="str">
        <f t="shared" si="3156"/>
        <v>Agency</v>
      </c>
      <c r="B6131" s="3" t="str">
        <f t="shared" ref="B6131:B6132" si="3165">CHOOSE(2, "1395000000603", "ContEx")</f>
        <v>ContEx</v>
      </c>
      <c r="C6131" s="4" t="str">
        <f>CHOOSE(2, "5461730030", "Jun 26")</f>
        <v>Jun 26</v>
      </c>
      <c r="D6131" s="14">
        <v>0</v>
      </c>
    </row>
    <row r="6132" spans="1:4" x14ac:dyDescent="0.35">
      <c r="A6132" s="5" t="str">
        <f t="shared" si="3156"/>
        <v>Agency</v>
      </c>
      <c r="B6132" s="6" t="str">
        <f t="shared" si="3165"/>
        <v>ContEx</v>
      </c>
      <c r="C6132" s="4" t="str">
        <f>CHOOSE(2, "5462030031", "Jul 26")</f>
        <v>Jul 26</v>
      </c>
      <c r="D6132" s="14">
        <v>0</v>
      </c>
    </row>
    <row r="6133" spans="1:4" x14ac:dyDescent="0.35">
      <c r="A6133" s="5" t="str">
        <f t="shared" si="3156"/>
        <v>Agency</v>
      </c>
      <c r="B6133" s="3" t="str">
        <f t="shared" ref="B6133:B6134" si="3166">CHOOSE(2, "1395000000602", "% of 6-90 agents")</f>
        <v>% of 6-90 agents</v>
      </c>
      <c r="C6133" s="4" t="str">
        <f>CHOOSE(2, "5461730030", "Jun 26")</f>
        <v>Jun 26</v>
      </c>
      <c r="D6133" s="14">
        <v>4.5838359469240045E-2</v>
      </c>
    </row>
    <row r="6134" spans="1:4" x14ac:dyDescent="0.35">
      <c r="A6134" s="5" t="str">
        <f t="shared" si="3156"/>
        <v>Agency</v>
      </c>
      <c r="B6134" s="6" t="str">
        <f t="shared" si="3166"/>
        <v>% of 6-90 agents</v>
      </c>
      <c r="C6134" s="4" t="str">
        <f>CHOOSE(2, "5462030031", "Jul 26")</f>
        <v>Jul 26</v>
      </c>
      <c r="D6134" s="14">
        <v>3.1286210892236384E-2</v>
      </c>
    </row>
    <row r="6135" spans="1:4" x14ac:dyDescent="0.35">
      <c r="A6135" s="5" t="str">
        <f t="shared" si="3156"/>
        <v>Agency</v>
      </c>
      <c r="B6135" s="3" t="str">
        <f t="shared" ref="B6135:B6136" si="3167">CHOOSE(2, "1395000000601", "New Recruits 3M Activation Rate")</f>
        <v>New Recruits 3M Activation Rate</v>
      </c>
      <c r="C6135" s="4" t="str">
        <f>CHOOSE(2, "5461730030", "Jun 26")</f>
        <v>Jun 26</v>
      </c>
      <c r="D6135" s="14">
        <v>0.41626794258373206</v>
      </c>
    </row>
    <row r="6136" spans="1:4" x14ac:dyDescent="0.35">
      <c r="A6136" s="5" t="str">
        <f t="shared" si="3156"/>
        <v>Agency</v>
      </c>
      <c r="B6136" s="6" t="str">
        <f t="shared" si="3167"/>
        <v>New Recruits 3M Activation Rate</v>
      </c>
      <c r="C6136" s="4" t="str">
        <f>CHOOSE(2, "5462030031", "Jul 26")</f>
        <v>Jul 26</v>
      </c>
      <c r="D6136" s="14">
        <v>0.39009287925696595</v>
      </c>
    </row>
    <row r="6137" spans="1:4" x14ac:dyDescent="0.35">
      <c r="A6137" s="5" t="str">
        <f t="shared" si="3156"/>
        <v>Agency</v>
      </c>
      <c r="B6137" s="3" t="str">
        <f t="shared" ref="B6137:B6138" si="3168">CHOOSE(2, "1395000000600", "No. of Recruits from leaders")</f>
        <v>No. of Recruits from leaders</v>
      </c>
      <c r="C6137" s="4" t="str">
        <f>CHOOSE(2, "5461730030", "Jun 26")</f>
        <v>Jun 26</v>
      </c>
      <c r="D6137" s="2" t="s">
        <v>5</v>
      </c>
    </row>
    <row r="6138" spans="1:4" x14ac:dyDescent="0.35">
      <c r="A6138" s="5" t="str">
        <f t="shared" si="3156"/>
        <v>Agency</v>
      </c>
      <c r="B6138" s="6" t="str">
        <f t="shared" si="3168"/>
        <v>No. of Recruits from leaders</v>
      </c>
      <c r="C6138" s="4" t="str">
        <f>CHOOSE(2, "5462030031", "Jul 26")</f>
        <v>Jul 26</v>
      </c>
      <c r="D6138" s="2" t="s">
        <v>5</v>
      </c>
    </row>
    <row r="6139" spans="1:4" x14ac:dyDescent="0.35">
      <c r="A6139" s="5" t="str">
        <f t="shared" si="3156"/>
        <v>Agency</v>
      </c>
      <c r="B6139" s="3" t="str">
        <f t="shared" ref="B6139:B6140" si="3169">CHOOSE(2, "1395000000599", "No. of Recruits per Active Recruiting Leader per month")</f>
        <v>No. of Recruits per Active Recruiting Leader per month</v>
      </c>
      <c r="C6139" s="4" t="str">
        <f>CHOOSE(2, "5461730030", "Jun 26")</f>
        <v>Jun 26</v>
      </c>
      <c r="D6139" s="14">
        <v>0</v>
      </c>
    </row>
    <row r="6140" spans="1:4" x14ac:dyDescent="0.35">
      <c r="A6140" s="5" t="str">
        <f t="shared" si="3156"/>
        <v>Agency</v>
      </c>
      <c r="B6140" s="6" t="str">
        <f t="shared" si="3169"/>
        <v>No. of Recruits per Active Recruiting Leader per month</v>
      </c>
      <c r="C6140" s="4" t="str">
        <f>CHOOSE(2, "5462030031", "Jul 26")</f>
        <v>Jul 26</v>
      </c>
      <c r="D6140" s="14">
        <v>0</v>
      </c>
    </row>
    <row r="6141" spans="1:4" x14ac:dyDescent="0.35">
      <c r="A6141" s="5" t="str">
        <f t="shared" si="3156"/>
        <v>Agency</v>
      </c>
      <c r="B6141" s="3" t="str">
        <f t="shared" ref="B6141:B6142" si="3170">CHOOSE(2, "1395000000598", "PRE as % of APE")</f>
        <v>PRE as % of APE</v>
      </c>
      <c r="C6141" s="4" t="str">
        <f>CHOOSE(2, "5461730030", "Jun 26")</f>
        <v>Jun 26</v>
      </c>
      <c r="D6141" s="14">
        <v>0.15474657382434992</v>
      </c>
    </row>
    <row r="6142" spans="1:4" x14ac:dyDescent="0.35">
      <c r="A6142" s="5" t="str">
        <f t="shared" si="3156"/>
        <v>Agency</v>
      </c>
      <c r="B6142" s="6" t="str">
        <f t="shared" si="3170"/>
        <v>PRE as % of APE</v>
      </c>
      <c r="C6142" s="4" t="str">
        <f>CHOOSE(2, "5462030031", "Jul 26")</f>
        <v>Jul 26</v>
      </c>
      <c r="D6142" s="14">
        <v>0.13978925263582245</v>
      </c>
    </row>
    <row r="6143" spans="1:4" x14ac:dyDescent="0.35">
      <c r="A6143" s="5" t="str">
        <f t="shared" si="3156"/>
        <v>Agency</v>
      </c>
      <c r="B6143" s="3" t="str">
        <f t="shared" ref="B6143:B6144" si="3171">CHOOSE(2, "1395000000597", "ContEx as % of APE")</f>
        <v>ContEx as % of APE</v>
      </c>
      <c r="C6143" s="4" t="str">
        <f>CHOOSE(2, "5461730030", "Jun 26")</f>
        <v>Jun 26</v>
      </c>
      <c r="D6143" s="14">
        <v>0</v>
      </c>
    </row>
    <row r="6144" spans="1:4" x14ac:dyDescent="0.35">
      <c r="A6144" s="5" t="str">
        <f t="shared" si="3156"/>
        <v>Agency</v>
      </c>
      <c r="B6144" s="6" t="str">
        <f t="shared" si="3171"/>
        <v>ContEx as % of APE</v>
      </c>
      <c r="C6144" s="4" t="str">
        <f>CHOOSE(2, "5462030031", "Jul 26")</f>
        <v>Jul 26</v>
      </c>
      <c r="D6144" s="14">
        <v>0</v>
      </c>
    </row>
    <row r="6145" spans="1:4" x14ac:dyDescent="0.35">
      <c r="A6145" s="5" t="str">
        <f t="shared" si="3156"/>
        <v>Agency</v>
      </c>
      <c r="B6145" s="3" t="str">
        <f t="shared" ref="B6145:B6146" si="3172">CHOOSE(2, "1395000000596", "% of 1-Month Active Agents")</f>
        <v>% of 1-Month Active Agents</v>
      </c>
      <c r="C6145" s="4" t="str">
        <f>CHOOSE(2, "5461730030", "Jun 26")</f>
        <v>Jun 26</v>
      </c>
      <c r="D6145" s="14">
        <v>0.23055956389289722</v>
      </c>
    </row>
    <row r="6146" spans="1:4" x14ac:dyDescent="0.35">
      <c r="A6146" s="5" t="str">
        <f t="shared" si="3156"/>
        <v>Agency</v>
      </c>
      <c r="B6146" s="6" t="str">
        <f t="shared" si="3172"/>
        <v>% of 1-Month Active Agents</v>
      </c>
      <c r="C6146" s="4" t="str">
        <f>CHOOSE(2, "5462030031", "Jul 26")</f>
        <v>Jul 26</v>
      </c>
      <c r="D6146" s="14">
        <v>0.22349256068911511</v>
      </c>
    </row>
    <row r="6147" spans="1:4" x14ac:dyDescent="0.35">
      <c r="A6147" s="5" t="str">
        <f t="shared" si="3156"/>
        <v>Agency</v>
      </c>
      <c r="B6147" s="3" t="str">
        <f t="shared" ref="B6147:B6148" si="3173">CHOOSE(2, "1395000000595", "% of 3-Month Active Agents")</f>
        <v>% of 3-Month Active Agents</v>
      </c>
      <c r="C6147" s="4" t="str">
        <f>CHOOSE(2, "5461730030", "Jun 26")</f>
        <v>Jun 26</v>
      </c>
      <c r="D6147" s="14">
        <v>0.11989668766142553</v>
      </c>
    </row>
    <row r="6148" spans="1:4" x14ac:dyDescent="0.35">
      <c r="A6148" s="5" t="str">
        <f t="shared" si="3156"/>
        <v>Agency</v>
      </c>
      <c r="B6148" s="6" t="str">
        <f t="shared" si="3173"/>
        <v>% of 3-Month Active Agents</v>
      </c>
      <c r="C6148" s="4" t="str">
        <f>CHOOSE(2, "5462030031", "Jul 26")</f>
        <v>Jul 26</v>
      </c>
      <c r="D6148" s="14">
        <v>0.1324036587194482</v>
      </c>
    </row>
    <row r="6149" spans="1:4" x14ac:dyDescent="0.35">
      <c r="A6149" s="5" t="str">
        <f t="shared" si="3156"/>
        <v>Agency</v>
      </c>
      <c r="B6149" s="3" t="str">
        <f t="shared" ref="B6149:B6150" si="3174">CHOOSE(2, "1395000000594", "Active agents per active leader")</f>
        <v>Active agents per active leader</v>
      </c>
      <c r="C6149" s="4" t="str">
        <f>CHOOSE(2, "5461730030", "Jun 26")</f>
        <v>Jun 26</v>
      </c>
      <c r="D6149" s="14">
        <v>14.525252525252526</v>
      </c>
    </row>
    <row r="6150" spans="1:4" x14ac:dyDescent="0.35">
      <c r="A6150" s="5" t="str">
        <f t="shared" si="3156"/>
        <v>Agency</v>
      </c>
      <c r="B6150" s="6" t="str">
        <f t="shared" si="3174"/>
        <v>Active agents per active leader</v>
      </c>
      <c r="C6150" s="4" t="str">
        <f>CHOOSE(2, "5462030031", "Jul 26")</f>
        <v>Jul 26</v>
      </c>
      <c r="D6150" s="14">
        <v>9.9790209790209783</v>
      </c>
    </row>
    <row r="6151" spans="1:4" x14ac:dyDescent="0.35">
      <c r="A6151" s="5" t="str">
        <f t="shared" si="3156"/>
        <v>Agency</v>
      </c>
      <c r="B6151" s="3" t="str">
        <f t="shared" ref="B6151:B6152" si="3175">CHOOSE(2, "1395000000593", "Avg. Case count per 1-Month Active Agent")</f>
        <v>Avg. Case count per 1-Month Active Agent</v>
      </c>
      <c r="C6151" s="4" t="str">
        <f>CHOOSE(2, "5461730030", "Jun 26")</f>
        <v>Jun 26</v>
      </c>
      <c r="D6151" s="14">
        <v>1.4082058414464533</v>
      </c>
    </row>
    <row r="6152" spans="1:4" x14ac:dyDescent="0.35">
      <c r="A6152" s="5" t="str">
        <f t="shared" si="3156"/>
        <v>Agency</v>
      </c>
      <c r="B6152" s="6" t="str">
        <f t="shared" si="3175"/>
        <v>Avg. Case count per 1-Month Active Agent</v>
      </c>
      <c r="C6152" s="4" t="str">
        <f>CHOOSE(2, "5462030031", "Jul 26")</f>
        <v>Jul 26</v>
      </c>
      <c r="D6152" s="14">
        <v>1.8724597056762438</v>
      </c>
    </row>
    <row r="6153" spans="1:4" x14ac:dyDescent="0.35">
      <c r="A6153" s="5" t="str">
        <f t="shared" si="3156"/>
        <v>Agency</v>
      </c>
      <c r="B6153" s="3" t="str">
        <f t="shared" ref="B6153:B6154" si="3176">CHOOSE(2, "1395000000592", "Avg. Case size")</f>
        <v>Avg. Case size</v>
      </c>
      <c r="C6153" s="4" t="str">
        <f>CHOOSE(2, "5461730030", "Jun 26")</f>
        <v>Jun 26</v>
      </c>
      <c r="D6153" s="14">
        <v>1776.9449809616342</v>
      </c>
    </row>
    <row r="6154" spans="1:4" x14ac:dyDescent="0.35">
      <c r="A6154" s="5" t="str">
        <f t="shared" si="3156"/>
        <v>Agency</v>
      </c>
      <c r="B6154" s="6" t="str">
        <f t="shared" si="3176"/>
        <v>Avg. Case size</v>
      </c>
      <c r="C6154" s="4" t="str">
        <f>CHOOSE(2, "5462030031", "Jul 26")</f>
        <v>Jul 26</v>
      </c>
      <c r="D6154" s="14">
        <v>1117.707148341744</v>
      </c>
    </row>
    <row r="6155" spans="1:4" x14ac:dyDescent="0.35">
      <c r="A6155" s="5" t="str">
        <f t="shared" si="3156"/>
        <v>Agency</v>
      </c>
      <c r="B6155" s="3" t="str">
        <f t="shared" ref="B6155:B6156" si="3177">CHOOSE(2, "1395000000591", "APE per 1-Month Active Agent")</f>
        <v>APE per 1-Month Active Agent</v>
      </c>
      <c r="C6155" s="4" t="str">
        <f>CHOOSE(2, "5461730030", "Jun 26")</f>
        <v>Jun 26</v>
      </c>
      <c r="D6155" s="14">
        <v>2502.3043021191302</v>
      </c>
    </row>
    <row r="6156" spans="1:4" x14ac:dyDescent="0.35">
      <c r="A6156" s="5" t="str">
        <f t="shared" si="3156"/>
        <v>Agency</v>
      </c>
      <c r="B6156" s="6" t="str">
        <f t="shared" si="3177"/>
        <v>APE per 1-Month Active Agent</v>
      </c>
      <c r="C6156" s="4" t="str">
        <f>CHOOSE(2, "5462030031", "Jul 26")</f>
        <v>Jul 26</v>
      </c>
      <c r="D6156" s="14">
        <v>2092.8615980162158</v>
      </c>
    </row>
    <row r="6157" spans="1:4" x14ac:dyDescent="0.35">
      <c r="A6157" s="5" t="str">
        <f t="shared" si="3156"/>
        <v>Agency</v>
      </c>
      <c r="B6157" s="3" t="str">
        <f t="shared" ref="B6157:B6158" si="3178">CHOOSE(2, "1395000000590", "% Conversion of Proposals to cases")</f>
        <v>% Conversion of Proposals to cases</v>
      </c>
      <c r="C6157" s="4" t="str">
        <f>CHOOSE(2, "5461730030", "Jun 26")</f>
        <v>Jun 26</v>
      </c>
      <c r="D6157" s="14">
        <v>0</v>
      </c>
    </row>
    <row r="6158" spans="1:4" x14ac:dyDescent="0.35">
      <c r="A6158" s="5" t="str">
        <f t="shared" si="3156"/>
        <v>Agency</v>
      </c>
      <c r="B6158" s="6" t="str">
        <f t="shared" si="3178"/>
        <v>% Conversion of Proposals to cases</v>
      </c>
      <c r="C6158" s="4" t="str">
        <f>CHOOSE(2, "5462030031", "Jul 26")</f>
        <v>Jul 26</v>
      </c>
      <c r="D6158" s="14">
        <v>0</v>
      </c>
    </row>
    <row r="6159" spans="1:4" x14ac:dyDescent="0.35">
      <c r="A6159" s="5" t="str">
        <f t="shared" si="3156"/>
        <v>Agency</v>
      </c>
      <c r="B6159" s="3" t="str">
        <f t="shared" ref="B6159:B6160" si="3179">CHOOSE(2, "1395000000588", "% APE from Agents in X tenure")</f>
        <v>% APE from Agents in X tenure</v>
      </c>
      <c r="C6159" s="4" t="str">
        <f>CHOOSE(2, "5461730030", "Jun 26")</f>
        <v>Jun 26</v>
      </c>
      <c r="D6159" s="14">
        <v>1</v>
      </c>
    </row>
    <row r="6160" spans="1:4" x14ac:dyDescent="0.35">
      <c r="A6160" s="5" t="str">
        <f t="shared" si="3156"/>
        <v>Agency</v>
      </c>
      <c r="B6160" s="6" t="str">
        <f t="shared" si="3179"/>
        <v>% APE from Agents in X tenure</v>
      </c>
      <c r="C6160" s="4" t="str">
        <f>CHOOSE(2, "5462030031", "Jul 26")</f>
        <v>Jul 26</v>
      </c>
      <c r="D6160" s="14">
        <v>1</v>
      </c>
    </row>
    <row r="6161" spans="1:4" x14ac:dyDescent="0.35">
      <c r="A6161" s="5" t="str">
        <f t="shared" si="3156"/>
        <v>Agency</v>
      </c>
      <c r="B6161" s="3" t="str">
        <f t="shared" ref="B6161:B6162" si="3180">CHOOSE(2, "1395000000587", "% APE from Agents in X tenure in 0-1M")</f>
        <v>% APE from Agents in X tenure in 0-1M</v>
      </c>
      <c r="C6161" s="4" t="str">
        <f>CHOOSE(2, "5461730030", "Jun 26")</f>
        <v>Jun 26</v>
      </c>
      <c r="D6161" s="14">
        <v>0.1</v>
      </c>
    </row>
    <row r="6162" spans="1:4" x14ac:dyDescent="0.35">
      <c r="A6162" s="5" t="str">
        <f t="shared" si="3156"/>
        <v>Agency</v>
      </c>
      <c r="B6162" s="6" t="str">
        <f t="shared" si="3180"/>
        <v>% APE from Agents in X tenure in 0-1M</v>
      </c>
      <c r="C6162" s="4" t="str">
        <f>CHOOSE(2, "5462030031", "Jul 26")</f>
        <v>Jul 26</v>
      </c>
      <c r="D6162" s="14">
        <v>0.1</v>
      </c>
    </row>
    <row r="6163" spans="1:4" x14ac:dyDescent="0.35">
      <c r="A6163" s="5" t="str">
        <f t="shared" si="3156"/>
        <v>Agency</v>
      </c>
      <c r="B6163" s="3" t="str">
        <f t="shared" ref="B6163:B6164" si="3181">CHOOSE(2, "1395000000586", "% APE from Agents in X tenure in 2-3M")</f>
        <v>% APE from Agents in X tenure in 2-3M</v>
      </c>
      <c r="C6163" s="4" t="str">
        <f>CHOOSE(2, "5461730030", "Jun 26")</f>
        <v>Jun 26</v>
      </c>
      <c r="D6163" s="14">
        <v>0.2</v>
      </c>
    </row>
    <row r="6164" spans="1:4" x14ac:dyDescent="0.35">
      <c r="A6164" s="5" t="str">
        <f t="shared" si="3156"/>
        <v>Agency</v>
      </c>
      <c r="B6164" s="6" t="str">
        <f t="shared" si="3181"/>
        <v>% APE from Agents in X tenure in 2-3M</v>
      </c>
      <c r="C6164" s="4" t="str">
        <f>CHOOSE(2, "5462030031", "Jul 26")</f>
        <v>Jul 26</v>
      </c>
      <c r="D6164" s="14">
        <v>0.2</v>
      </c>
    </row>
    <row r="6165" spans="1:4" x14ac:dyDescent="0.35">
      <c r="A6165" s="5" t="str">
        <f t="shared" si="3156"/>
        <v>Agency</v>
      </c>
      <c r="B6165" s="3" t="str">
        <f t="shared" ref="B6165:B6166" si="3182">CHOOSE(2, "1395000000585", "% APE from Agents in X tenure in 4-12M")</f>
        <v>% APE from Agents in X tenure in 4-12M</v>
      </c>
      <c r="C6165" s="4" t="str">
        <f>CHOOSE(2, "5461730030", "Jun 26")</f>
        <v>Jun 26</v>
      </c>
      <c r="D6165" s="14">
        <v>0.3</v>
      </c>
    </row>
    <row r="6166" spans="1:4" x14ac:dyDescent="0.35">
      <c r="A6166" s="5" t="str">
        <f t="shared" si="3156"/>
        <v>Agency</v>
      </c>
      <c r="B6166" s="6" t="str">
        <f t="shared" si="3182"/>
        <v>% APE from Agents in X tenure in 4-12M</v>
      </c>
      <c r="C6166" s="4" t="str">
        <f>CHOOSE(2, "5462030031", "Jul 26")</f>
        <v>Jul 26</v>
      </c>
      <c r="D6166" s="14">
        <v>0.3</v>
      </c>
    </row>
    <row r="6167" spans="1:4" x14ac:dyDescent="0.35">
      <c r="A6167" s="5" t="str">
        <f t="shared" si="3156"/>
        <v>Agency</v>
      </c>
      <c r="B6167" s="3" t="str">
        <f t="shared" ref="B6167:B6168" si="3183">CHOOSE(2, "1395000000584", "% APE from Agents in X tenure 13+M")</f>
        <v>% APE from Agents in X tenure 13+M</v>
      </c>
      <c r="C6167" s="4" t="str">
        <f>CHOOSE(2, "5461730030", "Jun 26")</f>
        <v>Jun 26</v>
      </c>
      <c r="D6167" s="14">
        <v>0.4</v>
      </c>
    </row>
    <row r="6168" spans="1:4" x14ac:dyDescent="0.35">
      <c r="A6168" s="5" t="str">
        <f t="shared" si="3156"/>
        <v>Agency</v>
      </c>
      <c r="B6168" s="6" t="str">
        <f t="shared" si="3183"/>
        <v>% APE from Agents in X tenure 13+M</v>
      </c>
      <c r="C6168" s="4" t="str">
        <f>CHOOSE(2, "5462030031", "Jul 26")</f>
        <v>Jul 26</v>
      </c>
      <c r="D6168" s="14">
        <v>0.4</v>
      </c>
    </row>
    <row r="6169" spans="1:4" x14ac:dyDescent="0.35">
      <c r="A6169" s="5" t="str">
        <f t="shared" si="3156"/>
        <v>Agency</v>
      </c>
      <c r="B6169" s="3" t="str">
        <f t="shared" ref="B6169:B6170" si="3184">CHOOSE(2, "1395000000583", "% APE from pro-rated MDRT agents (100%)")</f>
        <v>% APE from pro-rated MDRT agents (100%)</v>
      </c>
      <c r="C6169" s="4" t="str">
        <f>CHOOSE(2, "5461730030", "Jun 26")</f>
        <v>Jun 26</v>
      </c>
      <c r="D6169" s="14">
        <v>0</v>
      </c>
    </row>
    <row r="6170" spans="1:4" x14ac:dyDescent="0.35">
      <c r="A6170" s="5" t="str">
        <f t="shared" si="3156"/>
        <v>Agency</v>
      </c>
      <c r="B6170" s="6" t="str">
        <f t="shared" si="3184"/>
        <v>% APE from pro-rated MDRT agents (100%)</v>
      </c>
      <c r="C6170" s="4" t="str">
        <f>CHOOSE(2, "5462030031", "Jul 26")</f>
        <v>Jul 26</v>
      </c>
      <c r="D6170" s="14">
        <v>0</v>
      </c>
    </row>
    <row r="6171" spans="1:4" x14ac:dyDescent="0.35">
      <c r="A6171" s="5" t="str">
        <f t="shared" si="3156"/>
        <v>Agency</v>
      </c>
      <c r="B6171" s="3" t="str">
        <f t="shared" ref="B6171:B6172" si="3185">CHOOSE(2, "1395000000582", "% APE from pro-rated MDRT agents (70-99%)")</f>
        <v>% APE from pro-rated MDRT agents (70-99%)</v>
      </c>
      <c r="C6171" s="4" t="str">
        <f>CHOOSE(2, "5461730030", "Jun 26")</f>
        <v>Jun 26</v>
      </c>
      <c r="D6171" s="14">
        <v>0</v>
      </c>
    </row>
    <row r="6172" spans="1:4" x14ac:dyDescent="0.35">
      <c r="A6172" s="5" t="str">
        <f t="shared" si="3156"/>
        <v>Agency</v>
      </c>
      <c r="B6172" s="6" t="str">
        <f t="shared" si="3185"/>
        <v>% APE from pro-rated MDRT agents (70-99%)</v>
      </c>
      <c r="C6172" s="4" t="str">
        <f>CHOOSE(2, "5462030031", "Jul 26")</f>
        <v>Jul 26</v>
      </c>
      <c r="D6172" s="14">
        <v>0</v>
      </c>
    </row>
    <row r="6173" spans="1:4" x14ac:dyDescent="0.35">
      <c r="A6173" s="5" t="str">
        <f t="shared" si="3156"/>
        <v>Agency</v>
      </c>
      <c r="B6173" s="3" t="str">
        <f t="shared" ref="B6173:B6174" si="3186">CHOOSE(2, "1395000000581", "% APE from pro-rated MDRT agents (50-69%)")</f>
        <v>% APE from pro-rated MDRT agents (50-69%)</v>
      </c>
      <c r="C6173" s="4" t="str">
        <f>CHOOSE(2, "5461730030", "Jun 26")</f>
        <v>Jun 26</v>
      </c>
      <c r="D6173" s="14">
        <v>0</v>
      </c>
    </row>
    <row r="6174" spans="1:4" x14ac:dyDescent="0.35">
      <c r="A6174" s="5" t="str">
        <f t="shared" si="3156"/>
        <v>Agency</v>
      </c>
      <c r="B6174" s="6" t="str">
        <f t="shared" si="3186"/>
        <v>% APE from pro-rated MDRT agents (50-69%)</v>
      </c>
      <c r="C6174" s="4" t="str">
        <f>CHOOSE(2, "5462030031", "Jul 26")</f>
        <v>Jul 26</v>
      </c>
      <c r="D6174" s="14">
        <v>0</v>
      </c>
    </row>
    <row r="6175" spans="1:4" x14ac:dyDescent="0.35">
      <c r="A6175" s="5" t="str">
        <f t="shared" si="3156"/>
        <v>Agency</v>
      </c>
      <c r="B6175" s="3" t="str">
        <f t="shared" ref="B6175:B6176" si="3187">CHOOSE(2, "1395000000580", "% APE from Top-tier agents")</f>
        <v>% APE from Top-tier agents</v>
      </c>
      <c r="C6175" s="4" t="str">
        <f>CHOOSE(2, "5461730030", "Jun 26")</f>
        <v>Jun 26</v>
      </c>
      <c r="D6175" s="14">
        <v>0</v>
      </c>
    </row>
    <row r="6176" spans="1:4" x14ac:dyDescent="0.35">
      <c r="A6176" s="5" t="str">
        <f t="shared" si="3156"/>
        <v>Agency</v>
      </c>
      <c r="B6176" s="6" t="str">
        <f t="shared" si="3187"/>
        <v>% APE from Top-tier agents</v>
      </c>
      <c r="C6176" s="4" t="str">
        <f>CHOOSE(2, "5462030031", "Jul 26")</f>
        <v>Jul 26</v>
      </c>
      <c r="D6176" s="14">
        <v>0</v>
      </c>
    </row>
    <row r="6177" spans="1:4" x14ac:dyDescent="0.35">
      <c r="A6177" s="5" t="str">
        <f t="shared" si="3156"/>
        <v>Agency</v>
      </c>
      <c r="B6177" s="3" t="str">
        <f t="shared" ref="B6177:B6178" si="3188">CHOOSE(2, "1395000000579", "% of Active Recruiting Leaders")</f>
        <v>% of Active Recruiting Leaders</v>
      </c>
      <c r="C6177" s="4" t="str">
        <f>CHOOSE(2, "5461730030", "Jun 26")</f>
        <v>Jun 26</v>
      </c>
      <c r="D6177" s="14">
        <v>9.5467695274831246E-2</v>
      </c>
    </row>
    <row r="6178" spans="1:4" x14ac:dyDescent="0.35">
      <c r="A6178" s="5" t="str">
        <f t="shared" si="3156"/>
        <v>Agency</v>
      </c>
      <c r="B6178" s="6" t="str">
        <f t="shared" si="3188"/>
        <v>% of Active Recruiting Leaders</v>
      </c>
      <c r="C6178" s="4" t="str">
        <f>CHOOSE(2, "5462030031", "Jul 26")</f>
        <v>Jul 26</v>
      </c>
      <c r="D6178" s="14">
        <v>0.13723608445297505</v>
      </c>
    </row>
    <row r="6179" spans="1:4" x14ac:dyDescent="0.35">
      <c r="A6179" s="5" t="str">
        <f t="shared" ref="A6179:A6242" si="3189">CHOOSE(2, "1260000000007", "Agency")</f>
        <v>Agency</v>
      </c>
      <c r="B6179" s="3" t="str">
        <f t="shared" ref="B6179:B6180" si="3190">CHOOSE(2, "1395000000578", "% of leaders with &gt;1 YTD recruit")</f>
        <v>% of leaders with &gt;1 YTD recruit</v>
      </c>
      <c r="C6179" s="4" t="str">
        <f>CHOOSE(2, "5461730030", "Jun 26")</f>
        <v>Jun 26</v>
      </c>
      <c r="D6179" s="14">
        <v>0.38187078109932499</v>
      </c>
    </row>
    <row r="6180" spans="1:4" x14ac:dyDescent="0.35">
      <c r="A6180" s="5" t="str">
        <f t="shared" si="3189"/>
        <v>Agency</v>
      </c>
      <c r="B6180" s="6" t="str">
        <f t="shared" si="3190"/>
        <v>% of leaders with &gt;1 YTD recruit</v>
      </c>
      <c r="C6180" s="4" t="str">
        <f>CHOOSE(2, "5462030031", "Jul 26")</f>
        <v>Jul 26</v>
      </c>
      <c r="D6180" s="14">
        <v>0.44721689059500958</v>
      </c>
    </row>
    <row r="6181" spans="1:4" x14ac:dyDescent="0.35">
      <c r="A6181" s="5" t="str">
        <f t="shared" si="3189"/>
        <v>Agency</v>
      </c>
      <c r="B6181" s="3" t="str">
        <f t="shared" ref="B6181:B6182" si="3191">CHOOSE(2, "1395000000577", "% of 1-Month Active Top-tier agents")</f>
        <v>% of 1-Month Active Top-tier agents</v>
      </c>
      <c r="C6181" s="4" t="str">
        <f>CHOOSE(2, "5461730030", "Jun 26")</f>
        <v>Jun 26</v>
      </c>
      <c r="D6181" s="14">
        <v>0</v>
      </c>
    </row>
    <row r="6182" spans="1:4" x14ac:dyDescent="0.35">
      <c r="A6182" s="5" t="str">
        <f t="shared" si="3189"/>
        <v>Agency</v>
      </c>
      <c r="B6182" s="6" t="str">
        <f t="shared" si="3191"/>
        <v>% of 1-Month Active Top-tier agents</v>
      </c>
      <c r="C6182" s="4" t="str">
        <f>CHOOSE(2, "5462030031", "Jul 26")</f>
        <v>Jul 26</v>
      </c>
      <c r="D6182" s="14">
        <v>0</v>
      </c>
    </row>
    <row r="6183" spans="1:4" x14ac:dyDescent="0.35">
      <c r="A6183" s="5" t="str">
        <f t="shared" si="3189"/>
        <v>Agency</v>
      </c>
      <c r="B6183" s="3" t="str">
        <f t="shared" ref="B6183:B6184" si="3192">CHOOSE(2, "1395000000576", "% APE from Manulife Pro - Total")</f>
        <v>% APE from Manulife Pro - Total</v>
      </c>
      <c r="C6183" s="4" t="str">
        <f>CHOOSE(2, "5461730030", "Jun 26")</f>
        <v>Jun 26</v>
      </c>
      <c r="D6183" s="14">
        <v>0</v>
      </c>
    </row>
    <row r="6184" spans="1:4" x14ac:dyDescent="0.35">
      <c r="A6184" s="5" t="str">
        <f t="shared" si="3189"/>
        <v>Agency</v>
      </c>
      <c r="B6184" s="6" t="str">
        <f t="shared" si="3192"/>
        <v>% APE from Manulife Pro - Total</v>
      </c>
      <c r="C6184" s="4" t="str">
        <f>CHOOSE(2, "5462030031", "Jul 26")</f>
        <v>Jul 26</v>
      </c>
      <c r="D6184" s="14">
        <v>0</v>
      </c>
    </row>
    <row r="6185" spans="1:4" x14ac:dyDescent="0.35">
      <c r="A6185" s="5" t="str">
        <f t="shared" si="3189"/>
        <v>Agency</v>
      </c>
      <c r="B6185" s="3" t="str">
        <f t="shared" ref="B6185:B6186" si="3193">CHOOSE(2, "1395000000575", "% of 1-Month Active Agents Manulife Pro Qualifiers - Total")</f>
        <v>% of 1-Month Active Agents Manulife Pro Qualifiers - Total</v>
      </c>
      <c r="C6185" s="4" t="str">
        <f>CHOOSE(2, "5461730030", "Jun 26")</f>
        <v>Jun 26</v>
      </c>
      <c r="D6185" s="14">
        <v>0</v>
      </c>
    </row>
    <row r="6186" spans="1:4" x14ac:dyDescent="0.35">
      <c r="A6186" s="5" t="str">
        <f t="shared" si="3189"/>
        <v>Agency</v>
      </c>
      <c r="B6186" s="6" t="str">
        <f t="shared" si="3193"/>
        <v>% of 1-Month Active Agents Manulife Pro Qualifiers - Total</v>
      </c>
      <c r="C6186" s="4" t="str">
        <f>CHOOSE(2, "5462030031", "Jul 26")</f>
        <v>Jul 26</v>
      </c>
      <c r="D6186" s="14">
        <v>0</v>
      </c>
    </row>
    <row r="6187" spans="1:4" x14ac:dyDescent="0.35">
      <c r="A6187" s="5" t="str">
        <f t="shared" si="3189"/>
        <v>Agency</v>
      </c>
      <c r="B6187" s="3" t="str">
        <f t="shared" ref="B6187:B6188" si="3194">CHOOSE(2, "1395000000574", "% of Newly Demoted UM")</f>
        <v>% of Newly Demoted UM</v>
      </c>
      <c r="C6187" s="4" t="str">
        <f>CHOOSE(2, "5461730030", "Jun 26")</f>
        <v>Jun 26</v>
      </c>
      <c r="D6187" s="14">
        <v>9.3786635404454859E-3</v>
      </c>
    </row>
    <row r="6188" spans="1:4" x14ac:dyDescent="0.35">
      <c r="A6188" s="5" t="str">
        <f t="shared" si="3189"/>
        <v>Agency</v>
      </c>
      <c r="B6188" s="6" t="str">
        <f t="shared" si="3194"/>
        <v>% of Newly Demoted UM</v>
      </c>
      <c r="C6188" s="4" t="str">
        <f>CHOOSE(2, "5462030031", "Jul 26")</f>
        <v>Jul 26</v>
      </c>
      <c r="D6188" s="14">
        <v>1.6412661195779603E-2</v>
      </c>
    </row>
    <row r="6189" spans="1:4" x14ac:dyDescent="0.35">
      <c r="A6189" s="5" t="str">
        <f t="shared" si="3189"/>
        <v>Agency</v>
      </c>
      <c r="B6189" s="3" t="str">
        <f t="shared" ref="B6189:B6190" si="3195">CHOOSE(2, "1395000000573", "% of Newly Demoted Leaders above UM")</f>
        <v>% of Newly Demoted Leaders above UM</v>
      </c>
      <c r="C6189" s="4" t="str">
        <f>CHOOSE(2, "5461730030", "Jun 26")</f>
        <v>Jun 26</v>
      </c>
      <c r="D6189" s="14">
        <v>1.0869565217391304E-2</v>
      </c>
    </row>
    <row r="6190" spans="1:4" x14ac:dyDescent="0.35">
      <c r="A6190" s="5" t="str">
        <f t="shared" si="3189"/>
        <v>Agency</v>
      </c>
      <c r="B6190" s="6" t="str">
        <f t="shared" si="3195"/>
        <v>% of Newly Demoted Leaders above UM</v>
      </c>
      <c r="C6190" s="4" t="str">
        <f>CHOOSE(2, "5462030031", "Jul 26")</f>
        <v>Jul 26</v>
      </c>
      <c r="D6190" s="14">
        <v>0</v>
      </c>
    </row>
    <row r="6191" spans="1:4" x14ac:dyDescent="0.35">
      <c r="A6191" s="5" t="str">
        <f t="shared" si="3189"/>
        <v>Agency</v>
      </c>
      <c r="B6191" s="3" t="str">
        <f t="shared" ref="B6191:B6192" si="3196">CHOOSE(2, "1395000000572", "Avg. Earning per agent")</f>
        <v>Avg. Earning per agent</v>
      </c>
      <c r="C6191" s="4" t="str">
        <f>CHOOSE(2, "5461730030", "Jun 26")</f>
        <v>Jun 26</v>
      </c>
      <c r="D6191" s="14">
        <v>0</v>
      </c>
    </row>
    <row r="6192" spans="1:4" x14ac:dyDescent="0.35">
      <c r="A6192" s="5" t="str">
        <f t="shared" si="3189"/>
        <v>Agency</v>
      </c>
      <c r="B6192" s="6" t="str">
        <f t="shared" si="3196"/>
        <v>Avg. Earning per agent</v>
      </c>
      <c r="C6192" s="4" t="str">
        <f>CHOOSE(2, "5462030031", "Jul 26")</f>
        <v>Jul 26</v>
      </c>
      <c r="D6192" s="14">
        <v>0</v>
      </c>
    </row>
    <row r="6193" spans="1:4" x14ac:dyDescent="0.35">
      <c r="A6193" s="5" t="str">
        <f t="shared" si="3189"/>
        <v>Agency</v>
      </c>
      <c r="B6193" s="3" t="str">
        <f t="shared" ref="B6193:B6194" si="3197">CHOOSE(2, "1395000000571", "Avg. Earning per agent in FA or equivalent")</f>
        <v>Avg. Earning per agent in FA or equivalent</v>
      </c>
      <c r="C6193" s="4" t="str">
        <f>CHOOSE(2, "5461730030", "Jun 26")</f>
        <v>Jun 26</v>
      </c>
      <c r="D6193" s="14">
        <v>0</v>
      </c>
    </row>
    <row r="6194" spans="1:4" x14ac:dyDescent="0.35">
      <c r="A6194" s="5" t="str">
        <f t="shared" si="3189"/>
        <v>Agency</v>
      </c>
      <c r="B6194" s="6" t="str">
        <f t="shared" si="3197"/>
        <v>Avg. Earning per agent in FA or equivalent</v>
      </c>
      <c r="C6194" s="4" t="str">
        <f>CHOOSE(2, "5462030031", "Jul 26")</f>
        <v>Jul 26</v>
      </c>
      <c r="D6194" s="14">
        <v>0</v>
      </c>
    </row>
    <row r="6195" spans="1:4" x14ac:dyDescent="0.35">
      <c r="A6195" s="5" t="str">
        <f t="shared" si="3189"/>
        <v>Agency</v>
      </c>
      <c r="B6195" s="3" t="str">
        <f t="shared" ref="B6195:B6196" si="3198">CHOOSE(2, "1395000000570", "Avg. Earning per agent in UM")</f>
        <v>Avg. Earning per agent in UM</v>
      </c>
      <c r="C6195" s="4" t="str">
        <f>CHOOSE(2, "5461730030", "Jun 26")</f>
        <v>Jun 26</v>
      </c>
      <c r="D6195" s="14">
        <v>0</v>
      </c>
    </row>
    <row r="6196" spans="1:4" x14ac:dyDescent="0.35">
      <c r="A6196" s="5" t="str">
        <f t="shared" si="3189"/>
        <v>Agency</v>
      </c>
      <c r="B6196" s="6" t="str">
        <f t="shared" si="3198"/>
        <v>Avg. Earning per agent in UM</v>
      </c>
      <c r="C6196" s="4" t="str">
        <f>CHOOSE(2, "5462030031", "Jul 26")</f>
        <v>Jul 26</v>
      </c>
      <c r="D6196" s="14">
        <v>0</v>
      </c>
    </row>
    <row r="6197" spans="1:4" x14ac:dyDescent="0.35">
      <c r="A6197" s="5" t="str">
        <f t="shared" si="3189"/>
        <v>Agency</v>
      </c>
      <c r="B6197" s="3" t="str">
        <f t="shared" ref="B6197:B6198" si="3199">CHOOSE(2, "1395000000569", "Avg. Earning per agent in Leaders above UM")</f>
        <v>Avg. Earning per agent in Leaders above UM</v>
      </c>
      <c r="C6197" s="4" t="str">
        <f>CHOOSE(2, "5461730030", "Jun 26")</f>
        <v>Jun 26</v>
      </c>
      <c r="D6197" s="14">
        <v>0</v>
      </c>
    </row>
    <row r="6198" spans="1:4" x14ac:dyDescent="0.35">
      <c r="A6198" s="5" t="str">
        <f t="shared" si="3189"/>
        <v>Agency</v>
      </c>
      <c r="B6198" s="6" t="str">
        <f t="shared" si="3199"/>
        <v>Avg. Earning per agent in Leaders above UM</v>
      </c>
      <c r="C6198" s="4" t="str">
        <f>CHOOSE(2, "5462030031", "Jul 26")</f>
        <v>Jul 26</v>
      </c>
      <c r="D6198" s="14">
        <v>0</v>
      </c>
    </row>
    <row r="6199" spans="1:4" x14ac:dyDescent="0.35">
      <c r="A6199" s="5" t="str">
        <f t="shared" si="3189"/>
        <v>Agency</v>
      </c>
      <c r="B6199" s="3" t="str">
        <f t="shared" ref="B6199:B6200" si="3200">CHOOSE(2, "1395000000568", "% of 1-Month Active Agents 0-1M")</f>
        <v>% of 1-Month Active Agents 0-1M</v>
      </c>
      <c r="C6199" s="4" t="str">
        <f>CHOOSE(2, "5461730030", "Jun 26")</f>
        <v>Jun 26</v>
      </c>
      <c r="D6199" s="14">
        <v>0.15129151291512916</v>
      </c>
    </row>
    <row r="6200" spans="1:4" x14ac:dyDescent="0.35">
      <c r="A6200" s="5" t="str">
        <f t="shared" si="3189"/>
        <v>Agency</v>
      </c>
      <c r="B6200" s="6" t="str">
        <f t="shared" si="3200"/>
        <v>% of 1-Month Active Agents 0-1M</v>
      </c>
      <c r="C6200" s="4" t="str">
        <f>CHOOSE(2, "5462030031", "Jul 26")</f>
        <v>Jul 26</v>
      </c>
      <c r="D6200" s="14">
        <v>0.13725490196078433</v>
      </c>
    </row>
    <row r="6201" spans="1:4" x14ac:dyDescent="0.35">
      <c r="A6201" s="5" t="str">
        <f t="shared" si="3189"/>
        <v>Agency</v>
      </c>
      <c r="B6201" s="3" t="str">
        <f t="shared" ref="B6201:B6202" si="3201">CHOOSE(2, "1395000000567", "% of 1-Month Active Agents in 2-3M")</f>
        <v>% of 1-Month Active Agents in 2-3M</v>
      </c>
      <c r="C6201" s="4" t="str">
        <f>CHOOSE(2, "5461730030", "Jun 26")</f>
        <v>Jun 26</v>
      </c>
      <c r="D6201" s="14">
        <v>0.22580645161290322</v>
      </c>
    </row>
    <row r="6202" spans="1:4" x14ac:dyDescent="0.35">
      <c r="A6202" s="5" t="str">
        <f t="shared" si="3189"/>
        <v>Agency</v>
      </c>
      <c r="B6202" s="6" t="str">
        <f t="shared" si="3201"/>
        <v>% of 1-Month Active Agents in 2-3M</v>
      </c>
      <c r="C6202" s="4" t="str">
        <f>CHOOSE(2, "5462030031", "Jul 26")</f>
        <v>Jul 26</v>
      </c>
      <c r="D6202" s="14">
        <v>0.25447316103379719</v>
      </c>
    </row>
    <row r="6203" spans="1:4" x14ac:dyDescent="0.35">
      <c r="A6203" s="5" t="str">
        <f t="shared" si="3189"/>
        <v>Agency</v>
      </c>
      <c r="B6203" s="3" t="str">
        <f t="shared" ref="B6203:B6204" si="3202">CHOOSE(2, "1395000000566", "% of 1-Month Active Agents 4-12M")</f>
        <v>% of 1-Month Active Agents 4-12M</v>
      </c>
      <c r="C6203" s="4" t="str">
        <f>CHOOSE(2, "5461730030", "Jun 26")</f>
        <v>Jun 26</v>
      </c>
      <c r="D6203" s="14">
        <v>0.15416178194607269</v>
      </c>
    </row>
    <row r="6204" spans="1:4" x14ac:dyDescent="0.35">
      <c r="A6204" s="5" t="str">
        <f t="shared" si="3189"/>
        <v>Agency</v>
      </c>
      <c r="B6204" s="6" t="str">
        <f t="shared" si="3202"/>
        <v>% of 1-Month Active Agents 4-12M</v>
      </c>
      <c r="C6204" s="4" t="str">
        <f>CHOOSE(2, "5462030031", "Jul 26")</f>
        <v>Jul 26</v>
      </c>
      <c r="D6204" s="14">
        <v>0.13887307911212293</v>
      </c>
    </row>
    <row r="6205" spans="1:4" x14ac:dyDescent="0.35">
      <c r="A6205" s="5" t="str">
        <f t="shared" si="3189"/>
        <v>Agency</v>
      </c>
      <c r="B6205" s="3" t="str">
        <f t="shared" ref="B6205:B6206" si="3203">CHOOSE(2, "1395000000565", "% of 1-Month Active Agents 13+M")</f>
        <v>% of 1-Month Active Agents 13+M</v>
      </c>
      <c r="C6205" s="4" t="str">
        <f>CHOOSE(2, "5461730030", "Jun 26")</f>
        <v>Jun 26</v>
      </c>
      <c r="D6205" s="14">
        <v>0.27228525121555913</v>
      </c>
    </row>
    <row r="6206" spans="1:4" x14ac:dyDescent="0.35">
      <c r="A6206" s="5" t="str">
        <f t="shared" si="3189"/>
        <v>Agency</v>
      </c>
      <c r="B6206" s="6" t="str">
        <f t="shared" si="3203"/>
        <v>% of 1-Month Active Agents 13+M</v>
      </c>
      <c r="C6206" s="4" t="str">
        <f>CHOOSE(2, "5462030031", "Jul 26")</f>
        <v>Jul 26</v>
      </c>
      <c r="D6206" s="14">
        <v>0.26698513800424628</v>
      </c>
    </row>
    <row r="6207" spans="1:4" x14ac:dyDescent="0.35">
      <c r="A6207" s="5" t="str">
        <f t="shared" si="3189"/>
        <v>Agency</v>
      </c>
      <c r="B6207" s="3" t="str">
        <f t="shared" ref="B6207:B6208" si="3204">CHOOSE(2, "1395000000564", "% of 3-Month Active Agents 0-1M")</f>
        <v>% of 3-Month Active Agents 0-1M</v>
      </c>
      <c r="C6207" s="4" t="str">
        <f>CHOOSE(2, "5461730030", "Jun 26")</f>
        <v>Jun 26</v>
      </c>
      <c r="D6207" s="14">
        <v>0.15129151291512916</v>
      </c>
    </row>
    <row r="6208" spans="1:4" x14ac:dyDescent="0.35">
      <c r="A6208" s="5" t="str">
        <f t="shared" si="3189"/>
        <v>Agency</v>
      </c>
      <c r="B6208" s="6" t="str">
        <f t="shared" si="3204"/>
        <v>% of 3-Month Active Agents 0-1M</v>
      </c>
      <c r="C6208" s="4" t="str">
        <f>CHOOSE(2, "5462030031", "Jul 26")</f>
        <v>Jul 26</v>
      </c>
      <c r="D6208" s="14">
        <v>0.13725490196078433</v>
      </c>
    </row>
    <row r="6209" spans="1:4" x14ac:dyDescent="0.35">
      <c r="A6209" s="5" t="str">
        <f t="shared" si="3189"/>
        <v>Agency</v>
      </c>
      <c r="B6209" s="3" t="str">
        <f t="shared" ref="B6209:B6210" si="3205">CHOOSE(2, "1395000000563", "% of 3-Month Active Agents in 2-3M")</f>
        <v>% of 3-Month Active Agents in 2-3M</v>
      </c>
      <c r="C6209" s="4" t="str">
        <f>CHOOSE(2, "5461730030", "Jun 26")</f>
        <v>Jun 26</v>
      </c>
      <c r="D6209" s="14">
        <v>0.35125448028673834</v>
      </c>
    </row>
    <row r="6210" spans="1:4" x14ac:dyDescent="0.35">
      <c r="A6210" s="5" t="str">
        <f t="shared" si="3189"/>
        <v>Agency</v>
      </c>
      <c r="B6210" s="6" t="str">
        <f t="shared" si="3205"/>
        <v>% of 3-Month Active Agents in 2-3M</v>
      </c>
      <c r="C6210" s="4" t="str">
        <f>CHOOSE(2, "5462030031", "Jul 26")</f>
        <v>Jul 26</v>
      </c>
      <c r="D6210" s="14">
        <v>0.40357852882703776</v>
      </c>
    </row>
    <row r="6211" spans="1:4" x14ac:dyDescent="0.35">
      <c r="A6211" s="5" t="str">
        <f t="shared" si="3189"/>
        <v>Agency</v>
      </c>
      <c r="B6211" s="3" t="str">
        <f t="shared" ref="B6211:B6212" si="3206">CHOOSE(2, "1395000000562", "% of 3-Month Active Agents 4-12M")</f>
        <v>% of 3-Month Active Agents 4-12M</v>
      </c>
      <c r="C6211" s="4" t="str">
        <f>CHOOSE(2, "5461730030", "Jun 26")</f>
        <v>Jun 26</v>
      </c>
      <c r="D6211" s="14">
        <v>0.32180539273153574</v>
      </c>
    </row>
    <row r="6212" spans="1:4" x14ac:dyDescent="0.35">
      <c r="A6212" s="5" t="str">
        <f t="shared" si="3189"/>
        <v>Agency</v>
      </c>
      <c r="B6212" s="6" t="str">
        <f t="shared" si="3206"/>
        <v>% of 3-Month Active Agents 4-12M</v>
      </c>
      <c r="C6212" s="4" t="str">
        <f>CHOOSE(2, "5462030031", "Jul 26")</f>
        <v>Jul 26</v>
      </c>
      <c r="D6212" s="14">
        <v>0.30221969265793969</v>
      </c>
    </row>
    <row r="6213" spans="1:4" x14ac:dyDescent="0.35">
      <c r="A6213" s="5" t="str">
        <f t="shared" si="3189"/>
        <v>Agency</v>
      </c>
      <c r="B6213" s="3" t="str">
        <f t="shared" ref="B6213:B6214" si="3207">CHOOSE(2, "1395000000561", "% of 3-Month Active Agents 13+M")</f>
        <v>% of 3-Month Active Agents 13+M</v>
      </c>
      <c r="C6213" s="4" t="str">
        <f>CHOOSE(2, "5461730030", "Jun 26")</f>
        <v>Jun 26</v>
      </c>
      <c r="D6213" s="14">
        <v>0.50243111831442466</v>
      </c>
    </row>
    <row r="6214" spans="1:4" x14ac:dyDescent="0.35">
      <c r="A6214" s="5" t="str">
        <f t="shared" si="3189"/>
        <v>Agency</v>
      </c>
      <c r="B6214" s="6" t="str">
        <f t="shared" si="3207"/>
        <v>% of 3-Month Active Agents 13+M</v>
      </c>
      <c r="C6214" s="4" t="str">
        <f>CHOOSE(2, "5462030031", "Jul 26")</f>
        <v>Jul 26</v>
      </c>
      <c r="D6214" s="14">
        <v>0.49522292993630573</v>
      </c>
    </row>
    <row r="6215" spans="1:4" x14ac:dyDescent="0.35">
      <c r="A6215" s="5" t="str">
        <f t="shared" si="3189"/>
        <v>Agency</v>
      </c>
      <c r="B6215" s="3" t="str">
        <f t="shared" ref="B6215:B6216" si="3208">CHOOSE(2, "1395000000560", "Avg. Case count per 1-Month Active Agent 0-1M")</f>
        <v>Avg. Case count per 1-Month Active Agent 0-1M</v>
      </c>
      <c r="C6215" s="4" t="str">
        <f>CHOOSE(2, "5461730030", "Jun 26")</f>
        <v>Jun 26</v>
      </c>
      <c r="D6215" s="14">
        <v>1.4146341463414633</v>
      </c>
    </row>
    <row r="6216" spans="1:4" x14ac:dyDescent="0.35">
      <c r="A6216" s="5" t="str">
        <f t="shared" si="3189"/>
        <v>Agency</v>
      </c>
      <c r="B6216" s="6" t="str">
        <f t="shared" si="3208"/>
        <v>Avg. Case count per 1-Month Active Agent 0-1M</v>
      </c>
      <c r="C6216" s="4" t="str">
        <f>CHOOSE(2, "5462030031", "Jul 26")</f>
        <v>Jul 26</v>
      </c>
      <c r="D6216" s="14">
        <v>1.5714285714285714</v>
      </c>
    </row>
    <row r="6217" spans="1:4" x14ac:dyDescent="0.35">
      <c r="A6217" s="5" t="str">
        <f t="shared" si="3189"/>
        <v>Agency</v>
      </c>
      <c r="B6217" s="3" t="str">
        <f t="shared" ref="B6217:B6218" si="3209">CHOOSE(2, "1395000000559", "Avg. Case count per 1-Month Active Agent in 2-3M")</f>
        <v>Avg. Case count per 1-Month Active Agent in 2-3M</v>
      </c>
      <c r="C6217" s="4" t="str">
        <f>CHOOSE(2, "5461730030", "Jun 26")</f>
        <v>Jun 26</v>
      </c>
      <c r="D6217" s="14">
        <v>2.0277777777777777</v>
      </c>
    </row>
    <row r="6218" spans="1:4" x14ac:dyDescent="0.35">
      <c r="A6218" s="5" t="str">
        <f t="shared" si="3189"/>
        <v>Agency</v>
      </c>
      <c r="B6218" s="6" t="str">
        <f t="shared" si="3209"/>
        <v>Avg. Case count per 1-Month Active Agent in 2-3M</v>
      </c>
      <c r="C6218" s="4" t="str">
        <f>CHOOSE(2, "5462030031", "Jul 26")</f>
        <v>Jul 26</v>
      </c>
      <c r="D6218" s="14">
        <v>1.65625</v>
      </c>
    </row>
    <row r="6219" spans="1:4" x14ac:dyDescent="0.35">
      <c r="A6219" s="5" t="str">
        <f t="shared" si="3189"/>
        <v>Agency</v>
      </c>
      <c r="B6219" s="3" t="str">
        <f t="shared" ref="B6219:B6220" si="3210">CHOOSE(2, "1395000000558", "Avg. Case count per 1-Month Active Agent 4-12M")</f>
        <v>Avg. Case count per 1-Month Active Agent 4-12M</v>
      </c>
      <c r="C6219" s="4" t="str">
        <f>CHOOSE(2, "5461730030", "Jun 26")</f>
        <v>Jun 26</v>
      </c>
      <c r="D6219" s="14">
        <v>0.93726235741444863</v>
      </c>
    </row>
    <row r="6220" spans="1:4" x14ac:dyDescent="0.35">
      <c r="A6220" s="5" t="str">
        <f t="shared" si="3189"/>
        <v>Agency</v>
      </c>
      <c r="B6220" s="6" t="str">
        <f t="shared" si="3210"/>
        <v>Avg. Case count per 1-Month Active Agent 4-12M</v>
      </c>
      <c r="C6220" s="4" t="str">
        <f>CHOOSE(2, "5462030031", "Jul 26")</f>
        <v>Jul 26</v>
      </c>
      <c r="D6220" s="14">
        <v>0.65368852459016391</v>
      </c>
    </row>
    <row r="6221" spans="1:4" x14ac:dyDescent="0.35">
      <c r="A6221" s="5" t="str">
        <f t="shared" si="3189"/>
        <v>Agency</v>
      </c>
      <c r="B6221" s="3" t="str">
        <f t="shared" ref="B6221:B6222" si="3211">CHOOSE(2, "1395000000557", "Avg. Case count per 1-Month Active Agent 13+M")</f>
        <v>Avg. Case count per 1-Month Active Agent 13+M</v>
      </c>
      <c r="C6221" s="4" t="str">
        <f>CHOOSE(2, "5461730030", "Jun 26")</f>
        <v>Jun 26</v>
      </c>
      <c r="D6221" s="14">
        <v>1.4533730158730158</v>
      </c>
    </row>
    <row r="6222" spans="1:4" x14ac:dyDescent="0.35">
      <c r="A6222" s="5" t="str">
        <f t="shared" si="3189"/>
        <v>Agency</v>
      </c>
      <c r="B6222" s="6" t="str">
        <f t="shared" si="3211"/>
        <v>Avg. Case count per 1-Month Active Agent 13+M</v>
      </c>
      <c r="C6222" s="4" t="str">
        <f>CHOOSE(2, "5462030031", "Jul 26")</f>
        <v>Jul 26</v>
      </c>
      <c r="D6222" s="14">
        <v>1.2340954274353877</v>
      </c>
    </row>
    <row r="6223" spans="1:4" x14ac:dyDescent="0.35">
      <c r="A6223" s="5" t="str">
        <f t="shared" si="3189"/>
        <v>Agency</v>
      </c>
      <c r="B6223" s="3" t="str">
        <f t="shared" ref="B6223:B6224" si="3212">CHOOSE(2, "1395000000556", "Avg. Case size 0-1M")</f>
        <v>Avg. Case size 0-1M</v>
      </c>
      <c r="C6223" s="4" t="str">
        <f>CHOOSE(2, "5461730030", "Jun 26")</f>
        <v>Jun 26</v>
      </c>
      <c r="D6223" s="14">
        <v>6203.9889421505331</v>
      </c>
    </row>
    <row r="6224" spans="1:4" x14ac:dyDescent="0.35">
      <c r="A6224" s="5" t="str">
        <f t="shared" si="3189"/>
        <v>Agency</v>
      </c>
      <c r="B6224" s="6" t="str">
        <f t="shared" si="3212"/>
        <v>Avg. Case size 0-1M</v>
      </c>
      <c r="C6224" s="4" t="str">
        <f>CHOOSE(2, "5462030031", "Jul 26")</f>
        <v>Jul 26</v>
      </c>
      <c r="D6224" s="14">
        <v>3878.5889615183637</v>
      </c>
    </row>
    <row r="6225" spans="1:4" x14ac:dyDescent="0.35">
      <c r="A6225" s="5" t="str">
        <f t="shared" si="3189"/>
        <v>Agency</v>
      </c>
      <c r="B6225" s="3" t="str">
        <f t="shared" ref="B6225:B6226" si="3213">CHOOSE(2, "1395000000555", "Avg. Case size in 2-3M")</f>
        <v>Avg. Case size in 2-3M</v>
      </c>
      <c r="C6225" s="4" t="str">
        <f>CHOOSE(2, "5461730030", "Jun 26")</f>
        <v>Jun 26</v>
      </c>
      <c r="D6225" s="14">
        <v>2816.6838250076785</v>
      </c>
    </row>
    <row r="6226" spans="1:4" x14ac:dyDescent="0.35">
      <c r="A6226" s="5" t="str">
        <f t="shared" si="3189"/>
        <v>Agency</v>
      </c>
      <c r="B6226" s="6" t="str">
        <f t="shared" si="3213"/>
        <v>Avg. Case size in 2-3M</v>
      </c>
      <c r="C6226" s="4" t="str">
        <f>CHOOSE(2, "5462030031", "Jul 26")</f>
        <v>Jul 26</v>
      </c>
      <c r="D6226" s="14">
        <v>2817.4655663859812</v>
      </c>
    </row>
    <row r="6227" spans="1:4" x14ac:dyDescent="0.35">
      <c r="A6227" s="5" t="str">
        <f t="shared" si="3189"/>
        <v>Agency</v>
      </c>
      <c r="B6227" s="3" t="str">
        <f t="shared" ref="B6227:B6228" si="3214">CHOOSE(2, "1395000000554", "Avg. Case size 4-12M")</f>
        <v>Avg. Case size 4-12M</v>
      </c>
      <c r="C6227" s="4" t="str">
        <f>CHOOSE(2, "5461730030", "Jun 26")</f>
        <v>Jun 26</v>
      </c>
      <c r="D6227" s="14">
        <v>4379.2863121062583</v>
      </c>
    </row>
    <row r="6228" spans="1:4" x14ac:dyDescent="0.35">
      <c r="A6228" s="5" t="str">
        <f t="shared" si="3189"/>
        <v>Agency</v>
      </c>
      <c r="B6228" s="6" t="str">
        <f t="shared" si="3214"/>
        <v>Avg. Case size 4-12M</v>
      </c>
      <c r="C6228" s="4" t="str">
        <f>CHOOSE(2, "5462030031", "Jul 26")</f>
        <v>Jul 26</v>
      </c>
      <c r="D6228" s="14">
        <v>5617.2667718541816</v>
      </c>
    </row>
    <row r="6229" spans="1:4" x14ac:dyDescent="0.35">
      <c r="A6229" s="5" t="str">
        <f t="shared" si="3189"/>
        <v>Agency</v>
      </c>
      <c r="B6229" s="3" t="str">
        <f t="shared" ref="B6229:B6230" si="3215">CHOOSE(2, "1395000000553", "Avg. Case size 13+M")</f>
        <v>Avg. Case size 13+M</v>
      </c>
      <c r="C6229" s="4" t="str">
        <f>CHOOSE(2, "5461730030", "Jun 26")</f>
        <v>Jun 26</v>
      </c>
      <c r="D6229" s="14">
        <v>982.47469937127903</v>
      </c>
    </row>
    <row r="6230" spans="1:4" x14ac:dyDescent="0.35">
      <c r="A6230" s="5" t="str">
        <f t="shared" si="3189"/>
        <v>Agency</v>
      </c>
      <c r="B6230" s="6" t="str">
        <f t="shared" si="3215"/>
        <v>Avg. Case size 13+M</v>
      </c>
      <c r="C6230" s="4" t="str">
        <f>CHOOSE(2, "5462030031", "Jul 26")</f>
        <v>Jul 26</v>
      </c>
      <c r="D6230" s="14">
        <v>962.2274668929972</v>
      </c>
    </row>
    <row r="6231" spans="1:4" x14ac:dyDescent="0.35">
      <c r="A6231" s="5" t="str">
        <f t="shared" si="3189"/>
        <v>Agency</v>
      </c>
      <c r="B6231" s="3" t="str">
        <f t="shared" ref="B6231:B6232" si="3216">CHOOSE(2, "1395000000552", "Avg. Case size UM")</f>
        <v>Avg. Case size UM</v>
      </c>
      <c r="C6231" s="4" t="str">
        <f>CHOOSE(2, "5461730030", "Jun 26")</f>
        <v>Jun 26</v>
      </c>
      <c r="D6231" s="14">
        <v>0</v>
      </c>
    </row>
    <row r="6232" spans="1:4" x14ac:dyDescent="0.35">
      <c r="A6232" s="5" t="str">
        <f t="shared" si="3189"/>
        <v>Agency</v>
      </c>
      <c r="B6232" s="6" t="str">
        <f t="shared" si="3216"/>
        <v>Avg. Case size UM</v>
      </c>
      <c r="C6232" s="4" t="str">
        <f>CHOOSE(2, "5462030031", "Jul 26")</f>
        <v>Jul 26</v>
      </c>
      <c r="D6232" s="14">
        <v>0</v>
      </c>
    </row>
    <row r="6233" spans="1:4" x14ac:dyDescent="0.35">
      <c r="A6233" s="5" t="str">
        <f t="shared" si="3189"/>
        <v>Agency</v>
      </c>
      <c r="B6233" s="3" t="str">
        <f t="shared" ref="B6233:B6234" si="3217">CHOOSE(2, "1395000000551", "Avg. Case size Leaders above UM")</f>
        <v>Avg. Case size Leaders above UM</v>
      </c>
      <c r="C6233" s="4" t="str">
        <f>CHOOSE(2, "5461730030", "Jun 26")</f>
        <v>Jun 26</v>
      </c>
      <c r="D6233" s="14">
        <v>0</v>
      </c>
    </row>
    <row r="6234" spans="1:4" x14ac:dyDescent="0.35">
      <c r="A6234" s="5" t="str">
        <f t="shared" si="3189"/>
        <v>Agency</v>
      </c>
      <c r="B6234" s="6" t="str">
        <f t="shared" si="3217"/>
        <v>Avg. Case size Leaders above UM</v>
      </c>
      <c r="C6234" s="4" t="str">
        <f>CHOOSE(2, "5462030031", "Jul 26")</f>
        <v>Jul 26</v>
      </c>
      <c r="D6234" s="14">
        <v>0</v>
      </c>
    </row>
    <row r="6235" spans="1:4" x14ac:dyDescent="0.35">
      <c r="A6235" s="5" t="str">
        <f t="shared" si="3189"/>
        <v>Agency</v>
      </c>
      <c r="B6235" s="3" t="str">
        <f t="shared" ref="B6235:B6236" si="3218">CHOOSE(2, "1395000000550", "Avg. Case size Top-tier agents")</f>
        <v>Avg. Case size Top-tier agents</v>
      </c>
      <c r="C6235" s="4" t="str">
        <f>CHOOSE(2, "5461730030", "Jun 26")</f>
        <v>Jun 26</v>
      </c>
      <c r="D6235" s="14">
        <v>0</v>
      </c>
    </row>
    <row r="6236" spans="1:4" x14ac:dyDescent="0.35">
      <c r="A6236" s="5" t="str">
        <f t="shared" si="3189"/>
        <v>Agency</v>
      </c>
      <c r="B6236" s="6" t="str">
        <f t="shared" si="3218"/>
        <v>Avg. Case size Top-tier agents</v>
      </c>
      <c r="C6236" s="4" t="str">
        <f>CHOOSE(2, "5462030031", "Jul 26")</f>
        <v>Jul 26</v>
      </c>
      <c r="D6236" s="14">
        <v>0</v>
      </c>
    </row>
    <row r="6237" spans="1:4" x14ac:dyDescent="0.35">
      <c r="A6237" s="5" t="str">
        <f t="shared" si="3189"/>
        <v>Agency</v>
      </c>
      <c r="B6237" s="3" t="str">
        <f t="shared" ref="B6237:B6238" si="3219">CHOOSE(2, "1395000000549", "Avg. Case size Manulife Pro Qualifiers - Total")</f>
        <v>Avg. Case size Manulife Pro Qualifiers - Total</v>
      </c>
      <c r="C6237" s="4" t="str">
        <f>CHOOSE(2, "5461730030", "Jun 26")</f>
        <v>Jun 26</v>
      </c>
      <c r="D6237" s="14">
        <v>0</v>
      </c>
    </row>
    <row r="6238" spans="1:4" x14ac:dyDescent="0.35">
      <c r="A6238" s="5" t="str">
        <f t="shared" si="3189"/>
        <v>Agency</v>
      </c>
      <c r="B6238" s="6" t="str">
        <f t="shared" si="3219"/>
        <v>Avg. Case size Manulife Pro Qualifiers - Total</v>
      </c>
      <c r="C6238" s="4" t="str">
        <f>CHOOSE(2, "5462030031", "Jul 26")</f>
        <v>Jul 26</v>
      </c>
      <c r="D6238" s="14">
        <v>0</v>
      </c>
    </row>
    <row r="6239" spans="1:4" x14ac:dyDescent="0.35">
      <c r="A6239" s="5" t="str">
        <f t="shared" si="3189"/>
        <v>Agency</v>
      </c>
      <c r="B6239" s="3" t="str">
        <f t="shared" ref="B6239:B6240" si="3220">CHOOSE(2, "1395000000548", "Avg. Case size FA or equivalent")</f>
        <v>Avg. Case size FA or equivalent</v>
      </c>
      <c r="C6239" s="4" t="str">
        <f>CHOOSE(2, "5461730030", "Jun 26")</f>
        <v>Jun 26</v>
      </c>
      <c r="D6239" s="14">
        <v>0</v>
      </c>
    </row>
    <row r="6240" spans="1:4" x14ac:dyDescent="0.35">
      <c r="A6240" s="5" t="str">
        <f t="shared" si="3189"/>
        <v>Agency</v>
      </c>
      <c r="B6240" s="6" t="str">
        <f t="shared" si="3220"/>
        <v>Avg. Case size FA or equivalent</v>
      </c>
      <c r="C6240" s="4" t="str">
        <f>CHOOSE(2, "5462030031", "Jul 26")</f>
        <v>Jul 26</v>
      </c>
      <c r="D6240" s="14">
        <v>0</v>
      </c>
    </row>
    <row r="6241" spans="1:4" x14ac:dyDescent="0.35">
      <c r="A6241" s="5" t="str">
        <f t="shared" si="3189"/>
        <v>Agency</v>
      </c>
      <c r="B6241" s="3" t="str">
        <f t="shared" ref="B6241:B6242" si="3221">CHOOSE(2, "1395000000547", "Avg. Case size pro-rated MDRT agents (&gt;100%)")</f>
        <v>Avg. Case size pro-rated MDRT agents (&gt;100%)</v>
      </c>
      <c r="C6241" s="4" t="str">
        <f>CHOOSE(2, "5461730030", "Jun 26")</f>
        <v>Jun 26</v>
      </c>
      <c r="D6241" s="14">
        <v>0</v>
      </c>
    </row>
    <row r="6242" spans="1:4" x14ac:dyDescent="0.35">
      <c r="A6242" s="5" t="str">
        <f t="shared" si="3189"/>
        <v>Agency</v>
      </c>
      <c r="B6242" s="6" t="str">
        <f t="shared" si="3221"/>
        <v>Avg. Case size pro-rated MDRT agents (&gt;100%)</v>
      </c>
      <c r="C6242" s="4" t="str">
        <f>CHOOSE(2, "5462030031", "Jul 26")</f>
        <v>Jul 26</v>
      </c>
      <c r="D6242" s="14">
        <v>0</v>
      </c>
    </row>
    <row r="6243" spans="1:4" x14ac:dyDescent="0.35">
      <c r="A6243" s="5" t="str">
        <f t="shared" ref="A6243:A6276" si="3222">CHOOSE(2, "1260000000007", "Agency")</f>
        <v>Agency</v>
      </c>
      <c r="B6243" s="3" t="str">
        <f t="shared" ref="B6243:B6244" si="3223">CHOOSE(2, "1395000000546", "Avg. Case size pro-rated MDRT agents (70-99%)")</f>
        <v>Avg. Case size pro-rated MDRT agents (70-99%)</v>
      </c>
      <c r="C6243" s="4" t="str">
        <f>CHOOSE(2, "5461730030", "Jun 26")</f>
        <v>Jun 26</v>
      </c>
      <c r="D6243" s="14">
        <v>0</v>
      </c>
    </row>
    <row r="6244" spans="1:4" x14ac:dyDescent="0.35">
      <c r="A6244" s="5" t="str">
        <f t="shared" si="3222"/>
        <v>Agency</v>
      </c>
      <c r="B6244" s="6" t="str">
        <f t="shared" si="3223"/>
        <v>Avg. Case size pro-rated MDRT agents (70-99%)</v>
      </c>
      <c r="C6244" s="4" t="str">
        <f>CHOOSE(2, "5462030031", "Jul 26")</f>
        <v>Jul 26</v>
      </c>
      <c r="D6244" s="14">
        <v>0</v>
      </c>
    </row>
    <row r="6245" spans="1:4" x14ac:dyDescent="0.35">
      <c r="A6245" s="5" t="str">
        <f t="shared" si="3222"/>
        <v>Agency</v>
      </c>
      <c r="B6245" s="3" t="str">
        <f t="shared" ref="B6245:B6246" si="3224">CHOOSE(2, "1395000000545", "Avg. Case size pro-rated MDRT agents (50-69%)")</f>
        <v>Avg. Case size pro-rated MDRT agents (50-69%)</v>
      </c>
      <c r="C6245" s="4" t="str">
        <f>CHOOSE(2, "5461730030", "Jun 26")</f>
        <v>Jun 26</v>
      </c>
      <c r="D6245" s="14">
        <v>0</v>
      </c>
    </row>
    <row r="6246" spans="1:4" x14ac:dyDescent="0.35">
      <c r="A6246" s="5" t="str">
        <f t="shared" si="3222"/>
        <v>Agency</v>
      </c>
      <c r="B6246" s="6" t="str">
        <f t="shared" si="3224"/>
        <v>Avg. Case size pro-rated MDRT agents (50-69%)</v>
      </c>
      <c r="C6246" s="4" t="str">
        <f>CHOOSE(2, "5462030031", "Jul 26")</f>
        <v>Jul 26</v>
      </c>
      <c r="D6246" s="14">
        <v>0</v>
      </c>
    </row>
    <row r="6247" spans="1:4" x14ac:dyDescent="0.35">
      <c r="A6247" s="5" t="str">
        <f t="shared" si="3222"/>
        <v>Agency</v>
      </c>
      <c r="B6247" s="3" t="str">
        <f t="shared" ref="B6247:B6248" si="3225">CHOOSE(2, "1395000000544", "% of 1-Month Active Agents UM")</f>
        <v>% of 1-Month Active Agents UM</v>
      </c>
      <c r="C6247" s="4" t="str">
        <f>CHOOSE(2, "5461730030", "Jun 26")</f>
        <v>Jun 26</v>
      </c>
      <c r="D6247" s="14">
        <v>0.25908558030480655</v>
      </c>
    </row>
    <row r="6248" spans="1:4" x14ac:dyDescent="0.35">
      <c r="A6248" s="5" t="str">
        <f t="shared" si="3222"/>
        <v>Agency</v>
      </c>
      <c r="B6248" s="6" t="str">
        <f t="shared" si="3225"/>
        <v>% of 1-Month Active Agents UM</v>
      </c>
      <c r="C6248" s="4" t="str">
        <f>CHOOSE(2, "5462030031", "Jul 26")</f>
        <v>Jul 26</v>
      </c>
      <c r="D6248" s="14">
        <v>0.26729191090269638</v>
      </c>
    </row>
    <row r="6249" spans="1:4" x14ac:dyDescent="0.35">
      <c r="A6249" s="5" t="str">
        <f t="shared" si="3222"/>
        <v>Agency</v>
      </c>
      <c r="B6249" s="3" t="str">
        <f t="shared" ref="B6249:B6250" si="3226">CHOOSE(2, "1395000000543", "% of 1-Month Active Agents Leaders above UM")</f>
        <v>% of 1-Month Active Agents Leaders above UM</v>
      </c>
      <c r="C6249" s="4" t="str">
        <f>CHOOSE(2, "5461730030", "Jun 26")</f>
        <v>Jun 26</v>
      </c>
      <c r="D6249" s="14">
        <v>0.18478260869565216</v>
      </c>
    </row>
    <row r="6250" spans="1:4" x14ac:dyDescent="0.35">
      <c r="A6250" s="5" t="str">
        <f t="shared" si="3222"/>
        <v>Agency</v>
      </c>
      <c r="B6250" s="6" t="str">
        <f t="shared" si="3226"/>
        <v>% of 1-Month Active Agents Leaders above UM</v>
      </c>
      <c r="C6250" s="4" t="str">
        <f>CHOOSE(2, "5462030031", "Jul 26")</f>
        <v>Jul 26</v>
      </c>
      <c r="D6250" s="14">
        <v>0.14814814814814814</v>
      </c>
    </row>
    <row r="6251" spans="1:4" x14ac:dyDescent="0.35">
      <c r="A6251" s="5" t="str">
        <f t="shared" si="3222"/>
        <v>Agency</v>
      </c>
      <c r="B6251" s="3" t="str">
        <f t="shared" ref="B6251:B6252" si="3227">CHOOSE(2, "1395000000542", "% of 1-Month Active Agents Top-tier agents")</f>
        <v>% of 1-Month Active Agents Top-tier agents</v>
      </c>
      <c r="C6251" s="4" t="str">
        <f>CHOOSE(2, "5461730030", "Jun 26")</f>
        <v>Jun 26</v>
      </c>
      <c r="D6251" s="14">
        <v>0</v>
      </c>
    </row>
    <row r="6252" spans="1:4" x14ac:dyDescent="0.35">
      <c r="A6252" s="5" t="str">
        <f t="shared" si="3222"/>
        <v>Agency</v>
      </c>
      <c r="B6252" s="6" t="str">
        <f t="shared" si="3227"/>
        <v>% of 1-Month Active Agents Top-tier agents</v>
      </c>
      <c r="C6252" s="4" t="str">
        <f>CHOOSE(2, "5462030031", "Jul 26")</f>
        <v>Jul 26</v>
      </c>
      <c r="D6252" s="14">
        <v>0</v>
      </c>
    </row>
    <row r="6253" spans="1:4" x14ac:dyDescent="0.35">
      <c r="A6253" s="5" t="str">
        <f t="shared" si="3222"/>
        <v>Agency</v>
      </c>
      <c r="B6253" s="3" t="str">
        <f t="shared" ref="B6253:B6254" si="3228">CHOOSE(2, "1395000000541", "% of 1-Month Active Agents FA or equivalent")</f>
        <v>% of 1-Month Active Agents FA or equivalent</v>
      </c>
      <c r="C6253" s="4" t="str">
        <f>CHOOSE(2, "5461730030", "Jun 26")</f>
        <v>Jun 26</v>
      </c>
      <c r="D6253" s="14">
        <v>0.22750000000000001</v>
      </c>
    </row>
    <row r="6254" spans="1:4" x14ac:dyDescent="0.35">
      <c r="A6254" s="5" t="str">
        <f t="shared" si="3222"/>
        <v>Agency</v>
      </c>
      <c r="B6254" s="6" t="str">
        <f t="shared" si="3228"/>
        <v>% of 1-Month Active Agents FA or equivalent</v>
      </c>
      <c r="C6254" s="4" t="str">
        <f>CHOOSE(2, "5462030031", "Jul 26")</f>
        <v>Jul 26</v>
      </c>
      <c r="D6254" s="14">
        <v>0.2191652629608834</v>
      </c>
    </row>
    <row r="6255" spans="1:4" x14ac:dyDescent="0.35">
      <c r="A6255" s="5" t="str">
        <f t="shared" si="3222"/>
        <v>Agency</v>
      </c>
      <c r="B6255" s="3" t="str">
        <f t="shared" ref="B6255:B6256" si="3229">CHOOSE(2, "1395000000540", "% of 1-Month Active Agents pro-rated MDRT agents (&gt;100%)")</f>
        <v>% of 1-Month Active Agents pro-rated MDRT agents (&gt;100%)</v>
      </c>
      <c r="C6255" s="4" t="str">
        <f>CHOOSE(2, "5461730030", "Jun 26")</f>
        <v>Jun 26</v>
      </c>
      <c r="D6255" s="14">
        <v>0</v>
      </c>
    </row>
    <row r="6256" spans="1:4" x14ac:dyDescent="0.35">
      <c r="A6256" s="5" t="str">
        <f t="shared" si="3222"/>
        <v>Agency</v>
      </c>
      <c r="B6256" s="6" t="str">
        <f t="shared" si="3229"/>
        <v>% of 1-Month Active Agents pro-rated MDRT agents (&gt;100%)</v>
      </c>
      <c r="C6256" s="4" t="str">
        <f>CHOOSE(2, "5462030031", "Jul 26")</f>
        <v>Jul 26</v>
      </c>
      <c r="D6256" s="14">
        <v>0</v>
      </c>
    </row>
    <row r="6257" spans="1:4" x14ac:dyDescent="0.35">
      <c r="A6257" s="5" t="str">
        <f t="shared" si="3222"/>
        <v>Agency</v>
      </c>
      <c r="B6257" s="3" t="str">
        <f t="shared" ref="B6257:B6258" si="3230">CHOOSE(2, "1395000000539", "% of 1-Month Active Agents pro-rated MDRT agents (70-99%)")</f>
        <v>% of 1-Month Active Agents pro-rated MDRT agents (70-99%)</v>
      </c>
      <c r="C6257" s="4" t="str">
        <f>CHOOSE(2, "5461730030", "Jun 26")</f>
        <v>Jun 26</v>
      </c>
      <c r="D6257" s="14">
        <v>0</v>
      </c>
    </row>
    <row r="6258" spans="1:4" x14ac:dyDescent="0.35">
      <c r="A6258" s="5" t="str">
        <f t="shared" si="3222"/>
        <v>Agency</v>
      </c>
      <c r="B6258" s="6" t="str">
        <f t="shared" si="3230"/>
        <v>% of 1-Month Active Agents pro-rated MDRT agents (70-99%)</v>
      </c>
      <c r="C6258" s="4" t="str">
        <f>CHOOSE(2, "5462030031", "Jul 26")</f>
        <v>Jul 26</v>
      </c>
      <c r="D6258" s="14">
        <v>0</v>
      </c>
    </row>
    <row r="6259" spans="1:4" x14ac:dyDescent="0.35">
      <c r="A6259" s="5" t="str">
        <f t="shared" si="3222"/>
        <v>Agency</v>
      </c>
      <c r="B6259" s="3" t="str">
        <f t="shared" ref="B6259:B6260" si="3231">CHOOSE(2, "1395000000538", "% of 1-Month Active Agents pro-rated MDRT agents (50-69%)")</f>
        <v>% of 1-Month Active Agents pro-rated MDRT agents (50-69%)</v>
      </c>
      <c r="C6259" s="4" t="str">
        <f>CHOOSE(2, "5461730030", "Jun 26")</f>
        <v>Jun 26</v>
      </c>
      <c r="D6259" s="14">
        <v>0</v>
      </c>
    </row>
    <row r="6260" spans="1:4" x14ac:dyDescent="0.35">
      <c r="A6260" s="5" t="str">
        <f t="shared" si="3222"/>
        <v>Agency</v>
      </c>
      <c r="B6260" s="6" t="str">
        <f t="shared" si="3231"/>
        <v>% of 1-Month Active Agents pro-rated MDRT agents (50-69%)</v>
      </c>
      <c r="C6260" s="4" t="str">
        <f>CHOOSE(2, "5462030031", "Jul 26")</f>
        <v>Jul 26</v>
      </c>
      <c r="D6260" s="14">
        <v>0</v>
      </c>
    </row>
    <row r="6261" spans="1:4" x14ac:dyDescent="0.35">
      <c r="A6261" s="5" t="str">
        <f t="shared" si="3222"/>
        <v>Agency</v>
      </c>
      <c r="B6261" s="3" t="str">
        <f t="shared" ref="B6261:B6262" si="3232">CHOOSE(2, "1395000000537", "Avg. Case count per 1-Month Active Agent UM")</f>
        <v>Avg. Case count per 1-Month Active Agent UM</v>
      </c>
      <c r="C6261" s="4" t="str">
        <f>CHOOSE(2, "5461730030", "Jun 26")</f>
        <v>Jun 26</v>
      </c>
      <c r="D6261" s="14">
        <v>2.2307692307692308</v>
      </c>
    </row>
    <row r="6262" spans="1:4" x14ac:dyDescent="0.35">
      <c r="A6262" s="5" t="str">
        <f t="shared" si="3222"/>
        <v>Agency</v>
      </c>
      <c r="B6262" s="6" t="str">
        <f t="shared" si="3232"/>
        <v>Avg. Case count per 1-Month Active Agent UM</v>
      </c>
      <c r="C6262" s="4" t="str">
        <f>CHOOSE(2, "5462030031", "Jul 26")</f>
        <v>Jul 26</v>
      </c>
      <c r="D6262" s="14">
        <v>1.6337719298245614</v>
      </c>
    </row>
    <row r="6263" spans="1:4" x14ac:dyDescent="0.35">
      <c r="A6263" s="5" t="str">
        <f t="shared" si="3222"/>
        <v>Agency</v>
      </c>
      <c r="B6263" s="3" t="str">
        <f t="shared" ref="B6263:B6264" si="3233">CHOOSE(2, "1395000000536", "Avg. Case count per 1-Month Active Agent Leaders above UM")</f>
        <v>Avg. Case count per 1-Month Active Agent Leaders above UM</v>
      </c>
      <c r="C6263" s="4" t="str">
        <f>CHOOSE(2, "5461730030", "Jun 26")</f>
        <v>Jun 26</v>
      </c>
      <c r="D6263" s="14">
        <v>2.0147058823529411</v>
      </c>
    </row>
    <row r="6264" spans="1:4" x14ac:dyDescent="0.35">
      <c r="A6264" s="5" t="str">
        <f t="shared" si="3222"/>
        <v>Agency</v>
      </c>
      <c r="B6264" s="6" t="str">
        <f t="shared" si="3233"/>
        <v>Avg. Case count per 1-Month Active Agent Leaders above UM</v>
      </c>
      <c r="C6264" s="4" t="str">
        <f>CHOOSE(2, "5462030031", "Jul 26")</f>
        <v>Jul 26</v>
      </c>
      <c r="D6264" s="14">
        <v>2</v>
      </c>
    </row>
    <row r="6265" spans="1:4" x14ac:dyDescent="0.35">
      <c r="A6265" s="5" t="str">
        <f t="shared" si="3222"/>
        <v>Agency</v>
      </c>
      <c r="B6265" s="3" t="str">
        <f t="shared" ref="B6265:B6266" si="3234">CHOOSE(2, "1395000000535", "Avg. Case count per 1-Month Active Agent Top-tier agents")</f>
        <v>Avg. Case count per 1-Month Active Agent Top-tier agents</v>
      </c>
      <c r="C6265" s="4" t="str">
        <f>CHOOSE(2, "5461730030", "Jun 26")</f>
        <v>Jun 26</v>
      </c>
      <c r="D6265" s="14">
        <v>0</v>
      </c>
    </row>
    <row r="6266" spans="1:4" x14ac:dyDescent="0.35">
      <c r="A6266" s="5" t="str">
        <f t="shared" si="3222"/>
        <v>Agency</v>
      </c>
      <c r="B6266" s="6" t="str">
        <f t="shared" si="3234"/>
        <v>Avg. Case count per 1-Month Active Agent Top-tier agents</v>
      </c>
      <c r="C6266" s="4" t="str">
        <f>CHOOSE(2, "5462030031", "Jul 26")</f>
        <v>Jul 26</v>
      </c>
      <c r="D6266" s="14">
        <v>0</v>
      </c>
    </row>
    <row r="6267" spans="1:4" x14ac:dyDescent="0.35">
      <c r="A6267" s="5" t="str">
        <f t="shared" si="3222"/>
        <v>Agency</v>
      </c>
      <c r="B6267" s="3" t="str">
        <f t="shared" ref="B6267:B6268" si="3235">CHOOSE(2, "1395000000534", "Avg. Case count per 1-Month Manulife Pro Qualifiers - Total")</f>
        <v>Avg. Case count per 1-Month Manulife Pro Qualifiers - Total</v>
      </c>
      <c r="C6267" s="4" t="str">
        <f>CHOOSE(2, "5461730030", "Jun 26")</f>
        <v>Jun 26</v>
      </c>
      <c r="D6267" s="14">
        <v>0</v>
      </c>
    </row>
    <row r="6268" spans="1:4" x14ac:dyDescent="0.35">
      <c r="A6268" s="5" t="str">
        <f t="shared" si="3222"/>
        <v>Agency</v>
      </c>
      <c r="B6268" s="6" t="str">
        <f t="shared" si="3235"/>
        <v>Avg. Case count per 1-Month Manulife Pro Qualifiers - Total</v>
      </c>
      <c r="C6268" s="4" t="str">
        <f>CHOOSE(2, "5462030031", "Jul 26")</f>
        <v>Jul 26</v>
      </c>
      <c r="D6268" s="14">
        <v>0</v>
      </c>
    </row>
    <row r="6269" spans="1:4" x14ac:dyDescent="0.35">
      <c r="A6269" s="5" t="str">
        <f t="shared" si="3222"/>
        <v>Agency</v>
      </c>
      <c r="B6269" s="3" t="str">
        <f t="shared" ref="B6269:B6270" si="3236">CHOOSE(2, "1395000000533", "Avg. Case count per 1-Month Active Agent FA or equivalent")</f>
        <v>Avg. Case count per 1-Month Active Agent FA or equivalent</v>
      </c>
      <c r="C6269" s="4" t="str">
        <f>CHOOSE(2, "5461730030", "Jun 26")</f>
        <v>Jun 26</v>
      </c>
      <c r="D6269" s="14">
        <v>1.2371090448013524</v>
      </c>
    </row>
    <row r="6270" spans="1:4" x14ac:dyDescent="0.35">
      <c r="A6270" s="5" t="str">
        <f t="shared" si="3222"/>
        <v>Agency</v>
      </c>
      <c r="B6270" s="6" t="str">
        <f t="shared" si="3236"/>
        <v>Avg. Case count per 1-Month Active Agent FA or equivalent</v>
      </c>
      <c r="C6270" s="4" t="str">
        <f>CHOOSE(2, "5462030031", "Jul 26")</f>
        <v>Jul 26</v>
      </c>
      <c r="D6270" s="14">
        <v>1.0772843723313408</v>
      </c>
    </row>
    <row r="6271" spans="1:4" x14ac:dyDescent="0.35">
      <c r="A6271" s="5" t="str">
        <f t="shared" si="3222"/>
        <v>Agency</v>
      </c>
      <c r="B6271" s="3" t="str">
        <f t="shared" ref="B6271:B6272" si="3237">CHOOSE(2, "1395000000532", "Avg. Case count per 1-Month pro-rated MDRT agents (&gt;100%)")</f>
        <v>Avg. Case count per 1-Month pro-rated MDRT agents (&gt;100%)</v>
      </c>
      <c r="C6271" s="4" t="str">
        <f>CHOOSE(2, "5461730030", "Jun 26")</f>
        <v>Jun 26</v>
      </c>
      <c r="D6271" s="14">
        <v>0</v>
      </c>
    </row>
    <row r="6272" spans="1:4" x14ac:dyDescent="0.35">
      <c r="A6272" s="5" t="str">
        <f t="shared" si="3222"/>
        <v>Agency</v>
      </c>
      <c r="B6272" s="6" t="str">
        <f t="shared" si="3237"/>
        <v>Avg. Case count per 1-Month pro-rated MDRT agents (&gt;100%)</v>
      </c>
      <c r="C6272" s="4" t="str">
        <f>CHOOSE(2, "5462030031", "Jul 26")</f>
        <v>Jul 26</v>
      </c>
      <c r="D6272" s="14">
        <v>0</v>
      </c>
    </row>
    <row r="6273" spans="1:4" x14ac:dyDescent="0.35">
      <c r="A6273" s="5" t="str">
        <f t="shared" si="3222"/>
        <v>Agency</v>
      </c>
      <c r="B6273" s="3" t="str">
        <f t="shared" ref="B6273:B6274" si="3238">CHOOSE(2, "1395000000531", "Avg. Case count per 1-Month pro-rated MDRT agents (70-99%)")</f>
        <v>Avg. Case count per 1-Month pro-rated MDRT agents (70-99%)</v>
      </c>
      <c r="C6273" s="4" t="str">
        <f>CHOOSE(2, "5461730030", "Jun 26")</f>
        <v>Jun 26</v>
      </c>
      <c r="D6273" s="14">
        <v>0</v>
      </c>
    </row>
    <row r="6274" spans="1:4" x14ac:dyDescent="0.35">
      <c r="A6274" s="5" t="str">
        <f t="shared" si="3222"/>
        <v>Agency</v>
      </c>
      <c r="B6274" s="6" t="str">
        <f t="shared" si="3238"/>
        <v>Avg. Case count per 1-Month pro-rated MDRT agents (70-99%)</v>
      </c>
      <c r="C6274" s="4" t="str">
        <f>CHOOSE(2, "5462030031", "Jul 26")</f>
        <v>Jul 26</v>
      </c>
      <c r="D6274" s="14">
        <v>0</v>
      </c>
    </row>
    <row r="6275" spans="1:4" x14ac:dyDescent="0.35">
      <c r="A6275" s="5" t="str">
        <f t="shared" si="3222"/>
        <v>Agency</v>
      </c>
      <c r="B6275" s="3" t="str">
        <f t="shared" ref="B6275:B6276" si="3239">CHOOSE(2, "1395000000530", "Avg. Case count per 1-Month pro-rated MDRT agents (50-69%)")</f>
        <v>Avg. Case count per 1-Month pro-rated MDRT agents (50-69%)</v>
      </c>
      <c r="C6275" s="4" t="str">
        <f>CHOOSE(2, "5461730030", "Jun 26")</f>
        <v>Jun 26</v>
      </c>
      <c r="D6275" s="14">
        <v>0</v>
      </c>
    </row>
    <row r="6276" spans="1:4" x14ac:dyDescent="0.35">
      <c r="A6276" s="6" t="str">
        <f t="shared" si="3222"/>
        <v>Agency</v>
      </c>
      <c r="B6276" s="6" t="str">
        <f t="shared" si="3239"/>
        <v>Avg. Case count per 1-Month pro-rated MDRT agents (50-69%)</v>
      </c>
      <c r="C6276" s="4" t="str">
        <f>CHOOSE(2, "5462030031", "Jul 26")</f>
        <v>Jul 26</v>
      </c>
      <c r="D6276" s="14">
        <v>0</v>
      </c>
    </row>
    <row r="6277" spans="1:4" x14ac:dyDescent="0.35">
      <c r="A6277" s="7" t="str">
        <f t="shared" ref="A6277:A6340" si="3240">CHOOSE(2, "204000000007", "Philippines")</f>
        <v>Philippines</v>
      </c>
      <c r="B6277" s="3" t="str">
        <f t="shared" ref="B6277:B6278" si="3241">CHOOSE(2, "1395000000741", "Submitted APE")</f>
        <v>Submitted APE</v>
      </c>
      <c r="C6277" s="4" t="str">
        <f>CHOOSE(2, "5461730030", "Jun 26")</f>
        <v>Jun 26</v>
      </c>
      <c r="D6277" s="14">
        <v>58762.525043843343</v>
      </c>
    </row>
    <row r="6278" spans="1:4" x14ac:dyDescent="0.35">
      <c r="A6278" s="8" t="str">
        <f t="shared" si="3240"/>
        <v>Philippines</v>
      </c>
      <c r="B6278" s="6" t="str">
        <f t="shared" si="3241"/>
        <v>Submitted APE</v>
      </c>
      <c r="C6278" s="4" t="str">
        <f>CHOOSE(2, "5462030031", "Jul 26")</f>
        <v>Jul 26</v>
      </c>
      <c r="D6278" s="14">
        <v>46856.341282299014</v>
      </c>
    </row>
    <row r="6279" spans="1:4" x14ac:dyDescent="0.35">
      <c r="A6279" s="8" t="str">
        <f t="shared" si="3240"/>
        <v>Philippines</v>
      </c>
      <c r="B6279" s="3" t="str">
        <f t="shared" ref="B6279:B6280" si="3242">CHOOSE(2, "1395000000740", "# of 1-Month Active Agents")</f>
        <v># of 1-Month Active Agents</v>
      </c>
      <c r="C6279" s="4" t="str">
        <f>CHOOSE(2, "5461730030", "Jun 26")</f>
        <v>Jun 26</v>
      </c>
      <c r="D6279" s="14">
        <v>1438</v>
      </c>
    </row>
    <row r="6280" spans="1:4" x14ac:dyDescent="0.35">
      <c r="A6280" s="8" t="str">
        <f t="shared" si="3240"/>
        <v>Philippines</v>
      </c>
      <c r="B6280" s="6" t="str">
        <f t="shared" si="3242"/>
        <v># of 1-Month Active Agents</v>
      </c>
      <c r="C6280" s="4" t="str">
        <f>CHOOSE(2, "5462030031", "Jul 26")</f>
        <v>Jul 26</v>
      </c>
      <c r="D6280" s="14">
        <v>1427</v>
      </c>
    </row>
    <row r="6281" spans="1:4" x14ac:dyDescent="0.35">
      <c r="A6281" s="8" t="str">
        <f t="shared" si="3240"/>
        <v>Philippines</v>
      </c>
      <c r="B6281" s="3" t="str">
        <f t="shared" ref="B6281:B6282" si="3243">CHOOSE(2, "1395000000739", "# of 1-Month Active Agents in 0-1M")</f>
        <v># of 1-Month Active Agents in 0-1M</v>
      </c>
      <c r="C6281" s="4" t="str">
        <f>CHOOSE(2, "5461730030", "Jun 26")</f>
        <v>Jun 26</v>
      </c>
      <c r="D6281" s="14">
        <v>41</v>
      </c>
    </row>
    <row r="6282" spans="1:4" x14ac:dyDescent="0.35">
      <c r="A6282" s="8" t="str">
        <f t="shared" si="3240"/>
        <v>Philippines</v>
      </c>
      <c r="B6282" s="6" t="str">
        <f t="shared" si="3243"/>
        <v># of 1-Month Active Agents in 0-1M</v>
      </c>
      <c r="C6282" s="4" t="str">
        <f>CHOOSE(2, "5462030031", "Jul 26")</f>
        <v>Jul 26</v>
      </c>
      <c r="D6282" s="14">
        <v>49</v>
      </c>
    </row>
    <row r="6283" spans="1:4" x14ac:dyDescent="0.35">
      <c r="A6283" s="8" t="str">
        <f t="shared" si="3240"/>
        <v>Philippines</v>
      </c>
      <c r="B6283" s="3" t="str">
        <f t="shared" ref="B6283:B6284" si="3244">CHOOSE(2, "1395000000738", "# of 1-Month Active Agents in 2-3M")</f>
        <v># of 1-Month Active Agents in 2-3M</v>
      </c>
      <c r="C6283" s="4" t="str">
        <f>CHOOSE(2, "5461730030", "Jun 26")</f>
        <v>Jun 26</v>
      </c>
      <c r="D6283" s="14">
        <v>126</v>
      </c>
    </row>
    <row r="6284" spans="1:4" x14ac:dyDescent="0.35">
      <c r="A6284" s="8" t="str">
        <f t="shared" si="3240"/>
        <v>Philippines</v>
      </c>
      <c r="B6284" s="6" t="str">
        <f t="shared" si="3244"/>
        <v># of 1-Month Active Agents in 2-3M</v>
      </c>
      <c r="C6284" s="4" t="str">
        <f>CHOOSE(2, "5462030031", "Jul 26")</f>
        <v>Jul 26</v>
      </c>
      <c r="D6284" s="14">
        <v>128</v>
      </c>
    </row>
    <row r="6285" spans="1:4" x14ac:dyDescent="0.35">
      <c r="A6285" s="8" t="str">
        <f t="shared" si="3240"/>
        <v>Philippines</v>
      </c>
      <c r="B6285" s="3" t="str">
        <f t="shared" ref="B6285:B6286" si="3245">CHOOSE(2, "1395000000737", "# of 1-Month Active Agents in 4-12M")</f>
        <v># of 1-Month Active Agents in 4-12M</v>
      </c>
      <c r="C6285" s="4" t="str">
        <f>CHOOSE(2, "5461730030", "Jun 26")</f>
        <v>Jun 26</v>
      </c>
      <c r="D6285" s="14">
        <v>263</v>
      </c>
    </row>
    <row r="6286" spans="1:4" x14ac:dyDescent="0.35">
      <c r="A6286" s="8" t="str">
        <f t="shared" si="3240"/>
        <v>Philippines</v>
      </c>
      <c r="B6286" s="6" t="str">
        <f t="shared" si="3245"/>
        <v># of 1-Month Active Agents in 4-12M</v>
      </c>
      <c r="C6286" s="4" t="str">
        <f>CHOOSE(2, "5462030031", "Jul 26")</f>
        <v>Jul 26</v>
      </c>
      <c r="D6286" s="14">
        <v>244</v>
      </c>
    </row>
    <row r="6287" spans="1:4" x14ac:dyDescent="0.35">
      <c r="A6287" s="8" t="str">
        <f t="shared" si="3240"/>
        <v>Philippines</v>
      </c>
      <c r="B6287" s="3" t="str">
        <f t="shared" ref="B6287:B6288" si="3246">CHOOSE(2, "1395000000736", "# of 1-Month Active Agents 13+M")</f>
        <v># of 1-Month Active Agents 13+M</v>
      </c>
      <c r="C6287" s="4" t="str">
        <f>CHOOSE(2, "5461730030", "Jun 26")</f>
        <v>Jun 26</v>
      </c>
      <c r="D6287" s="14">
        <v>1008</v>
      </c>
    </row>
    <row r="6288" spans="1:4" x14ac:dyDescent="0.35">
      <c r="A6288" s="8" t="str">
        <f t="shared" si="3240"/>
        <v>Philippines</v>
      </c>
      <c r="B6288" s="6" t="str">
        <f t="shared" si="3246"/>
        <v># of 1-Month Active Agents 13+M</v>
      </c>
      <c r="C6288" s="4" t="str">
        <f>CHOOSE(2, "5462030031", "Jul 26")</f>
        <v>Jul 26</v>
      </c>
      <c r="D6288" s="14">
        <v>1006</v>
      </c>
    </row>
    <row r="6289" spans="1:4" x14ac:dyDescent="0.35">
      <c r="A6289" s="8" t="str">
        <f t="shared" si="3240"/>
        <v>Philippines</v>
      </c>
      <c r="B6289" s="3" t="str">
        <f t="shared" ref="B6289:B6290" si="3247">CHOOSE(2, "1395000000735", "# of 1-Month Active Agents in FA or equivalent")</f>
        <v># of 1-Month Active Agents in FA or equivalent</v>
      </c>
      <c r="C6289" s="4" t="str">
        <f>CHOOSE(2, "5461730030", "Jun 26")</f>
        <v>Jun 26</v>
      </c>
      <c r="D6289" s="14">
        <v>1183</v>
      </c>
    </row>
    <row r="6290" spans="1:4" x14ac:dyDescent="0.35">
      <c r="A6290" s="8" t="str">
        <f t="shared" si="3240"/>
        <v>Philippines</v>
      </c>
      <c r="B6290" s="6" t="str">
        <f t="shared" si="3247"/>
        <v># of 1-Month Active Agents in FA or equivalent</v>
      </c>
      <c r="C6290" s="4" t="str">
        <f>CHOOSE(2, "5462030031", "Jul 26")</f>
        <v>Jul 26</v>
      </c>
      <c r="D6290" s="14">
        <v>1171</v>
      </c>
    </row>
    <row r="6291" spans="1:4" x14ac:dyDescent="0.35">
      <c r="A6291" s="8" t="str">
        <f t="shared" si="3240"/>
        <v>Philippines</v>
      </c>
      <c r="B6291" s="3" t="str">
        <f t="shared" ref="B6291:B6292" si="3248">CHOOSE(2, "1395000000734", "# of 1-Month Active Agents in UM")</f>
        <v># of 1-Month Active Agents in UM</v>
      </c>
      <c r="C6291" s="4" t="str">
        <f>CHOOSE(2, "5461730030", "Jun 26")</f>
        <v>Jun 26</v>
      </c>
      <c r="D6291" s="14">
        <v>221</v>
      </c>
    </row>
    <row r="6292" spans="1:4" x14ac:dyDescent="0.35">
      <c r="A6292" s="8" t="str">
        <f t="shared" si="3240"/>
        <v>Philippines</v>
      </c>
      <c r="B6292" s="6" t="str">
        <f t="shared" si="3248"/>
        <v># of 1-Month Active Agents in UM</v>
      </c>
      <c r="C6292" s="4" t="str">
        <f>CHOOSE(2, "5462030031", "Jul 26")</f>
        <v>Jul 26</v>
      </c>
      <c r="D6292" s="14">
        <v>228</v>
      </c>
    </row>
    <row r="6293" spans="1:4" x14ac:dyDescent="0.35">
      <c r="A6293" s="8" t="str">
        <f t="shared" si="3240"/>
        <v>Philippines</v>
      </c>
      <c r="B6293" s="3" t="str">
        <f t="shared" ref="B6293:B6294" si="3249">CHOOSE(2, "1395000000733", "# of 1-Month Active Agents in Leaders above UM")</f>
        <v># of 1-Month Active Agents in Leaders above UM</v>
      </c>
      <c r="C6293" s="4" t="str">
        <f>CHOOSE(2, "5461730030", "Jun 26")</f>
        <v>Jun 26</v>
      </c>
      <c r="D6293" s="14">
        <v>34</v>
      </c>
    </row>
    <row r="6294" spans="1:4" x14ac:dyDescent="0.35">
      <c r="A6294" s="8" t="str">
        <f t="shared" si="3240"/>
        <v>Philippines</v>
      </c>
      <c r="B6294" s="6" t="str">
        <f t="shared" si="3249"/>
        <v># of 1-Month Active Agents in Leaders above UM</v>
      </c>
      <c r="C6294" s="4" t="str">
        <f>CHOOSE(2, "5462030031", "Jul 26")</f>
        <v>Jul 26</v>
      </c>
      <c r="D6294" s="14">
        <v>28</v>
      </c>
    </row>
    <row r="6295" spans="1:4" x14ac:dyDescent="0.35">
      <c r="A6295" s="8" t="str">
        <f t="shared" si="3240"/>
        <v>Philippines</v>
      </c>
      <c r="B6295" s="3" t="str">
        <f t="shared" ref="B6295:B6296" si="3250">CHOOSE(2, "1395000000732", "# of 1-Month Active Top-tier Agents")</f>
        <v># of 1-Month Active Top-tier Agents</v>
      </c>
      <c r="C6295" s="4" t="str">
        <f>CHOOSE(2, "5461730030", "Jun 26")</f>
        <v>Jun 26</v>
      </c>
      <c r="D6295" s="2" t="s">
        <v>5</v>
      </c>
    </row>
    <row r="6296" spans="1:4" x14ac:dyDescent="0.35">
      <c r="A6296" s="8" t="str">
        <f t="shared" si="3240"/>
        <v>Philippines</v>
      </c>
      <c r="B6296" s="6" t="str">
        <f t="shared" si="3250"/>
        <v># of 1-Month Active Top-tier Agents</v>
      </c>
      <c r="C6296" s="4" t="str">
        <f>CHOOSE(2, "5462030031", "Jul 26")</f>
        <v>Jul 26</v>
      </c>
      <c r="D6296" s="2" t="s">
        <v>5</v>
      </c>
    </row>
    <row r="6297" spans="1:4" x14ac:dyDescent="0.35">
      <c r="A6297" s="8" t="str">
        <f t="shared" si="3240"/>
        <v>Philippines</v>
      </c>
      <c r="B6297" s="3" t="str">
        <f t="shared" ref="B6297:B6298" si="3251">CHOOSE(2, "1395000000731", "# of 1-Month Active Agents in pro-rated MDRT agents (&gt;100%)")</f>
        <v># of 1-Month Active Agents in pro-rated MDRT agents (&gt;100%)</v>
      </c>
      <c r="C6297" s="4" t="str">
        <f>CHOOSE(2, "5461730030", "Jun 26")</f>
        <v>Jun 26</v>
      </c>
      <c r="D6297" s="2" t="s">
        <v>5</v>
      </c>
    </row>
    <row r="6298" spans="1:4" x14ac:dyDescent="0.35">
      <c r="A6298" s="8" t="str">
        <f t="shared" si="3240"/>
        <v>Philippines</v>
      </c>
      <c r="B6298" s="6" t="str">
        <f t="shared" si="3251"/>
        <v># of 1-Month Active Agents in pro-rated MDRT agents (&gt;100%)</v>
      </c>
      <c r="C6298" s="4" t="str">
        <f>CHOOSE(2, "5462030031", "Jul 26")</f>
        <v>Jul 26</v>
      </c>
      <c r="D6298" s="2" t="s">
        <v>5</v>
      </c>
    </row>
    <row r="6299" spans="1:4" x14ac:dyDescent="0.35">
      <c r="A6299" s="8" t="str">
        <f t="shared" si="3240"/>
        <v>Philippines</v>
      </c>
      <c r="B6299" s="3" t="str">
        <f t="shared" ref="B6299:B6300" si="3252">CHOOSE(2, "1395000000730", "# of 1-Month Active Agents in pro-rated MDRT agents (70-99%)")</f>
        <v># of 1-Month Active Agents in pro-rated MDRT agents (70-99%)</v>
      </c>
      <c r="C6299" s="4" t="str">
        <f>CHOOSE(2, "5461730030", "Jun 26")</f>
        <v>Jun 26</v>
      </c>
      <c r="D6299" s="2" t="s">
        <v>5</v>
      </c>
    </row>
    <row r="6300" spans="1:4" x14ac:dyDescent="0.35">
      <c r="A6300" s="8" t="str">
        <f t="shared" si="3240"/>
        <v>Philippines</v>
      </c>
      <c r="B6300" s="6" t="str">
        <f t="shared" si="3252"/>
        <v># of 1-Month Active Agents in pro-rated MDRT agents (70-99%)</v>
      </c>
      <c r="C6300" s="4" t="str">
        <f>CHOOSE(2, "5462030031", "Jul 26")</f>
        <v>Jul 26</v>
      </c>
      <c r="D6300" s="2" t="s">
        <v>5</v>
      </c>
    </row>
    <row r="6301" spans="1:4" x14ac:dyDescent="0.35">
      <c r="A6301" s="8" t="str">
        <f t="shared" si="3240"/>
        <v>Philippines</v>
      </c>
      <c r="B6301" s="3" t="str">
        <f t="shared" ref="B6301:B6302" si="3253">CHOOSE(2, "1395000000729", "# of 1-Month Active Agents in pro-rated MDRT agents (50-69%)")</f>
        <v># of 1-Month Active Agents in pro-rated MDRT agents (50-69%)</v>
      </c>
      <c r="C6301" s="4" t="str">
        <f>CHOOSE(2, "5461730030", "Jun 26")</f>
        <v>Jun 26</v>
      </c>
      <c r="D6301" s="2" t="s">
        <v>5</v>
      </c>
    </row>
    <row r="6302" spans="1:4" x14ac:dyDescent="0.35">
      <c r="A6302" s="8" t="str">
        <f t="shared" si="3240"/>
        <v>Philippines</v>
      </c>
      <c r="B6302" s="6" t="str">
        <f t="shared" si="3253"/>
        <v># of 1-Month Active Agents in pro-rated MDRT agents (50-69%)</v>
      </c>
      <c r="C6302" s="4" t="str">
        <f>CHOOSE(2, "5462030031", "Jul 26")</f>
        <v>Jul 26</v>
      </c>
      <c r="D6302" s="2" t="s">
        <v>5</v>
      </c>
    </row>
    <row r="6303" spans="1:4" x14ac:dyDescent="0.35">
      <c r="A6303" s="8" t="str">
        <f t="shared" si="3240"/>
        <v>Philippines</v>
      </c>
      <c r="B6303" s="3" t="str">
        <f t="shared" ref="B6303:B6304" si="3254">CHOOSE(2, "1395000000728", "# of 1-Month Active Agents in Manulife Pro Qualifiers -Total")</f>
        <v># of 1-Month Active Agents in Manulife Pro Qualifiers -Total</v>
      </c>
      <c r="C6303" s="4" t="str">
        <f>CHOOSE(2, "5461730030", "Jun 26")</f>
        <v>Jun 26</v>
      </c>
      <c r="D6303" s="2" t="s">
        <v>5</v>
      </c>
    </row>
    <row r="6304" spans="1:4" x14ac:dyDescent="0.35">
      <c r="A6304" s="8" t="str">
        <f t="shared" si="3240"/>
        <v>Philippines</v>
      </c>
      <c r="B6304" s="6" t="str">
        <f t="shared" si="3254"/>
        <v># of 1-Month Active Agents in Manulife Pro Qualifiers -Total</v>
      </c>
      <c r="C6304" s="4" t="str">
        <f>CHOOSE(2, "5462030031", "Jul 26")</f>
        <v>Jul 26</v>
      </c>
      <c r="D6304" s="2" t="s">
        <v>5</v>
      </c>
    </row>
    <row r="6305" spans="1:4" x14ac:dyDescent="0.35">
      <c r="A6305" s="8" t="str">
        <f t="shared" si="3240"/>
        <v>Philippines</v>
      </c>
      <c r="B6305" s="3" t="str">
        <f t="shared" ref="B6305:B6306" si="3255">CHOOSE(2, "1395000000727", "# of 3-Month Active Agents")</f>
        <v># of 3-Month Active Agents</v>
      </c>
      <c r="C6305" s="4" t="str">
        <f>CHOOSE(2, "5461730030", "Jun 26")</f>
        <v>Jun 26</v>
      </c>
      <c r="D6305" s="14">
        <v>2646</v>
      </c>
    </row>
    <row r="6306" spans="1:4" x14ac:dyDescent="0.35">
      <c r="A6306" s="8" t="str">
        <f t="shared" si="3240"/>
        <v>Philippines</v>
      </c>
      <c r="B6306" s="6" t="str">
        <f t="shared" si="3255"/>
        <v># of 3-Month Active Agents</v>
      </c>
      <c r="C6306" s="4" t="str">
        <f>CHOOSE(2, "5462030031", "Jul 26")</f>
        <v>Jul 26</v>
      </c>
      <c r="D6306" s="14">
        <v>2649</v>
      </c>
    </row>
    <row r="6307" spans="1:4" x14ac:dyDescent="0.35">
      <c r="A6307" s="8" t="str">
        <f t="shared" si="3240"/>
        <v>Philippines</v>
      </c>
      <c r="B6307" s="3" t="str">
        <f t="shared" ref="B6307:B6308" si="3256">CHOOSE(2, "1395000000726", "# of 3-Month Active Agents in 0-1M")</f>
        <v># of 3-Month Active Agents in 0-1M</v>
      </c>
      <c r="C6307" s="4" t="str">
        <f>CHOOSE(2, "5461730030", "Jun 26")</f>
        <v>Jun 26</v>
      </c>
      <c r="D6307" s="14">
        <v>41</v>
      </c>
    </row>
    <row r="6308" spans="1:4" x14ac:dyDescent="0.35">
      <c r="A6308" s="8" t="str">
        <f t="shared" si="3240"/>
        <v>Philippines</v>
      </c>
      <c r="B6308" s="6" t="str">
        <f t="shared" si="3256"/>
        <v># of 3-Month Active Agents in 0-1M</v>
      </c>
      <c r="C6308" s="4" t="str">
        <f>CHOOSE(2, "5462030031", "Jul 26")</f>
        <v>Jul 26</v>
      </c>
      <c r="D6308" s="14">
        <v>49</v>
      </c>
    </row>
    <row r="6309" spans="1:4" x14ac:dyDescent="0.35">
      <c r="A6309" s="8" t="str">
        <f t="shared" si="3240"/>
        <v>Philippines</v>
      </c>
      <c r="B6309" s="3" t="str">
        <f t="shared" ref="B6309:B6310" si="3257">CHOOSE(2, "1395000000725", "# of 3-Month Active Agents in 2-3M")</f>
        <v># of 3-Month Active Agents in 2-3M</v>
      </c>
      <c r="C6309" s="4" t="str">
        <f>CHOOSE(2, "5461730030", "Jun 26")</f>
        <v>Jun 26</v>
      </c>
      <c r="D6309" s="14">
        <v>196</v>
      </c>
    </row>
    <row r="6310" spans="1:4" x14ac:dyDescent="0.35">
      <c r="A6310" s="8" t="str">
        <f t="shared" si="3240"/>
        <v>Philippines</v>
      </c>
      <c r="B6310" s="6" t="str">
        <f t="shared" si="3257"/>
        <v># of 3-Month Active Agents in 2-3M</v>
      </c>
      <c r="C6310" s="4" t="str">
        <f>CHOOSE(2, "5462030031", "Jul 26")</f>
        <v>Jul 26</v>
      </c>
      <c r="D6310" s="14">
        <v>203</v>
      </c>
    </row>
    <row r="6311" spans="1:4" x14ac:dyDescent="0.35">
      <c r="A6311" s="8" t="str">
        <f t="shared" si="3240"/>
        <v>Philippines</v>
      </c>
      <c r="B6311" s="3" t="str">
        <f t="shared" ref="B6311:B6312" si="3258">CHOOSE(2, "1395000000724", "# of 3-Month Active Agents in 4-12M")</f>
        <v># of 3-Month Active Agents in 4-12M</v>
      </c>
      <c r="C6311" s="4" t="str">
        <f>CHOOSE(2, "5461730030", "Jun 26")</f>
        <v>Jun 26</v>
      </c>
      <c r="D6311" s="14">
        <v>549</v>
      </c>
    </row>
    <row r="6312" spans="1:4" x14ac:dyDescent="0.35">
      <c r="A6312" s="8" t="str">
        <f t="shared" si="3240"/>
        <v>Philippines</v>
      </c>
      <c r="B6312" s="6" t="str">
        <f t="shared" si="3258"/>
        <v># of 3-Month Active Agents in 4-12M</v>
      </c>
      <c r="C6312" s="4" t="str">
        <f>CHOOSE(2, "5462030031", "Jul 26")</f>
        <v>Jul 26</v>
      </c>
      <c r="D6312" s="14">
        <v>531</v>
      </c>
    </row>
    <row r="6313" spans="1:4" x14ac:dyDescent="0.35">
      <c r="A6313" s="8" t="str">
        <f t="shared" si="3240"/>
        <v>Philippines</v>
      </c>
      <c r="B6313" s="3" t="str">
        <f t="shared" ref="B6313:B6314" si="3259">CHOOSE(2, "1395000000723", "# of 3-Month Active Agents 13+M")</f>
        <v># of 3-Month Active Agents 13+M</v>
      </c>
      <c r="C6313" s="4" t="str">
        <f>CHOOSE(2, "5461730030", "Jun 26")</f>
        <v>Jun 26</v>
      </c>
      <c r="D6313" s="14">
        <v>1860</v>
      </c>
    </row>
    <row r="6314" spans="1:4" x14ac:dyDescent="0.35">
      <c r="A6314" s="8" t="str">
        <f t="shared" si="3240"/>
        <v>Philippines</v>
      </c>
      <c r="B6314" s="6" t="str">
        <f t="shared" si="3259"/>
        <v># of 3-Month Active Agents 13+M</v>
      </c>
      <c r="C6314" s="4" t="str">
        <f>CHOOSE(2, "5462030031", "Jul 26")</f>
        <v>Jul 26</v>
      </c>
      <c r="D6314" s="14">
        <v>1866</v>
      </c>
    </row>
    <row r="6315" spans="1:4" x14ac:dyDescent="0.35">
      <c r="A6315" s="8" t="str">
        <f t="shared" si="3240"/>
        <v>Philippines</v>
      </c>
      <c r="B6315" s="3" t="str">
        <f t="shared" ref="B6315:B6316" si="3260">CHOOSE(2, "1395000000722", "# of 3-Month Active Agents in UM")</f>
        <v># of 3-Month Active Agents in UM</v>
      </c>
      <c r="C6315" s="4" t="str">
        <f>CHOOSE(2, "5461730030", "Jun 26")</f>
        <v>Jun 26</v>
      </c>
      <c r="D6315" s="2" t="s">
        <v>5</v>
      </c>
    </row>
    <row r="6316" spans="1:4" x14ac:dyDescent="0.35">
      <c r="A6316" s="8" t="str">
        <f t="shared" si="3240"/>
        <v>Philippines</v>
      </c>
      <c r="B6316" s="6" t="str">
        <f t="shared" si="3260"/>
        <v># of 3-Month Active Agents in UM</v>
      </c>
      <c r="C6316" s="4" t="str">
        <f>CHOOSE(2, "5462030031", "Jul 26")</f>
        <v>Jul 26</v>
      </c>
      <c r="D6316" s="2" t="s">
        <v>5</v>
      </c>
    </row>
    <row r="6317" spans="1:4" x14ac:dyDescent="0.35">
      <c r="A6317" s="8" t="str">
        <f t="shared" si="3240"/>
        <v>Philippines</v>
      </c>
      <c r="B6317" s="3" t="str">
        <f t="shared" ref="B6317:B6318" si="3261">CHOOSE(2, "1395000000721", "# of 3-Month Active Agents in Leaders above UM")</f>
        <v># of 3-Month Active Agents in Leaders above UM</v>
      </c>
      <c r="C6317" s="4" t="str">
        <f>CHOOSE(2, "5461730030", "Jun 26")</f>
        <v>Jun 26</v>
      </c>
      <c r="D6317" s="2" t="s">
        <v>5</v>
      </c>
    </row>
    <row r="6318" spans="1:4" x14ac:dyDescent="0.35">
      <c r="A6318" s="8" t="str">
        <f t="shared" si="3240"/>
        <v>Philippines</v>
      </c>
      <c r="B6318" s="6" t="str">
        <f t="shared" si="3261"/>
        <v># of 3-Month Active Agents in Leaders above UM</v>
      </c>
      <c r="C6318" s="4" t="str">
        <f>CHOOSE(2, "5462030031", "Jul 26")</f>
        <v>Jul 26</v>
      </c>
      <c r="D6318" s="2" t="s">
        <v>5</v>
      </c>
    </row>
    <row r="6319" spans="1:4" x14ac:dyDescent="0.35">
      <c r="A6319" s="8" t="str">
        <f t="shared" si="3240"/>
        <v>Philippines</v>
      </c>
      <c r="B6319" s="3" t="str">
        <f t="shared" ref="B6319:B6320" si="3262">CHOOSE(2, "1395000000720", "# of 3-Month Active Agents in FA or equivalent")</f>
        <v># of 3-Month Active Agents in FA or equivalent</v>
      </c>
      <c r="C6319" s="4" t="str">
        <f>CHOOSE(2, "5461730030", "Jun 26")</f>
        <v>Jun 26</v>
      </c>
      <c r="D6319" s="2" t="s">
        <v>5</v>
      </c>
    </row>
    <row r="6320" spans="1:4" x14ac:dyDescent="0.35">
      <c r="A6320" s="8" t="str">
        <f t="shared" si="3240"/>
        <v>Philippines</v>
      </c>
      <c r="B6320" s="6" t="str">
        <f t="shared" si="3262"/>
        <v># of 3-Month Active Agents in FA or equivalent</v>
      </c>
      <c r="C6320" s="4" t="str">
        <f>CHOOSE(2, "5462030031", "Jul 26")</f>
        <v>Jul 26</v>
      </c>
      <c r="D6320" s="2" t="s">
        <v>5</v>
      </c>
    </row>
    <row r="6321" spans="1:4" x14ac:dyDescent="0.35">
      <c r="A6321" s="8" t="str">
        <f t="shared" si="3240"/>
        <v>Philippines</v>
      </c>
      <c r="B6321" s="3" t="str">
        <f t="shared" ref="B6321:B6322" si="3263">CHOOSE(2, "1395000000719", "Net Case Count - Agency")</f>
        <v>Net Case Count - Agency</v>
      </c>
      <c r="C6321" s="4" t="str">
        <f>CHOOSE(2, "5461730030", "Jun 26")</f>
        <v>Jun 26</v>
      </c>
      <c r="D6321" s="14">
        <v>2025</v>
      </c>
    </row>
    <row r="6322" spans="1:4" x14ac:dyDescent="0.35">
      <c r="A6322" s="8" t="str">
        <f t="shared" si="3240"/>
        <v>Philippines</v>
      </c>
      <c r="B6322" s="6" t="str">
        <f t="shared" si="3263"/>
        <v>Net Case Count - Agency</v>
      </c>
      <c r="C6322" s="4" t="str">
        <f>CHOOSE(2, "5462030031", "Jul 26")</f>
        <v>Jul 26</v>
      </c>
      <c r="D6322" s="14">
        <v>2672</v>
      </c>
    </row>
    <row r="6323" spans="1:4" x14ac:dyDescent="0.35">
      <c r="A6323" s="8" t="str">
        <f t="shared" si="3240"/>
        <v>Philippines</v>
      </c>
      <c r="B6323" s="3" t="str">
        <f t="shared" ref="B6323:B6324" si="3264">CHOOSE(2, "1395000000718", "Net Case Count - Agency in 0-1M")</f>
        <v>Net Case Count - Agency in 0-1M</v>
      </c>
      <c r="C6323" s="4" t="str">
        <f>CHOOSE(2, "5461730030", "Jun 26")</f>
        <v>Jun 26</v>
      </c>
      <c r="D6323" s="14">
        <v>58</v>
      </c>
    </row>
    <row r="6324" spans="1:4" x14ac:dyDescent="0.35">
      <c r="A6324" s="8" t="str">
        <f t="shared" si="3240"/>
        <v>Philippines</v>
      </c>
      <c r="B6324" s="6" t="str">
        <f t="shared" si="3264"/>
        <v>Net Case Count - Agency in 0-1M</v>
      </c>
      <c r="C6324" s="4" t="str">
        <f>CHOOSE(2, "5462030031", "Jul 26")</f>
        <v>Jul 26</v>
      </c>
      <c r="D6324" s="14">
        <v>77</v>
      </c>
    </row>
    <row r="6325" spans="1:4" x14ac:dyDescent="0.35">
      <c r="A6325" s="8" t="str">
        <f t="shared" si="3240"/>
        <v>Philippines</v>
      </c>
      <c r="B6325" s="3" t="str">
        <f t="shared" ref="B6325:B6326" si="3265">CHOOSE(2, "1395000000717", "Net Case Count - Agency in 2-3M")</f>
        <v>Net Case Count - Agency in 2-3M</v>
      </c>
      <c r="C6325" s="4" t="str">
        <f>CHOOSE(2, "5461730030", "Jun 26")</f>
        <v>Jun 26</v>
      </c>
      <c r="D6325" s="14">
        <v>255.5</v>
      </c>
    </row>
    <row r="6326" spans="1:4" x14ac:dyDescent="0.35">
      <c r="A6326" s="8" t="str">
        <f t="shared" si="3240"/>
        <v>Philippines</v>
      </c>
      <c r="B6326" s="6" t="str">
        <f t="shared" si="3265"/>
        <v>Net Case Count - Agency in 2-3M</v>
      </c>
      <c r="C6326" s="4" t="str">
        <f>CHOOSE(2, "5462030031", "Jul 26")</f>
        <v>Jul 26</v>
      </c>
      <c r="D6326" s="14">
        <v>212</v>
      </c>
    </row>
    <row r="6327" spans="1:4" x14ac:dyDescent="0.35">
      <c r="A6327" s="8" t="str">
        <f t="shared" si="3240"/>
        <v>Philippines</v>
      </c>
      <c r="B6327" s="3" t="str">
        <f t="shared" ref="B6327:B6328" si="3266">CHOOSE(2, "1395000000716", "Net Case Count - Agency in 4-12M")</f>
        <v>Net Case Count - Agency in 4-12M</v>
      </c>
      <c r="C6327" s="4" t="str">
        <f>CHOOSE(2, "5461730030", "Jun 26")</f>
        <v>Jun 26</v>
      </c>
      <c r="D6327" s="14">
        <v>246.5</v>
      </c>
    </row>
    <row r="6328" spans="1:4" x14ac:dyDescent="0.35">
      <c r="A6328" s="8" t="str">
        <f t="shared" si="3240"/>
        <v>Philippines</v>
      </c>
      <c r="B6328" s="6" t="str">
        <f t="shared" si="3266"/>
        <v>Net Case Count - Agency in 4-12M</v>
      </c>
      <c r="C6328" s="4" t="str">
        <f>CHOOSE(2, "5462030031", "Jul 26")</f>
        <v>Jul 26</v>
      </c>
      <c r="D6328" s="14">
        <v>159.5</v>
      </c>
    </row>
    <row r="6329" spans="1:4" x14ac:dyDescent="0.35">
      <c r="A6329" s="8" t="str">
        <f t="shared" si="3240"/>
        <v>Philippines</v>
      </c>
      <c r="B6329" s="3" t="str">
        <f t="shared" ref="B6329:B6330" si="3267">CHOOSE(2, "1395000000715", "Net Case Count - Agency 13+M")</f>
        <v>Net Case Count - Agency 13+M</v>
      </c>
      <c r="C6329" s="4" t="str">
        <f>CHOOSE(2, "5461730030", "Jun 26")</f>
        <v>Jun 26</v>
      </c>
      <c r="D6329" s="14">
        <v>1465</v>
      </c>
    </row>
    <row r="6330" spans="1:4" x14ac:dyDescent="0.35">
      <c r="A6330" s="8" t="str">
        <f t="shared" si="3240"/>
        <v>Philippines</v>
      </c>
      <c r="B6330" s="6" t="str">
        <f t="shared" si="3267"/>
        <v>Net Case Count - Agency 13+M</v>
      </c>
      <c r="C6330" s="4" t="str">
        <f>CHOOSE(2, "5462030031", "Jul 26")</f>
        <v>Jul 26</v>
      </c>
      <c r="D6330" s="14">
        <v>1241.5</v>
      </c>
    </row>
    <row r="6331" spans="1:4" x14ac:dyDescent="0.35">
      <c r="A6331" s="8" t="str">
        <f t="shared" si="3240"/>
        <v>Philippines</v>
      </c>
      <c r="B6331" s="3" t="str">
        <f t="shared" ref="B6331:B6332" si="3268">CHOOSE(2, "1395000000714", "Net Case Count - Agency in FA or equivalent")</f>
        <v>Net Case Count - Agency in FA or equivalent</v>
      </c>
      <c r="C6331" s="4" t="str">
        <f>CHOOSE(2, "5461730030", "Jun 26")</f>
        <v>Jun 26</v>
      </c>
      <c r="D6331" s="14">
        <v>1463.5</v>
      </c>
    </row>
    <row r="6332" spans="1:4" x14ac:dyDescent="0.35">
      <c r="A6332" s="8" t="str">
        <f t="shared" si="3240"/>
        <v>Philippines</v>
      </c>
      <c r="B6332" s="6" t="str">
        <f t="shared" si="3268"/>
        <v>Net Case Count - Agency in FA or equivalent</v>
      </c>
      <c r="C6332" s="4" t="str">
        <f>CHOOSE(2, "5462030031", "Jul 26")</f>
        <v>Jul 26</v>
      </c>
      <c r="D6332" s="14">
        <v>1261.5</v>
      </c>
    </row>
    <row r="6333" spans="1:4" x14ac:dyDescent="0.35">
      <c r="A6333" s="8" t="str">
        <f t="shared" si="3240"/>
        <v>Philippines</v>
      </c>
      <c r="B6333" s="3" t="str">
        <f t="shared" ref="B6333:B6334" si="3269">CHOOSE(2, "1395000000713", "Net Case Count - Agency in UM")</f>
        <v>Net Case Count - Agency in UM</v>
      </c>
      <c r="C6333" s="4" t="str">
        <f>CHOOSE(2, "5461730030", "Jun 26")</f>
        <v>Jun 26</v>
      </c>
      <c r="D6333" s="14">
        <v>493</v>
      </c>
    </row>
    <row r="6334" spans="1:4" x14ac:dyDescent="0.35">
      <c r="A6334" s="8" t="str">
        <f t="shared" si="3240"/>
        <v>Philippines</v>
      </c>
      <c r="B6334" s="6" t="str">
        <f t="shared" si="3269"/>
        <v>Net Case Count - Agency in UM</v>
      </c>
      <c r="C6334" s="4" t="str">
        <f>CHOOSE(2, "5462030031", "Jul 26")</f>
        <v>Jul 26</v>
      </c>
      <c r="D6334" s="14">
        <v>372.5</v>
      </c>
    </row>
    <row r="6335" spans="1:4" x14ac:dyDescent="0.35">
      <c r="A6335" s="8" t="str">
        <f t="shared" si="3240"/>
        <v>Philippines</v>
      </c>
      <c r="B6335" s="3" t="str">
        <f t="shared" ref="B6335:B6336" si="3270">CHOOSE(2, "1395000000712", "Net Case Count - Agency in Leaders above UM")</f>
        <v>Net Case Count - Agency in Leaders above UM</v>
      </c>
      <c r="C6335" s="4" t="str">
        <f>CHOOSE(2, "5461730030", "Jun 26")</f>
        <v>Jun 26</v>
      </c>
      <c r="D6335" s="14">
        <v>68.5</v>
      </c>
    </row>
    <row r="6336" spans="1:4" x14ac:dyDescent="0.35">
      <c r="A6336" s="8" t="str">
        <f t="shared" si="3240"/>
        <v>Philippines</v>
      </c>
      <c r="B6336" s="6" t="str">
        <f t="shared" si="3270"/>
        <v>Net Case Count - Agency in Leaders above UM</v>
      </c>
      <c r="C6336" s="4" t="str">
        <f>CHOOSE(2, "5462030031", "Jul 26")</f>
        <v>Jul 26</v>
      </c>
      <c r="D6336" s="14">
        <v>56</v>
      </c>
    </row>
    <row r="6337" spans="1:4" x14ac:dyDescent="0.35">
      <c r="A6337" s="8" t="str">
        <f t="shared" si="3240"/>
        <v>Philippines</v>
      </c>
      <c r="B6337" s="3" t="str">
        <f t="shared" ref="B6337:B6338" si="3271">CHOOSE(2, "1395000000711", "Net Case Count - Agency in Top-tier Agents")</f>
        <v>Net Case Count - Agency in Top-tier Agents</v>
      </c>
      <c r="C6337" s="4" t="str">
        <f>CHOOSE(2, "5461730030", "Jun 26")</f>
        <v>Jun 26</v>
      </c>
      <c r="D6337" s="2" t="s">
        <v>5</v>
      </c>
    </row>
    <row r="6338" spans="1:4" x14ac:dyDescent="0.35">
      <c r="A6338" s="8" t="str">
        <f t="shared" si="3240"/>
        <v>Philippines</v>
      </c>
      <c r="B6338" s="6" t="str">
        <f t="shared" si="3271"/>
        <v>Net Case Count - Agency in Top-tier Agents</v>
      </c>
      <c r="C6338" s="4" t="str">
        <f>CHOOSE(2, "5462030031", "Jul 26")</f>
        <v>Jul 26</v>
      </c>
      <c r="D6338" s="2" t="s">
        <v>5</v>
      </c>
    </row>
    <row r="6339" spans="1:4" x14ac:dyDescent="0.35">
      <c r="A6339" s="8" t="str">
        <f t="shared" si="3240"/>
        <v>Philippines</v>
      </c>
      <c r="B6339" s="3" t="str">
        <f t="shared" ref="B6339:B6340" si="3272">CHOOSE(2, "1395000000710", "Net Case Count - Agency in pro-rated MDRT agents (&gt;100%)")</f>
        <v>Net Case Count - Agency in pro-rated MDRT agents (&gt;100%)</v>
      </c>
      <c r="C6339" s="4" t="str">
        <f>CHOOSE(2, "5461730030", "Jun 26")</f>
        <v>Jun 26</v>
      </c>
      <c r="D6339" s="2" t="s">
        <v>5</v>
      </c>
    </row>
    <row r="6340" spans="1:4" x14ac:dyDescent="0.35">
      <c r="A6340" s="8" t="str">
        <f t="shared" si="3240"/>
        <v>Philippines</v>
      </c>
      <c r="B6340" s="6" t="str">
        <f t="shared" si="3272"/>
        <v>Net Case Count - Agency in pro-rated MDRT agents (&gt;100%)</v>
      </c>
      <c r="C6340" s="4" t="str">
        <f>CHOOSE(2, "5462030031", "Jul 26")</f>
        <v>Jul 26</v>
      </c>
      <c r="D6340" s="2" t="s">
        <v>5</v>
      </c>
    </row>
    <row r="6341" spans="1:4" x14ac:dyDescent="0.35">
      <c r="A6341" s="8" t="str">
        <f t="shared" ref="A6341:A6404" si="3273">CHOOSE(2, "204000000007", "Philippines")</f>
        <v>Philippines</v>
      </c>
      <c r="B6341" s="3" t="str">
        <f t="shared" ref="B6341:B6342" si="3274">CHOOSE(2, "1395000000709", "Net Case Count - Agency in pro-rated MDRT agents (70-99%)")</f>
        <v>Net Case Count - Agency in pro-rated MDRT agents (70-99%)</v>
      </c>
      <c r="C6341" s="4" t="str">
        <f>CHOOSE(2, "5461730030", "Jun 26")</f>
        <v>Jun 26</v>
      </c>
      <c r="D6341" s="2" t="s">
        <v>5</v>
      </c>
    </row>
    <row r="6342" spans="1:4" x14ac:dyDescent="0.35">
      <c r="A6342" s="8" t="str">
        <f t="shared" si="3273"/>
        <v>Philippines</v>
      </c>
      <c r="B6342" s="6" t="str">
        <f t="shared" si="3274"/>
        <v>Net Case Count - Agency in pro-rated MDRT agents (70-99%)</v>
      </c>
      <c r="C6342" s="4" t="str">
        <f>CHOOSE(2, "5462030031", "Jul 26")</f>
        <v>Jul 26</v>
      </c>
      <c r="D6342" s="2" t="s">
        <v>5</v>
      </c>
    </row>
    <row r="6343" spans="1:4" x14ac:dyDescent="0.35">
      <c r="A6343" s="8" t="str">
        <f t="shared" si="3273"/>
        <v>Philippines</v>
      </c>
      <c r="B6343" s="3" t="str">
        <f t="shared" ref="B6343:B6344" si="3275">CHOOSE(2, "1395000000708", "Net Case Count - Agency in pro-rated MDRT agents (50-69%)")</f>
        <v>Net Case Count - Agency in pro-rated MDRT agents (50-69%)</v>
      </c>
      <c r="C6343" s="4" t="str">
        <f>CHOOSE(2, "5461730030", "Jun 26")</f>
        <v>Jun 26</v>
      </c>
      <c r="D6343" s="2" t="s">
        <v>5</v>
      </c>
    </row>
    <row r="6344" spans="1:4" x14ac:dyDescent="0.35">
      <c r="A6344" s="8" t="str">
        <f t="shared" si="3273"/>
        <v>Philippines</v>
      </c>
      <c r="B6344" s="6" t="str">
        <f t="shared" si="3275"/>
        <v>Net Case Count - Agency in pro-rated MDRT agents (50-69%)</v>
      </c>
      <c r="C6344" s="4" t="str">
        <f>CHOOSE(2, "5462030031", "Jul 26")</f>
        <v>Jul 26</v>
      </c>
      <c r="D6344" s="2" t="s">
        <v>5</v>
      </c>
    </row>
    <row r="6345" spans="1:4" x14ac:dyDescent="0.35">
      <c r="A6345" s="8" t="str">
        <f t="shared" si="3273"/>
        <v>Philippines</v>
      </c>
      <c r="B6345" s="3" t="str">
        <f t="shared" ref="B6345:B6346" si="3276">CHOOSE(2, "1395000000707", "Net Case Count - Agency in Manulife Pro Qualifiers - Total")</f>
        <v>Net Case Count - Agency in Manulife Pro Qualifiers - Total</v>
      </c>
      <c r="C6345" s="4" t="str">
        <f>CHOOSE(2, "5461730030", "Jun 26")</f>
        <v>Jun 26</v>
      </c>
      <c r="D6345" s="2" t="s">
        <v>5</v>
      </c>
    </row>
    <row r="6346" spans="1:4" x14ac:dyDescent="0.35">
      <c r="A6346" s="8" t="str">
        <f t="shared" si="3273"/>
        <v>Philippines</v>
      </c>
      <c r="B6346" s="6" t="str">
        <f t="shared" si="3276"/>
        <v>Net Case Count - Agency in Manulife Pro Qualifiers - Total</v>
      </c>
      <c r="C6346" s="4" t="str">
        <f>CHOOSE(2, "5462030031", "Jul 26")</f>
        <v>Jul 26</v>
      </c>
      <c r="D6346" s="2" t="s">
        <v>5</v>
      </c>
    </row>
    <row r="6347" spans="1:4" x14ac:dyDescent="0.35">
      <c r="A6347" s="8" t="str">
        <f t="shared" si="3273"/>
        <v>Philippines</v>
      </c>
      <c r="B6347" s="3" t="str">
        <f t="shared" ref="B6347:B6348" si="3277">CHOOSE(2, "1395000000706", "No. of Sales Proposal Generated")</f>
        <v>No. of Sales Proposal Generated</v>
      </c>
      <c r="C6347" s="4" t="str">
        <f>CHOOSE(2, "5461730030", "Jun 26")</f>
        <v>Jun 26</v>
      </c>
      <c r="D6347" s="2" t="s">
        <v>5</v>
      </c>
    </row>
    <row r="6348" spans="1:4" x14ac:dyDescent="0.35">
      <c r="A6348" s="8" t="str">
        <f t="shared" si="3273"/>
        <v>Philippines</v>
      </c>
      <c r="B6348" s="6" t="str">
        <f t="shared" si="3277"/>
        <v>No. of Sales Proposal Generated</v>
      </c>
      <c r="C6348" s="4" t="str">
        <f>CHOOSE(2, "5462030031", "Jul 26")</f>
        <v>Jul 26</v>
      </c>
      <c r="D6348" s="2" t="s">
        <v>5</v>
      </c>
    </row>
    <row r="6349" spans="1:4" x14ac:dyDescent="0.35">
      <c r="A6349" s="8" t="str">
        <f t="shared" si="3273"/>
        <v>Philippines</v>
      </c>
      <c r="B6349" s="3" t="str">
        <f t="shared" ref="B6349:B6350" si="3278">CHOOSE(2, "1395000000705", "$ APE from Agents in X tenure")</f>
        <v>$ APE from Agents in X tenure</v>
      </c>
      <c r="C6349" s="4" t="str">
        <f>CHOOSE(2, "5461730030", "Jun 26")</f>
        <v>Jun 26</v>
      </c>
      <c r="D6349" s="14">
        <v>3598313.5864473092</v>
      </c>
    </row>
    <row r="6350" spans="1:4" x14ac:dyDescent="0.35">
      <c r="A6350" s="8" t="str">
        <f t="shared" si="3273"/>
        <v>Philippines</v>
      </c>
      <c r="B6350" s="6" t="str">
        <f t="shared" si="3278"/>
        <v>$ APE from Agents in X tenure</v>
      </c>
      <c r="C6350" s="4" t="str">
        <f>CHOOSE(2, "5462030031", "Jul 26")</f>
        <v>Jul 26</v>
      </c>
      <c r="D6350" s="14">
        <v>2986513.5003691399</v>
      </c>
    </row>
    <row r="6351" spans="1:4" x14ac:dyDescent="0.35">
      <c r="A6351" s="8" t="str">
        <f t="shared" si="3273"/>
        <v>Philippines</v>
      </c>
      <c r="B6351" s="3" t="str">
        <f t="shared" ref="B6351:B6352" si="3279">CHOOSE(2, "1395000000704", "$ APE from Agents in X tenure in 0-1M")</f>
        <v>$ APE from Agents in X tenure in 0-1M</v>
      </c>
      <c r="C6351" s="4" t="str">
        <f>CHOOSE(2, "5461730030", "Jun 26")</f>
        <v>Jun 26</v>
      </c>
      <c r="D6351" s="14">
        <v>359831.35864473094</v>
      </c>
    </row>
    <row r="6352" spans="1:4" x14ac:dyDescent="0.35">
      <c r="A6352" s="8" t="str">
        <f t="shared" si="3273"/>
        <v>Philippines</v>
      </c>
      <c r="B6352" s="6" t="str">
        <f t="shared" si="3279"/>
        <v>$ APE from Agents in X tenure in 0-1M</v>
      </c>
      <c r="C6352" s="4" t="str">
        <f>CHOOSE(2, "5462030031", "Jul 26")</f>
        <v>Jul 26</v>
      </c>
      <c r="D6352" s="14">
        <v>298651.35003691399</v>
      </c>
    </row>
    <row r="6353" spans="1:4" x14ac:dyDescent="0.35">
      <c r="A6353" s="8" t="str">
        <f t="shared" si="3273"/>
        <v>Philippines</v>
      </c>
      <c r="B6353" s="3" t="str">
        <f t="shared" ref="B6353:B6354" si="3280">CHOOSE(2, "1395000000703", "$ APE from Agents in X tenure in 2-3M")</f>
        <v>$ APE from Agents in X tenure in 2-3M</v>
      </c>
      <c r="C6353" s="4" t="str">
        <f>CHOOSE(2, "5461730030", "Jun 26")</f>
        <v>Jun 26</v>
      </c>
      <c r="D6353" s="14">
        <v>719662.71728946187</v>
      </c>
    </row>
    <row r="6354" spans="1:4" x14ac:dyDescent="0.35">
      <c r="A6354" s="8" t="str">
        <f t="shared" si="3273"/>
        <v>Philippines</v>
      </c>
      <c r="B6354" s="6" t="str">
        <f t="shared" si="3280"/>
        <v>$ APE from Agents in X tenure in 2-3M</v>
      </c>
      <c r="C6354" s="4" t="str">
        <f>CHOOSE(2, "5462030031", "Jul 26")</f>
        <v>Jul 26</v>
      </c>
      <c r="D6354" s="14">
        <v>597302.70007382799</v>
      </c>
    </row>
    <row r="6355" spans="1:4" x14ac:dyDescent="0.35">
      <c r="A6355" s="8" t="str">
        <f t="shared" si="3273"/>
        <v>Philippines</v>
      </c>
      <c r="B6355" s="3" t="str">
        <f t="shared" ref="B6355:B6356" si="3281">CHOOSE(2, "1395000000702", "$ APE from Agents in X tenure in 4-12M")</f>
        <v>$ APE from Agents in X tenure in 4-12M</v>
      </c>
      <c r="C6355" s="4" t="str">
        <f>CHOOSE(2, "5461730030", "Jun 26")</f>
        <v>Jun 26</v>
      </c>
      <c r="D6355" s="14">
        <v>1079494.0759341926</v>
      </c>
    </row>
    <row r="6356" spans="1:4" x14ac:dyDescent="0.35">
      <c r="A6356" s="8" t="str">
        <f t="shared" si="3273"/>
        <v>Philippines</v>
      </c>
      <c r="B6356" s="6" t="str">
        <f t="shared" si="3281"/>
        <v>$ APE from Agents in X tenure in 4-12M</v>
      </c>
      <c r="C6356" s="4" t="str">
        <f>CHOOSE(2, "5462030031", "Jul 26")</f>
        <v>Jul 26</v>
      </c>
      <c r="D6356" s="14">
        <v>895954.05011074198</v>
      </c>
    </row>
    <row r="6357" spans="1:4" x14ac:dyDescent="0.35">
      <c r="A6357" s="8" t="str">
        <f t="shared" si="3273"/>
        <v>Philippines</v>
      </c>
      <c r="B6357" s="3" t="str">
        <f t="shared" ref="B6357:B6358" si="3282">CHOOSE(2, "1395000000701", "$ APE from Agents in X tenure 13+M")</f>
        <v>$ APE from Agents in X tenure 13+M</v>
      </c>
      <c r="C6357" s="4" t="str">
        <f>CHOOSE(2, "5461730030", "Jun 26")</f>
        <v>Jun 26</v>
      </c>
      <c r="D6357" s="14">
        <v>1439325.4345789237</v>
      </c>
    </row>
    <row r="6358" spans="1:4" x14ac:dyDescent="0.35">
      <c r="A6358" s="8" t="str">
        <f t="shared" si="3273"/>
        <v>Philippines</v>
      </c>
      <c r="B6358" s="6" t="str">
        <f t="shared" si="3282"/>
        <v>$ APE from Agents in X tenure 13+M</v>
      </c>
      <c r="C6358" s="4" t="str">
        <f>CHOOSE(2, "5462030031", "Jul 26")</f>
        <v>Jul 26</v>
      </c>
      <c r="D6358" s="14">
        <v>1194605.400147656</v>
      </c>
    </row>
    <row r="6359" spans="1:4" x14ac:dyDescent="0.35">
      <c r="A6359" s="8" t="str">
        <f t="shared" si="3273"/>
        <v>Philippines</v>
      </c>
      <c r="B6359" s="3" t="str">
        <f t="shared" ref="B6359:B6360" si="3283">CHOOSE(2, "1395000000700", "Total agent headcount (end of period)")</f>
        <v>Total agent headcount (end of period)</v>
      </c>
      <c r="C6359" s="4" t="str">
        <f>CHOOSE(2, "5461730030", "Jun 26")</f>
        <v>Jun 26</v>
      </c>
      <c r="D6359" s="14">
        <v>6237</v>
      </c>
    </row>
    <row r="6360" spans="1:4" x14ac:dyDescent="0.35">
      <c r="A6360" s="8" t="str">
        <f t="shared" si="3273"/>
        <v>Philippines</v>
      </c>
      <c r="B6360" s="6" t="str">
        <f t="shared" si="3283"/>
        <v>Total agent headcount (end of period)</v>
      </c>
      <c r="C6360" s="4" t="str">
        <f>CHOOSE(2, "5462030031", "Jul 26")</f>
        <v>Jul 26</v>
      </c>
      <c r="D6360" s="14">
        <v>6385</v>
      </c>
    </row>
    <row r="6361" spans="1:4" x14ac:dyDescent="0.35">
      <c r="A6361" s="8" t="str">
        <f t="shared" si="3273"/>
        <v>Philippines</v>
      </c>
      <c r="B6361" s="3" t="str">
        <f t="shared" ref="B6361:B6362" si="3284">CHOOSE(2, "1395000000699", "Total agent headcount (end of period) in 0-1M")</f>
        <v>Total agent headcount (end of period) in 0-1M</v>
      </c>
      <c r="C6361" s="4" t="str">
        <f>CHOOSE(2, "5461730030", "Jun 26")</f>
        <v>Jun 26</v>
      </c>
      <c r="D6361" s="14">
        <v>271</v>
      </c>
    </row>
    <row r="6362" spans="1:4" x14ac:dyDescent="0.35">
      <c r="A6362" s="8" t="str">
        <f t="shared" si="3273"/>
        <v>Philippines</v>
      </c>
      <c r="B6362" s="6" t="str">
        <f t="shared" si="3284"/>
        <v>Total agent headcount (end of period) in 0-1M</v>
      </c>
      <c r="C6362" s="4" t="str">
        <f>CHOOSE(2, "5462030031", "Jul 26")</f>
        <v>Jul 26</v>
      </c>
      <c r="D6362" s="14">
        <v>357</v>
      </c>
    </row>
    <row r="6363" spans="1:4" x14ac:dyDescent="0.35">
      <c r="A6363" s="8" t="str">
        <f t="shared" si="3273"/>
        <v>Philippines</v>
      </c>
      <c r="B6363" s="3" t="str">
        <f t="shared" ref="B6363:B6364" si="3285">CHOOSE(2, "1395000000698", "Total agent headcount (end of period) in 2-3M")</f>
        <v>Total agent headcount (end of period) in 2-3M</v>
      </c>
      <c r="C6363" s="4" t="str">
        <f>CHOOSE(2, "5461730030", "Jun 26")</f>
        <v>Jun 26</v>
      </c>
      <c r="D6363" s="14">
        <v>558</v>
      </c>
    </row>
    <row r="6364" spans="1:4" x14ac:dyDescent="0.35">
      <c r="A6364" s="8" t="str">
        <f t="shared" si="3273"/>
        <v>Philippines</v>
      </c>
      <c r="B6364" s="6" t="str">
        <f t="shared" si="3285"/>
        <v>Total agent headcount (end of period) in 2-3M</v>
      </c>
      <c r="C6364" s="4" t="str">
        <f>CHOOSE(2, "5462030031", "Jul 26")</f>
        <v>Jul 26</v>
      </c>
      <c r="D6364" s="14">
        <v>503</v>
      </c>
    </row>
    <row r="6365" spans="1:4" x14ac:dyDescent="0.35">
      <c r="A6365" s="8" t="str">
        <f t="shared" si="3273"/>
        <v>Philippines</v>
      </c>
      <c r="B6365" s="3" t="str">
        <f t="shared" ref="B6365:B6366" si="3286">CHOOSE(2, "1395000000697", "Total agent headcount (end of period) in 4-12M")</f>
        <v>Total agent headcount (end of period) in 4-12M</v>
      </c>
      <c r="C6365" s="4" t="str">
        <f>CHOOSE(2, "5461730030", "Jun 26")</f>
        <v>Jun 26</v>
      </c>
      <c r="D6365" s="14">
        <v>1706</v>
      </c>
    </row>
    <row r="6366" spans="1:4" x14ac:dyDescent="0.35">
      <c r="A6366" s="8" t="str">
        <f t="shared" si="3273"/>
        <v>Philippines</v>
      </c>
      <c r="B6366" s="6" t="str">
        <f t="shared" si="3286"/>
        <v>Total agent headcount (end of period) in 4-12M</v>
      </c>
      <c r="C6366" s="4" t="str">
        <f>CHOOSE(2, "5462030031", "Jul 26")</f>
        <v>Jul 26</v>
      </c>
      <c r="D6366" s="14">
        <v>1757</v>
      </c>
    </row>
    <row r="6367" spans="1:4" x14ac:dyDescent="0.35">
      <c r="A6367" s="8" t="str">
        <f t="shared" si="3273"/>
        <v>Philippines</v>
      </c>
      <c r="B6367" s="3" t="str">
        <f t="shared" ref="B6367:B6368" si="3287">CHOOSE(2, "1395000000696", "Total agent headcount (end of period) 13+M")</f>
        <v>Total agent headcount (end of period) 13+M</v>
      </c>
      <c r="C6367" s="4" t="str">
        <f>CHOOSE(2, "5461730030", "Jun 26")</f>
        <v>Jun 26</v>
      </c>
      <c r="D6367" s="14">
        <v>3702</v>
      </c>
    </row>
    <row r="6368" spans="1:4" x14ac:dyDescent="0.35">
      <c r="A6368" s="8" t="str">
        <f t="shared" si="3273"/>
        <v>Philippines</v>
      </c>
      <c r="B6368" s="6" t="str">
        <f t="shared" si="3287"/>
        <v>Total agent headcount (end of period) 13+M</v>
      </c>
      <c r="C6368" s="4" t="str">
        <f>CHOOSE(2, "5462030031", "Jul 26")</f>
        <v>Jul 26</v>
      </c>
      <c r="D6368" s="14">
        <v>3768</v>
      </c>
    </row>
    <row r="6369" spans="1:4" x14ac:dyDescent="0.35">
      <c r="A6369" s="8" t="str">
        <f t="shared" si="3273"/>
        <v>Philippines</v>
      </c>
      <c r="B6369" s="3" t="str">
        <f t="shared" ref="B6369:B6370" si="3288">CHOOSE(2, "1395000000695", "Total agent headcount (end of period) in FA or equivalent")</f>
        <v>Total agent headcount (end of period) in FA or equivalent</v>
      </c>
      <c r="C6369" s="4" t="str">
        <f>CHOOSE(2, "5461730030", "Jun 26")</f>
        <v>Jun 26</v>
      </c>
      <c r="D6369" s="14">
        <v>5200</v>
      </c>
    </row>
    <row r="6370" spans="1:4" x14ac:dyDescent="0.35">
      <c r="A6370" s="8" t="str">
        <f t="shared" si="3273"/>
        <v>Philippines</v>
      </c>
      <c r="B6370" s="6" t="str">
        <f t="shared" si="3288"/>
        <v>Total agent headcount (end of period) in FA or equivalent</v>
      </c>
      <c r="C6370" s="4" t="str">
        <f>CHOOSE(2, "5462030031", "Jul 26")</f>
        <v>Jul 26</v>
      </c>
      <c r="D6370" s="14">
        <v>5343</v>
      </c>
    </row>
    <row r="6371" spans="1:4" x14ac:dyDescent="0.35">
      <c r="A6371" s="8" t="str">
        <f t="shared" si="3273"/>
        <v>Philippines</v>
      </c>
      <c r="B6371" s="3" t="str">
        <f t="shared" ref="B6371:B6372" si="3289">CHOOSE(2, "1395000000694", "Total agent headcount (end of period) in UM")</f>
        <v>Total agent headcount (end of period) in UM</v>
      </c>
      <c r="C6371" s="4" t="str">
        <f>CHOOSE(2, "5461730030", "Jun 26")</f>
        <v>Jun 26</v>
      </c>
      <c r="D6371" s="14">
        <v>853</v>
      </c>
    </row>
    <row r="6372" spans="1:4" x14ac:dyDescent="0.35">
      <c r="A6372" s="8" t="str">
        <f t="shared" si="3273"/>
        <v>Philippines</v>
      </c>
      <c r="B6372" s="6" t="str">
        <f t="shared" si="3289"/>
        <v>Total agent headcount (end of period) in UM</v>
      </c>
      <c r="C6372" s="4" t="str">
        <f>CHOOSE(2, "5462030031", "Jul 26")</f>
        <v>Jul 26</v>
      </c>
      <c r="D6372" s="14">
        <v>853</v>
      </c>
    </row>
    <row r="6373" spans="1:4" x14ac:dyDescent="0.35">
      <c r="A6373" s="8" t="str">
        <f t="shared" si="3273"/>
        <v>Philippines</v>
      </c>
      <c r="B6373" s="3" t="str">
        <f t="shared" ref="B6373:B6374" si="3290">CHOOSE(2, "1395000000693", "Total agent headcount (end of period) in Leaders above UM")</f>
        <v>Total agent headcount (end of period) in Leaders above UM</v>
      </c>
      <c r="C6373" s="4" t="str">
        <f>CHOOSE(2, "5461730030", "Jun 26")</f>
        <v>Jun 26</v>
      </c>
      <c r="D6373" s="14">
        <v>184</v>
      </c>
    </row>
    <row r="6374" spans="1:4" x14ac:dyDescent="0.35">
      <c r="A6374" s="8" t="str">
        <f t="shared" si="3273"/>
        <v>Philippines</v>
      </c>
      <c r="B6374" s="6" t="str">
        <f t="shared" si="3290"/>
        <v>Total agent headcount (end of period) in Leaders above UM</v>
      </c>
      <c r="C6374" s="4" t="str">
        <f>CHOOSE(2, "5462030031", "Jul 26")</f>
        <v>Jul 26</v>
      </c>
      <c r="D6374" s="14">
        <v>189</v>
      </c>
    </row>
    <row r="6375" spans="1:4" x14ac:dyDescent="0.35">
      <c r="A6375" s="8" t="str">
        <f t="shared" si="3273"/>
        <v>Philippines</v>
      </c>
      <c r="B6375" s="3" t="str">
        <f t="shared" ref="B6375:B6376" si="3291">CHOOSE(2, "1395000000692", "Total agent headcount (end of period) in Top-tier agents")</f>
        <v>Total agent headcount (end of period) in Top-tier agents</v>
      </c>
      <c r="C6375" s="4" t="str">
        <f>CHOOSE(2, "5461730030", "Jun 26")</f>
        <v>Jun 26</v>
      </c>
      <c r="D6375" s="2" t="s">
        <v>5</v>
      </c>
    </row>
    <row r="6376" spans="1:4" x14ac:dyDescent="0.35">
      <c r="A6376" s="8" t="str">
        <f t="shared" si="3273"/>
        <v>Philippines</v>
      </c>
      <c r="B6376" s="6" t="str">
        <f t="shared" si="3291"/>
        <v>Total agent headcount (end of period) in Top-tier agents</v>
      </c>
      <c r="C6376" s="4" t="str">
        <f>CHOOSE(2, "5462030031", "Jul 26")</f>
        <v>Jul 26</v>
      </c>
      <c r="D6376" s="2" t="s">
        <v>5</v>
      </c>
    </row>
    <row r="6377" spans="1:4" x14ac:dyDescent="0.35">
      <c r="A6377" s="8" t="str">
        <f t="shared" si="3273"/>
        <v>Philippines</v>
      </c>
      <c r="B6377" s="3" t="str">
        <f t="shared" ref="B6377:B6378" si="3292">CHOOSE(2, "1395000000691", "Total agent headcount  in pro-rated MDRT agents (&gt;100%)")</f>
        <v>Total agent headcount  in pro-rated MDRT agents (&gt;100%)</v>
      </c>
      <c r="C6377" s="4" t="str">
        <f>CHOOSE(2, "5461730030", "Jun 26")</f>
        <v>Jun 26</v>
      </c>
      <c r="D6377" s="2" t="s">
        <v>5</v>
      </c>
    </row>
    <row r="6378" spans="1:4" x14ac:dyDescent="0.35">
      <c r="A6378" s="8" t="str">
        <f t="shared" si="3273"/>
        <v>Philippines</v>
      </c>
      <c r="B6378" s="6" t="str">
        <f t="shared" si="3292"/>
        <v>Total agent headcount  in pro-rated MDRT agents (&gt;100%)</v>
      </c>
      <c r="C6378" s="4" t="str">
        <f>CHOOSE(2, "5462030031", "Jul 26")</f>
        <v>Jul 26</v>
      </c>
      <c r="D6378" s="2" t="s">
        <v>5</v>
      </c>
    </row>
    <row r="6379" spans="1:4" x14ac:dyDescent="0.35">
      <c r="A6379" s="8" t="str">
        <f t="shared" si="3273"/>
        <v>Philippines</v>
      </c>
      <c r="B6379" s="3" t="str">
        <f t="shared" ref="B6379:B6380" si="3293">CHOOSE(2, "1395000000690", "Total agent headcount  in pro-rated MDRT agents (70-99%)")</f>
        <v>Total agent headcount  in pro-rated MDRT agents (70-99%)</v>
      </c>
      <c r="C6379" s="4" t="str">
        <f>CHOOSE(2, "5461730030", "Jun 26")</f>
        <v>Jun 26</v>
      </c>
      <c r="D6379" s="2" t="s">
        <v>5</v>
      </c>
    </row>
    <row r="6380" spans="1:4" x14ac:dyDescent="0.35">
      <c r="A6380" s="8" t="str">
        <f t="shared" si="3273"/>
        <v>Philippines</v>
      </c>
      <c r="B6380" s="6" t="str">
        <f t="shared" si="3293"/>
        <v>Total agent headcount  in pro-rated MDRT agents (70-99%)</v>
      </c>
      <c r="C6380" s="4" t="str">
        <f>CHOOSE(2, "5462030031", "Jul 26")</f>
        <v>Jul 26</v>
      </c>
      <c r="D6380" s="2" t="s">
        <v>5</v>
      </c>
    </row>
    <row r="6381" spans="1:4" x14ac:dyDescent="0.35">
      <c r="A6381" s="8" t="str">
        <f t="shared" si="3273"/>
        <v>Philippines</v>
      </c>
      <c r="B6381" s="3" t="str">
        <f t="shared" ref="B6381:B6382" si="3294">CHOOSE(2, "1395000000689", "Total agent headcount  in pro-rated MDRT agents (50-69%)")</f>
        <v>Total agent headcount  in pro-rated MDRT agents (50-69%)</v>
      </c>
      <c r="C6381" s="4" t="str">
        <f>CHOOSE(2, "5461730030", "Jun 26")</f>
        <v>Jun 26</v>
      </c>
      <c r="D6381" s="2" t="s">
        <v>5</v>
      </c>
    </row>
    <row r="6382" spans="1:4" x14ac:dyDescent="0.35">
      <c r="A6382" s="8" t="str">
        <f t="shared" si="3273"/>
        <v>Philippines</v>
      </c>
      <c r="B6382" s="6" t="str">
        <f t="shared" si="3294"/>
        <v>Total agent headcount  in pro-rated MDRT agents (50-69%)</v>
      </c>
      <c r="C6382" s="4" t="str">
        <f>CHOOSE(2, "5462030031", "Jul 26")</f>
        <v>Jul 26</v>
      </c>
      <c r="D6382" s="2" t="s">
        <v>5</v>
      </c>
    </row>
    <row r="6383" spans="1:4" x14ac:dyDescent="0.35">
      <c r="A6383" s="8" t="str">
        <f t="shared" si="3273"/>
        <v>Philippines</v>
      </c>
      <c r="B6383" s="3" t="str">
        <f t="shared" ref="B6383:B6384" si="3295">CHOOSE(2, "1395000000688", "Total agent headcount  in Manulife Pro Qualifiers - Total")</f>
        <v>Total agent headcount  in Manulife Pro Qualifiers - Total</v>
      </c>
      <c r="C6383" s="4" t="str">
        <f>CHOOSE(2, "5461730030", "Jun 26")</f>
        <v>Jun 26</v>
      </c>
      <c r="D6383" s="2" t="s">
        <v>5</v>
      </c>
    </row>
    <row r="6384" spans="1:4" x14ac:dyDescent="0.35">
      <c r="A6384" s="8" t="str">
        <f t="shared" si="3273"/>
        <v>Philippines</v>
      </c>
      <c r="B6384" s="6" t="str">
        <f t="shared" si="3295"/>
        <v>Total agent headcount  in Manulife Pro Qualifiers - Total</v>
      </c>
      <c r="C6384" s="4" t="str">
        <f>CHOOSE(2, "5462030031", "Jul 26")</f>
        <v>Jul 26</v>
      </c>
      <c r="D6384" s="2" t="s">
        <v>5</v>
      </c>
    </row>
    <row r="6385" spans="1:4" x14ac:dyDescent="0.35">
      <c r="A6385" s="8" t="str">
        <f t="shared" si="3273"/>
        <v>Philippines</v>
      </c>
      <c r="B6385" s="3" t="str">
        <f t="shared" ref="B6385:B6386" si="3296">CHOOSE(2, "1395000000687", "New recruits")</f>
        <v>New recruits</v>
      </c>
      <c r="C6385" s="4" t="str">
        <f>CHOOSE(2, "5461730030", "Jun 26")</f>
        <v>Jun 26</v>
      </c>
      <c r="D6385" s="14">
        <v>271</v>
      </c>
    </row>
    <row r="6386" spans="1:4" x14ac:dyDescent="0.35">
      <c r="A6386" s="8" t="str">
        <f t="shared" si="3273"/>
        <v>Philippines</v>
      </c>
      <c r="B6386" s="6" t="str">
        <f t="shared" si="3296"/>
        <v>New recruits</v>
      </c>
      <c r="C6386" s="4" t="str">
        <f>CHOOSE(2, "5462030031", "Jul 26")</f>
        <v>Jul 26</v>
      </c>
      <c r="D6386" s="14">
        <v>357</v>
      </c>
    </row>
    <row r="6387" spans="1:4" x14ac:dyDescent="0.35">
      <c r="A6387" s="8" t="str">
        <f t="shared" si="3273"/>
        <v>Philippines</v>
      </c>
      <c r="B6387" s="3" t="str">
        <f t="shared" ref="B6387:B6388" si="3297">CHOOSE(2, "1395000000686", "New recruits - Leader level")</f>
        <v>New recruits - Leader level</v>
      </c>
      <c r="C6387" s="4" t="str">
        <f>CHOOSE(2, "5461730030", "Jun 26")</f>
        <v>Jun 26</v>
      </c>
      <c r="D6387" s="2" t="s">
        <v>5</v>
      </c>
    </row>
    <row r="6388" spans="1:4" x14ac:dyDescent="0.35">
      <c r="A6388" s="8" t="str">
        <f t="shared" si="3273"/>
        <v>Philippines</v>
      </c>
      <c r="B6388" s="6" t="str">
        <f t="shared" si="3297"/>
        <v>New recruits - Leader level</v>
      </c>
      <c r="C6388" s="4" t="str">
        <f>CHOOSE(2, "5462030031", "Jul 26")</f>
        <v>Jul 26</v>
      </c>
      <c r="D6388" s="2" t="s">
        <v>5</v>
      </c>
    </row>
    <row r="6389" spans="1:4" x14ac:dyDescent="0.35">
      <c r="A6389" s="8" t="str">
        <f t="shared" si="3273"/>
        <v>Philippines</v>
      </c>
      <c r="B6389" s="3" t="str">
        <f t="shared" ref="B6389:B6390" si="3298">CHOOSE(2, "1395000000685", "New recruits - FA or equivalent")</f>
        <v>New recruits - FA or equivalent</v>
      </c>
      <c r="C6389" s="4" t="str">
        <f>CHOOSE(2, "5461730030", "Jun 26")</f>
        <v>Jun 26</v>
      </c>
      <c r="D6389" s="14">
        <v>251</v>
      </c>
    </row>
    <row r="6390" spans="1:4" x14ac:dyDescent="0.35">
      <c r="A6390" s="8" t="str">
        <f t="shared" si="3273"/>
        <v>Philippines</v>
      </c>
      <c r="B6390" s="6" t="str">
        <f t="shared" si="3298"/>
        <v>New recruits - FA or equivalent</v>
      </c>
      <c r="C6390" s="4" t="str">
        <f>CHOOSE(2, "5462030031", "Jul 26")</f>
        <v>Jul 26</v>
      </c>
      <c r="D6390" s="14">
        <v>330</v>
      </c>
    </row>
    <row r="6391" spans="1:4" x14ac:dyDescent="0.35">
      <c r="A6391" s="8" t="str">
        <f t="shared" si="3273"/>
        <v>Philippines</v>
      </c>
      <c r="B6391" s="3" t="str">
        <f t="shared" ref="B6391:B6392" si="3299">CHOOSE(2, "1395000000684", "New recruits in UM")</f>
        <v>New recruits in UM</v>
      </c>
      <c r="C6391" s="4" t="str">
        <f>CHOOSE(2, "5461730030", "Jun 26")</f>
        <v>Jun 26</v>
      </c>
      <c r="D6391" s="14">
        <v>18</v>
      </c>
    </row>
    <row r="6392" spans="1:4" x14ac:dyDescent="0.35">
      <c r="A6392" s="8" t="str">
        <f t="shared" si="3273"/>
        <v>Philippines</v>
      </c>
      <c r="B6392" s="6" t="str">
        <f t="shared" si="3299"/>
        <v>New recruits in UM</v>
      </c>
      <c r="C6392" s="4" t="str">
        <f>CHOOSE(2, "5462030031", "Jul 26")</f>
        <v>Jul 26</v>
      </c>
      <c r="D6392" s="14">
        <v>21</v>
      </c>
    </row>
    <row r="6393" spans="1:4" x14ac:dyDescent="0.35">
      <c r="A6393" s="8" t="str">
        <f t="shared" si="3273"/>
        <v>Philippines</v>
      </c>
      <c r="B6393" s="3" t="str">
        <f t="shared" ref="B6393:B6394" si="3300">CHOOSE(2, "1395000000683", "New recruits in Leaders above UM")</f>
        <v>New recruits in Leaders above UM</v>
      </c>
      <c r="C6393" s="4" t="str">
        <f>CHOOSE(2, "5461730030", "Jun 26")</f>
        <v>Jun 26</v>
      </c>
      <c r="D6393" s="14">
        <v>2</v>
      </c>
    </row>
    <row r="6394" spans="1:4" x14ac:dyDescent="0.35">
      <c r="A6394" s="8" t="str">
        <f t="shared" si="3273"/>
        <v>Philippines</v>
      </c>
      <c r="B6394" s="6" t="str">
        <f t="shared" si="3300"/>
        <v>New recruits in Leaders above UM</v>
      </c>
      <c r="C6394" s="4" t="str">
        <f>CHOOSE(2, "5462030031", "Jul 26")</f>
        <v>Jul 26</v>
      </c>
      <c r="D6394" s="14">
        <v>6</v>
      </c>
    </row>
    <row r="6395" spans="1:4" x14ac:dyDescent="0.35">
      <c r="A6395" s="8" t="str">
        <f t="shared" si="3273"/>
        <v>Philippines</v>
      </c>
      <c r="B6395" s="3" t="str">
        <f t="shared" ref="B6395:B6396" si="3301">CHOOSE(2, "1395000000682", "# of 6-90 agents")</f>
        <v># of 6-90 agents</v>
      </c>
      <c r="C6395" s="4" t="str">
        <f>CHOOSE(2, "5461730030", "Jun 26")</f>
        <v>Jun 26</v>
      </c>
      <c r="D6395" s="14">
        <v>38</v>
      </c>
    </row>
    <row r="6396" spans="1:4" x14ac:dyDescent="0.35">
      <c r="A6396" s="8" t="str">
        <f t="shared" si="3273"/>
        <v>Philippines</v>
      </c>
      <c r="B6396" s="6" t="str">
        <f t="shared" si="3301"/>
        <v># of 6-90 agents</v>
      </c>
      <c r="C6396" s="4" t="str">
        <f>CHOOSE(2, "5462030031", "Jul 26")</f>
        <v>Jul 26</v>
      </c>
      <c r="D6396" s="14">
        <v>27</v>
      </c>
    </row>
    <row r="6397" spans="1:4" x14ac:dyDescent="0.35">
      <c r="A6397" s="8" t="str">
        <f t="shared" si="3273"/>
        <v>Philippines</v>
      </c>
      <c r="B6397" s="3" t="str">
        <f t="shared" ref="B6397:B6398" si="3302">CHOOSE(2, "1395000000681", "New Recruits 3M Activation #")</f>
        <v>New Recruits 3M Activation #</v>
      </c>
      <c r="C6397" s="4" t="str">
        <f>CHOOSE(2, "5461730030", "Jun 26")</f>
        <v>Jun 26</v>
      </c>
      <c r="D6397" s="14">
        <v>174</v>
      </c>
    </row>
    <row r="6398" spans="1:4" x14ac:dyDescent="0.35">
      <c r="A6398" s="8" t="str">
        <f t="shared" si="3273"/>
        <v>Philippines</v>
      </c>
      <c r="B6398" s="6" t="str">
        <f t="shared" si="3302"/>
        <v>New Recruits 3M Activation #</v>
      </c>
      <c r="C6398" s="4" t="str">
        <f>CHOOSE(2, "5462030031", "Jul 26")</f>
        <v>Jul 26</v>
      </c>
      <c r="D6398" s="14">
        <v>126</v>
      </c>
    </row>
    <row r="6399" spans="1:4" x14ac:dyDescent="0.35">
      <c r="A6399" s="8" t="str">
        <f t="shared" si="3273"/>
        <v>Philippines</v>
      </c>
      <c r="B6399" s="3" t="str">
        <f t="shared" ref="B6399:B6400" si="3303">CHOOSE(2, "1395000000680", "No of Terminations")</f>
        <v>No of Terminations</v>
      </c>
      <c r="C6399" s="4" t="str">
        <f>CHOOSE(2, "5461730030", "Jun 26")</f>
        <v>Jun 26</v>
      </c>
      <c r="D6399" s="14">
        <v>1461</v>
      </c>
    </row>
    <row r="6400" spans="1:4" x14ac:dyDescent="0.35">
      <c r="A6400" s="8" t="str">
        <f t="shared" si="3273"/>
        <v>Philippines</v>
      </c>
      <c r="B6400" s="6" t="str">
        <f t="shared" si="3303"/>
        <v>No of Terminations</v>
      </c>
      <c r="C6400" s="4" t="str">
        <f>CHOOSE(2, "5462030031", "Jul 26")</f>
        <v>Jul 26</v>
      </c>
      <c r="D6400" s="14">
        <v>265</v>
      </c>
    </row>
    <row r="6401" spans="1:4" x14ac:dyDescent="0.35">
      <c r="A6401" s="8" t="str">
        <f t="shared" si="3273"/>
        <v>Philippines</v>
      </c>
      <c r="B6401" s="3" t="str">
        <f t="shared" ref="B6401:B6402" si="3304">CHOOSE(2, "1395000000679", "No of Terminations in FA or equivalent")</f>
        <v>No of Terminations in FA or equivalent</v>
      </c>
      <c r="C6401" s="4" t="str">
        <f>CHOOSE(2, "5461730030", "Jun 26")</f>
        <v>Jun 26</v>
      </c>
      <c r="D6401" s="14">
        <v>1437</v>
      </c>
    </row>
    <row r="6402" spans="1:4" x14ac:dyDescent="0.35">
      <c r="A6402" s="8" t="str">
        <f t="shared" si="3273"/>
        <v>Philippines</v>
      </c>
      <c r="B6402" s="6" t="str">
        <f t="shared" si="3304"/>
        <v>No of Terminations in FA or equivalent</v>
      </c>
      <c r="C6402" s="4" t="str">
        <f>CHOOSE(2, "5462030031", "Jul 26")</f>
        <v>Jul 26</v>
      </c>
      <c r="D6402" s="14">
        <v>256</v>
      </c>
    </row>
    <row r="6403" spans="1:4" x14ac:dyDescent="0.35">
      <c r="A6403" s="8" t="str">
        <f t="shared" si="3273"/>
        <v>Philippines</v>
      </c>
      <c r="B6403" s="3" t="str">
        <f t="shared" ref="B6403:B6404" si="3305">CHOOSE(2, "1395000000678", "No of Terminations in UM")</f>
        <v>No of Terminations in UM</v>
      </c>
      <c r="C6403" s="4" t="str">
        <f>CHOOSE(2, "5461730030", "Jun 26")</f>
        <v>Jun 26</v>
      </c>
      <c r="D6403" s="14">
        <v>15</v>
      </c>
    </row>
    <row r="6404" spans="1:4" x14ac:dyDescent="0.35">
      <c r="A6404" s="8" t="str">
        <f t="shared" si="3273"/>
        <v>Philippines</v>
      </c>
      <c r="B6404" s="6" t="str">
        <f t="shared" si="3305"/>
        <v>No of Terminations in UM</v>
      </c>
      <c r="C6404" s="4" t="str">
        <f>CHOOSE(2, "5462030031", "Jul 26")</f>
        <v>Jul 26</v>
      </c>
      <c r="D6404" s="14">
        <v>8</v>
      </c>
    </row>
    <row r="6405" spans="1:4" x14ac:dyDescent="0.35">
      <c r="A6405" s="8" t="str">
        <f t="shared" ref="A6405:A6468" si="3306">CHOOSE(2, "204000000007", "Philippines")</f>
        <v>Philippines</v>
      </c>
      <c r="B6405" s="3" t="str">
        <f t="shared" ref="B6405:B6406" si="3307">CHOOSE(2, "1395000000677", "No of Terminations in Leaders above UM")</f>
        <v>No of Terminations in Leaders above UM</v>
      </c>
      <c r="C6405" s="4" t="str">
        <f>CHOOSE(2, "5461730030", "Jun 26")</f>
        <v>Jun 26</v>
      </c>
      <c r="D6405" s="14">
        <v>9</v>
      </c>
    </row>
    <row r="6406" spans="1:4" x14ac:dyDescent="0.35">
      <c r="A6406" s="8" t="str">
        <f t="shared" si="3306"/>
        <v>Philippines</v>
      </c>
      <c r="B6406" s="6" t="str">
        <f t="shared" si="3307"/>
        <v>No of Terminations in Leaders above UM</v>
      </c>
      <c r="C6406" s="4" t="str">
        <f>CHOOSE(2, "5462030031", "Jul 26")</f>
        <v>Jul 26</v>
      </c>
      <c r="D6406" s="14">
        <v>1</v>
      </c>
    </row>
    <row r="6407" spans="1:4" x14ac:dyDescent="0.35">
      <c r="A6407" s="8" t="str">
        <f t="shared" si="3306"/>
        <v>Philippines</v>
      </c>
      <c r="B6407" s="3" t="str">
        <f t="shared" ref="B6407:B6408" si="3308">CHOOSE(2, "1395000000676", "No of Terminations in Top-tier Agents")</f>
        <v>No of Terminations in Top-tier Agents</v>
      </c>
      <c r="C6407" s="4" t="str">
        <f>CHOOSE(2, "5461730030", "Jun 26")</f>
        <v>Jun 26</v>
      </c>
      <c r="D6407" s="2" t="s">
        <v>5</v>
      </c>
    </row>
    <row r="6408" spans="1:4" x14ac:dyDescent="0.35">
      <c r="A6408" s="8" t="str">
        <f t="shared" si="3306"/>
        <v>Philippines</v>
      </c>
      <c r="B6408" s="6" t="str">
        <f t="shared" si="3308"/>
        <v>No of Terminations in Top-tier Agents</v>
      </c>
      <c r="C6408" s="4" t="str">
        <f>CHOOSE(2, "5462030031", "Jul 26")</f>
        <v>Jul 26</v>
      </c>
      <c r="D6408" s="2" t="s">
        <v>5</v>
      </c>
    </row>
    <row r="6409" spans="1:4" x14ac:dyDescent="0.35">
      <c r="A6409" s="8" t="str">
        <f t="shared" si="3306"/>
        <v>Philippines</v>
      </c>
      <c r="B6409" s="3" t="str">
        <f t="shared" ref="B6409:B6410" si="3309">CHOOSE(2, "1395000000675", "No of Terminations in pro-rated MDRT agents (&gt;100%)")</f>
        <v>No of Terminations in pro-rated MDRT agents (&gt;100%)</v>
      </c>
      <c r="C6409" s="4" t="str">
        <f>CHOOSE(2, "5461730030", "Jun 26")</f>
        <v>Jun 26</v>
      </c>
      <c r="D6409" s="2" t="s">
        <v>5</v>
      </c>
    </row>
    <row r="6410" spans="1:4" x14ac:dyDescent="0.35">
      <c r="A6410" s="8" t="str">
        <f t="shared" si="3306"/>
        <v>Philippines</v>
      </c>
      <c r="B6410" s="6" t="str">
        <f t="shared" si="3309"/>
        <v>No of Terminations in pro-rated MDRT agents (&gt;100%)</v>
      </c>
      <c r="C6410" s="4" t="str">
        <f>CHOOSE(2, "5462030031", "Jul 26")</f>
        <v>Jul 26</v>
      </c>
      <c r="D6410" s="2" t="s">
        <v>5</v>
      </c>
    </row>
    <row r="6411" spans="1:4" x14ac:dyDescent="0.35">
      <c r="A6411" s="8" t="str">
        <f t="shared" si="3306"/>
        <v>Philippines</v>
      </c>
      <c r="B6411" s="3" t="str">
        <f t="shared" ref="B6411:B6412" si="3310">CHOOSE(2, "1395000000674", "No of Terminations in pro-rated MDRT agents (70-99%)")</f>
        <v>No of Terminations in pro-rated MDRT agents (70-99%)</v>
      </c>
      <c r="C6411" s="4" t="str">
        <f>CHOOSE(2, "5461730030", "Jun 26")</f>
        <v>Jun 26</v>
      </c>
      <c r="D6411" s="2" t="s">
        <v>5</v>
      </c>
    </row>
    <row r="6412" spans="1:4" x14ac:dyDescent="0.35">
      <c r="A6412" s="8" t="str">
        <f t="shared" si="3306"/>
        <v>Philippines</v>
      </c>
      <c r="B6412" s="6" t="str">
        <f t="shared" si="3310"/>
        <v>No of Terminations in pro-rated MDRT agents (70-99%)</v>
      </c>
      <c r="C6412" s="4" t="str">
        <f>CHOOSE(2, "5462030031", "Jul 26")</f>
        <v>Jul 26</v>
      </c>
      <c r="D6412" s="2" t="s">
        <v>5</v>
      </c>
    </row>
    <row r="6413" spans="1:4" x14ac:dyDescent="0.35">
      <c r="A6413" s="8" t="str">
        <f t="shared" si="3306"/>
        <v>Philippines</v>
      </c>
      <c r="B6413" s="3" t="str">
        <f t="shared" ref="B6413:B6414" si="3311">CHOOSE(2, "1395000000673", "No of Terminations in pro-rated MDRT agents (50-69%)")</f>
        <v>No of Terminations in pro-rated MDRT agents (50-69%)</v>
      </c>
      <c r="C6413" s="4" t="str">
        <f>CHOOSE(2, "5461730030", "Jun 26")</f>
        <v>Jun 26</v>
      </c>
      <c r="D6413" s="2" t="s">
        <v>5</v>
      </c>
    </row>
    <row r="6414" spans="1:4" x14ac:dyDescent="0.35">
      <c r="A6414" s="8" t="str">
        <f t="shared" si="3306"/>
        <v>Philippines</v>
      </c>
      <c r="B6414" s="6" t="str">
        <f t="shared" si="3311"/>
        <v>No of Terminations in pro-rated MDRT agents (50-69%)</v>
      </c>
      <c r="C6414" s="4" t="str">
        <f>CHOOSE(2, "5462030031", "Jul 26")</f>
        <v>Jul 26</v>
      </c>
      <c r="D6414" s="2" t="s">
        <v>5</v>
      </c>
    </row>
    <row r="6415" spans="1:4" x14ac:dyDescent="0.35">
      <c r="A6415" s="8" t="str">
        <f t="shared" si="3306"/>
        <v>Philippines</v>
      </c>
      <c r="B6415" s="3" t="str">
        <f t="shared" ref="B6415:B6416" si="3312">CHOOSE(2, "1395000000672", "No of Terminations in Manulife Pro Qualifiers - Total")</f>
        <v>No of Terminations in Manulife Pro Qualifiers - Total</v>
      </c>
      <c r="C6415" s="4" t="str">
        <f>CHOOSE(2, "5461730030", "Jun 26")</f>
        <v>Jun 26</v>
      </c>
      <c r="D6415" s="2" t="s">
        <v>5</v>
      </c>
    </row>
    <row r="6416" spans="1:4" x14ac:dyDescent="0.35">
      <c r="A6416" s="8" t="str">
        <f t="shared" si="3306"/>
        <v>Philippines</v>
      </c>
      <c r="B6416" s="6" t="str">
        <f t="shared" si="3312"/>
        <v>No of Terminations in Manulife Pro Qualifiers - Total</v>
      </c>
      <c r="C6416" s="4" t="str">
        <f>CHOOSE(2, "5462030031", "Jul 26")</f>
        <v>Jul 26</v>
      </c>
      <c r="D6416" s="2" t="s">
        <v>5</v>
      </c>
    </row>
    <row r="6417" spans="1:4" x14ac:dyDescent="0.35">
      <c r="A6417" s="8" t="str">
        <f t="shared" si="3306"/>
        <v>Philippines</v>
      </c>
      <c r="B6417" s="3" t="str">
        <f t="shared" ref="B6417:B6418" si="3313">CHOOSE(2, "1395000000671", "First Year Agents Terminated without Sales")</f>
        <v>First Year Agents Terminated without Sales</v>
      </c>
      <c r="C6417" s="4" t="str">
        <f>CHOOSE(2, "5461730030", "Jun 26")</f>
        <v>Jun 26</v>
      </c>
      <c r="D6417" s="14">
        <v>476</v>
      </c>
    </row>
    <row r="6418" spans="1:4" x14ac:dyDescent="0.35">
      <c r="A6418" s="8" t="str">
        <f t="shared" si="3306"/>
        <v>Philippines</v>
      </c>
      <c r="B6418" s="6" t="str">
        <f t="shared" si="3313"/>
        <v>First Year Agents Terminated without Sales</v>
      </c>
      <c r="C6418" s="4" t="str">
        <f>CHOOSE(2, "5462030031", "Jul 26")</f>
        <v>Jul 26</v>
      </c>
      <c r="D6418" s="14">
        <v>43</v>
      </c>
    </row>
    <row r="6419" spans="1:4" x14ac:dyDescent="0.35">
      <c r="A6419" s="8" t="str">
        <f t="shared" si="3306"/>
        <v>Philippines</v>
      </c>
      <c r="B6419" s="3" t="str">
        <f t="shared" ref="B6419:B6420" si="3314">CHOOSE(2, "1395000000670", "6mth Agency Retention Ratio")</f>
        <v>6mth Agency Retention Ratio</v>
      </c>
      <c r="C6419" s="4" t="str">
        <f>CHOOSE(2, "5461730030", "Jun 26")</f>
        <v>Jun 26</v>
      </c>
      <c r="D6419" s="14">
        <v>0.900034</v>
      </c>
    </row>
    <row r="6420" spans="1:4" x14ac:dyDescent="0.35">
      <c r="A6420" s="8" t="str">
        <f t="shared" si="3306"/>
        <v>Philippines</v>
      </c>
      <c r="B6420" s="6" t="str">
        <f t="shared" si="3314"/>
        <v>6mth Agency Retention Ratio</v>
      </c>
      <c r="C6420" s="4" t="str">
        <f>CHOOSE(2, "5462030031", "Jul 26")</f>
        <v>Jul 26</v>
      </c>
      <c r="D6420" s="14">
        <v>0.89251400000000003</v>
      </c>
    </row>
    <row r="6421" spans="1:4" x14ac:dyDescent="0.35">
      <c r="A6421" s="8" t="str">
        <f t="shared" si="3306"/>
        <v>Philippines</v>
      </c>
      <c r="B6421" s="3" t="str">
        <f t="shared" ref="B6421:B6422" si="3315">CHOOSE(2, "1395000000669", "12mth Agency Retention Ratio")</f>
        <v>12mth Agency Retention Ratio</v>
      </c>
      <c r="C6421" s="4" t="str">
        <f>CHOOSE(2, "5461730030", "Jun 26")</f>
        <v>Jun 26</v>
      </c>
      <c r="D6421" s="14">
        <v>0.614591</v>
      </c>
    </row>
    <row r="6422" spans="1:4" x14ac:dyDescent="0.35">
      <c r="A6422" s="8" t="str">
        <f t="shared" si="3306"/>
        <v>Philippines</v>
      </c>
      <c r="B6422" s="6" t="str">
        <f t="shared" si="3315"/>
        <v>12mth Agency Retention Ratio</v>
      </c>
      <c r="C6422" s="4" t="str">
        <f>CHOOSE(2, "5462030031", "Jul 26")</f>
        <v>Jul 26</v>
      </c>
      <c r="D6422" s="14">
        <v>0.59648900000000005</v>
      </c>
    </row>
    <row r="6423" spans="1:4" x14ac:dyDescent="0.35">
      <c r="A6423" s="8" t="str">
        <f t="shared" si="3306"/>
        <v>Philippines</v>
      </c>
      <c r="B6423" s="3" t="str">
        <f t="shared" ref="B6423:B6424" si="3316">CHOOSE(2, "1395000000668", "24mth Agency Retention Ratio")</f>
        <v>24mth Agency Retention Ratio</v>
      </c>
      <c r="C6423" s="4" t="str">
        <f>CHOOSE(2, "5461730030", "Jun 26")</f>
        <v>Jun 26</v>
      </c>
      <c r="D6423" s="14">
        <v>0.20318600000000001</v>
      </c>
    </row>
    <row r="6424" spans="1:4" x14ac:dyDescent="0.35">
      <c r="A6424" s="8" t="str">
        <f t="shared" si="3306"/>
        <v>Philippines</v>
      </c>
      <c r="B6424" s="6" t="str">
        <f t="shared" si="3316"/>
        <v>24mth Agency Retention Ratio</v>
      </c>
      <c r="C6424" s="4" t="str">
        <f>CHOOSE(2, "5462030031", "Jul 26")</f>
        <v>Jul 26</v>
      </c>
      <c r="D6424" s="14">
        <v>0.19195100000000001</v>
      </c>
    </row>
    <row r="6425" spans="1:4" x14ac:dyDescent="0.35">
      <c r="A6425" s="8" t="str">
        <f t="shared" si="3306"/>
        <v>Philippines</v>
      </c>
      <c r="B6425" s="3" t="str">
        <f t="shared" ref="B6425:B6426" si="3317">CHOOSE(2, "1395000000667", "Total # of Leaders (end of period)")</f>
        <v>Total # of Leaders (end of period)</v>
      </c>
      <c r="C6425" s="4" t="str">
        <f>CHOOSE(2, "5461730030", "Jun 26")</f>
        <v>Jun 26</v>
      </c>
      <c r="D6425" s="14">
        <v>1037</v>
      </c>
    </row>
    <row r="6426" spans="1:4" x14ac:dyDescent="0.35">
      <c r="A6426" s="8" t="str">
        <f t="shared" si="3306"/>
        <v>Philippines</v>
      </c>
      <c r="B6426" s="6" t="str">
        <f t="shared" si="3317"/>
        <v>Total # of Leaders (end of period)</v>
      </c>
      <c r="C6426" s="4" t="str">
        <f>CHOOSE(2, "5462030031", "Jul 26")</f>
        <v>Jul 26</v>
      </c>
      <c r="D6426" s="14">
        <v>1042</v>
      </c>
    </row>
    <row r="6427" spans="1:4" x14ac:dyDescent="0.35">
      <c r="A6427" s="8" t="str">
        <f t="shared" si="3306"/>
        <v>Philippines</v>
      </c>
      <c r="B6427" s="3" t="str">
        <f t="shared" ref="B6427:B6428" si="3318">CHOOSE(2, "1395000000666", "Total # of Unit Managers")</f>
        <v>Total # of Unit Managers</v>
      </c>
      <c r="C6427" s="4" t="str">
        <f>CHOOSE(2, "5461730030", "Jun 26")</f>
        <v>Jun 26</v>
      </c>
      <c r="D6427" s="14">
        <v>853</v>
      </c>
    </row>
    <row r="6428" spans="1:4" x14ac:dyDescent="0.35">
      <c r="A6428" s="8" t="str">
        <f t="shared" si="3306"/>
        <v>Philippines</v>
      </c>
      <c r="B6428" s="6" t="str">
        <f t="shared" si="3318"/>
        <v>Total # of Unit Managers</v>
      </c>
      <c r="C6428" s="4" t="str">
        <f>CHOOSE(2, "5462030031", "Jul 26")</f>
        <v>Jul 26</v>
      </c>
      <c r="D6428" s="14">
        <v>853</v>
      </c>
    </row>
    <row r="6429" spans="1:4" x14ac:dyDescent="0.35">
      <c r="A6429" s="8" t="str">
        <f t="shared" si="3306"/>
        <v>Philippines</v>
      </c>
      <c r="B6429" s="3" t="str">
        <f t="shared" ref="B6429:B6430" si="3319">CHOOSE(2, "1395000000665", "Total # of Leaders above Unit Manager level")</f>
        <v>Total # of Leaders above Unit Manager level</v>
      </c>
      <c r="C6429" s="4" t="str">
        <f>CHOOSE(2, "5461730030", "Jun 26")</f>
        <v>Jun 26</v>
      </c>
      <c r="D6429" s="14">
        <v>184</v>
      </c>
    </row>
    <row r="6430" spans="1:4" x14ac:dyDescent="0.35">
      <c r="A6430" s="8" t="str">
        <f t="shared" si="3306"/>
        <v>Philippines</v>
      </c>
      <c r="B6430" s="6" t="str">
        <f t="shared" si="3319"/>
        <v>Total # of Leaders above Unit Manager level</v>
      </c>
      <c r="C6430" s="4" t="str">
        <f>CHOOSE(2, "5462030031", "Jul 26")</f>
        <v>Jul 26</v>
      </c>
      <c r="D6430" s="14">
        <v>189</v>
      </c>
    </row>
    <row r="6431" spans="1:4" x14ac:dyDescent="0.35">
      <c r="A6431" s="8" t="str">
        <f t="shared" si="3306"/>
        <v>Philippines</v>
      </c>
      <c r="B6431" s="3" t="str">
        <f t="shared" ref="B6431:B6432" si="3320">CHOOSE(2, "1395000000664", "Total # of Agents below Unit Manager level (end of period)")</f>
        <v>Total # of Agents below Unit Manager level (end of period)</v>
      </c>
      <c r="C6431" s="4" t="str">
        <f>CHOOSE(2, "5461730030", "Jun 26")</f>
        <v>Jun 26</v>
      </c>
      <c r="D6431" s="14">
        <v>5200</v>
      </c>
    </row>
    <row r="6432" spans="1:4" x14ac:dyDescent="0.35">
      <c r="A6432" s="8" t="str">
        <f t="shared" si="3306"/>
        <v>Philippines</v>
      </c>
      <c r="B6432" s="6" t="str">
        <f t="shared" si="3320"/>
        <v>Total # of Agents below Unit Manager level (end of period)</v>
      </c>
      <c r="C6432" s="4" t="str">
        <f>CHOOSE(2, "5462030031", "Jul 26")</f>
        <v>Jul 26</v>
      </c>
      <c r="D6432" s="14">
        <v>5343</v>
      </c>
    </row>
    <row r="6433" spans="1:4" x14ac:dyDescent="0.35">
      <c r="A6433" s="8" t="str">
        <f t="shared" si="3306"/>
        <v>Philippines</v>
      </c>
      <c r="B6433" s="3" t="str">
        <f t="shared" ref="B6433:B6434" si="3321">CHOOSE(2, "1395000000663", "# of Active Recruiting Leaders")</f>
        <v># of Active Recruiting Leaders</v>
      </c>
      <c r="C6433" s="4" t="str">
        <f>CHOOSE(2, "5461730030", "Jun 26")</f>
        <v>Jun 26</v>
      </c>
      <c r="D6433" s="14">
        <v>99</v>
      </c>
    </row>
    <row r="6434" spans="1:4" x14ac:dyDescent="0.35">
      <c r="A6434" s="8" t="str">
        <f t="shared" si="3306"/>
        <v>Philippines</v>
      </c>
      <c r="B6434" s="6" t="str">
        <f t="shared" si="3321"/>
        <v># of Active Recruiting Leaders</v>
      </c>
      <c r="C6434" s="4" t="str">
        <f>CHOOSE(2, "5462030031", "Jul 26")</f>
        <v>Jul 26</v>
      </c>
      <c r="D6434" s="14">
        <v>143</v>
      </c>
    </row>
    <row r="6435" spans="1:4" x14ac:dyDescent="0.35">
      <c r="A6435" s="8" t="str">
        <f t="shared" si="3306"/>
        <v>Philippines</v>
      </c>
      <c r="B6435" s="3" t="str">
        <f t="shared" ref="B6435:B6436" si="3322">CHOOSE(2, "1395000000662", "# of leaders with &gt;1 YTD recruit")</f>
        <v># of leaders with &gt;1 YTD recruit</v>
      </c>
      <c r="C6435" s="4" t="str">
        <f>CHOOSE(2, "5461730030", "Jun 26")</f>
        <v>Jun 26</v>
      </c>
      <c r="D6435" s="14">
        <v>396</v>
      </c>
    </row>
    <row r="6436" spans="1:4" x14ac:dyDescent="0.35">
      <c r="A6436" s="8" t="str">
        <f t="shared" si="3306"/>
        <v>Philippines</v>
      </c>
      <c r="B6436" s="6" t="str">
        <f t="shared" si="3322"/>
        <v># of leaders with &gt;1 YTD recruit</v>
      </c>
      <c r="C6436" s="4" t="str">
        <f>CHOOSE(2, "5462030031", "Jul 26")</f>
        <v>Jul 26</v>
      </c>
      <c r="D6436" s="14">
        <v>466</v>
      </c>
    </row>
    <row r="6437" spans="1:4" x14ac:dyDescent="0.35">
      <c r="A6437" s="8" t="str">
        <f t="shared" si="3306"/>
        <v>Philippines</v>
      </c>
      <c r="B6437" s="3" t="str">
        <f t="shared" ref="B6437:B6438" si="3323">CHOOSE(2, "1395000000661", "Income ratio from personal sales (UM)")</f>
        <v>Income ratio from personal sales (UM)</v>
      </c>
      <c r="C6437" s="4" t="str">
        <f>CHOOSE(2, "5461730030", "Jun 26")</f>
        <v>Jun 26</v>
      </c>
      <c r="D6437" s="14">
        <v>0</v>
      </c>
    </row>
    <row r="6438" spans="1:4" x14ac:dyDescent="0.35">
      <c r="A6438" s="8" t="str">
        <f t="shared" si="3306"/>
        <v>Philippines</v>
      </c>
      <c r="B6438" s="6" t="str">
        <f t="shared" si="3323"/>
        <v>Income ratio from personal sales (UM)</v>
      </c>
      <c r="C6438" s="4" t="str">
        <f>CHOOSE(2, "5462030031", "Jul 26")</f>
        <v>Jul 26</v>
      </c>
      <c r="D6438" s="14">
        <v>0</v>
      </c>
    </row>
    <row r="6439" spans="1:4" x14ac:dyDescent="0.35">
      <c r="A6439" s="8" t="str">
        <f t="shared" si="3306"/>
        <v>Philippines</v>
      </c>
      <c r="B6439" s="3" t="str">
        <f t="shared" ref="B6439:B6440" si="3324">CHOOSE(2, "1395000000660", "Income ratio from personal sales (UM) (numerator)")</f>
        <v>Income ratio from personal sales (UM) (numerator)</v>
      </c>
      <c r="C6439" s="4" t="str">
        <f>CHOOSE(2, "5461730030", "Jun 26")</f>
        <v>Jun 26</v>
      </c>
      <c r="D6439" s="14">
        <v>0</v>
      </c>
    </row>
    <row r="6440" spans="1:4" x14ac:dyDescent="0.35">
      <c r="A6440" s="8" t="str">
        <f t="shared" si="3306"/>
        <v>Philippines</v>
      </c>
      <c r="B6440" s="6" t="str">
        <f t="shared" si="3324"/>
        <v>Income ratio from personal sales (UM) (numerator)</v>
      </c>
      <c r="C6440" s="4" t="str">
        <f>CHOOSE(2, "5462030031", "Jul 26")</f>
        <v>Jul 26</v>
      </c>
      <c r="D6440" s="14">
        <v>0</v>
      </c>
    </row>
    <row r="6441" spans="1:4" x14ac:dyDescent="0.35">
      <c r="A6441" s="8" t="str">
        <f t="shared" si="3306"/>
        <v>Philippines</v>
      </c>
      <c r="B6441" s="3" t="str">
        <f t="shared" ref="B6441:B6442" si="3325">CHOOSE(2, "1395000000659", "Income ratio from personal sales (UM) (denominator)")</f>
        <v>Income ratio from personal sales (UM) (denominator)</v>
      </c>
      <c r="C6441" s="4" t="str">
        <f>CHOOSE(2, "5461730030", "Jun 26")</f>
        <v>Jun 26</v>
      </c>
      <c r="D6441" s="14">
        <v>0</v>
      </c>
    </row>
    <row r="6442" spans="1:4" x14ac:dyDescent="0.35">
      <c r="A6442" s="8" t="str">
        <f t="shared" si="3306"/>
        <v>Philippines</v>
      </c>
      <c r="B6442" s="6" t="str">
        <f t="shared" si="3325"/>
        <v>Income ratio from personal sales (UM) (denominator)</v>
      </c>
      <c r="C6442" s="4" t="str">
        <f>CHOOSE(2, "5462030031", "Jul 26")</f>
        <v>Jul 26</v>
      </c>
      <c r="D6442" s="14">
        <v>0</v>
      </c>
    </row>
    <row r="6443" spans="1:4" x14ac:dyDescent="0.35">
      <c r="A6443" s="8" t="str">
        <f t="shared" si="3306"/>
        <v>Philippines</v>
      </c>
      <c r="B6443" s="3" t="str">
        <f t="shared" ref="B6443:B6444" si="3326">CHOOSE(2, "1395000000658", "Income ratio from personal sales (Leader above UM)")</f>
        <v>Income ratio from personal sales (Leader above UM)</v>
      </c>
      <c r="C6443" s="4" t="str">
        <f>CHOOSE(2, "5461730030", "Jun 26")</f>
        <v>Jun 26</v>
      </c>
      <c r="D6443" s="14">
        <v>0</v>
      </c>
    </row>
    <row r="6444" spans="1:4" x14ac:dyDescent="0.35">
      <c r="A6444" s="8" t="str">
        <f t="shared" si="3306"/>
        <v>Philippines</v>
      </c>
      <c r="B6444" s="6" t="str">
        <f t="shared" si="3326"/>
        <v>Income ratio from personal sales (Leader above UM)</v>
      </c>
      <c r="C6444" s="4" t="str">
        <f>CHOOSE(2, "5462030031", "Jul 26")</f>
        <v>Jul 26</v>
      </c>
      <c r="D6444" s="14">
        <v>0</v>
      </c>
    </row>
    <row r="6445" spans="1:4" x14ac:dyDescent="0.35">
      <c r="A6445" s="8" t="str">
        <f t="shared" si="3306"/>
        <v>Philippines</v>
      </c>
      <c r="B6445" s="3" t="str">
        <f t="shared" ref="B6445:B6446" si="3327">CHOOSE(2, "1395000000657", "Income ratio from personal sales (Leader above UM) (num)")</f>
        <v>Income ratio from personal sales (Leader above UM) (num)</v>
      </c>
      <c r="C6445" s="4" t="str">
        <f>CHOOSE(2, "5461730030", "Jun 26")</f>
        <v>Jun 26</v>
      </c>
      <c r="D6445" s="14">
        <v>0</v>
      </c>
    </row>
    <row r="6446" spans="1:4" x14ac:dyDescent="0.35">
      <c r="A6446" s="8" t="str">
        <f t="shared" si="3306"/>
        <v>Philippines</v>
      </c>
      <c r="B6446" s="6" t="str">
        <f t="shared" si="3327"/>
        <v>Income ratio from personal sales (Leader above UM) (num)</v>
      </c>
      <c r="C6446" s="4" t="str">
        <f>CHOOSE(2, "5462030031", "Jul 26")</f>
        <v>Jul 26</v>
      </c>
      <c r="D6446" s="14">
        <v>0</v>
      </c>
    </row>
    <row r="6447" spans="1:4" x14ac:dyDescent="0.35">
      <c r="A6447" s="8" t="str">
        <f t="shared" si="3306"/>
        <v>Philippines</v>
      </c>
      <c r="B6447" s="3" t="str">
        <f t="shared" ref="B6447:B6448" si="3328">CHOOSE(2, "1395000000656", "Income ratio from personal sales (Leader above UM) (den)")</f>
        <v>Income ratio from personal sales (Leader above UM) (den)</v>
      </c>
      <c r="C6447" s="4" t="str">
        <f>CHOOSE(2, "5461730030", "Jun 26")</f>
        <v>Jun 26</v>
      </c>
      <c r="D6447" s="14">
        <v>0</v>
      </c>
    </row>
    <row r="6448" spans="1:4" x14ac:dyDescent="0.35">
      <c r="A6448" s="8" t="str">
        <f t="shared" si="3306"/>
        <v>Philippines</v>
      </c>
      <c r="B6448" s="6" t="str">
        <f t="shared" si="3328"/>
        <v>Income ratio from personal sales (Leader above UM) (den)</v>
      </c>
      <c r="C6448" s="4" t="str">
        <f>CHOOSE(2, "5462030031", "Jul 26")</f>
        <v>Jul 26</v>
      </c>
      <c r="D6448" s="14">
        <v>0</v>
      </c>
    </row>
    <row r="6449" spans="1:4" x14ac:dyDescent="0.35">
      <c r="A6449" s="8" t="str">
        <f t="shared" si="3306"/>
        <v>Philippines</v>
      </c>
      <c r="B6449" s="3" t="str">
        <f t="shared" ref="B6449:B6450" si="3329">CHOOSE(2, "1395000000655", "Total agent earnings")</f>
        <v>Total agent earnings</v>
      </c>
      <c r="C6449" s="4" t="str">
        <f>CHOOSE(2, "5461730030", "Jun 26")</f>
        <v>Jun 26</v>
      </c>
      <c r="D6449" s="14">
        <v>0</v>
      </c>
    </row>
    <row r="6450" spans="1:4" x14ac:dyDescent="0.35">
      <c r="A6450" s="8" t="str">
        <f t="shared" si="3306"/>
        <v>Philippines</v>
      </c>
      <c r="B6450" s="6" t="str">
        <f t="shared" si="3329"/>
        <v>Total agent earnings</v>
      </c>
      <c r="C6450" s="4" t="str">
        <f>CHOOSE(2, "5462030031", "Jul 26")</f>
        <v>Jul 26</v>
      </c>
      <c r="D6450" s="14">
        <v>0</v>
      </c>
    </row>
    <row r="6451" spans="1:4" x14ac:dyDescent="0.35">
      <c r="A6451" s="8" t="str">
        <f t="shared" si="3306"/>
        <v>Philippines</v>
      </c>
      <c r="B6451" s="3" t="str">
        <f t="shared" ref="B6451:B6452" si="3330">CHOOSE(2, "1395000000654", "Total agent earnings in FA or equivalent")</f>
        <v>Total agent earnings in FA or equivalent</v>
      </c>
      <c r="C6451" s="4" t="str">
        <f>CHOOSE(2, "5461730030", "Jun 26")</f>
        <v>Jun 26</v>
      </c>
      <c r="D6451" s="14">
        <v>0</v>
      </c>
    </row>
    <row r="6452" spans="1:4" x14ac:dyDescent="0.35">
      <c r="A6452" s="8" t="str">
        <f t="shared" si="3306"/>
        <v>Philippines</v>
      </c>
      <c r="B6452" s="6" t="str">
        <f t="shared" si="3330"/>
        <v>Total agent earnings in FA or equivalent</v>
      </c>
      <c r="C6452" s="4" t="str">
        <f>CHOOSE(2, "5462030031", "Jul 26")</f>
        <v>Jul 26</v>
      </c>
      <c r="D6452" s="14">
        <v>0</v>
      </c>
    </row>
    <row r="6453" spans="1:4" x14ac:dyDescent="0.35">
      <c r="A6453" s="8" t="str">
        <f t="shared" si="3306"/>
        <v>Philippines</v>
      </c>
      <c r="B6453" s="3" t="str">
        <f t="shared" ref="B6453:B6454" si="3331">CHOOSE(2, "1395000000653", "Total agent earnings in UM")</f>
        <v>Total agent earnings in UM</v>
      </c>
      <c r="C6453" s="4" t="str">
        <f>CHOOSE(2, "5461730030", "Jun 26")</f>
        <v>Jun 26</v>
      </c>
      <c r="D6453" s="14">
        <v>0</v>
      </c>
    </row>
    <row r="6454" spans="1:4" x14ac:dyDescent="0.35">
      <c r="A6454" s="8" t="str">
        <f t="shared" si="3306"/>
        <v>Philippines</v>
      </c>
      <c r="B6454" s="6" t="str">
        <f t="shared" si="3331"/>
        <v>Total agent earnings in UM</v>
      </c>
      <c r="C6454" s="4" t="str">
        <f>CHOOSE(2, "5462030031", "Jul 26")</f>
        <v>Jul 26</v>
      </c>
      <c r="D6454" s="14">
        <v>0</v>
      </c>
    </row>
    <row r="6455" spans="1:4" x14ac:dyDescent="0.35">
      <c r="A6455" s="8" t="str">
        <f t="shared" si="3306"/>
        <v>Philippines</v>
      </c>
      <c r="B6455" s="3" t="str">
        <f t="shared" ref="B6455:B6456" si="3332">CHOOSE(2, "1395000000652", "Total agent earnings in Leaders above UM")</f>
        <v>Total agent earnings in Leaders above UM</v>
      </c>
      <c r="C6455" s="4" t="str">
        <f>CHOOSE(2, "5461730030", "Jun 26")</f>
        <v>Jun 26</v>
      </c>
      <c r="D6455" s="14">
        <v>0</v>
      </c>
    </row>
    <row r="6456" spans="1:4" x14ac:dyDescent="0.35">
      <c r="A6456" s="8" t="str">
        <f t="shared" si="3306"/>
        <v>Philippines</v>
      </c>
      <c r="B6456" s="6" t="str">
        <f t="shared" si="3332"/>
        <v>Total agent earnings in Leaders above UM</v>
      </c>
      <c r="C6456" s="4" t="str">
        <f>CHOOSE(2, "5462030031", "Jul 26")</f>
        <v>Jul 26</v>
      </c>
      <c r="D6456" s="14">
        <v>0</v>
      </c>
    </row>
    <row r="6457" spans="1:4" x14ac:dyDescent="0.35">
      <c r="A6457" s="8" t="str">
        <f t="shared" si="3306"/>
        <v>Philippines</v>
      </c>
      <c r="B6457" s="3" t="str">
        <f t="shared" ref="B6457:B6458" si="3333">CHOOSE(2, "1395000000651", "# of Newly Promoted UM")</f>
        <v># of Newly Promoted UM</v>
      </c>
      <c r="C6457" s="4" t="str">
        <f>CHOOSE(2, "5461730030", "Jun 26")</f>
        <v>Jun 26</v>
      </c>
      <c r="D6457" s="14">
        <v>1</v>
      </c>
    </row>
    <row r="6458" spans="1:4" x14ac:dyDescent="0.35">
      <c r="A6458" s="8" t="str">
        <f t="shared" si="3306"/>
        <v>Philippines</v>
      </c>
      <c r="B6458" s="6" t="str">
        <f t="shared" si="3333"/>
        <v># of Newly Promoted UM</v>
      </c>
      <c r="C6458" s="4" t="str">
        <f>CHOOSE(2, "5462030031", "Jul 26")</f>
        <v>Jul 26</v>
      </c>
      <c r="D6458" s="14">
        <v>1</v>
      </c>
    </row>
    <row r="6459" spans="1:4" x14ac:dyDescent="0.35">
      <c r="A6459" s="8" t="str">
        <f t="shared" si="3306"/>
        <v>Philippines</v>
      </c>
      <c r="B6459" s="3" t="str">
        <f t="shared" ref="B6459:B6460" si="3334">CHOOSE(2, "1395000000650", "# of Newly Promoted Leaders above UM")</f>
        <v># of Newly Promoted Leaders above UM</v>
      </c>
      <c r="C6459" s="4" t="str">
        <f>CHOOSE(2, "5461730030", "Jun 26")</f>
        <v>Jun 26</v>
      </c>
      <c r="D6459" s="14">
        <v>0</v>
      </c>
    </row>
    <row r="6460" spans="1:4" x14ac:dyDescent="0.35">
      <c r="A6460" s="8" t="str">
        <f t="shared" si="3306"/>
        <v>Philippines</v>
      </c>
      <c r="B6460" s="6" t="str">
        <f t="shared" si="3334"/>
        <v># of Newly Promoted Leaders above UM</v>
      </c>
      <c r="C6460" s="4" t="str">
        <f>CHOOSE(2, "5462030031", "Jul 26")</f>
        <v>Jul 26</v>
      </c>
      <c r="D6460" s="14">
        <v>0</v>
      </c>
    </row>
    <row r="6461" spans="1:4" x14ac:dyDescent="0.35">
      <c r="A6461" s="8" t="str">
        <f t="shared" si="3306"/>
        <v>Philippines</v>
      </c>
      <c r="B6461" s="3" t="str">
        <f t="shared" ref="B6461:B6462" si="3335">CHOOSE(2, "1395000000649", "# of Total Leader Promotions")</f>
        <v># of Total Leader Promotions</v>
      </c>
      <c r="C6461" s="4" t="str">
        <f>CHOOSE(2, "5461730030", "Jun 26")</f>
        <v>Jun 26</v>
      </c>
      <c r="D6461" s="14">
        <v>1</v>
      </c>
    </row>
    <row r="6462" spans="1:4" x14ac:dyDescent="0.35">
      <c r="A6462" s="8" t="str">
        <f t="shared" si="3306"/>
        <v>Philippines</v>
      </c>
      <c r="B6462" s="6" t="str">
        <f t="shared" si="3335"/>
        <v># of Total Leader Promotions</v>
      </c>
      <c r="C6462" s="4" t="str">
        <f>CHOOSE(2, "5462030031", "Jul 26")</f>
        <v>Jul 26</v>
      </c>
      <c r="D6462" s="14">
        <v>1</v>
      </c>
    </row>
    <row r="6463" spans="1:4" x14ac:dyDescent="0.35">
      <c r="A6463" s="8" t="str">
        <f t="shared" si="3306"/>
        <v>Philippines</v>
      </c>
      <c r="B6463" s="3" t="str">
        <f t="shared" ref="B6463:B6464" si="3336">CHOOSE(2, "1395000000648", "# of Newly Demoted UM")</f>
        <v># of Newly Demoted UM</v>
      </c>
      <c r="C6463" s="4" t="str">
        <f>CHOOSE(2, "5461730030", "Jun 26")</f>
        <v>Jun 26</v>
      </c>
      <c r="D6463" s="14">
        <v>8</v>
      </c>
    </row>
    <row r="6464" spans="1:4" x14ac:dyDescent="0.35">
      <c r="A6464" s="8" t="str">
        <f t="shared" si="3306"/>
        <v>Philippines</v>
      </c>
      <c r="B6464" s="6" t="str">
        <f t="shared" si="3336"/>
        <v># of Newly Demoted UM</v>
      </c>
      <c r="C6464" s="4" t="str">
        <f>CHOOSE(2, "5462030031", "Jul 26")</f>
        <v>Jul 26</v>
      </c>
      <c r="D6464" s="14">
        <v>14</v>
      </c>
    </row>
    <row r="6465" spans="1:4" x14ac:dyDescent="0.35">
      <c r="A6465" s="8" t="str">
        <f t="shared" si="3306"/>
        <v>Philippines</v>
      </c>
      <c r="B6465" s="3" t="str">
        <f t="shared" ref="B6465:B6466" si="3337">CHOOSE(2, "1395000000647", "# of Newly Demoted Leaders above UM")</f>
        <v># of Newly Demoted Leaders above UM</v>
      </c>
      <c r="C6465" s="4" t="str">
        <f>CHOOSE(2, "5461730030", "Jun 26")</f>
        <v>Jun 26</v>
      </c>
      <c r="D6465" s="14">
        <v>2</v>
      </c>
    </row>
    <row r="6466" spans="1:4" x14ac:dyDescent="0.35">
      <c r="A6466" s="8" t="str">
        <f t="shared" si="3306"/>
        <v>Philippines</v>
      </c>
      <c r="B6466" s="6" t="str">
        <f t="shared" si="3337"/>
        <v># of Newly Demoted Leaders above UM</v>
      </c>
      <c r="C6466" s="4" t="str">
        <f>CHOOSE(2, "5462030031", "Jul 26")</f>
        <v>Jul 26</v>
      </c>
      <c r="D6466" s="14">
        <v>0</v>
      </c>
    </row>
    <row r="6467" spans="1:4" x14ac:dyDescent="0.35">
      <c r="A6467" s="8" t="str">
        <f t="shared" si="3306"/>
        <v>Philippines</v>
      </c>
      <c r="B6467" s="3" t="str">
        <f t="shared" ref="B6467:B6468" si="3338">CHOOSE(2, "1395000000646", "# of Total Leader Demotions")</f>
        <v># of Total Leader Demotions</v>
      </c>
      <c r="C6467" s="4" t="str">
        <f>CHOOSE(2, "5461730030", "Jun 26")</f>
        <v>Jun 26</v>
      </c>
      <c r="D6467" s="14">
        <v>10</v>
      </c>
    </row>
    <row r="6468" spans="1:4" x14ac:dyDescent="0.35">
      <c r="A6468" s="8" t="str">
        <f t="shared" si="3306"/>
        <v>Philippines</v>
      </c>
      <c r="B6468" s="6" t="str">
        <f t="shared" si="3338"/>
        <v># of Total Leader Demotions</v>
      </c>
      <c r="C6468" s="4" t="str">
        <f>CHOOSE(2, "5462030031", "Jul 26")</f>
        <v>Jul 26</v>
      </c>
      <c r="D6468" s="14">
        <v>14</v>
      </c>
    </row>
    <row r="6469" spans="1:4" x14ac:dyDescent="0.35">
      <c r="A6469" s="8" t="str">
        <f t="shared" ref="A6469:A6532" si="3339">CHOOSE(2, "204000000007", "Philippines")</f>
        <v>Philippines</v>
      </c>
      <c r="B6469" s="3" t="str">
        <f t="shared" ref="B6469:B6470" si="3340">CHOOSE(2, "1395000000645", "# of agents meeting MOC")</f>
        <v># of agents meeting MOC</v>
      </c>
      <c r="C6469" s="4" t="str">
        <f>CHOOSE(2, "5461730030", "Jun 26")</f>
        <v>Jun 26</v>
      </c>
      <c r="D6469" s="14">
        <v>5945</v>
      </c>
    </row>
    <row r="6470" spans="1:4" x14ac:dyDescent="0.35">
      <c r="A6470" s="8" t="str">
        <f t="shared" si="3339"/>
        <v>Philippines</v>
      </c>
      <c r="B6470" s="6" t="str">
        <f t="shared" si="3340"/>
        <v># of agents meeting MOC</v>
      </c>
      <c r="C6470" s="4" t="str">
        <f>CHOOSE(2, "5462030031", "Jul 26")</f>
        <v>Jul 26</v>
      </c>
      <c r="D6470" s="14">
        <v>5970</v>
      </c>
    </row>
    <row r="6471" spans="1:4" x14ac:dyDescent="0.35">
      <c r="A6471" s="8" t="str">
        <f t="shared" si="3339"/>
        <v>Philippines</v>
      </c>
      <c r="B6471" s="3" t="str">
        <f t="shared" ref="B6471:B6472" si="3341">CHOOSE(2, "1395000000644", "# of agents meeting MOC in FA or equivalent")</f>
        <v># of agents meeting MOC in FA or equivalent</v>
      </c>
      <c r="C6471" s="4" t="str">
        <f>CHOOSE(2, "5461730030", "Jun 26")</f>
        <v>Jun 26</v>
      </c>
      <c r="D6471" s="14">
        <v>4929</v>
      </c>
    </row>
    <row r="6472" spans="1:4" x14ac:dyDescent="0.35">
      <c r="A6472" s="8" t="str">
        <f t="shared" si="3339"/>
        <v>Philippines</v>
      </c>
      <c r="B6472" s="6" t="str">
        <f t="shared" si="3341"/>
        <v># of agents meeting MOC in FA or equivalent</v>
      </c>
      <c r="C6472" s="4" t="str">
        <f>CHOOSE(2, "5462030031", "Jul 26")</f>
        <v>Jul 26</v>
      </c>
      <c r="D6472" s="14">
        <v>4956</v>
      </c>
    </row>
    <row r="6473" spans="1:4" x14ac:dyDescent="0.35">
      <c r="A6473" s="8" t="str">
        <f t="shared" si="3339"/>
        <v>Philippines</v>
      </c>
      <c r="B6473" s="3" t="str">
        <f t="shared" ref="B6473:B6474" si="3342">CHOOSE(2, "1395000000643", "# of agents meeting MOC in UM")</f>
        <v># of agents meeting MOC in UM</v>
      </c>
      <c r="C6473" s="4" t="str">
        <f>CHOOSE(2, "5461730030", "Jun 26")</f>
        <v>Jun 26</v>
      </c>
      <c r="D6473" s="14">
        <v>834</v>
      </c>
    </row>
    <row r="6474" spans="1:4" x14ac:dyDescent="0.35">
      <c r="A6474" s="8" t="str">
        <f t="shared" si="3339"/>
        <v>Philippines</v>
      </c>
      <c r="B6474" s="6" t="str">
        <f t="shared" si="3342"/>
        <v># of agents meeting MOC in UM</v>
      </c>
      <c r="C6474" s="4" t="str">
        <f>CHOOSE(2, "5462030031", "Jul 26")</f>
        <v>Jul 26</v>
      </c>
      <c r="D6474" s="14">
        <v>831</v>
      </c>
    </row>
    <row r="6475" spans="1:4" x14ac:dyDescent="0.35">
      <c r="A6475" s="8" t="str">
        <f t="shared" si="3339"/>
        <v>Philippines</v>
      </c>
      <c r="B6475" s="3" t="str">
        <f t="shared" ref="B6475:B6476" si="3343">CHOOSE(2, "1395000000642", "# of agents meeting MOC in Leaders above UM")</f>
        <v># of agents meeting MOC in Leaders above UM</v>
      </c>
      <c r="C6475" s="4" t="str">
        <f>CHOOSE(2, "5461730030", "Jun 26")</f>
        <v>Jun 26</v>
      </c>
      <c r="D6475" s="14">
        <v>182</v>
      </c>
    </row>
    <row r="6476" spans="1:4" x14ac:dyDescent="0.35">
      <c r="A6476" s="8" t="str">
        <f t="shared" si="3339"/>
        <v>Philippines</v>
      </c>
      <c r="B6476" s="6" t="str">
        <f t="shared" si="3343"/>
        <v># of agents meeting MOC in Leaders above UM</v>
      </c>
      <c r="C6476" s="4" t="str">
        <f>CHOOSE(2, "5462030031", "Jul 26")</f>
        <v>Jul 26</v>
      </c>
      <c r="D6476" s="14">
        <v>183</v>
      </c>
    </row>
    <row r="6477" spans="1:4" x14ac:dyDescent="0.35">
      <c r="A6477" s="8" t="str">
        <f t="shared" si="3339"/>
        <v>Philippines</v>
      </c>
      <c r="B6477" s="3" t="str">
        <f t="shared" ref="B6477:B6478" si="3344">CHOOSE(2, "1395000000641", "New Leaders 3M Activation Rate (by cohort)")</f>
        <v>New Leaders 3M Activation Rate (by cohort)</v>
      </c>
      <c r="C6477" s="4" t="str">
        <f>CHOOSE(2, "5461730030", "Jun 26")</f>
        <v>Jun 26</v>
      </c>
      <c r="D6477" s="14">
        <v>1</v>
      </c>
    </row>
    <row r="6478" spans="1:4" x14ac:dyDescent="0.35">
      <c r="A6478" s="8" t="str">
        <f t="shared" si="3339"/>
        <v>Philippines</v>
      </c>
      <c r="B6478" s="6" t="str">
        <f t="shared" si="3344"/>
        <v>New Leaders 3M Activation Rate (by cohort)</v>
      </c>
      <c r="C6478" s="4" t="str">
        <f>CHOOSE(2, "5462030031", "Jul 26")</f>
        <v>Jul 26</v>
      </c>
      <c r="D6478" s="14">
        <v>0</v>
      </c>
    </row>
    <row r="6479" spans="1:4" x14ac:dyDescent="0.35">
      <c r="A6479" s="8" t="str">
        <f t="shared" si="3339"/>
        <v>Philippines</v>
      </c>
      <c r="B6479" s="3" t="str">
        <f t="shared" ref="B6479:B6480" si="3345">CHOOSE(2, "1395000000640", "New Leaders 3M Activation Rate (by cohort) (numerator)")</f>
        <v>New Leaders 3M Activation Rate (by cohort) (numerator)</v>
      </c>
      <c r="C6479" s="4" t="str">
        <f>CHOOSE(2, "5461730030", "Jun 26")</f>
        <v>Jun 26</v>
      </c>
      <c r="D6479" s="14">
        <v>2</v>
      </c>
    </row>
    <row r="6480" spans="1:4" x14ac:dyDescent="0.35">
      <c r="A6480" s="8" t="str">
        <f t="shared" si="3339"/>
        <v>Philippines</v>
      </c>
      <c r="B6480" s="6" t="str">
        <f t="shared" si="3345"/>
        <v>New Leaders 3M Activation Rate (by cohort) (numerator)</v>
      </c>
      <c r="C6480" s="4" t="str">
        <f>CHOOSE(2, "5462030031", "Jul 26")</f>
        <v>Jul 26</v>
      </c>
      <c r="D6480" s="14">
        <v>0</v>
      </c>
    </row>
    <row r="6481" spans="1:4" x14ac:dyDescent="0.35">
      <c r="A6481" s="8" t="str">
        <f t="shared" si="3339"/>
        <v>Philippines</v>
      </c>
      <c r="B6481" s="3" t="str">
        <f t="shared" ref="B6481:B6482" si="3346">CHOOSE(2, "1395000000639", "New Leaders 3M Activation Rate (by cohort) (denominator)")</f>
        <v>New Leaders 3M Activation Rate (by cohort) (denominator)</v>
      </c>
      <c r="C6481" s="4" t="str">
        <f>CHOOSE(2, "5461730030", "Jun 26")</f>
        <v>Jun 26</v>
      </c>
      <c r="D6481" s="14">
        <v>2</v>
      </c>
    </row>
    <row r="6482" spans="1:4" x14ac:dyDescent="0.35">
      <c r="A6482" s="8" t="str">
        <f t="shared" si="3339"/>
        <v>Philippines</v>
      </c>
      <c r="B6482" s="6" t="str">
        <f t="shared" si="3346"/>
        <v>New Leaders 3M Activation Rate (by cohort) (denominator)</v>
      </c>
      <c r="C6482" s="4" t="str">
        <f>CHOOSE(2, "5462030031", "Jul 26")</f>
        <v>Jul 26</v>
      </c>
      <c r="D6482" s="14">
        <v>3</v>
      </c>
    </row>
    <row r="6483" spans="1:4" x14ac:dyDescent="0.35">
      <c r="A6483" s="8" t="str">
        <f t="shared" si="3339"/>
        <v>Philippines</v>
      </c>
      <c r="B6483" s="3" t="str">
        <f t="shared" ref="B6483:B6484" si="3347">CHOOSE(2, "1395000000638", "# of pro-rated MDRT agents (100%)")</f>
        <v># of pro-rated MDRT agents (100%)</v>
      </c>
      <c r="C6483" s="4" t="str">
        <f>CHOOSE(2, "5461730030", "Jun 26")</f>
        <v>Jun 26</v>
      </c>
      <c r="D6483" s="14">
        <v>60</v>
      </c>
    </row>
    <row r="6484" spans="1:4" x14ac:dyDescent="0.35">
      <c r="A6484" s="8" t="str">
        <f t="shared" si="3339"/>
        <v>Philippines</v>
      </c>
      <c r="B6484" s="6" t="str">
        <f t="shared" si="3347"/>
        <v># of pro-rated MDRT agents (100%)</v>
      </c>
      <c r="C6484" s="4" t="str">
        <f>CHOOSE(2, "5462030031", "Jul 26")</f>
        <v>Jul 26</v>
      </c>
      <c r="D6484" s="14">
        <v>83</v>
      </c>
    </row>
    <row r="6485" spans="1:4" x14ac:dyDescent="0.35">
      <c r="A6485" s="8" t="str">
        <f t="shared" si="3339"/>
        <v>Philippines</v>
      </c>
      <c r="B6485" s="3" t="str">
        <f t="shared" ref="B6485:B6486" si="3348">CHOOSE(2, "1395000000637", "# of pro-rated MDRT agents (90%-99%)")</f>
        <v># of pro-rated MDRT agents (90%-99%)</v>
      </c>
      <c r="C6485" s="4" t="str">
        <f>CHOOSE(2, "5461730030", "Jun 26")</f>
        <v>Jun 26</v>
      </c>
      <c r="D6485" s="2" t="s">
        <v>5</v>
      </c>
    </row>
    <row r="6486" spans="1:4" x14ac:dyDescent="0.35">
      <c r="A6486" s="8" t="str">
        <f t="shared" si="3339"/>
        <v>Philippines</v>
      </c>
      <c r="B6486" s="6" t="str">
        <f t="shared" si="3348"/>
        <v># of pro-rated MDRT agents (90%-99%)</v>
      </c>
      <c r="C6486" s="4" t="str">
        <f>CHOOSE(2, "5462030031", "Jul 26")</f>
        <v>Jul 26</v>
      </c>
      <c r="D6486" s="2" t="s">
        <v>5</v>
      </c>
    </row>
    <row r="6487" spans="1:4" x14ac:dyDescent="0.35">
      <c r="A6487" s="8" t="str">
        <f t="shared" si="3339"/>
        <v>Philippines</v>
      </c>
      <c r="B6487" s="3" t="str">
        <f t="shared" ref="B6487:B6488" si="3349">CHOOSE(2, "1395000000636", "# of pro-rated MDRT agents (70%-90%)")</f>
        <v># of pro-rated MDRT agents (70%-90%)</v>
      </c>
      <c r="C6487" s="4" t="str">
        <f>CHOOSE(2, "5461730030", "Jun 26")</f>
        <v>Jun 26</v>
      </c>
      <c r="D6487" s="2" t="s">
        <v>5</v>
      </c>
    </row>
    <row r="6488" spans="1:4" x14ac:dyDescent="0.35">
      <c r="A6488" s="8" t="str">
        <f t="shared" si="3339"/>
        <v>Philippines</v>
      </c>
      <c r="B6488" s="6" t="str">
        <f t="shared" si="3349"/>
        <v># of pro-rated MDRT agents (70%-90%)</v>
      </c>
      <c r="C6488" s="4" t="str">
        <f>CHOOSE(2, "5462030031", "Jul 26")</f>
        <v>Jul 26</v>
      </c>
      <c r="D6488" s="2" t="s">
        <v>5</v>
      </c>
    </row>
    <row r="6489" spans="1:4" x14ac:dyDescent="0.35">
      <c r="A6489" s="8" t="str">
        <f t="shared" si="3339"/>
        <v>Philippines</v>
      </c>
      <c r="B6489" s="3" t="str">
        <f t="shared" ref="B6489:B6490" si="3350">CHOOSE(2, "1395000000635", "# of pro-rated MDRT agents (&lt;70%)")</f>
        <v># of pro-rated MDRT agents (&lt;70%)</v>
      </c>
      <c r="C6489" s="4" t="str">
        <f>CHOOSE(2, "5461730030", "Jun 26")</f>
        <v>Jun 26</v>
      </c>
      <c r="D6489" s="2" t="s">
        <v>5</v>
      </c>
    </row>
    <row r="6490" spans="1:4" x14ac:dyDescent="0.35">
      <c r="A6490" s="8" t="str">
        <f t="shared" si="3339"/>
        <v>Philippines</v>
      </c>
      <c r="B6490" s="6" t="str">
        <f t="shared" si="3350"/>
        <v># of pro-rated MDRT agents (&lt;70%)</v>
      </c>
      <c r="C6490" s="4" t="str">
        <f>CHOOSE(2, "5462030031", "Jul 26")</f>
        <v>Jul 26</v>
      </c>
      <c r="D6490" s="2" t="s">
        <v>5</v>
      </c>
    </row>
    <row r="6491" spans="1:4" x14ac:dyDescent="0.35">
      <c r="A6491" s="8" t="str">
        <f t="shared" si="3339"/>
        <v>Philippines</v>
      </c>
      <c r="B6491" s="3" t="str">
        <f t="shared" ref="B6491:B6492" si="3351">CHOOSE(2, "1395000000634", "# of pro-rated MDRT agents (50%-70%)")</f>
        <v># of pro-rated MDRT agents (50%-70%)</v>
      </c>
      <c r="C6491" s="4" t="str">
        <f>CHOOSE(2, "5461730030", "Jun 26")</f>
        <v>Jun 26</v>
      </c>
      <c r="D6491" s="2" t="s">
        <v>5</v>
      </c>
    </row>
    <row r="6492" spans="1:4" x14ac:dyDescent="0.35">
      <c r="A6492" s="8" t="str">
        <f t="shared" si="3339"/>
        <v>Philippines</v>
      </c>
      <c r="B6492" s="6" t="str">
        <f t="shared" si="3351"/>
        <v># of pro-rated MDRT agents (50%-70%)</v>
      </c>
      <c r="C6492" s="4" t="str">
        <f>CHOOSE(2, "5462030031", "Jul 26")</f>
        <v>Jul 26</v>
      </c>
      <c r="D6492" s="2" t="s">
        <v>5</v>
      </c>
    </row>
    <row r="6493" spans="1:4" x14ac:dyDescent="0.35">
      <c r="A6493" s="8" t="str">
        <f t="shared" si="3339"/>
        <v>Philippines</v>
      </c>
      <c r="B6493" s="3" t="str">
        <f t="shared" ref="B6493:B6494" si="3352">CHOOSE(2, "1395000000633", "# of pro-rated MDRT agents (&lt;50%)")</f>
        <v># of pro-rated MDRT agents (&lt;50%)</v>
      </c>
      <c r="C6493" s="4" t="str">
        <f>CHOOSE(2, "5461730030", "Jun 26")</f>
        <v>Jun 26</v>
      </c>
      <c r="D6493" s="2" t="s">
        <v>5</v>
      </c>
    </row>
    <row r="6494" spans="1:4" x14ac:dyDescent="0.35">
      <c r="A6494" s="8" t="str">
        <f t="shared" si="3339"/>
        <v>Philippines</v>
      </c>
      <c r="B6494" s="6" t="str">
        <f t="shared" si="3352"/>
        <v># of pro-rated MDRT agents (&lt;50%)</v>
      </c>
      <c r="C6494" s="4" t="str">
        <f>CHOOSE(2, "5462030031", "Jul 26")</f>
        <v>Jul 26</v>
      </c>
      <c r="D6494" s="2" t="s">
        <v>5</v>
      </c>
    </row>
    <row r="6495" spans="1:4" x14ac:dyDescent="0.35">
      <c r="A6495" s="8" t="str">
        <f t="shared" si="3339"/>
        <v>Philippines</v>
      </c>
      <c r="B6495" s="3" t="str">
        <f t="shared" ref="B6495:B6496" si="3353">CHOOSE(2, "1395000000632", "# of pro-rated MDRT agents (70-99%)")</f>
        <v># of pro-rated MDRT agents (70-99%)</v>
      </c>
      <c r="C6495" s="4" t="str">
        <f>CHOOSE(2, "5461730030", "Jun 26")</f>
        <v>Jun 26</v>
      </c>
      <c r="D6495" s="14">
        <v>42</v>
      </c>
    </row>
    <row r="6496" spans="1:4" x14ac:dyDescent="0.35">
      <c r="A6496" s="8" t="str">
        <f t="shared" si="3339"/>
        <v>Philippines</v>
      </c>
      <c r="B6496" s="6" t="str">
        <f t="shared" si="3353"/>
        <v># of pro-rated MDRT agents (70-99%)</v>
      </c>
      <c r="C6496" s="4" t="str">
        <f>CHOOSE(2, "5462030031", "Jul 26")</f>
        <v>Jul 26</v>
      </c>
      <c r="D6496" s="14">
        <v>54</v>
      </c>
    </row>
    <row r="6497" spans="1:4" x14ac:dyDescent="0.35">
      <c r="A6497" s="8" t="str">
        <f t="shared" si="3339"/>
        <v>Philippines</v>
      </c>
      <c r="B6497" s="3" t="str">
        <f t="shared" ref="B6497:B6498" si="3354">CHOOSE(2, "1395000000631", "# of pro-rated MDRT agents (50-69%)")</f>
        <v># of pro-rated MDRT agents (50-69%)</v>
      </c>
      <c r="C6497" s="4" t="str">
        <f>CHOOSE(2, "5461730030", "Jun 26")</f>
        <v>Jun 26</v>
      </c>
      <c r="D6497" s="14">
        <v>57</v>
      </c>
    </row>
    <row r="6498" spans="1:4" x14ac:dyDescent="0.35">
      <c r="A6498" s="8" t="str">
        <f t="shared" si="3339"/>
        <v>Philippines</v>
      </c>
      <c r="B6498" s="6" t="str">
        <f t="shared" si="3354"/>
        <v># of pro-rated MDRT agents (50-69%)</v>
      </c>
      <c r="C6498" s="4" t="str">
        <f>CHOOSE(2, "5462030031", "Jul 26")</f>
        <v>Jul 26</v>
      </c>
      <c r="D6498" s="14">
        <v>61</v>
      </c>
    </row>
    <row r="6499" spans="1:4" x14ac:dyDescent="0.35">
      <c r="A6499" s="8" t="str">
        <f t="shared" si="3339"/>
        <v>Philippines</v>
      </c>
      <c r="B6499" s="3" t="str">
        <f t="shared" ref="B6499:B6500" si="3355">CHOOSE(2, "1395000000630", "# of Top-tier agents")</f>
        <v># of Top-tier agents</v>
      </c>
      <c r="C6499" s="4" t="str">
        <f>CHOOSE(2, "5461730030", "Jun 26")</f>
        <v>Jun 26</v>
      </c>
      <c r="D6499" s="14">
        <v>159</v>
      </c>
    </row>
    <row r="6500" spans="1:4" x14ac:dyDescent="0.35">
      <c r="A6500" s="8" t="str">
        <f t="shared" si="3339"/>
        <v>Philippines</v>
      </c>
      <c r="B6500" s="6" t="str">
        <f t="shared" si="3355"/>
        <v># of Top-tier agents</v>
      </c>
      <c r="C6500" s="4" t="str">
        <f>CHOOSE(2, "5462030031", "Jul 26")</f>
        <v>Jul 26</v>
      </c>
      <c r="D6500" s="14">
        <v>198</v>
      </c>
    </row>
    <row r="6501" spans="1:4" x14ac:dyDescent="0.35">
      <c r="A6501" s="8" t="str">
        <f t="shared" si="3339"/>
        <v>Philippines</v>
      </c>
      <c r="B6501" s="3" t="str">
        <f t="shared" ref="B6501:B6502" si="3356">CHOOSE(2, "1395000000629", "$ APE from pro-rated MDRT agents (100%)")</f>
        <v>$ APE from pro-rated MDRT agents (100%)</v>
      </c>
      <c r="C6501" s="4" t="str">
        <f>CHOOSE(2, "5461730030", "Jun 26")</f>
        <v>Jun 26</v>
      </c>
      <c r="D6501" s="2" t="s">
        <v>5</v>
      </c>
    </row>
    <row r="6502" spans="1:4" x14ac:dyDescent="0.35">
      <c r="A6502" s="8" t="str">
        <f t="shared" si="3339"/>
        <v>Philippines</v>
      </c>
      <c r="B6502" s="6" t="str">
        <f t="shared" si="3356"/>
        <v>$ APE from pro-rated MDRT agents (100%)</v>
      </c>
      <c r="C6502" s="4" t="str">
        <f>CHOOSE(2, "5462030031", "Jul 26")</f>
        <v>Jul 26</v>
      </c>
      <c r="D6502" s="2" t="s">
        <v>5</v>
      </c>
    </row>
    <row r="6503" spans="1:4" x14ac:dyDescent="0.35">
      <c r="A6503" s="8" t="str">
        <f t="shared" si="3339"/>
        <v>Philippines</v>
      </c>
      <c r="B6503" s="3" t="str">
        <f t="shared" ref="B6503:B6504" si="3357">CHOOSE(2, "1395000000628", "$ APE from pro-rated MDRT agents (70-99%)")</f>
        <v>$ APE from pro-rated MDRT agents (70-99%)</v>
      </c>
      <c r="C6503" s="4" t="str">
        <f>CHOOSE(2, "5461730030", "Jun 26")</f>
        <v>Jun 26</v>
      </c>
      <c r="D6503" s="2" t="s">
        <v>5</v>
      </c>
    </row>
    <row r="6504" spans="1:4" x14ac:dyDescent="0.35">
      <c r="A6504" s="8" t="str">
        <f t="shared" si="3339"/>
        <v>Philippines</v>
      </c>
      <c r="B6504" s="6" t="str">
        <f t="shared" si="3357"/>
        <v>$ APE from pro-rated MDRT agents (70-99%)</v>
      </c>
      <c r="C6504" s="4" t="str">
        <f>CHOOSE(2, "5462030031", "Jul 26")</f>
        <v>Jul 26</v>
      </c>
      <c r="D6504" s="2" t="s">
        <v>5</v>
      </c>
    </row>
    <row r="6505" spans="1:4" x14ac:dyDescent="0.35">
      <c r="A6505" s="8" t="str">
        <f t="shared" si="3339"/>
        <v>Philippines</v>
      </c>
      <c r="B6505" s="3" t="str">
        <f t="shared" ref="B6505:B6506" si="3358">CHOOSE(2, "1395000000627", "$ APE from pro-rated MDRT agents (50-69%)")</f>
        <v>$ APE from pro-rated MDRT agents (50-69%)</v>
      </c>
      <c r="C6505" s="4" t="str">
        <f>CHOOSE(2, "5461730030", "Jun 26")</f>
        <v>Jun 26</v>
      </c>
      <c r="D6505" s="2" t="s">
        <v>5</v>
      </c>
    </row>
    <row r="6506" spans="1:4" x14ac:dyDescent="0.35">
      <c r="A6506" s="8" t="str">
        <f t="shared" si="3339"/>
        <v>Philippines</v>
      </c>
      <c r="B6506" s="6" t="str">
        <f t="shared" si="3358"/>
        <v>$ APE from pro-rated MDRT agents (50-69%)</v>
      </c>
      <c r="C6506" s="4" t="str">
        <f>CHOOSE(2, "5462030031", "Jul 26")</f>
        <v>Jul 26</v>
      </c>
      <c r="D6506" s="2" t="s">
        <v>5</v>
      </c>
    </row>
    <row r="6507" spans="1:4" x14ac:dyDescent="0.35">
      <c r="A6507" s="8" t="str">
        <f t="shared" si="3339"/>
        <v>Philippines</v>
      </c>
      <c r="B6507" s="3" t="str">
        <f t="shared" ref="B6507:B6508" si="3359">CHOOSE(2, "1395000000626", "$ APE from Top-tier agents")</f>
        <v>$ APE from Top-tier agents</v>
      </c>
      <c r="C6507" s="4" t="str">
        <f>CHOOSE(2, "5461730030", "Jun 26")</f>
        <v>Jun 26</v>
      </c>
      <c r="D6507" s="2" t="s">
        <v>5</v>
      </c>
    </row>
    <row r="6508" spans="1:4" x14ac:dyDescent="0.35">
      <c r="A6508" s="8" t="str">
        <f t="shared" si="3339"/>
        <v>Philippines</v>
      </c>
      <c r="B6508" s="6" t="str">
        <f t="shared" si="3359"/>
        <v>$ APE from Top-tier agents</v>
      </c>
      <c r="C6508" s="4" t="str">
        <f>CHOOSE(2, "5462030031", "Jul 26")</f>
        <v>Jul 26</v>
      </c>
      <c r="D6508" s="2" t="s">
        <v>5</v>
      </c>
    </row>
    <row r="6509" spans="1:4" x14ac:dyDescent="0.35">
      <c r="A6509" s="8" t="str">
        <f t="shared" si="3339"/>
        <v>Philippines</v>
      </c>
      <c r="B6509" s="3" t="str">
        <f t="shared" ref="B6509:B6510" si="3360">CHOOSE(2, "1395000000625", "# of MDRT qualifiers - YTD")</f>
        <v># of MDRT qualifiers - YTD</v>
      </c>
      <c r="C6509" s="4" t="str">
        <f>CHOOSE(2, "5461730030", "Jun 26")</f>
        <v>Jun 26</v>
      </c>
      <c r="D6509" s="2" t="s">
        <v>5</v>
      </c>
    </row>
    <row r="6510" spans="1:4" x14ac:dyDescent="0.35">
      <c r="A6510" s="8" t="str">
        <f t="shared" si="3339"/>
        <v>Philippines</v>
      </c>
      <c r="B6510" s="6" t="str">
        <f t="shared" si="3360"/>
        <v># of MDRT qualifiers - YTD</v>
      </c>
      <c r="C6510" s="4" t="str">
        <f>CHOOSE(2, "5462030031", "Jul 26")</f>
        <v>Jul 26</v>
      </c>
      <c r="D6510" s="2" t="s">
        <v>5</v>
      </c>
    </row>
    <row r="6511" spans="1:4" x14ac:dyDescent="0.35">
      <c r="A6511" s="8" t="str">
        <f t="shared" si="3339"/>
        <v>Philippines</v>
      </c>
      <c r="B6511" s="3" t="str">
        <f t="shared" ref="B6511:B6512" si="3361">CHOOSE(2, "1395000000624", "# of MDRT COT qualifiers - YTD")</f>
        <v># of MDRT COT qualifiers - YTD</v>
      </c>
      <c r="C6511" s="4" t="str">
        <f>CHOOSE(2, "5461730030", "Jun 26")</f>
        <v>Jun 26</v>
      </c>
      <c r="D6511" s="2" t="s">
        <v>5</v>
      </c>
    </row>
    <row r="6512" spans="1:4" x14ac:dyDescent="0.35">
      <c r="A6512" s="8" t="str">
        <f t="shared" si="3339"/>
        <v>Philippines</v>
      </c>
      <c r="B6512" s="6" t="str">
        <f t="shared" si="3361"/>
        <v># of MDRT COT qualifiers - YTD</v>
      </c>
      <c r="C6512" s="4" t="str">
        <f>CHOOSE(2, "5462030031", "Jul 26")</f>
        <v>Jul 26</v>
      </c>
      <c r="D6512" s="2" t="s">
        <v>5</v>
      </c>
    </row>
    <row r="6513" spans="1:4" x14ac:dyDescent="0.35">
      <c r="A6513" s="8" t="str">
        <f t="shared" si="3339"/>
        <v>Philippines</v>
      </c>
      <c r="B6513" s="3" t="str">
        <f t="shared" ref="B6513:B6514" si="3362">CHOOSE(2, "1395000000623", "# of MDRT TOT qualifiers - YTD")</f>
        <v># of MDRT TOT qualifiers - YTD</v>
      </c>
      <c r="C6513" s="4" t="str">
        <f>CHOOSE(2, "5461730030", "Jun 26")</f>
        <v>Jun 26</v>
      </c>
      <c r="D6513" s="2" t="s">
        <v>5</v>
      </c>
    </row>
    <row r="6514" spans="1:4" x14ac:dyDescent="0.35">
      <c r="A6514" s="8" t="str">
        <f t="shared" si="3339"/>
        <v>Philippines</v>
      </c>
      <c r="B6514" s="6" t="str">
        <f t="shared" si="3362"/>
        <v># of MDRT TOT qualifiers - YTD</v>
      </c>
      <c r="C6514" s="4" t="str">
        <f>CHOOSE(2, "5462030031", "Jul 26")</f>
        <v>Jul 26</v>
      </c>
      <c r="D6514" s="2" t="s">
        <v>5</v>
      </c>
    </row>
    <row r="6515" spans="1:4" x14ac:dyDescent="0.35">
      <c r="A6515" s="8" t="str">
        <f t="shared" si="3339"/>
        <v>Philippines</v>
      </c>
      <c r="B6515" s="3" t="str">
        <f t="shared" ref="B6515:B6516" si="3363">CHOOSE(2, "1395000000622", "Manulife Pro Qualifiers - Total")</f>
        <v>Manulife Pro Qualifiers - Total</v>
      </c>
      <c r="C6515" s="4" t="str">
        <f>CHOOSE(2, "5461730030", "Jun 26")</f>
        <v>Jun 26</v>
      </c>
      <c r="D6515" s="2" t="s">
        <v>5</v>
      </c>
    </row>
    <row r="6516" spans="1:4" x14ac:dyDescent="0.35">
      <c r="A6516" s="8" t="str">
        <f t="shared" si="3339"/>
        <v>Philippines</v>
      </c>
      <c r="B6516" s="6" t="str">
        <f t="shared" si="3363"/>
        <v>Manulife Pro Qualifiers - Total</v>
      </c>
      <c r="C6516" s="4" t="str">
        <f>CHOOSE(2, "5462030031", "Jul 26")</f>
        <v>Jul 26</v>
      </c>
      <c r="D6516" s="2" t="s">
        <v>5</v>
      </c>
    </row>
    <row r="6517" spans="1:4" x14ac:dyDescent="0.35">
      <c r="A6517" s="8" t="str">
        <f t="shared" si="3339"/>
        <v>Philippines</v>
      </c>
      <c r="B6517" s="3" t="str">
        <f t="shared" ref="B6517:B6518" si="3364">CHOOSE(2, "1395000000621", "Manulife Pro Qualifiers - Silver")</f>
        <v>Manulife Pro Qualifiers - Silver</v>
      </c>
      <c r="C6517" s="4" t="str">
        <f>CHOOSE(2, "5461730030", "Jun 26")</f>
        <v>Jun 26</v>
      </c>
      <c r="D6517" s="2" t="s">
        <v>5</v>
      </c>
    </row>
    <row r="6518" spans="1:4" x14ac:dyDescent="0.35">
      <c r="A6518" s="8" t="str">
        <f t="shared" si="3339"/>
        <v>Philippines</v>
      </c>
      <c r="B6518" s="6" t="str">
        <f t="shared" si="3364"/>
        <v>Manulife Pro Qualifiers - Silver</v>
      </c>
      <c r="C6518" s="4" t="str">
        <f>CHOOSE(2, "5462030031", "Jul 26")</f>
        <v>Jul 26</v>
      </c>
      <c r="D6518" s="2" t="s">
        <v>5</v>
      </c>
    </row>
    <row r="6519" spans="1:4" x14ac:dyDescent="0.35">
      <c r="A6519" s="8" t="str">
        <f t="shared" si="3339"/>
        <v>Philippines</v>
      </c>
      <c r="B6519" s="3" t="str">
        <f t="shared" ref="B6519:B6520" si="3365">CHOOSE(2, "1395000000620", "Manulife Pro Qualifiers - Gold")</f>
        <v>Manulife Pro Qualifiers - Gold</v>
      </c>
      <c r="C6519" s="4" t="str">
        <f>CHOOSE(2, "5461730030", "Jun 26")</f>
        <v>Jun 26</v>
      </c>
      <c r="D6519" s="2" t="s">
        <v>5</v>
      </c>
    </row>
    <row r="6520" spans="1:4" x14ac:dyDescent="0.35">
      <c r="A6520" s="8" t="str">
        <f t="shared" si="3339"/>
        <v>Philippines</v>
      </c>
      <c r="B6520" s="6" t="str">
        <f t="shared" si="3365"/>
        <v>Manulife Pro Qualifiers - Gold</v>
      </c>
      <c r="C6520" s="4" t="str">
        <f>CHOOSE(2, "5462030031", "Jul 26")</f>
        <v>Jul 26</v>
      </c>
      <c r="D6520" s="2" t="s">
        <v>5</v>
      </c>
    </row>
    <row r="6521" spans="1:4" x14ac:dyDescent="0.35">
      <c r="A6521" s="8" t="str">
        <f t="shared" si="3339"/>
        <v>Philippines</v>
      </c>
      <c r="B6521" s="3" t="str">
        <f t="shared" ref="B6521:B6522" si="3366">CHOOSE(2, "1395000000619", "Manulife Pro Qualifiers  - Platinum")</f>
        <v>Manulife Pro Qualifiers  - Platinum</v>
      </c>
      <c r="C6521" s="4" t="str">
        <f>CHOOSE(2, "5461730030", "Jun 26")</f>
        <v>Jun 26</v>
      </c>
      <c r="D6521" s="2" t="s">
        <v>5</v>
      </c>
    </row>
    <row r="6522" spans="1:4" x14ac:dyDescent="0.35">
      <c r="A6522" s="8" t="str">
        <f t="shared" si="3339"/>
        <v>Philippines</v>
      </c>
      <c r="B6522" s="6" t="str">
        <f t="shared" si="3366"/>
        <v>Manulife Pro Qualifiers  - Platinum</v>
      </c>
      <c r="C6522" s="4" t="str">
        <f>CHOOSE(2, "5462030031", "Jul 26")</f>
        <v>Jul 26</v>
      </c>
      <c r="D6522" s="2" t="s">
        <v>5</v>
      </c>
    </row>
    <row r="6523" spans="1:4" x14ac:dyDescent="0.35">
      <c r="A6523" s="8" t="str">
        <f t="shared" si="3339"/>
        <v>Philippines</v>
      </c>
      <c r="B6523" s="3" t="str">
        <f t="shared" ref="B6523:B6524" si="3367">CHOOSE(2, "1395000000618", "$ APE from Manulife Pro - Total")</f>
        <v>$ APE from Manulife Pro - Total</v>
      </c>
      <c r="C6523" s="4" t="str">
        <f>CHOOSE(2, "5461730030", "Jun 26")</f>
        <v>Jun 26</v>
      </c>
      <c r="D6523" s="2" t="s">
        <v>5</v>
      </c>
    </row>
    <row r="6524" spans="1:4" x14ac:dyDescent="0.35">
      <c r="A6524" s="8" t="str">
        <f t="shared" si="3339"/>
        <v>Philippines</v>
      </c>
      <c r="B6524" s="6" t="str">
        <f t="shared" si="3367"/>
        <v>$ APE from Manulife Pro - Total</v>
      </c>
      <c r="C6524" s="4" t="str">
        <f>CHOOSE(2, "5462030031", "Jul 26")</f>
        <v>Jul 26</v>
      </c>
      <c r="D6524" s="2" t="s">
        <v>5</v>
      </c>
    </row>
    <row r="6525" spans="1:4" x14ac:dyDescent="0.35">
      <c r="A6525" s="8" t="str">
        <f t="shared" si="3339"/>
        <v>Philippines</v>
      </c>
      <c r="B6525" s="3" t="str">
        <f t="shared" ref="B6525:B6526" si="3368">CHOOSE(2, "1395000000617", "$ APE from Manulife Pro - Silver")</f>
        <v>$ APE from Manulife Pro - Silver</v>
      </c>
      <c r="C6525" s="4" t="str">
        <f>CHOOSE(2, "5461730030", "Jun 26")</f>
        <v>Jun 26</v>
      </c>
      <c r="D6525" s="2" t="s">
        <v>5</v>
      </c>
    </row>
    <row r="6526" spans="1:4" x14ac:dyDescent="0.35">
      <c r="A6526" s="8" t="str">
        <f t="shared" si="3339"/>
        <v>Philippines</v>
      </c>
      <c r="B6526" s="6" t="str">
        <f t="shared" si="3368"/>
        <v>$ APE from Manulife Pro - Silver</v>
      </c>
      <c r="C6526" s="4" t="str">
        <f>CHOOSE(2, "5462030031", "Jul 26")</f>
        <v>Jul 26</v>
      </c>
      <c r="D6526" s="2" t="s">
        <v>5</v>
      </c>
    </row>
    <row r="6527" spans="1:4" x14ac:dyDescent="0.35">
      <c r="A6527" s="8" t="str">
        <f t="shared" si="3339"/>
        <v>Philippines</v>
      </c>
      <c r="B6527" s="3" t="str">
        <f t="shared" ref="B6527:B6528" si="3369">CHOOSE(2, "1395000000616", "$ APE from Manulife Pro - Gold")</f>
        <v>$ APE from Manulife Pro - Gold</v>
      </c>
      <c r="C6527" s="4" t="str">
        <f>CHOOSE(2, "5461730030", "Jun 26")</f>
        <v>Jun 26</v>
      </c>
      <c r="D6527" s="2" t="s">
        <v>5</v>
      </c>
    </row>
    <row r="6528" spans="1:4" x14ac:dyDescent="0.35">
      <c r="A6528" s="8" t="str">
        <f t="shared" si="3339"/>
        <v>Philippines</v>
      </c>
      <c r="B6528" s="6" t="str">
        <f t="shared" si="3369"/>
        <v>$ APE from Manulife Pro - Gold</v>
      </c>
      <c r="C6528" s="4" t="str">
        <f>CHOOSE(2, "5462030031", "Jul 26")</f>
        <v>Jul 26</v>
      </c>
      <c r="D6528" s="2" t="s">
        <v>5</v>
      </c>
    </row>
    <row r="6529" spans="1:4" x14ac:dyDescent="0.35">
      <c r="A6529" s="8" t="str">
        <f t="shared" si="3339"/>
        <v>Philippines</v>
      </c>
      <c r="B6529" s="3" t="str">
        <f t="shared" ref="B6529:B6530" si="3370">CHOOSE(2, "1395000000615", "$ APE from Manulife Pro  - Platinum")</f>
        <v>$ APE from Manulife Pro  - Platinum</v>
      </c>
      <c r="C6529" s="4" t="str">
        <f>CHOOSE(2, "5461730030", "Jun 26")</f>
        <v>Jun 26</v>
      </c>
      <c r="D6529" s="2" t="s">
        <v>5</v>
      </c>
    </row>
    <row r="6530" spans="1:4" x14ac:dyDescent="0.35">
      <c r="A6530" s="8" t="str">
        <f t="shared" si="3339"/>
        <v>Philippines</v>
      </c>
      <c r="B6530" s="6" t="str">
        <f t="shared" si="3370"/>
        <v>$ APE from Manulife Pro  - Platinum</v>
      </c>
      <c r="C6530" s="4" t="str">
        <f>CHOOSE(2, "5462030031", "Jul 26")</f>
        <v>Jul 26</v>
      </c>
      <c r="D6530" s="2" t="s">
        <v>5</v>
      </c>
    </row>
    <row r="6531" spans="1:4" x14ac:dyDescent="0.35">
      <c r="A6531" s="8" t="str">
        <f t="shared" si="3339"/>
        <v>Philippines</v>
      </c>
      <c r="B6531" s="3" t="str">
        <f t="shared" ref="B6531:B6532" si="3371">CHOOSE(2, "1395000000614", "Issued APE")</f>
        <v>Issued APE</v>
      </c>
      <c r="C6531" s="4" t="str">
        <f>CHOOSE(2, "5461730030", "Jun 26")</f>
        <v>Jun 26</v>
      </c>
      <c r="D6531" s="14">
        <v>3598313.5864473092</v>
      </c>
    </row>
    <row r="6532" spans="1:4" x14ac:dyDescent="0.35">
      <c r="A6532" s="8" t="str">
        <f t="shared" si="3339"/>
        <v>Philippines</v>
      </c>
      <c r="B6532" s="6" t="str">
        <f t="shared" si="3371"/>
        <v>Issued APE</v>
      </c>
      <c r="C6532" s="4" t="str">
        <f>CHOOSE(2, "5462030031", "Jul 26")</f>
        <v>Jul 26</v>
      </c>
      <c r="D6532" s="14">
        <v>2986513.5003691399</v>
      </c>
    </row>
    <row r="6533" spans="1:4" x14ac:dyDescent="0.35">
      <c r="A6533" s="8" t="str">
        <f t="shared" ref="A6533:A6596" si="3372">CHOOSE(2, "204000000007", "Philippines")</f>
        <v>Philippines</v>
      </c>
      <c r="B6533" s="3" t="str">
        <f t="shared" ref="B6533:B6534" si="3373">CHOOSE(2, "1395000000613", "Post-MI APE")</f>
        <v>Post-MI APE</v>
      </c>
      <c r="C6533" s="4" t="str">
        <f>CHOOSE(2, "5461730030", "Jun 26")</f>
        <v>Jun 26</v>
      </c>
      <c r="D6533" s="14">
        <v>3598313.5864473092</v>
      </c>
    </row>
    <row r="6534" spans="1:4" x14ac:dyDescent="0.35">
      <c r="A6534" s="8" t="str">
        <f t="shared" si="3372"/>
        <v>Philippines</v>
      </c>
      <c r="B6534" s="6" t="str">
        <f t="shared" si="3373"/>
        <v>Post-MI APE</v>
      </c>
      <c r="C6534" s="4" t="str">
        <f>CHOOSE(2, "5462030031", "Jul 26")</f>
        <v>Jul 26</v>
      </c>
      <c r="D6534" s="14">
        <v>2986513.5003691399</v>
      </c>
    </row>
    <row r="6535" spans="1:4" x14ac:dyDescent="0.35">
      <c r="A6535" s="8" t="str">
        <f t="shared" si="3372"/>
        <v>Philippines</v>
      </c>
      <c r="B6535" s="3" t="str">
        <f t="shared" ref="B6535:B6536" si="3374">CHOOSE(2, "1395000000610", "Pre-gap NBV")</f>
        <v>Pre-gap NBV</v>
      </c>
      <c r="C6535" s="4" t="str">
        <f>CHOOSE(2, "5461730030", "Jun 26")</f>
        <v>Jun 26</v>
      </c>
      <c r="D6535" s="14">
        <v>1788488.2574241399</v>
      </c>
    </row>
    <row r="6536" spans="1:4" x14ac:dyDescent="0.35">
      <c r="A6536" s="8" t="str">
        <f t="shared" si="3372"/>
        <v>Philippines</v>
      </c>
      <c r="B6536" s="6" t="str">
        <f t="shared" si="3374"/>
        <v>Pre-gap NBV</v>
      </c>
      <c r="C6536" s="4" t="str">
        <f>CHOOSE(2, "5462030031", "Jul 26")</f>
        <v>Jul 26</v>
      </c>
      <c r="D6536" s="14">
        <v>1567278.7440625397</v>
      </c>
    </row>
    <row r="6537" spans="1:4" x14ac:dyDescent="0.35">
      <c r="A6537" s="8" t="str">
        <f t="shared" si="3372"/>
        <v>Philippines</v>
      </c>
      <c r="B6537" s="3" t="str">
        <f t="shared" ref="B6537:B6538" si="3375">CHOOSE(2, "1395000000609", "Pre-gap NBV Margin %")</f>
        <v>Pre-gap NBV Margin %</v>
      </c>
      <c r="C6537" s="4" t="str">
        <f>CHOOSE(2, "5461730030", "Jun 26")</f>
        <v>Jun 26</v>
      </c>
      <c r="D6537" s="14">
        <v>0.49703512894493224</v>
      </c>
    </row>
    <row r="6538" spans="1:4" x14ac:dyDescent="0.35">
      <c r="A6538" s="8" t="str">
        <f t="shared" si="3372"/>
        <v>Philippines</v>
      </c>
      <c r="B6538" s="6" t="str">
        <f t="shared" si="3375"/>
        <v>Pre-gap NBV Margin %</v>
      </c>
      <c r="C6538" s="4" t="str">
        <f>CHOOSE(2, "5462030031", "Jul 26")</f>
        <v>Jul 26</v>
      </c>
      <c r="D6538" s="14">
        <v>0.5247854208155498</v>
      </c>
    </row>
    <row r="6539" spans="1:4" x14ac:dyDescent="0.35">
      <c r="A6539" s="8" t="str">
        <f t="shared" si="3372"/>
        <v>Philippines</v>
      </c>
      <c r="B6539" s="3" t="str">
        <f t="shared" ref="B6539:B6540" si="3376">CHOOSE(2, "1395000000608", "Post-gap NBV")</f>
        <v>Post-gap NBV</v>
      </c>
      <c r="C6539" s="4" t="str">
        <f>CHOOSE(2, "5461730030", "Jun 26")</f>
        <v>Jun 26</v>
      </c>
      <c r="D6539" s="14">
        <v>1788488.2574241399</v>
      </c>
    </row>
    <row r="6540" spans="1:4" x14ac:dyDescent="0.35">
      <c r="A6540" s="8" t="str">
        <f t="shared" si="3372"/>
        <v>Philippines</v>
      </c>
      <c r="B6540" s="6" t="str">
        <f t="shared" si="3376"/>
        <v>Post-gap NBV</v>
      </c>
      <c r="C6540" s="4" t="str">
        <f>CHOOSE(2, "5462030031", "Jul 26")</f>
        <v>Jul 26</v>
      </c>
      <c r="D6540" s="14">
        <v>1567278.7440625397</v>
      </c>
    </row>
    <row r="6541" spans="1:4" x14ac:dyDescent="0.35">
      <c r="A6541" s="8" t="str">
        <f t="shared" si="3372"/>
        <v>Philippines</v>
      </c>
      <c r="B6541" s="3" t="str">
        <f t="shared" ref="B6541:B6542" si="3377">CHOOSE(2, "1395000000607", "Post-gap NBV Margin %")</f>
        <v>Post-gap NBV Margin %</v>
      </c>
      <c r="C6541" s="4" t="str">
        <f>CHOOSE(2, "5461730030", "Jun 26")</f>
        <v>Jun 26</v>
      </c>
      <c r="D6541" s="14">
        <v>0.49703512894493224</v>
      </c>
    </row>
    <row r="6542" spans="1:4" x14ac:dyDescent="0.35">
      <c r="A6542" s="8" t="str">
        <f t="shared" si="3372"/>
        <v>Philippines</v>
      </c>
      <c r="B6542" s="6" t="str">
        <f t="shared" si="3377"/>
        <v>Post-gap NBV Margin %</v>
      </c>
      <c r="C6542" s="4" t="str">
        <f>CHOOSE(2, "5462030031", "Jul 26")</f>
        <v>Jul 26</v>
      </c>
      <c r="D6542" s="14">
        <v>0.5247854208155498</v>
      </c>
    </row>
    <row r="6543" spans="1:4" x14ac:dyDescent="0.35">
      <c r="A6543" s="8" t="str">
        <f t="shared" si="3372"/>
        <v>Philippines</v>
      </c>
      <c r="B6543" s="3" t="str">
        <f t="shared" ref="B6543:B6544" si="3378">CHOOSE(2, "1395000000606", "NB CSM")</f>
        <v>NB CSM</v>
      </c>
      <c r="C6543" s="4" t="str">
        <f>CHOOSE(2, "5461730030", "Jun 26")</f>
        <v>Jun 26</v>
      </c>
      <c r="D6543" s="14">
        <v>1428830.0544279998</v>
      </c>
    </row>
    <row r="6544" spans="1:4" x14ac:dyDescent="0.35">
      <c r="A6544" s="8" t="str">
        <f t="shared" si="3372"/>
        <v>Philippines</v>
      </c>
      <c r="B6544" s="6" t="str">
        <f t="shared" si="3378"/>
        <v>NB CSM</v>
      </c>
      <c r="C6544" s="4" t="str">
        <f>CHOOSE(2, "5462030031", "Jul 26")</f>
        <v>Jul 26</v>
      </c>
      <c r="D6544" s="14">
        <v>1167526.6452015198</v>
      </c>
    </row>
    <row r="6545" spans="1:4" x14ac:dyDescent="0.35">
      <c r="A6545" s="8" t="str">
        <f t="shared" si="3372"/>
        <v>Philippines</v>
      </c>
      <c r="B6545" s="3" t="str">
        <f t="shared" ref="B6545:B6546" si="3379">CHOOSE(2, "1395000000605", "NB CSM Margin %")</f>
        <v>NB CSM Margin %</v>
      </c>
      <c r="C6545" s="4" t="str">
        <f>CHOOSE(2, "5461730030", "Jun 26")</f>
        <v>Jun 26</v>
      </c>
      <c r="D6545" s="14">
        <v>0.39708325027856001</v>
      </c>
    </row>
    <row r="6546" spans="1:4" x14ac:dyDescent="0.35">
      <c r="A6546" s="8" t="str">
        <f t="shared" si="3372"/>
        <v>Philippines</v>
      </c>
      <c r="B6546" s="6" t="str">
        <f t="shared" si="3379"/>
        <v>NB CSM Margin %</v>
      </c>
      <c r="C6546" s="4" t="str">
        <f>CHOOSE(2, "5462030031", "Jul 26")</f>
        <v>Jul 26</v>
      </c>
      <c r="D6546" s="14">
        <v>0.39093298759815109</v>
      </c>
    </row>
    <row r="6547" spans="1:4" x14ac:dyDescent="0.35">
      <c r="A6547" s="8" t="str">
        <f t="shared" si="3372"/>
        <v>Philippines</v>
      </c>
      <c r="B6547" s="3" t="str">
        <f t="shared" ref="B6547:B6548" si="3380">CHOOSE(2, "1395000000604", "PRE")</f>
        <v>PRE</v>
      </c>
      <c r="C6547" s="4" t="str">
        <f>CHOOSE(2, "5461730030", "Jun 26")</f>
        <v>Jun 26</v>
      </c>
      <c r="D6547" s="14">
        <v>556826.69904832984</v>
      </c>
    </row>
    <row r="6548" spans="1:4" x14ac:dyDescent="0.35">
      <c r="A6548" s="8" t="str">
        <f t="shared" si="3372"/>
        <v>Philippines</v>
      </c>
      <c r="B6548" s="6" t="str">
        <f t="shared" si="3380"/>
        <v>PRE</v>
      </c>
      <c r="C6548" s="4" t="str">
        <f>CHOOSE(2, "5462030031", "Jul 26")</f>
        <v>Jul 26</v>
      </c>
      <c r="D6548" s="14">
        <v>417482.49020339613</v>
      </c>
    </row>
    <row r="6549" spans="1:4" x14ac:dyDescent="0.35">
      <c r="A6549" s="8" t="str">
        <f t="shared" si="3372"/>
        <v>Philippines</v>
      </c>
      <c r="B6549" s="3" t="str">
        <f t="shared" ref="B6549:B6550" si="3381">CHOOSE(2, "1395000000603", "ContEx")</f>
        <v>ContEx</v>
      </c>
      <c r="C6549" s="4" t="str">
        <f>CHOOSE(2, "5461730030", "Jun 26")</f>
        <v>Jun 26</v>
      </c>
      <c r="D6549" s="14">
        <v>0</v>
      </c>
    </row>
    <row r="6550" spans="1:4" x14ac:dyDescent="0.35">
      <c r="A6550" s="8" t="str">
        <f t="shared" si="3372"/>
        <v>Philippines</v>
      </c>
      <c r="B6550" s="6" t="str">
        <f t="shared" si="3381"/>
        <v>ContEx</v>
      </c>
      <c r="C6550" s="4" t="str">
        <f>CHOOSE(2, "5462030031", "Jul 26")</f>
        <v>Jul 26</v>
      </c>
      <c r="D6550" s="14">
        <v>0</v>
      </c>
    </row>
    <row r="6551" spans="1:4" x14ac:dyDescent="0.35">
      <c r="A6551" s="8" t="str">
        <f t="shared" si="3372"/>
        <v>Philippines</v>
      </c>
      <c r="B6551" s="3" t="str">
        <f t="shared" ref="B6551:B6552" si="3382">CHOOSE(2, "1395000000602", "% of 6-90 agents")</f>
        <v>% of 6-90 agents</v>
      </c>
      <c r="C6551" s="4" t="str">
        <f>CHOOSE(2, "5461730030", "Jun 26")</f>
        <v>Jun 26</v>
      </c>
      <c r="D6551" s="14">
        <v>4.5838359469240045E-2</v>
      </c>
    </row>
    <row r="6552" spans="1:4" x14ac:dyDescent="0.35">
      <c r="A6552" s="8" t="str">
        <f t="shared" si="3372"/>
        <v>Philippines</v>
      </c>
      <c r="B6552" s="6" t="str">
        <f t="shared" si="3382"/>
        <v>% of 6-90 agents</v>
      </c>
      <c r="C6552" s="4" t="str">
        <f>CHOOSE(2, "5462030031", "Jul 26")</f>
        <v>Jul 26</v>
      </c>
      <c r="D6552" s="14">
        <v>3.1286210892236384E-2</v>
      </c>
    </row>
    <row r="6553" spans="1:4" x14ac:dyDescent="0.35">
      <c r="A6553" s="8" t="str">
        <f t="shared" si="3372"/>
        <v>Philippines</v>
      </c>
      <c r="B6553" s="3" t="str">
        <f t="shared" ref="B6553:B6554" si="3383">CHOOSE(2, "1395000000601", "New Recruits 3M Activation Rate")</f>
        <v>New Recruits 3M Activation Rate</v>
      </c>
      <c r="C6553" s="4" t="str">
        <f>CHOOSE(2, "5461730030", "Jun 26")</f>
        <v>Jun 26</v>
      </c>
      <c r="D6553" s="14">
        <v>0.41626794258373206</v>
      </c>
    </row>
    <row r="6554" spans="1:4" x14ac:dyDescent="0.35">
      <c r="A6554" s="8" t="str">
        <f t="shared" si="3372"/>
        <v>Philippines</v>
      </c>
      <c r="B6554" s="6" t="str">
        <f t="shared" si="3383"/>
        <v>New Recruits 3M Activation Rate</v>
      </c>
      <c r="C6554" s="4" t="str">
        <f>CHOOSE(2, "5462030031", "Jul 26")</f>
        <v>Jul 26</v>
      </c>
      <c r="D6554" s="14">
        <v>0.39009287925696595</v>
      </c>
    </row>
    <row r="6555" spans="1:4" x14ac:dyDescent="0.35">
      <c r="A6555" s="8" t="str">
        <f t="shared" si="3372"/>
        <v>Philippines</v>
      </c>
      <c r="B6555" s="3" t="str">
        <f t="shared" ref="B6555:B6556" si="3384">CHOOSE(2, "1395000000600", "No. of Recruits from leaders")</f>
        <v>No. of Recruits from leaders</v>
      </c>
      <c r="C6555" s="4" t="str">
        <f>CHOOSE(2, "5461730030", "Jun 26")</f>
        <v>Jun 26</v>
      </c>
      <c r="D6555" s="2" t="s">
        <v>5</v>
      </c>
    </row>
    <row r="6556" spans="1:4" x14ac:dyDescent="0.35">
      <c r="A6556" s="8" t="str">
        <f t="shared" si="3372"/>
        <v>Philippines</v>
      </c>
      <c r="B6556" s="6" t="str">
        <f t="shared" si="3384"/>
        <v>No. of Recruits from leaders</v>
      </c>
      <c r="C6556" s="4" t="str">
        <f>CHOOSE(2, "5462030031", "Jul 26")</f>
        <v>Jul 26</v>
      </c>
      <c r="D6556" s="2" t="s">
        <v>5</v>
      </c>
    </row>
    <row r="6557" spans="1:4" x14ac:dyDescent="0.35">
      <c r="A6557" s="8" t="str">
        <f t="shared" si="3372"/>
        <v>Philippines</v>
      </c>
      <c r="B6557" s="3" t="str">
        <f t="shared" ref="B6557:B6558" si="3385">CHOOSE(2, "1395000000599", "No. of Recruits per Active Recruiting Leader per month")</f>
        <v>No. of Recruits per Active Recruiting Leader per month</v>
      </c>
      <c r="C6557" s="4" t="str">
        <f>CHOOSE(2, "5461730030", "Jun 26")</f>
        <v>Jun 26</v>
      </c>
      <c r="D6557" s="14">
        <v>0</v>
      </c>
    </row>
    <row r="6558" spans="1:4" x14ac:dyDescent="0.35">
      <c r="A6558" s="8" t="str">
        <f t="shared" si="3372"/>
        <v>Philippines</v>
      </c>
      <c r="B6558" s="6" t="str">
        <f t="shared" si="3385"/>
        <v>No. of Recruits per Active Recruiting Leader per month</v>
      </c>
      <c r="C6558" s="4" t="str">
        <f>CHOOSE(2, "5462030031", "Jul 26")</f>
        <v>Jul 26</v>
      </c>
      <c r="D6558" s="14">
        <v>0</v>
      </c>
    </row>
    <row r="6559" spans="1:4" x14ac:dyDescent="0.35">
      <c r="A6559" s="8" t="str">
        <f t="shared" si="3372"/>
        <v>Philippines</v>
      </c>
      <c r="B6559" s="3" t="str">
        <f t="shared" ref="B6559:B6560" si="3386">CHOOSE(2, "1395000000598", "PRE as % of APE")</f>
        <v>PRE as % of APE</v>
      </c>
      <c r="C6559" s="4" t="str">
        <f>CHOOSE(2, "5461730030", "Jun 26")</f>
        <v>Jun 26</v>
      </c>
      <c r="D6559" s="14">
        <v>0.15474657382434992</v>
      </c>
    </row>
    <row r="6560" spans="1:4" x14ac:dyDescent="0.35">
      <c r="A6560" s="8" t="str">
        <f t="shared" si="3372"/>
        <v>Philippines</v>
      </c>
      <c r="B6560" s="6" t="str">
        <f t="shared" si="3386"/>
        <v>PRE as % of APE</v>
      </c>
      <c r="C6560" s="4" t="str">
        <f>CHOOSE(2, "5462030031", "Jul 26")</f>
        <v>Jul 26</v>
      </c>
      <c r="D6560" s="14">
        <v>0.13978925263582245</v>
      </c>
    </row>
    <row r="6561" spans="1:4" x14ac:dyDescent="0.35">
      <c r="A6561" s="8" t="str">
        <f t="shared" si="3372"/>
        <v>Philippines</v>
      </c>
      <c r="B6561" s="3" t="str">
        <f t="shared" ref="B6561:B6562" si="3387">CHOOSE(2, "1395000000597", "ContEx as % of APE")</f>
        <v>ContEx as % of APE</v>
      </c>
      <c r="C6561" s="4" t="str">
        <f>CHOOSE(2, "5461730030", "Jun 26")</f>
        <v>Jun 26</v>
      </c>
      <c r="D6561" s="14">
        <v>0</v>
      </c>
    </row>
    <row r="6562" spans="1:4" x14ac:dyDescent="0.35">
      <c r="A6562" s="8" t="str">
        <f t="shared" si="3372"/>
        <v>Philippines</v>
      </c>
      <c r="B6562" s="6" t="str">
        <f t="shared" si="3387"/>
        <v>ContEx as % of APE</v>
      </c>
      <c r="C6562" s="4" t="str">
        <f>CHOOSE(2, "5462030031", "Jul 26")</f>
        <v>Jul 26</v>
      </c>
      <c r="D6562" s="14">
        <v>0</v>
      </c>
    </row>
    <row r="6563" spans="1:4" x14ac:dyDescent="0.35">
      <c r="A6563" s="8" t="str">
        <f t="shared" si="3372"/>
        <v>Philippines</v>
      </c>
      <c r="B6563" s="3" t="str">
        <f t="shared" ref="B6563:B6564" si="3388">CHOOSE(2, "1395000000596", "% of 1-Month Active Agents")</f>
        <v>% of 1-Month Active Agents</v>
      </c>
      <c r="C6563" s="4" t="str">
        <f>CHOOSE(2, "5461730030", "Jun 26")</f>
        <v>Jun 26</v>
      </c>
      <c r="D6563" s="14">
        <v>0.23055956389289722</v>
      </c>
    </row>
    <row r="6564" spans="1:4" x14ac:dyDescent="0.35">
      <c r="A6564" s="8" t="str">
        <f t="shared" si="3372"/>
        <v>Philippines</v>
      </c>
      <c r="B6564" s="6" t="str">
        <f t="shared" si="3388"/>
        <v>% of 1-Month Active Agents</v>
      </c>
      <c r="C6564" s="4" t="str">
        <f>CHOOSE(2, "5462030031", "Jul 26")</f>
        <v>Jul 26</v>
      </c>
      <c r="D6564" s="14">
        <v>0.22349256068911511</v>
      </c>
    </row>
    <row r="6565" spans="1:4" x14ac:dyDescent="0.35">
      <c r="A6565" s="8" t="str">
        <f t="shared" si="3372"/>
        <v>Philippines</v>
      </c>
      <c r="B6565" s="3" t="str">
        <f t="shared" ref="B6565:B6566" si="3389">CHOOSE(2, "1395000000595", "% of 3-Month Active Agents")</f>
        <v>% of 3-Month Active Agents</v>
      </c>
      <c r="C6565" s="4" t="str">
        <f>CHOOSE(2, "5461730030", "Jun 26")</f>
        <v>Jun 26</v>
      </c>
      <c r="D6565" s="14">
        <v>0.11989668766142553</v>
      </c>
    </row>
    <row r="6566" spans="1:4" x14ac:dyDescent="0.35">
      <c r="A6566" s="8" t="str">
        <f t="shared" si="3372"/>
        <v>Philippines</v>
      </c>
      <c r="B6566" s="6" t="str">
        <f t="shared" si="3389"/>
        <v>% of 3-Month Active Agents</v>
      </c>
      <c r="C6566" s="4" t="str">
        <f>CHOOSE(2, "5462030031", "Jul 26")</f>
        <v>Jul 26</v>
      </c>
      <c r="D6566" s="14">
        <v>0.1324036587194482</v>
      </c>
    </row>
    <row r="6567" spans="1:4" x14ac:dyDescent="0.35">
      <c r="A6567" s="8" t="str">
        <f t="shared" si="3372"/>
        <v>Philippines</v>
      </c>
      <c r="B6567" s="3" t="str">
        <f t="shared" ref="B6567:B6568" si="3390">CHOOSE(2, "1395000000594", "Active agents per active leader")</f>
        <v>Active agents per active leader</v>
      </c>
      <c r="C6567" s="4" t="str">
        <f>CHOOSE(2, "5461730030", "Jun 26")</f>
        <v>Jun 26</v>
      </c>
      <c r="D6567" s="14">
        <v>14.525252525252526</v>
      </c>
    </row>
    <row r="6568" spans="1:4" x14ac:dyDescent="0.35">
      <c r="A6568" s="8" t="str">
        <f t="shared" si="3372"/>
        <v>Philippines</v>
      </c>
      <c r="B6568" s="6" t="str">
        <f t="shared" si="3390"/>
        <v>Active agents per active leader</v>
      </c>
      <c r="C6568" s="4" t="str">
        <f>CHOOSE(2, "5462030031", "Jul 26")</f>
        <v>Jul 26</v>
      </c>
      <c r="D6568" s="14">
        <v>9.9790209790209783</v>
      </c>
    </row>
    <row r="6569" spans="1:4" x14ac:dyDescent="0.35">
      <c r="A6569" s="8" t="str">
        <f t="shared" si="3372"/>
        <v>Philippines</v>
      </c>
      <c r="B6569" s="3" t="str">
        <f t="shared" ref="B6569:B6570" si="3391">CHOOSE(2, "1395000000593", "Avg. Case count per 1-Month Active Agent")</f>
        <v>Avg. Case count per 1-Month Active Agent</v>
      </c>
      <c r="C6569" s="4" t="str">
        <f>CHOOSE(2, "5461730030", "Jun 26")</f>
        <v>Jun 26</v>
      </c>
      <c r="D6569" s="14">
        <v>1.4082058414464533</v>
      </c>
    </row>
    <row r="6570" spans="1:4" x14ac:dyDescent="0.35">
      <c r="A6570" s="8" t="str">
        <f t="shared" si="3372"/>
        <v>Philippines</v>
      </c>
      <c r="B6570" s="6" t="str">
        <f t="shared" si="3391"/>
        <v>Avg. Case count per 1-Month Active Agent</v>
      </c>
      <c r="C6570" s="4" t="str">
        <f>CHOOSE(2, "5462030031", "Jul 26")</f>
        <v>Jul 26</v>
      </c>
      <c r="D6570" s="14">
        <v>1.8724597056762438</v>
      </c>
    </row>
    <row r="6571" spans="1:4" x14ac:dyDescent="0.35">
      <c r="A6571" s="8" t="str">
        <f t="shared" si="3372"/>
        <v>Philippines</v>
      </c>
      <c r="B6571" s="3" t="str">
        <f t="shared" ref="B6571:B6572" si="3392">CHOOSE(2, "1395000000592", "Avg. Case size")</f>
        <v>Avg. Case size</v>
      </c>
      <c r="C6571" s="4" t="str">
        <f>CHOOSE(2, "5461730030", "Jun 26")</f>
        <v>Jun 26</v>
      </c>
      <c r="D6571" s="14">
        <v>1776.9449809616342</v>
      </c>
    </row>
    <row r="6572" spans="1:4" x14ac:dyDescent="0.35">
      <c r="A6572" s="8" t="str">
        <f t="shared" si="3372"/>
        <v>Philippines</v>
      </c>
      <c r="B6572" s="6" t="str">
        <f t="shared" si="3392"/>
        <v>Avg. Case size</v>
      </c>
      <c r="C6572" s="4" t="str">
        <f>CHOOSE(2, "5462030031", "Jul 26")</f>
        <v>Jul 26</v>
      </c>
      <c r="D6572" s="14">
        <v>1117.707148341744</v>
      </c>
    </row>
    <row r="6573" spans="1:4" x14ac:dyDescent="0.35">
      <c r="A6573" s="8" t="str">
        <f t="shared" si="3372"/>
        <v>Philippines</v>
      </c>
      <c r="B6573" s="3" t="str">
        <f t="shared" ref="B6573:B6574" si="3393">CHOOSE(2, "1395000000591", "APE per 1-Month Active Agent")</f>
        <v>APE per 1-Month Active Agent</v>
      </c>
      <c r="C6573" s="4" t="str">
        <f>CHOOSE(2, "5461730030", "Jun 26")</f>
        <v>Jun 26</v>
      </c>
      <c r="D6573" s="14">
        <v>2502.3043021191302</v>
      </c>
    </row>
    <row r="6574" spans="1:4" x14ac:dyDescent="0.35">
      <c r="A6574" s="8" t="str">
        <f t="shared" si="3372"/>
        <v>Philippines</v>
      </c>
      <c r="B6574" s="6" t="str">
        <f t="shared" si="3393"/>
        <v>APE per 1-Month Active Agent</v>
      </c>
      <c r="C6574" s="4" t="str">
        <f>CHOOSE(2, "5462030031", "Jul 26")</f>
        <v>Jul 26</v>
      </c>
      <c r="D6574" s="14">
        <v>2092.8615980162158</v>
      </c>
    </row>
    <row r="6575" spans="1:4" x14ac:dyDescent="0.35">
      <c r="A6575" s="8" t="str">
        <f t="shared" si="3372"/>
        <v>Philippines</v>
      </c>
      <c r="B6575" s="3" t="str">
        <f t="shared" ref="B6575:B6576" si="3394">CHOOSE(2, "1395000000590", "% Conversion of Proposals to cases")</f>
        <v>% Conversion of Proposals to cases</v>
      </c>
      <c r="C6575" s="4" t="str">
        <f>CHOOSE(2, "5461730030", "Jun 26")</f>
        <v>Jun 26</v>
      </c>
      <c r="D6575" s="14">
        <v>0</v>
      </c>
    </row>
    <row r="6576" spans="1:4" x14ac:dyDescent="0.35">
      <c r="A6576" s="8" t="str">
        <f t="shared" si="3372"/>
        <v>Philippines</v>
      </c>
      <c r="B6576" s="6" t="str">
        <f t="shared" si="3394"/>
        <v>% Conversion of Proposals to cases</v>
      </c>
      <c r="C6576" s="4" t="str">
        <f>CHOOSE(2, "5462030031", "Jul 26")</f>
        <v>Jul 26</v>
      </c>
      <c r="D6576" s="14">
        <v>0</v>
      </c>
    </row>
    <row r="6577" spans="1:4" x14ac:dyDescent="0.35">
      <c r="A6577" s="8" t="str">
        <f t="shared" si="3372"/>
        <v>Philippines</v>
      </c>
      <c r="B6577" s="3" t="str">
        <f t="shared" ref="B6577:B6578" si="3395">CHOOSE(2, "1395000000588", "% APE from Agents in X tenure")</f>
        <v>% APE from Agents in X tenure</v>
      </c>
      <c r="C6577" s="4" t="str">
        <f>CHOOSE(2, "5461730030", "Jun 26")</f>
        <v>Jun 26</v>
      </c>
      <c r="D6577" s="14">
        <v>1</v>
      </c>
    </row>
    <row r="6578" spans="1:4" x14ac:dyDescent="0.35">
      <c r="A6578" s="8" t="str">
        <f t="shared" si="3372"/>
        <v>Philippines</v>
      </c>
      <c r="B6578" s="6" t="str">
        <f t="shared" si="3395"/>
        <v>% APE from Agents in X tenure</v>
      </c>
      <c r="C6578" s="4" t="str">
        <f>CHOOSE(2, "5462030031", "Jul 26")</f>
        <v>Jul 26</v>
      </c>
      <c r="D6578" s="14">
        <v>1</v>
      </c>
    </row>
    <row r="6579" spans="1:4" x14ac:dyDescent="0.35">
      <c r="A6579" s="8" t="str">
        <f t="shared" si="3372"/>
        <v>Philippines</v>
      </c>
      <c r="B6579" s="3" t="str">
        <f t="shared" ref="B6579:B6580" si="3396">CHOOSE(2, "1395000000587", "% APE from Agents in X tenure in 0-1M")</f>
        <v>% APE from Agents in X tenure in 0-1M</v>
      </c>
      <c r="C6579" s="4" t="str">
        <f>CHOOSE(2, "5461730030", "Jun 26")</f>
        <v>Jun 26</v>
      </c>
      <c r="D6579" s="14">
        <v>0.1</v>
      </c>
    </row>
    <row r="6580" spans="1:4" x14ac:dyDescent="0.35">
      <c r="A6580" s="8" t="str">
        <f t="shared" si="3372"/>
        <v>Philippines</v>
      </c>
      <c r="B6580" s="6" t="str">
        <f t="shared" si="3396"/>
        <v>% APE from Agents in X tenure in 0-1M</v>
      </c>
      <c r="C6580" s="4" t="str">
        <f>CHOOSE(2, "5462030031", "Jul 26")</f>
        <v>Jul 26</v>
      </c>
      <c r="D6580" s="14">
        <v>0.1</v>
      </c>
    </row>
    <row r="6581" spans="1:4" x14ac:dyDescent="0.35">
      <c r="A6581" s="8" t="str">
        <f t="shared" si="3372"/>
        <v>Philippines</v>
      </c>
      <c r="B6581" s="3" t="str">
        <f t="shared" ref="B6581:B6582" si="3397">CHOOSE(2, "1395000000586", "% APE from Agents in X tenure in 2-3M")</f>
        <v>% APE from Agents in X tenure in 2-3M</v>
      </c>
      <c r="C6581" s="4" t="str">
        <f>CHOOSE(2, "5461730030", "Jun 26")</f>
        <v>Jun 26</v>
      </c>
      <c r="D6581" s="14">
        <v>0.2</v>
      </c>
    </row>
    <row r="6582" spans="1:4" x14ac:dyDescent="0.35">
      <c r="A6582" s="8" t="str">
        <f t="shared" si="3372"/>
        <v>Philippines</v>
      </c>
      <c r="B6582" s="6" t="str">
        <f t="shared" si="3397"/>
        <v>% APE from Agents in X tenure in 2-3M</v>
      </c>
      <c r="C6582" s="4" t="str">
        <f>CHOOSE(2, "5462030031", "Jul 26")</f>
        <v>Jul 26</v>
      </c>
      <c r="D6582" s="14">
        <v>0.2</v>
      </c>
    </row>
    <row r="6583" spans="1:4" x14ac:dyDescent="0.35">
      <c r="A6583" s="8" t="str">
        <f t="shared" si="3372"/>
        <v>Philippines</v>
      </c>
      <c r="B6583" s="3" t="str">
        <f t="shared" ref="B6583:B6584" si="3398">CHOOSE(2, "1395000000585", "% APE from Agents in X tenure in 4-12M")</f>
        <v>% APE from Agents in X tenure in 4-12M</v>
      </c>
      <c r="C6583" s="4" t="str">
        <f>CHOOSE(2, "5461730030", "Jun 26")</f>
        <v>Jun 26</v>
      </c>
      <c r="D6583" s="14">
        <v>0.3</v>
      </c>
    </row>
    <row r="6584" spans="1:4" x14ac:dyDescent="0.35">
      <c r="A6584" s="8" t="str">
        <f t="shared" si="3372"/>
        <v>Philippines</v>
      </c>
      <c r="B6584" s="6" t="str">
        <f t="shared" si="3398"/>
        <v>% APE from Agents in X tenure in 4-12M</v>
      </c>
      <c r="C6584" s="4" t="str">
        <f>CHOOSE(2, "5462030031", "Jul 26")</f>
        <v>Jul 26</v>
      </c>
      <c r="D6584" s="14">
        <v>0.3</v>
      </c>
    </row>
    <row r="6585" spans="1:4" x14ac:dyDescent="0.35">
      <c r="A6585" s="8" t="str">
        <f t="shared" si="3372"/>
        <v>Philippines</v>
      </c>
      <c r="B6585" s="3" t="str">
        <f t="shared" ref="B6585:B6586" si="3399">CHOOSE(2, "1395000000584", "% APE from Agents in X tenure 13+M")</f>
        <v>% APE from Agents in X tenure 13+M</v>
      </c>
      <c r="C6585" s="4" t="str">
        <f>CHOOSE(2, "5461730030", "Jun 26")</f>
        <v>Jun 26</v>
      </c>
      <c r="D6585" s="14">
        <v>0.4</v>
      </c>
    </row>
    <row r="6586" spans="1:4" x14ac:dyDescent="0.35">
      <c r="A6586" s="8" t="str">
        <f t="shared" si="3372"/>
        <v>Philippines</v>
      </c>
      <c r="B6586" s="6" t="str">
        <f t="shared" si="3399"/>
        <v>% APE from Agents in X tenure 13+M</v>
      </c>
      <c r="C6586" s="4" t="str">
        <f>CHOOSE(2, "5462030031", "Jul 26")</f>
        <v>Jul 26</v>
      </c>
      <c r="D6586" s="14">
        <v>0.4</v>
      </c>
    </row>
    <row r="6587" spans="1:4" x14ac:dyDescent="0.35">
      <c r="A6587" s="8" t="str">
        <f t="shared" si="3372"/>
        <v>Philippines</v>
      </c>
      <c r="B6587" s="3" t="str">
        <f t="shared" ref="B6587:B6588" si="3400">CHOOSE(2, "1395000000583", "% APE from pro-rated MDRT agents (100%)")</f>
        <v>% APE from pro-rated MDRT agents (100%)</v>
      </c>
      <c r="C6587" s="4" t="str">
        <f>CHOOSE(2, "5461730030", "Jun 26")</f>
        <v>Jun 26</v>
      </c>
      <c r="D6587" s="14">
        <v>0</v>
      </c>
    </row>
    <row r="6588" spans="1:4" x14ac:dyDescent="0.35">
      <c r="A6588" s="8" t="str">
        <f t="shared" si="3372"/>
        <v>Philippines</v>
      </c>
      <c r="B6588" s="6" t="str">
        <f t="shared" si="3400"/>
        <v>% APE from pro-rated MDRT agents (100%)</v>
      </c>
      <c r="C6588" s="4" t="str">
        <f>CHOOSE(2, "5462030031", "Jul 26")</f>
        <v>Jul 26</v>
      </c>
      <c r="D6588" s="14">
        <v>0</v>
      </c>
    </row>
    <row r="6589" spans="1:4" x14ac:dyDescent="0.35">
      <c r="A6589" s="8" t="str">
        <f t="shared" si="3372"/>
        <v>Philippines</v>
      </c>
      <c r="B6589" s="3" t="str">
        <f t="shared" ref="B6589:B6590" si="3401">CHOOSE(2, "1395000000582", "% APE from pro-rated MDRT agents (70-99%)")</f>
        <v>% APE from pro-rated MDRT agents (70-99%)</v>
      </c>
      <c r="C6589" s="4" t="str">
        <f>CHOOSE(2, "5461730030", "Jun 26")</f>
        <v>Jun 26</v>
      </c>
      <c r="D6589" s="14">
        <v>0</v>
      </c>
    </row>
    <row r="6590" spans="1:4" x14ac:dyDescent="0.35">
      <c r="A6590" s="8" t="str">
        <f t="shared" si="3372"/>
        <v>Philippines</v>
      </c>
      <c r="B6590" s="6" t="str">
        <f t="shared" si="3401"/>
        <v>% APE from pro-rated MDRT agents (70-99%)</v>
      </c>
      <c r="C6590" s="4" t="str">
        <f>CHOOSE(2, "5462030031", "Jul 26")</f>
        <v>Jul 26</v>
      </c>
      <c r="D6590" s="14">
        <v>0</v>
      </c>
    </row>
    <row r="6591" spans="1:4" x14ac:dyDescent="0.35">
      <c r="A6591" s="8" t="str">
        <f t="shared" si="3372"/>
        <v>Philippines</v>
      </c>
      <c r="B6591" s="3" t="str">
        <f t="shared" ref="B6591:B6592" si="3402">CHOOSE(2, "1395000000581", "% APE from pro-rated MDRT agents (50-69%)")</f>
        <v>% APE from pro-rated MDRT agents (50-69%)</v>
      </c>
      <c r="C6591" s="4" t="str">
        <f>CHOOSE(2, "5461730030", "Jun 26")</f>
        <v>Jun 26</v>
      </c>
      <c r="D6591" s="14">
        <v>0</v>
      </c>
    </row>
    <row r="6592" spans="1:4" x14ac:dyDescent="0.35">
      <c r="A6592" s="8" t="str">
        <f t="shared" si="3372"/>
        <v>Philippines</v>
      </c>
      <c r="B6592" s="6" t="str">
        <f t="shared" si="3402"/>
        <v>% APE from pro-rated MDRT agents (50-69%)</v>
      </c>
      <c r="C6592" s="4" t="str">
        <f>CHOOSE(2, "5462030031", "Jul 26")</f>
        <v>Jul 26</v>
      </c>
      <c r="D6592" s="14">
        <v>0</v>
      </c>
    </row>
    <row r="6593" spans="1:4" x14ac:dyDescent="0.35">
      <c r="A6593" s="8" t="str">
        <f t="shared" si="3372"/>
        <v>Philippines</v>
      </c>
      <c r="B6593" s="3" t="str">
        <f t="shared" ref="B6593:B6594" si="3403">CHOOSE(2, "1395000000580", "% APE from Top-tier agents")</f>
        <v>% APE from Top-tier agents</v>
      </c>
      <c r="C6593" s="4" t="str">
        <f>CHOOSE(2, "5461730030", "Jun 26")</f>
        <v>Jun 26</v>
      </c>
      <c r="D6593" s="14">
        <v>0</v>
      </c>
    </row>
    <row r="6594" spans="1:4" x14ac:dyDescent="0.35">
      <c r="A6594" s="8" t="str">
        <f t="shared" si="3372"/>
        <v>Philippines</v>
      </c>
      <c r="B6594" s="6" t="str">
        <f t="shared" si="3403"/>
        <v>% APE from Top-tier agents</v>
      </c>
      <c r="C6594" s="4" t="str">
        <f>CHOOSE(2, "5462030031", "Jul 26")</f>
        <v>Jul 26</v>
      </c>
      <c r="D6594" s="14">
        <v>0</v>
      </c>
    </row>
    <row r="6595" spans="1:4" x14ac:dyDescent="0.35">
      <c r="A6595" s="8" t="str">
        <f t="shared" si="3372"/>
        <v>Philippines</v>
      </c>
      <c r="B6595" s="3" t="str">
        <f t="shared" ref="B6595:B6596" si="3404">CHOOSE(2, "1395000000579", "% of Active Recruiting Leaders")</f>
        <v>% of Active Recruiting Leaders</v>
      </c>
      <c r="C6595" s="4" t="str">
        <f>CHOOSE(2, "5461730030", "Jun 26")</f>
        <v>Jun 26</v>
      </c>
      <c r="D6595" s="14">
        <v>9.5467695274831246E-2</v>
      </c>
    </row>
    <row r="6596" spans="1:4" x14ac:dyDescent="0.35">
      <c r="A6596" s="8" t="str">
        <f t="shared" si="3372"/>
        <v>Philippines</v>
      </c>
      <c r="B6596" s="6" t="str">
        <f t="shared" si="3404"/>
        <v>% of Active Recruiting Leaders</v>
      </c>
      <c r="C6596" s="4" t="str">
        <f>CHOOSE(2, "5462030031", "Jul 26")</f>
        <v>Jul 26</v>
      </c>
      <c r="D6596" s="14">
        <v>0.13723608445297505</v>
      </c>
    </row>
    <row r="6597" spans="1:4" x14ac:dyDescent="0.35">
      <c r="A6597" s="8" t="str">
        <f t="shared" ref="A6597:A6660" si="3405">CHOOSE(2, "204000000007", "Philippines")</f>
        <v>Philippines</v>
      </c>
      <c r="B6597" s="3" t="str">
        <f t="shared" ref="B6597:B6598" si="3406">CHOOSE(2, "1395000000578", "% of leaders with &gt;1 YTD recruit")</f>
        <v>% of leaders with &gt;1 YTD recruit</v>
      </c>
      <c r="C6597" s="4" t="str">
        <f>CHOOSE(2, "5461730030", "Jun 26")</f>
        <v>Jun 26</v>
      </c>
      <c r="D6597" s="14">
        <v>0.38187078109932499</v>
      </c>
    </row>
    <row r="6598" spans="1:4" x14ac:dyDescent="0.35">
      <c r="A6598" s="8" t="str">
        <f t="shared" si="3405"/>
        <v>Philippines</v>
      </c>
      <c r="B6598" s="6" t="str">
        <f t="shared" si="3406"/>
        <v>% of leaders with &gt;1 YTD recruit</v>
      </c>
      <c r="C6598" s="4" t="str">
        <f>CHOOSE(2, "5462030031", "Jul 26")</f>
        <v>Jul 26</v>
      </c>
      <c r="D6598" s="14">
        <v>0.44721689059500958</v>
      </c>
    </row>
    <row r="6599" spans="1:4" x14ac:dyDescent="0.35">
      <c r="A6599" s="8" t="str">
        <f t="shared" si="3405"/>
        <v>Philippines</v>
      </c>
      <c r="B6599" s="3" t="str">
        <f t="shared" ref="B6599:B6600" si="3407">CHOOSE(2, "1395000000577", "% of 1-Month Active Top-tier agents")</f>
        <v>% of 1-Month Active Top-tier agents</v>
      </c>
      <c r="C6599" s="4" t="str">
        <f>CHOOSE(2, "5461730030", "Jun 26")</f>
        <v>Jun 26</v>
      </c>
      <c r="D6599" s="14">
        <v>0</v>
      </c>
    </row>
    <row r="6600" spans="1:4" x14ac:dyDescent="0.35">
      <c r="A6600" s="8" t="str">
        <f t="shared" si="3405"/>
        <v>Philippines</v>
      </c>
      <c r="B6600" s="6" t="str">
        <f t="shared" si="3407"/>
        <v>% of 1-Month Active Top-tier agents</v>
      </c>
      <c r="C6600" s="4" t="str">
        <f>CHOOSE(2, "5462030031", "Jul 26")</f>
        <v>Jul 26</v>
      </c>
      <c r="D6600" s="14">
        <v>0</v>
      </c>
    </row>
    <row r="6601" spans="1:4" x14ac:dyDescent="0.35">
      <c r="A6601" s="8" t="str">
        <f t="shared" si="3405"/>
        <v>Philippines</v>
      </c>
      <c r="B6601" s="3" t="str">
        <f t="shared" ref="B6601:B6602" si="3408">CHOOSE(2, "1395000000576", "% APE from Manulife Pro - Total")</f>
        <v>% APE from Manulife Pro - Total</v>
      </c>
      <c r="C6601" s="4" t="str">
        <f>CHOOSE(2, "5461730030", "Jun 26")</f>
        <v>Jun 26</v>
      </c>
      <c r="D6601" s="14">
        <v>0</v>
      </c>
    </row>
    <row r="6602" spans="1:4" x14ac:dyDescent="0.35">
      <c r="A6602" s="8" t="str">
        <f t="shared" si="3405"/>
        <v>Philippines</v>
      </c>
      <c r="B6602" s="6" t="str">
        <f t="shared" si="3408"/>
        <v>% APE from Manulife Pro - Total</v>
      </c>
      <c r="C6602" s="4" t="str">
        <f>CHOOSE(2, "5462030031", "Jul 26")</f>
        <v>Jul 26</v>
      </c>
      <c r="D6602" s="14">
        <v>0</v>
      </c>
    </row>
    <row r="6603" spans="1:4" x14ac:dyDescent="0.35">
      <c r="A6603" s="8" t="str">
        <f t="shared" si="3405"/>
        <v>Philippines</v>
      </c>
      <c r="B6603" s="3" t="str">
        <f t="shared" ref="B6603:B6604" si="3409">CHOOSE(2, "1395000000575", "% of 1-Month Active Agents Manulife Pro Qualifiers - Total")</f>
        <v>% of 1-Month Active Agents Manulife Pro Qualifiers - Total</v>
      </c>
      <c r="C6603" s="4" t="str">
        <f>CHOOSE(2, "5461730030", "Jun 26")</f>
        <v>Jun 26</v>
      </c>
      <c r="D6603" s="14">
        <v>0</v>
      </c>
    </row>
    <row r="6604" spans="1:4" x14ac:dyDescent="0.35">
      <c r="A6604" s="8" t="str">
        <f t="shared" si="3405"/>
        <v>Philippines</v>
      </c>
      <c r="B6604" s="6" t="str">
        <f t="shared" si="3409"/>
        <v>% of 1-Month Active Agents Manulife Pro Qualifiers - Total</v>
      </c>
      <c r="C6604" s="4" t="str">
        <f>CHOOSE(2, "5462030031", "Jul 26")</f>
        <v>Jul 26</v>
      </c>
      <c r="D6604" s="14">
        <v>0</v>
      </c>
    </row>
    <row r="6605" spans="1:4" x14ac:dyDescent="0.35">
      <c r="A6605" s="8" t="str">
        <f t="shared" si="3405"/>
        <v>Philippines</v>
      </c>
      <c r="B6605" s="3" t="str">
        <f t="shared" ref="B6605:B6606" si="3410">CHOOSE(2, "1395000000574", "% of Newly Demoted UM")</f>
        <v>% of Newly Demoted UM</v>
      </c>
      <c r="C6605" s="4" t="str">
        <f>CHOOSE(2, "5461730030", "Jun 26")</f>
        <v>Jun 26</v>
      </c>
      <c r="D6605" s="14">
        <v>9.3786635404454859E-3</v>
      </c>
    </row>
    <row r="6606" spans="1:4" x14ac:dyDescent="0.35">
      <c r="A6606" s="8" t="str">
        <f t="shared" si="3405"/>
        <v>Philippines</v>
      </c>
      <c r="B6606" s="6" t="str">
        <f t="shared" si="3410"/>
        <v>% of Newly Demoted UM</v>
      </c>
      <c r="C6606" s="4" t="str">
        <f>CHOOSE(2, "5462030031", "Jul 26")</f>
        <v>Jul 26</v>
      </c>
      <c r="D6606" s="14">
        <v>1.6412661195779603E-2</v>
      </c>
    </row>
    <row r="6607" spans="1:4" x14ac:dyDescent="0.35">
      <c r="A6607" s="8" t="str">
        <f t="shared" si="3405"/>
        <v>Philippines</v>
      </c>
      <c r="B6607" s="3" t="str">
        <f t="shared" ref="B6607:B6608" si="3411">CHOOSE(2, "1395000000573", "% of Newly Demoted Leaders above UM")</f>
        <v>% of Newly Demoted Leaders above UM</v>
      </c>
      <c r="C6607" s="4" t="str">
        <f>CHOOSE(2, "5461730030", "Jun 26")</f>
        <v>Jun 26</v>
      </c>
      <c r="D6607" s="14">
        <v>1.0869565217391304E-2</v>
      </c>
    </row>
    <row r="6608" spans="1:4" x14ac:dyDescent="0.35">
      <c r="A6608" s="8" t="str">
        <f t="shared" si="3405"/>
        <v>Philippines</v>
      </c>
      <c r="B6608" s="6" t="str">
        <f t="shared" si="3411"/>
        <v>% of Newly Demoted Leaders above UM</v>
      </c>
      <c r="C6608" s="4" t="str">
        <f>CHOOSE(2, "5462030031", "Jul 26")</f>
        <v>Jul 26</v>
      </c>
      <c r="D6608" s="14">
        <v>0</v>
      </c>
    </row>
    <row r="6609" spans="1:4" x14ac:dyDescent="0.35">
      <c r="A6609" s="8" t="str">
        <f t="shared" si="3405"/>
        <v>Philippines</v>
      </c>
      <c r="B6609" s="3" t="str">
        <f t="shared" ref="B6609:B6610" si="3412">CHOOSE(2, "1395000000572", "Avg. Earning per agent")</f>
        <v>Avg. Earning per agent</v>
      </c>
      <c r="C6609" s="4" t="str">
        <f>CHOOSE(2, "5461730030", "Jun 26")</f>
        <v>Jun 26</v>
      </c>
      <c r="D6609" s="14">
        <v>0</v>
      </c>
    </row>
    <row r="6610" spans="1:4" x14ac:dyDescent="0.35">
      <c r="A6610" s="8" t="str">
        <f t="shared" si="3405"/>
        <v>Philippines</v>
      </c>
      <c r="B6610" s="6" t="str">
        <f t="shared" si="3412"/>
        <v>Avg. Earning per agent</v>
      </c>
      <c r="C6610" s="4" t="str">
        <f>CHOOSE(2, "5462030031", "Jul 26")</f>
        <v>Jul 26</v>
      </c>
      <c r="D6610" s="14">
        <v>0</v>
      </c>
    </row>
    <row r="6611" spans="1:4" x14ac:dyDescent="0.35">
      <c r="A6611" s="8" t="str">
        <f t="shared" si="3405"/>
        <v>Philippines</v>
      </c>
      <c r="B6611" s="3" t="str">
        <f t="shared" ref="B6611:B6612" si="3413">CHOOSE(2, "1395000000571", "Avg. Earning per agent in FA or equivalent")</f>
        <v>Avg. Earning per agent in FA or equivalent</v>
      </c>
      <c r="C6611" s="4" t="str">
        <f>CHOOSE(2, "5461730030", "Jun 26")</f>
        <v>Jun 26</v>
      </c>
      <c r="D6611" s="14">
        <v>0</v>
      </c>
    </row>
    <row r="6612" spans="1:4" x14ac:dyDescent="0.35">
      <c r="A6612" s="8" t="str">
        <f t="shared" si="3405"/>
        <v>Philippines</v>
      </c>
      <c r="B6612" s="6" t="str">
        <f t="shared" si="3413"/>
        <v>Avg. Earning per agent in FA or equivalent</v>
      </c>
      <c r="C6612" s="4" t="str">
        <f>CHOOSE(2, "5462030031", "Jul 26")</f>
        <v>Jul 26</v>
      </c>
      <c r="D6612" s="14">
        <v>0</v>
      </c>
    </row>
    <row r="6613" spans="1:4" x14ac:dyDescent="0.35">
      <c r="A6613" s="8" t="str">
        <f t="shared" si="3405"/>
        <v>Philippines</v>
      </c>
      <c r="B6613" s="3" t="str">
        <f t="shared" ref="B6613:B6614" si="3414">CHOOSE(2, "1395000000570", "Avg. Earning per agent in UM")</f>
        <v>Avg. Earning per agent in UM</v>
      </c>
      <c r="C6613" s="4" t="str">
        <f>CHOOSE(2, "5461730030", "Jun 26")</f>
        <v>Jun 26</v>
      </c>
      <c r="D6613" s="14">
        <v>0</v>
      </c>
    </row>
    <row r="6614" spans="1:4" x14ac:dyDescent="0.35">
      <c r="A6614" s="8" t="str">
        <f t="shared" si="3405"/>
        <v>Philippines</v>
      </c>
      <c r="B6614" s="6" t="str">
        <f t="shared" si="3414"/>
        <v>Avg. Earning per agent in UM</v>
      </c>
      <c r="C6614" s="4" t="str">
        <f>CHOOSE(2, "5462030031", "Jul 26")</f>
        <v>Jul 26</v>
      </c>
      <c r="D6614" s="14">
        <v>0</v>
      </c>
    </row>
    <row r="6615" spans="1:4" x14ac:dyDescent="0.35">
      <c r="A6615" s="8" t="str">
        <f t="shared" si="3405"/>
        <v>Philippines</v>
      </c>
      <c r="B6615" s="3" t="str">
        <f t="shared" ref="B6615:B6616" si="3415">CHOOSE(2, "1395000000569", "Avg. Earning per agent in Leaders above UM")</f>
        <v>Avg. Earning per agent in Leaders above UM</v>
      </c>
      <c r="C6615" s="4" t="str">
        <f>CHOOSE(2, "5461730030", "Jun 26")</f>
        <v>Jun 26</v>
      </c>
      <c r="D6615" s="14">
        <v>0</v>
      </c>
    </row>
    <row r="6616" spans="1:4" x14ac:dyDescent="0.35">
      <c r="A6616" s="8" t="str">
        <f t="shared" si="3405"/>
        <v>Philippines</v>
      </c>
      <c r="B6616" s="6" t="str">
        <f t="shared" si="3415"/>
        <v>Avg. Earning per agent in Leaders above UM</v>
      </c>
      <c r="C6616" s="4" t="str">
        <f>CHOOSE(2, "5462030031", "Jul 26")</f>
        <v>Jul 26</v>
      </c>
      <c r="D6616" s="14">
        <v>0</v>
      </c>
    </row>
    <row r="6617" spans="1:4" x14ac:dyDescent="0.35">
      <c r="A6617" s="8" t="str">
        <f t="shared" si="3405"/>
        <v>Philippines</v>
      </c>
      <c r="B6617" s="3" t="str">
        <f t="shared" ref="B6617:B6618" si="3416">CHOOSE(2, "1395000000568", "% of 1-Month Active Agents 0-1M")</f>
        <v>% of 1-Month Active Agents 0-1M</v>
      </c>
      <c r="C6617" s="4" t="str">
        <f>CHOOSE(2, "5461730030", "Jun 26")</f>
        <v>Jun 26</v>
      </c>
      <c r="D6617" s="14">
        <v>0.15129151291512916</v>
      </c>
    </row>
    <row r="6618" spans="1:4" x14ac:dyDescent="0.35">
      <c r="A6618" s="8" t="str">
        <f t="shared" si="3405"/>
        <v>Philippines</v>
      </c>
      <c r="B6618" s="6" t="str">
        <f t="shared" si="3416"/>
        <v>% of 1-Month Active Agents 0-1M</v>
      </c>
      <c r="C6618" s="4" t="str">
        <f>CHOOSE(2, "5462030031", "Jul 26")</f>
        <v>Jul 26</v>
      </c>
      <c r="D6618" s="14">
        <v>0.13725490196078433</v>
      </c>
    </row>
    <row r="6619" spans="1:4" x14ac:dyDescent="0.35">
      <c r="A6619" s="8" t="str">
        <f t="shared" si="3405"/>
        <v>Philippines</v>
      </c>
      <c r="B6619" s="3" t="str">
        <f t="shared" ref="B6619:B6620" si="3417">CHOOSE(2, "1395000000567", "% of 1-Month Active Agents in 2-3M")</f>
        <v>% of 1-Month Active Agents in 2-3M</v>
      </c>
      <c r="C6619" s="4" t="str">
        <f>CHOOSE(2, "5461730030", "Jun 26")</f>
        <v>Jun 26</v>
      </c>
      <c r="D6619" s="14">
        <v>0.22580645161290322</v>
      </c>
    </row>
    <row r="6620" spans="1:4" x14ac:dyDescent="0.35">
      <c r="A6620" s="8" t="str">
        <f t="shared" si="3405"/>
        <v>Philippines</v>
      </c>
      <c r="B6620" s="6" t="str">
        <f t="shared" si="3417"/>
        <v>% of 1-Month Active Agents in 2-3M</v>
      </c>
      <c r="C6620" s="4" t="str">
        <f>CHOOSE(2, "5462030031", "Jul 26")</f>
        <v>Jul 26</v>
      </c>
      <c r="D6620" s="14">
        <v>0.25447316103379719</v>
      </c>
    </row>
    <row r="6621" spans="1:4" x14ac:dyDescent="0.35">
      <c r="A6621" s="8" t="str">
        <f t="shared" si="3405"/>
        <v>Philippines</v>
      </c>
      <c r="B6621" s="3" t="str">
        <f t="shared" ref="B6621:B6622" si="3418">CHOOSE(2, "1395000000566", "% of 1-Month Active Agents 4-12M")</f>
        <v>% of 1-Month Active Agents 4-12M</v>
      </c>
      <c r="C6621" s="4" t="str">
        <f>CHOOSE(2, "5461730030", "Jun 26")</f>
        <v>Jun 26</v>
      </c>
      <c r="D6621" s="14">
        <v>0.15416178194607269</v>
      </c>
    </row>
    <row r="6622" spans="1:4" x14ac:dyDescent="0.35">
      <c r="A6622" s="8" t="str">
        <f t="shared" si="3405"/>
        <v>Philippines</v>
      </c>
      <c r="B6622" s="6" t="str">
        <f t="shared" si="3418"/>
        <v>% of 1-Month Active Agents 4-12M</v>
      </c>
      <c r="C6622" s="4" t="str">
        <f>CHOOSE(2, "5462030031", "Jul 26")</f>
        <v>Jul 26</v>
      </c>
      <c r="D6622" s="14">
        <v>0.13887307911212293</v>
      </c>
    </row>
    <row r="6623" spans="1:4" x14ac:dyDescent="0.35">
      <c r="A6623" s="8" t="str">
        <f t="shared" si="3405"/>
        <v>Philippines</v>
      </c>
      <c r="B6623" s="3" t="str">
        <f t="shared" ref="B6623:B6624" si="3419">CHOOSE(2, "1395000000565", "% of 1-Month Active Agents 13+M")</f>
        <v>% of 1-Month Active Agents 13+M</v>
      </c>
      <c r="C6623" s="4" t="str">
        <f>CHOOSE(2, "5461730030", "Jun 26")</f>
        <v>Jun 26</v>
      </c>
      <c r="D6623" s="14">
        <v>0.27228525121555913</v>
      </c>
    </row>
    <row r="6624" spans="1:4" x14ac:dyDescent="0.35">
      <c r="A6624" s="8" t="str">
        <f t="shared" si="3405"/>
        <v>Philippines</v>
      </c>
      <c r="B6624" s="6" t="str">
        <f t="shared" si="3419"/>
        <v>% of 1-Month Active Agents 13+M</v>
      </c>
      <c r="C6624" s="4" t="str">
        <f>CHOOSE(2, "5462030031", "Jul 26")</f>
        <v>Jul 26</v>
      </c>
      <c r="D6624" s="14">
        <v>0.26698513800424628</v>
      </c>
    </row>
    <row r="6625" spans="1:4" x14ac:dyDescent="0.35">
      <c r="A6625" s="8" t="str">
        <f t="shared" si="3405"/>
        <v>Philippines</v>
      </c>
      <c r="B6625" s="3" t="str">
        <f t="shared" ref="B6625:B6626" si="3420">CHOOSE(2, "1395000000564", "% of 3-Month Active Agents 0-1M")</f>
        <v>% of 3-Month Active Agents 0-1M</v>
      </c>
      <c r="C6625" s="4" t="str">
        <f>CHOOSE(2, "5461730030", "Jun 26")</f>
        <v>Jun 26</v>
      </c>
      <c r="D6625" s="14">
        <v>0.15129151291512916</v>
      </c>
    </row>
    <row r="6626" spans="1:4" x14ac:dyDescent="0.35">
      <c r="A6626" s="8" t="str">
        <f t="shared" si="3405"/>
        <v>Philippines</v>
      </c>
      <c r="B6626" s="6" t="str">
        <f t="shared" si="3420"/>
        <v>% of 3-Month Active Agents 0-1M</v>
      </c>
      <c r="C6626" s="4" t="str">
        <f>CHOOSE(2, "5462030031", "Jul 26")</f>
        <v>Jul 26</v>
      </c>
      <c r="D6626" s="14">
        <v>0.13725490196078433</v>
      </c>
    </row>
    <row r="6627" spans="1:4" x14ac:dyDescent="0.35">
      <c r="A6627" s="8" t="str">
        <f t="shared" si="3405"/>
        <v>Philippines</v>
      </c>
      <c r="B6627" s="3" t="str">
        <f t="shared" ref="B6627:B6628" si="3421">CHOOSE(2, "1395000000563", "% of 3-Month Active Agents in 2-3M")</f>
        <v>% of 3-Month Active Agents in 2-3M</v>
      </c>
      <c r="C6627" s="4" t="str">
        <f>CHOOSE(2, "5461730030", "Jun 26")</f>
        <v>Jun 26</v>
      </c>
      <c r="D6627" s="14">
        <v>0.35125448028673834</v>
      </c>
    </row>
    <row r="6628" spans="1:4" x14ac:dyDescent="0.35">
      <c r="A6628" s="8" t="str">
        <f t="shared" si="3405"/>
        <v>Philippines</v>
      </c>
      <c r="B6628" s="6" t="str">
        <f t="shared" si="3421"/>
        <v>% of 3-Month Active Agents in 2-3M</v>
      </c>
      <c r="C6628" s="4" t="str">
        <f>CHOOSE(2, "5462030031", "Jul 26")</f>
        <v>Jul 26</v>
      </c>
      <c r="D6628" s="14">
        <v>0.40357852882703776</v>
      </c>
    </row>
    <row r="6629" spans="1:4" x14ac:dyDescent="0.35">
      <c r="A6629" s="8" t="str">
        <f t="shared" si="3405"/>
        <v>Philippines</v>
      </c>
      <c r="B6629" s="3" t="str">
        <f t="shared" ref="B6629:B6630" si="3422">CHOOSE(2, "1395000000562", "% of 3-Month Active Agents 4-12M")</f>
        <v>% of 3-Month Active Agents 4-12M</v>
      </c>
      <c r="C6629" s="4" t="str">
        <f>CHOOSE(2, "5461730030", "Jun 26")</f>
        <v>Jun 26</v>
      </c>
      <c r="D6629" s="14">
        <v>0.32180539273153574</v>
      </c>
    </row>
    <row r="6630" spans="1:4" x14ac:dyDescent="0.35">
      <c r="A6630" s="8" t="str">
        <f t="shared" si="3405"/>
        <v>Philippines</v>
      </c>
      <c r="B6630" s="6" t="str">
        <f t="shared" si="3422"/>
        <v>% of 3-Month Active Agents 4-12M</v>
      </c>
      <c r="C6630" s="4" t="str">
        <f>CHOOSE(2, "5462030031", "Jul 26")</f>
        <v>Jul 26</v>
      </c>
      <c r="D6630" s="14">
        <v>0.30221969265793969</v>
      </c>
    </row>
    <row r="6631" spans="1:4" x14ac:dyDescent="0.35">
      <c r="A6631" s="8" t="str">
        <f t="shared" si="3405"/>
        <v>Philippines</v>
      </c>
      <c r="B6631" s="3" t="str">
        <f t="shared" ref="B6631:B6632" si="3423">CHOOSE(2, "1395000000561", "% of 3-Month Active Agents 13+M")</f>
        <v>% of 3-Month Active Agents 13+M</v>
      </c>
      <c r="C6631" s="4" t="str">
        <f>CHOOSE(2, "5461730030", "Jun 26")</f>
        <v>Jun 26</v>
      </c>
      <c r="D6631" s="14">
        <v>0.50243111831442466</v>
      </c>
    </row>
    <row r="6632" spans="1:4" x14ac:dyDescent="0.35">
      <c r="A6632" s="8" t="str">
        <f t="shared" si="3405"/>
        <v>Philippines</v>
      </c>
      <c r="B6632" s="6" t="str">
        <f t="shared" si="3423"/>
        <v>% of 3-Month Active Agents 13+M</v>
      </c>
      <c r="C6632" s="4" t="str">
        <f>CHOOSE(2, "5462030031", "Jul 26")</f>
        <v>Jul 26</v>
      </c>
      <c r="D6632" s="14">
        <v>0.49522292993630573</v>
      </c>
    </row>
    <row r="6633" spans="1:4" x14ac:dyDescent="0.35">
      <c r="A6633" s="8" t="str">
        <f t="shared" si="3405"/>
        <v>Philippines</v>
      </c>
      <c r="B6633" s="3" t="str">
        <f t="shared" ref="B6633:B6634" si="3424">CHOOSE(2, "1395000000560", "Avg. Case count per 1-Month Active Agent 0-1M")</f>
        <v>Avg. Case count per 1-Month Active Agent 0-1M</v>
      </c>
      <c r="C6633" s="4" t="str">
        <f>CHOOSE(2, "5461730030", "Jun 26")</f>
        <v>Jun 26</v>
      </c>
      <c r="D6633" s="14">
        <v>1.4146341463414633</v>
      </c>
    </row>
    <row r="6634" spans="1:4" x14ac:dyDescent="0.35">
      <c r="A6634" s="8" t="str">
        <f t="shared" si="3405"/>
        <v>Philippines</v>
      </c>
      <c r="B6634" s="6" t="str">
        <f t="shared" si="3424"/>
        <v>Avg. Case count per 1-Month Active Agent 0-1M</v>
      </c>
      <c r="C6634" s="4" t="str">
        <f>CHOOSE(2, "5462030031", "Jul 26")</f>
        <v>Jul 26</v>
      </c>
      <c r="D6634" s="14">
        <v>1.5714285714285714</v>
      </c>
    </row>
    <row r="6635" spans="1:4" x14ac:dyDescent="0.35">
      <c r="A6635" s="8" t="str">
        <f t="shared" si="3405"/>
        <v>Philippines</v>
      </c>
      <c r="B6635" s="3" t="str">
        <f t="shared" ref="B6635:B6636" si="3425">CHOOSE(2, "1395000000559", "Avg. Case count per 1-Month Active Agent in 2-3M")</f>
        <v>Avg. Case count per 1-Month Active Agent in 2-3M</v>
      </c>
      <c r="C6635" s="4" t="str">
        <f>CHOOSE(2, "5461730030", "Jun 26")</f>
        <v>Jun 26</v>
      </c>
      <c r="D6635" s="14">
        <v>2.0277777777777777</v>
      </c>
    </row>
    <row r="6636" spans="1:4" x14ac:dyDescent="0.35">
      <c r="A6636" s="8" t="str">
        <f t="shared" si="3405"/>
        <v>Philippines</v>
      </c>
      <c r="B6636" s="6" t="str">
        <f t="shared" si="3425"/>
        <v>Avg. Case count per 1-Month Active Agent in 2-3M</v>
      </c>
      <c r="C6636" s="4" t="str">
        <f>CHOOSE(2, "5462030031", "Jul 26")</f>
        <v>Jul 26</v>
      </c>
      <c r="D6636" s="14">
        <v>1.65625</v>
      </c>
    </row>
    <row r="6637" spans="1:4" x14ac:dyDescent="0.35">
      <c r="A6637" s="8" t="str">
        <f t="shared" si="3405"/>
        <v>Philippines</v>
      </c>
      <c r="B6637" s="3" t="str">
        <f t="shared" ref="B6637:B6638" si="3426">CHOOSE(2, "1395000000558", "Avg. Case count per 1-Month Active Agent 4-12M")</f>
        <v>Avg. Case count per 1-Month Active Agent 4-12M</v>
      </c>
      <c r="C6637" s="4" t="str">
        <f>CHOOSE(2, "5461730030", "Jun 26")</f>
        <v>Jun 26</v>
      </c>
      <c r="D6637" s="14">
        <v>0.93726235741444863</v>
      </c>
    </row>
    <row r="6638" spans="1:4" x14ac:dyDescent="0.35">
      <c r="A6638" s="8" t="str">
        <f t="shared" si="3405"/>
        <v>Philippines</v>
      </c>
      <c r="B6638" s="6" t="str">
        <f t="shared" si="3426"/>
        <v>Avg. Case count per 1-Month Active Agent 4-12M</v>
      </c>
      <c r="C6638" s="4" t="str">
        <f>CHOOSE(2, "5462030031", "Jul 26")</f>
        <v>Jul 26</v>
      </c>
      <c r="D6638" s="14">
        <v>0.65368852459016391</v>
      </c>
    </row>
    <row r="6639" spans="1:4" x14ac:dyDescent="0.35">
      <c r="A6639" s="8" t="str">
        <f t="shared" si="3405"/>
        <v>Philippines</v>
      </c>
      <c r="B6639" s="3" t="str">
        <f t="shared" ref="B6639:B6640" si="3427">CHOOSE(2, "1395000000557", "Avg. Case count per 1-Month Active Agent 13+M")</f>
        <v>Avg. Case count per 1-Month Active Agent 13+M</v>
      </c>
      <c r="C6639" s="4" t="str">
        <f>CHOOSE(2, "5461730030", "Jun 26")</f>
        <v>Jun 26</v>
      </c>
      <c r="D6639" s="14">
        <v>1.4533730158730158</v>
      </c>
    </row>
    <row r="6640" spans="1:4" x14ac:dyDescent="0.35">
      <c r="A6640" s="8" t="str">
        <f t="shared" si="3405"/>
        <v>Philippines</v>
      </c>
      <c r="B6640" s="6" t="str">
        <f t="shared" si="3427"/>
        <v>Avg. Case count per 1-Month Active Agent 13+M</v>
      </c>
      <c r="C6640" s="4" t="str">
        <f>CHOOSE(2, "5462030031", "Jul 26")</f>
        <v>Jul 26</v>
      </c>
      <c r="D6640" s="14">
        <v>1.2340954274353877</v>
      </c>
    </row>
    <row r="6641" spans="1:4" x14ac:dyDescent="0.35">
      <c r="A6641" s="8" t="str">
        <f t="shared" si="3405"/>
        <v>Philippines</v>
      </c>
      <c r="B6641" s="3" t="str">
        <f t="shared" ref="B6641:B6642" si="3428">CHOOSE(2, "1395000000556", "Avg. Case size 0-1M")</f>
        <v>Avg. Case size 0-1M</v>
      </c>
      <c r="C6641" s="4" t="str">
        <f>CHOOSE(2, "5461730030", "Jun 26")</f>
        <v>Jun 26</v>
      </c>
      <c r="D6641" s="14">
        <v>6203.9889421505331</v>
      </c>
    </row>
    <row r="6642" spans="1:4" x14ac:dyDescent="0.35">
      <c r="A6642" s="8" t="str">
        <f t="shared" si="3405"/>
        <v>Philippines</v>
      </c>
      <c r="B6642" s="6" t="str">
        <f t="shared" si="3428"/>
        <v>Avg. Case size 0-1M</v>
      </c>
      <c r="C6642" s="4" t="str">
        <f>CHOOSE(2, "5462030031", "Jul 26")</f>
        <v>Jul 26</v>
      </c>
      <c r="D6642" s="14">
        <v>3878.5889615183637</v>
      </c>
    </row>
    <row r="6643" spans="1:4" x14ac:dyDescent="0.35">
      <c r="A6643" s="8" t="str">
        <f t="shared" si="3405"/>
        <v>Philippines</v>
      </c>
      <c r="B6643" s="3" t="str">
        <f t="shared" ref="B6643:B6644" si="3429">CHOOSE(2, "1395000000555", "Avg. Case size in 2-3M")</f>
        <v>Avg. Case size in 2-3M</v>
      </c>
      <c r="C6643" s="4" t="str">
        <f>CHOOSE(2, "5461730030", "Jun 26")</f>
        <v>Jun 26</v>
      </c>
      <c r="D6643" s="14">
        <v>2816.6838250076785</v>
      </c>
    </row>
    <row r="6644" spans="1:4" x14ac:dyDescent="0.35">
      <c r="A6644" s="8" t="str">
        <f t="shared" si="3405"/>
        <v>Philippines</v>
      </c>
      <c r="B6644" s="6" t="str">
        <f t="shared" si="3429"/>
        <v>Avg. Case size in 2-3M</v>
      </c>
      <c r="C6644" s="4" t="str">
        <f>CHOOSE(2, "5462030031", "Jul 26")</f>
        <v>Jul 26</v>
      </c>
      <c r="D6644" s="14">
        <v>2817.4655663859812</v>
      </c>
    </row>
    <row r="6645" spans="1:4" x14ac:dyDescent="0.35">
      <c r="A6645" s="8" t="str">
        <f t="shared" si="3405"/>
        <v>Philippines</v>
      </c>
      <c r="B6645" s="3" t="str">
        <f t="shared" ref="B6645:B6646" si="3430">CHOOSE(2, "1395000000554", "Avg. Case size 4-12M")</f>
        <v>Avg. Case size 4-12M</v>
      </c>
      <c r="C6645" s="4" t="str">
        <f>CHOOSE(2, "5461730030", "Jun 26")</f>
        <v>Jun 26</v>
      </c>
      <c r="D6645" s="14">
        <v>4379.2863121062583</v>
      </c>
    </row>
    <row r="6646" spans="1:4" x14ac:dyDescent="0.35">
      <c r="A6646" s="8" t="str">
        <f t="shared" si="3405"/>
        <v>Philippines</v>
      </c>
      <c r="B6646" s="6" t="str">
        <f t="shared" si="3430"/>
        <v>Avg. Case size 4-12M</v>
      </c>
      <c r="C6646" s="4" t="str">
        <f>CHOOSE(2, "5462030031", "Jul 26")</f>
        <v>Jul 26</v>
      </c>
      <c r="D6646" s="14">
        <v>5617.2667718541816</v>
      </c>
    </row>
    <row r="6647" spans="1:4" x14ac:dyDescent="0.35">
      <c r="A6647" s="8" t="str">
        <f t="shared" si="3405"/>
        <v>Philippines</v>
      </c>
      <c r="B6647" s="3" t="str">
        <f t="shared" ref="B6647:B6648" si="3431">CHOOSE(2, "1395000000553", "Avg. Case size 13+M")</f>
        <v>Avg. Case size 13+M</v>
      </c>
      <c r="C6647" s="4" t="str">
        <f>CHOOSE(2, "5461730030", "Jun 26")</f>
        <v>Jun 26</v>
      </c>
      <c r="D6647" s="14">
        <v>982.47469937127903</v>
      </c>
    </row>
    <row r="6648" spans="1:4" x14ac:dyDescent="0.35">
      <c r="A6648" s="8" t="str">
        <f t="shared" si="3405"/>
        <v>Philippines</v>
      </c>
      <c r="B6648" s="6" t="str">
        <f t="shared" si="3431"/>
        <v>Avg. Case size 13+M</v>
      </c>
      <c r="C6648" s="4" t="str">
        <f>CHOOSE(2, "5462030031", "Jul 26")</f>
        <v>Jul 26</v>
      </c>
      <c r="D6648" s="14">
        <v>962.2274668929972</v>
      </c>
    </row>
    <row r="6649" spans="1:4" x14ac:dyDescent="0.35">
      <c r="A6649" s="8" t="str">
        <f t="shared" si="3405"/>
        <v>Philippines</v>
      </c>
      <c r="B6649" s="3" t="str">
        <f t="shared" ref="B6649:B6650" si="3432">CHOOSE(2, "1395000000552", "Avg. Case size UM")</f>
        <v>Avg. Case size UM</v>
      </c>
      <c r="C6649" s="4" t="str">
        <f>CHOOSE(2, "5461730030", "Jun 26")</f>
        <v>Jun 26</v>
      </c>
      <c r="D6649" s="14">
        <v>0</v>
      </c>
    </row>
    <row r="6650" spans="1:4" x14ac:dyDescent="0.35">
      <c r="A6650" s="8" t="str">
        <f t="shared" si="3405"/>
        <v>Philippines</v>
      </c>
      <c r="B6650" s="6" t="str">
        <f t="shared" si="3432"/>
        <v>Avg. Case size UM</v>
      </c>
      <c r="C6650" s="4" t="str">
        <f>CHOOSE(2, "5462030031", "Jul 26")</f>
        <v>Jul 26</v>
      </c>
      <c r="D6650" s="14">
        <v>0</v>
      </c>
    </row>
    <row r="6651" spans="1:4" x14ac:dyDescent="0.35">
      <c r="A6651" s="8" t="str">
        <f t="shared" si="3405"/>
        <v>Philippines</v>
      </c>
      <c r="B6651" s="3" t="str">
        <f t="shared" ref="B6651:B6652" si="3433">CHOOSE(2, "1395000000551", "Avg. Case size Leaders above UM")</f>
        <v>Avg. Case size Leaders above UM</v>
      </c>
      <c r="C6651" s="4" t="str">
        <f>CHOOSE(2, "5461730030", "Jun 26")</f>
        <v>Jun 26</v>
      </c>
      <c r="D6651" s="14">
        <v>0</v>
      </c>
    </row>
    <row r="6652" spans="1:4" x14ac:dyDescent="0.35">
      <c r="A6652" s="8" t="str">
        <f t="shared" si="3405"/>
        <v>Philippines</v>
      </c>
      <c r="B6652" s="6" t="str">
        <f t="shared" si="3433"/>
        <v>Avg. Case size Leaders above UM</v>
      </c>
      <c r="C6652" s="4" t="str">
        <f>CHOOSE(2, "5462030031", "Jul 26")</f>
        <v>Jul 26</v>
      </c>
      <c r="D6652" s="14">
        <v>0</v>
      </c>
    </row>
    <row r="6653" spans="1:4" x14ac:dyDescent="0.35">
      <c r="A6653" s="8" t="str">
        <f t="shared" si="3405"/>
        <v>Philippines</v>
      </c>
      <c r="B6653" s="3" t="str">
        <f t="shared" ref="B6653:B6654" si="3434">CHOOSE(2, "1395000000550", "Avg. Case size Top-tier agents")</f>
        <v>Avg. Case size Top-tier agents</v>
      </c>
      <c r="C6653" s="4" t="str">
        <f>CHOOSE(2, "5461730030", "Jun 26")</f>
        <v>Jun 26</v>
      </c>
      <c r="D6653" s="14">
        <v>0</v>
      </c>
    </row>
    <row r="6654" spans="1:4" x14ac:dyDescent="0.35">
      <c r="A6654" s="8" t="str">
        <f t="shared" si="3405"/>
        <v>Philippines</v>
      </c>
      <c r="B6654" s="6" t="str">
        <f t="shared" si="3434"/>
        <v>Avg. Case size Top-tier agents</v>
      </c>
      <c r="C6654" s="4" t="str">
        <f>CHOOSE(2, "5462030031", "Jul 26")</f>
        <v>Jul 26</v>
      </c>
      <c r="D6654" s="14">
        <v>0</v>
      </c>
    </row>
    <row r="6655" spans="1:4" x14ac:dyDescent="0.35">
      <c r="A6655" s="8" t="str">
        <f t="shared" si="3405"/>
        <v>Philippines</v>
      </c>
      <c r="B6655" s="3" t="str">
        <f t="shared" ref="B6655:B6656" si="3435">CHOOSE(2, "1395000000549", "Avg. Case size Manulife Pro Qualifiers - Total")</f>
        <v>Avg. Case size Manulife Pro Qualifiers - Total</v>
      </c>
      <c r="C6655" s="4" t="str">
        <f>CHOOSE(2, "5461730030", "Jun 26")</f>
        <v>Jun 26</v>
      </c>
      <c r="D6655" s="14">
        <v>0</v>
      </c>
    </row>
    <row r="6656" spans="1:4" x14ac:dyDescent="0.35">
      <c r="A6656" s="8" t="str">
        <f t="shared" si="3405"/>
        <v>Philippines</v>
      </c>
      <c r="B6656" s="6" t="str">
        <f t="shared" si="3435"/>
        <v>Avg. Case size Manulife Pro Qualifiers - Total</v>
      </c>
      <c r="C6656" s="4" t="str">
        <f>CHOOSE(2, "5462030031", "Jul 26")</f>
        <v>Jul 26</v>
      </c>
      <c r="D6656" s="14">
        <v>0</v>
      </c>
    </row>
    <row r="6657" spans="1:4" x14ac:dyDescent="0.35">
      <c r="A6657" s="8" t="str">
        <f t="shared" si="3405"/>
        <v>Philippines</v>
      </c>
      <c r="B6657" s="3" t="str">
        <f t="shared" ref="B6657:B6658" si="3436">CHOOSE(2, "1395000000548", "Avg. Case size FA or equivalent")</f>
        <v>Avg. Case size FA or equivalent</v>
      </c>
      <c r="C6657" s="4" t="str">
        <f>CHOOSE(2, "5461730030", "Jun 26")</f>
        <v>Jun 26</v>
      </c>
      <c r="D6657" s="14">
        <v>0</v>
      </c>
    </row>
    <row r="6658" spans="1:4" x14ac:dyDescent="0.35">
      <c r="A6658" s="8" t="str">
        <f t="shared" si="3405"/>
        <v>Philippines</v>
      </c>
      <c r="B6658" s="6" t="str">
        <f t="shared" si="3436"/>
        <v>Avg. Case size FA or equivalent</v>
      </c>
      <c r="C6658" s="4" t="str">
        <f>CHOOSE(2, "5462030031", "Jul 26")</f>
        <v>Jul 26</v>
      </c>
      <c r="D6658" s="14">
        <v>0</v>
      </c>
    </row>
    <row r="6659" spans="1:4" x14ac:dyDescent="0.35">
      <c r="A6659" s="8" t="str">
        <f t="shared" si="3405"/>
        <v>Philippines</v>
      </c>
      <c r="B6659" s="3" t="str">
        <f t="shared" ref="B6659:B6660" si="3437">CHOOSE(2, "1395000000547", "Avg. Case size pro-rated MDRT agents (&gt;100%)")</f>
        <v>Avg. Case size pro-rated MDRT agents (&gt;100%)</v>
      </c>
      <c r="C6659" s="4" t="str">
        <f>CHOOSE(2, "5461730030", "Jun 26")</f>
        <v>Jun 26</v>
      </c>
      <c r="D6659" s="14">
        <v>0</v>
      </c>
    </row>
    <row r="6660" spans="1:4" x14ac:dyDescent="0.35">
      <c r="A6660" s="8" t="str">
        <f t="shared" si="3405"/>
        <v>Philippines</v>
      </c>
      <c r="B6660" s="6" t="str">
        <f t="shared" si="3437"/>
        <v>Avg. Case size pro-rated MDRT agents (&gt;100%)</v>
      </c>
      <c r="C6660" s="4" t="str">
        <f>CHOOSE(2, "5462030031", "Jul 26")</f>
        <v>Jul 26</v>
      </c>
      <c r="D6660" s="14">
        <v>0</v>
      </c>
    </row>
    <row r="6661" spans="1:4" x14ac:dyDescent="0.35">
      <c r="A6661" s="8" t="str">
        <f t="shared" ref="A6661:A6694" si="3438">CHOOSE(2, "204000000007", "Philippines")</f>
        <v>Philippines</v>
      </c>
      <c r="B6661" s="3" t="str">
        <f t="shared" ref="B6661:B6662" si="3439">CHOOSE(2, "1395000000546", "Avg. Case size pro-rated MDRT agents (70-99%)")</f>
        <v>Avg. Case size pro-rated MDRT agents (70-99%)</v>
      </c>
      <c r="C6661" s="4" t="str">
        <f>CHOOSE(2, "5461730030", "Jun 26")</f>
        <v>Jun 26</v>
      </c>
      <c r="D6661" s="14">
        <v>0</v>
      </c>
    </row>
    <row r="6662" spans="1:4" x14ac:dyDescent="0.35">
      <c r="A6662" s="8" t="str">
        <f t="shared" si="3438"/>
        <v>Philippines</v>
      </c>
      <c r="B6662" s="6" t="str">
        <f t="shared" si="3439"/>
        <v>Avg. Case size pro-rated MDRT agents (70-99%)</v>
      </c>
      <c r="C6662" s="4" t="str">
        <f>CHOOSE(2, "5462030031", "Jul 26")</f>
        <v>Jul 26</v>
      </c>
      <c r="D6662" s="14">
        <v>0</v>
      </c>
    </row>
    <row r="6663" spans="1:4" x14ac:dyDescent="0.35">
      <c r="A6663" s="8" t="str">
        <f t="shared" si="3438"/>
        <v>Philippines</v>
      </c>
      <c r="B6663" s="3" t="str">
        <f t="shared" ref="B6663:B6664" si="3440">CHOOSE(2, "1395000000545", "Avg. Case size pro-rated MDRT agents (50-69%)")</f>
        <v>Avg. Case size pro-rated MDRT agents (50-69%)</v>
      </c>
      <c r="C6663" s="4" t="str">
        <f>CHOOSE(2, "5461730030", "Jun 26")</f>
        <v>Jun 26</v>
      </c>
      <c r="D6663" s="14">
        <v>0</v>
      </c>
    </row>
    <row r="6664" spans="1:4" x14ac:dyDescent="0.35">
      <c r="A6664" s="8" t="str">
        <f t="shared" si="3438"/>
        <v>Philippines</v>
      </c>
      <c r="B6664" s="6" t="str">
        <f t="shared" si="3440"/>
        <v>Avg. Case size pro-rated MDRT agents (50-69%)</v>
      </c>
      <c r="C6664" s="4" t="str">
        <f>CHOOSE(2, "5462030031", "Jul 26")</f>
        <v>Jul 26</v>
      </c>
      <c r="D6664" s="14">
        <v>0</v>
      </c>
    </row>
    <row r="6665" spans="1:4" x14ac:dyDescent="0.35">
      <c r="A6665" s="8" t="str">
        <f t="shared" si="3438"/>
        <v>Philippines</v>
      </c>
      <c r="B6665" s="3" t="str">
        <f t="shared" ref="B6665:B6666" si="3441">CHOOSE(2, "1395000000544", "% of 1-Month Active Agents UM")</f>
        <v>% of 1-Month Active Agents UM</v>
      </c>
      <c r="C6665" s="4" t="str">
        <f>CHOOSE(2, "5461730030", "Jun 26")</f>
        <v>Jun 26</v>
      </c>
      <c r="D6665" s="14">
        <v>0.25908558030480655</v>
      </c>
    </row>
    <row r="6666" spans="1:4" x14ac:dyDescent="0.35">
      <c r="A6666" s="8" t="str">
        <f t="shared" si="3438"/>
        <v>Philippines</v>
      </c>
      <c r="B6666" s="6" t="str">
        <f t="shared" si="3441"/>
        <v>% of 1-Month Active Agents UM</v>
      </c>
      <c r="C6666" s="4" t="str">
        <f>CHOOSE(2, "5462030031", "Jul 26")</f>
        <v>Jul 26</v>
      </c>
      <c r="D6666" s="14">
        <v>0.26729191090269638</v>
      </c>
    </row>
    <row r="6667" spans="1:4" x14ac:dyDescent="0.35">
      <c r="A6667" s="8" t="str">
        <f t="shared" si="3438"/>
        <v>Philippines</v>
      </c>
      <c r="B6667" s="3" t="str">
        <f t="shared" ref="B6667:B6668" si="3442">CHOOSE(2, "1395000000543", "% of 1-Month Active Agents Leaders above UM")</f>
        <v>% of 1-Month Active Agents Leaders above UM</v>
      </c>
      <c r="C6667" s="4" t="str">
        <f>CHOOSE(2, "5461730030", "Jun 26")</f>
        <v>Jun 26</v>
      </c>
      <c r="D6667" s="14">
        <v>0.18478260869565216</v>
      </c>
    </row>
    <row r="6668" spans="1:4" x14ac:dyDescent="0.35">
      <c r="A6668" s="8" t="str">
        <f t="shared" si="3438"/>
        <v>Philippines</v>
      </c>
      <c r="B6668" s="6" t="str">
        <f t="shared" si="3442"/>
        <v>% of 1-Month Active Agents Leaders above UM</v>
      </c>
      <c r="C6668" s="4" t="str">
        <f>CHOOSE(2, "5462030031", "Jul 26")</f>
        <v>Jul 26</v>
      </c>
      <c r="D6668" s="14">
        <v>0.14814814814814814</v>
      </c>
    </row>
    <row r="6669" spans="1:4" x14ac:dyDescent="0.35">
      <c r="A6669" s="8" t="str">
        <f t="shared" si="3438"/>
        <v>Philippines</v>
      </c>
      <c r="B6669" s="3" t="str">
        <f t="shared" ref="B6669:B6670" si="3443">CHOOSE(2, "1395000000542", "% of 1-Month Active Agents Top-tier agents")</f>
        <v>% of 1-Month Active Agents Top-tier agents</v>
      </c>
      <c r="C6669" s="4" t="str">
        <f>CHOOSE(2, "5461730030", "Jun 26")</f>
        <v>Jun 26</v>
      </c>
      <c r="D6669" s="14">
        <v>0</v>
      </c>
    </row>
    <row r="6670" spans="1:4" x14ac:dyDescent="0.35">
      <c r="A6670" s="8" t="str">
        <f t="shared" si="3438"/>
        <v>Philippines</v>
      </c>
      <c r="B6670" s="6" t="str">
        <f t="shared" si="3443"/>
        <v>% of 1-Month Active Agents Top-tier agents</v>
      </c>
      <c r="C6670" s="4" t="str">
        <f>CHOOSE(2, "5462030031", "Jul 26")</f>
        <v>Jul 26</v>
      </c>
      <c r="D6670" s="14">
        <v>0</v>
      </c>
    </row>
    <row r="6671" spans="1:4" x14ac:dyDescent="0.35">
      <c r="A6671" s="8" t="str">
        <f t="shared" si="3438"/>
        <v>Philippines</v>
      </c>
      <c r="B6671" s="3" t="str">
        <f t="shared" ref="B6671:B6672" si="3444">CHOOSE(2, "1395000000541", "% of 1-Month Active Agents FA or equivalent")</f>
        <v>% of 1-Month Active Agents FA or equivalent</v>
      </c>
      <c r="C6671" s="4" t="str">
        <f>CHOOSE(2, "5461730030", "Jun 26")</f>
        <v>Jun 26</v>
      </c>
      <c r="D6671" s="14">
        <v>0.22750000000000001</v>
      </c>
    </row>
    <row r="6672" spans="1:4" x14ac:dyDescent="0.35">
      <c r="A6672" s="8" t="str">
        <f t="shared" si="3438"/>
        <v>Philippines</v>
      </c>
      <c r="B6672" s="6" t="str">
        <f t="shared" si="3444"/>
        <v>% of 1-Month Active Agents FA or equivalent</v>
      </c>
      <c r="C6672" s="4" t="str">
        <f>CHOOSE(2, "5462030031", "Jul 26")</f>
        <v>Jul 26</v>
      </c>
      <c r="D6672" s="14">
        <v>0.2191652629608834</v>
      </c>
    </row>
    <row r="6673" spans="1:4" x14ac:dyDescent="0.35">
      <c r="A6673" s="8" t="str">
        <f t="shared" si="3438"/>
        <v>Philippines</v>
      </c>
      <c r="B6673" s="3" t="str">
        <f t="shared" ref="B6673:B6674" si="3445">CHOOSE(2, "1395000000540", "% of 1-Month Active Agents pro-rated MDRT agents (&gt;100%)")</f>
        <v>% of 1-Month Active Agents pro-rated MDRT agents (&gt;100%)</v>
      </c>
      <c r="C6673" s="4" t="str">
        <f>CHOOSE(2, "5461730030", "Jun 26")</f>
        <v>Jun 26</v>
      </c>
      <c r="D6673" s="14">
        <v>0</v>
      </c>
    </row>
    <row r="6674" spans="1:4" x14ac:dyDescent="0.35">
      <c r="A6674" s="8" t="str">
        <f t="shared" si="3438"/>
        <v>Philippines</v>
      </c>
      <c r="B6674" s="6" t="str">
        <f t="shared" si="3445"/>
        <v>% of 1-Month Active Agents pro-rated MDRT agents (&gt;100%)</v>
      </c>
      <c r="C6674" s="4" t="str">
        <f>CHOOSE(2, "5462030031", "Jul 26")</f>
        <v>Jul 26</v>
      </c>
      <c r="D6674" s="14">
        <v>0</v>
      </c>
    </row>
    <row r="6675" spans="1:4" x14ac:dyDescent="0.35">
      <c r="A6675" s="8" t="str">
        <f t="shared" si="3438"/>
        <v>Philippines</v>
      </c>
      <c r="B6675" s="3" t="str">
        <f t="shared" ref="B6675:B6676" si="3446">CHOOSE(2, "1395000000539", "% of 1-Month Active Agents pro-rated MDRT agents (70-99%)")</f>
        <v>% of 1-Month Active Agents pro-rated MDRT agents (70-99%)</v>
      </c>
      <c r="C6675" s="4" t="str">
        <f>CHOOSE(2, "5461730030", "Jun 26")</f>
        <v>Jun 26</v>
      </c>
      <c r="D6675" s="14">
        <v>0</v>
      </c>
    </row>
    <row r="6676" spans="1:4" x14ac:dyDescent="0.35">
      <c r="A6676" s="8" t="str">
        <f t="shared" si="3438"/>
        <v>Philippines</v>
      </c>
      <c r="B6676" s="6" t="str">
        <f t="shared" si="3446"/>
        <v>% of 1-Month Active Agents pro-rated MDRT agents (70-99%)</v>
      </c>
      <c r="C6676" s="4" t="str">
        <f>CHOOSE(2, "5462030031", "Jul 26")</f>
        <v>Jul 26</v>
      </c>
      <c r="D6676" s="14">
        <v>0</v>
      </c>
    </row>
    <row r="6677" spans="1:4" x14ac:dyDescent="0.35">
      <c r="A6677" s="8" t="str">
        <f t="shared" si="3438"/>
        <v>Philippines</v>
      </c>
      <c r="B6677" s="3" t="str">
        <f t="shared" ref="B6677:B6678" si="3447">CHOOSE(2, "1395000000538", "% of 1-Month Active Agents pro-rated MDRT agents (50-69%)")</f>
        <v>% of 1-Month Active Agents pro-rated MDRT agents (50-69%)</v>
      </c>
      <c r="C6677" s="4" t="str">
        <f>CHOOSE(2, "5461730030", "Jun 26")</f>
        <v>Jun 26</v>
      </c>
      <c r="D6677" s="14">
        <v>0</v>
      </c>
    </row>
    <row r="6678" spans="1:4" x14ac:dyDescent="0.35">
      <c r="A6678" s="8" t="str">
        <f t="shared" si="3438"/>
        <v>Philippines</v>
      </c>
      <c r="B6678" s="6" t="str">
        <f t="shared" si="3447"/>
        <v>% of 1-Month Active Agents pro-rated MDRT agents (50-69%)</v>
      </c>
      <c r="C6678" s="4" t="str">
        <f>CHOOSE(2, "5462030031", "Jul 26")</f>
        <v>Jul 26</v>
      </c>
      <c r="D6678" s="14">
        <v>0</v>
      </c>
    </row>
    <row r="6679" spans="1:4" x14ac:dyDescent="0.35">
      <c r="A6679" s="8" t="str">
        <f t="shared" si="3438"/>
        <v>Philippines</v>
      </c>
      <c r="B6679" s="3" t="str">
        <f t="shared" ref="B6679:B6680" si="3448">CHOOSE(2, "1395000000537", "Avg. Case count per 1-Month Active Agent UM")</f>
        <v>Avg. Case count per 1-Month Active Agent UM</v>
      </c>
      <c r="C6679" s="4" t="str">
        <f>CHOOSE(2, "5461730030", "Jun 26")</f>
        <v>Jun 26</v>
      </c>
      <c r="D6679" s="14">
        <v>2.2307692307692308</v>
      </c>
    </row>
    <row r="6680" spans="1:4" x14ac:dyDescent="0.35">
      <c r="A6680" s="8" t="str">
        <f t="shared" si="3438"/>
        <v>Philippines</v>
      </c>
      <c r="B6680" s="6" t="str">
        <f t="shared" si="3448"/>
        <v>Avg. Case count per 1-Month Active Agent UM</v>
      </c>
      <c r="C6680" s="4" t="str">
        <f>CHOOSE(2, "5462030031", "Jul 26")</f>
        <v>Jul 26</v>
      </c>
      <c r="D6680" s="14">
        <v>1.6337719298245614</v>
      </c>
    </row>
    <row r="6681" spans="1:4" x14ac:dyDescent="0.35">
      <c r="A6681" s="8" t="str">
        <f t="shared" si="3438"/>
        <v>Philippines</v>
      </c>
      <c r="B6681" s="3" t="str">
        <f t="shared" ref="B6681:B6682" si="3449">CHOOSE(2, "1395000000536", "Avg. Case count per 1-Month Active Agent Leaders above UM")</f>
        <v>Avg. Case count per 1-Month Active Agent Leaders above UM</v>
      </c>
      <c r="C6681" s="4" t="str">
        <f>CHOOSE(2, "5461730030", "Jun 26")</f>
        <v>Jun 26</v>
      </c>
      <c r="D6681" s="14">
        <v>2.0147058823529411</v>
      </c>
    </row>
    <row r="6682" spans="1:4" x14ac:dyDescent="0.35">
      <c r="A6682" s="8" t="str">
        <f t="shared" si="3438"/>
        <v>Philippines</v>
      </c>
      <c r="B6682" s="6" t="str">
        <f t="shared" si="3449"/>
        <v>Avg. Case count per 1-Month Active Agent Leaders above UM</v>
      </c>
      <c r="C6682" s="4" t="str">
        <f>CHOOSE(2, "5462030031", "Jul 26")</f>
        <v>Jul 26</v>
      </c>
      <c r="D6682" s="14">
        <v>2</v>
      </c>
    </row>
    <row r="6683" spans="1:4" x14ac:dyDescent="0.35">
      <c r="A6683" s="8" t="str">
        <f t="shared" si="3438"/>
        <v>Philippines</v>
      </c>
      <c r="B6683" s="3" t="str">
        <f t="shared" ref="B6683:B6684" si="3450">CHOOSE(2, "1395000000535", "Avg. Case count per 1-Month Active Agent Top-tier agents")</f>
        <v>Avg. Case count per 1-Month Active Agent Top-tier agents</v>
      </c>
      <c r="C6683" s="4" t="str">
        <f>CHOOSE(2, "5461730030", "Jun 26")</f>
        <v>Jun 26</v>
      </c>
      <c r="D6683" s="14">
        <v>0</v>
      </c>
    </row>
    <row r="6684" spans="1:4" x14ac:dyDescent="0.35">
      <c r="A6684" s="8" t="str">
        <f t="shared" si="3438"/>
        <v>Philippines</v>
      </c>
      <c r="B6684" s="6" t="str">
        <f t="shared" si="3450"/>
        <v>Avg. Case count per 1-Month Active Agent Top-tier agents</v>
      </c>
      <c r="C6684" s="4" t="str">
        <f>CHOOSE(2, "5462030031", "Jul 26")</f>
        <v>Jul 26</v>
      </c>
      <c r="D6684" s="14">
        <v>0</v>
      </c>
    </row>
    <row r="6685" spans="1:4" x14ac:dyDescent="0.35">
      <c r="A6685" s="8" t="str">
        <f t="shared" si="3438"/>
        <v>Philippines</v>
      </c>
      <c r="B6685" s="3" t="str">
        <f t="shared" ref="B6685:B6686" si="3451">CHOOSE(2, "1395000000534", "Avg. Case count per 1-Month Manulife Pro Qualifiers - Total")</f>
        <v>Avg. Case count per 1-Month Manulife Pro Qualifiers - Total</v>
      </c>
      <c r="C6685" s="4" t="str">
        <f>CHOOSE(2, "5461730030", "Jun 26")</f>
        <v>Jun 26</v>
      </c>
      <c r="D6685" s="14">
        <v>0</v>
      </c>
    </row>
    <row r="6686" spans="1:4" x14ac:dyDescent="0.35">
      <c r="A6686" s="8" t="str">
        <f t="shared" si="3438"/>
        <v>Philippines</v>
      </c>
      <c r="B6686" s="6" t="str">
        <f t="shared" si="3451"/>
        <v>Avg. Case count per 1-Month Manulife Pro Qualifiers - Total</v>
      </c>
      <c r="C6686" s="4" t="str">
        <f>CHOOSE(2, "5462030031", "Jul 26")</f>
        <v>Jul 26</v>
      </c>
      <c r="D6686" s="14">
        <v>0</v>
      </c>
    </row>
    <row r="6687" spans="1:4" x14ac:dyDescent="0.35">
      <c r="A6687" s="8" t="str">
        <f t="shared" si="3438"/>
        <v>Philippines</v>
      </c>
      <c r="B6687" s="3" t="str">
        <f t="shared" ref="B6687:B6688" si="3452">CHOOSE(2, "1395000000533", "Avg. Case count per 1-Month Active Agent FA or equivalent")</f>
        <v>Avg. Case count per 1-Month Active Agent FA or equivalent</v>
      </c>
      <c r="C6687" s="4" t="str">
        <f>CHOOSE(2, "5461730030", "Jun 26")</f>
        <v>Jun 26</v>
      </c>
      <c r="D6687" s="14">
        <v>1.2371090448013524</v>
      </c>
    </row>
    <row r="6688" spans="1:4" x14ac:dyDescent="0.35">
      <c r="A6688" s="8" t="str">
        <f t="shared" si="3438"/>
        <v>Philippines</v>
      </c>
      <c r="B6688" s="6" t="str">
        <f t="shared" si="3452"/>
        <v>Avg. Case count per 1-Month Active Agent FA or equivalent</v>
      </c>
      <c r="C6688" s="4" t="str">
        <f>CHOOSE(2, "5462030031", "Jul 26")</f>
        <v>Jul 26</v>
      </c>
      <c r="D6688" s="14">
        <v>1.0772843723313408</v>
      </c>
    </row>
    <row r="6689" spans="1:4" x14ac:dyDescent="0.35">
      <c r="A6689" s="8" t="str">
        <f t="shared" si="3438"/>
        <v>Philippines</v>
      </c>
      <c r="B6689" s="3" t="str">
        <f t="shared" ref="B6689:B6690" si="3453">CHOOSE(2, "1395000000532", "Avg. Case count per 1-Month pro-rated MDRT agents (&gt;100%)")</f>
        <v>Avg. Case count per 1-Month pro-rated MDRT agents (&gt;100%)</v>
      </c>
      <c r="C6689" s="4" t="str">
        <f>CHOOSE(2, "5461730030", "Jun 26")</f>
        <v>Jun 26</v>
      </c>
      <c r="D6689" s="14">
        <v>0</v>
      </c>
    </row>
    <row r="6690" spans="1:4" x14ac:dyDescent="0.35">
      <c r="A6690" s="8" t="str">
        <f t="shared" si="3438"/>
        <v>Philippines</v>
      </c>
      <c r="B6690" s="6" t="str">
        <f t="shared" si="3453"/>
        <v>Avg. Case count per 1-Month pro-rated MDRT agents (&gt;100%)</v>
      </c>
      <c r="C6690" s="4" t="str">
        <f>CHOOSE(2, "5462030031", "Jul 26")</f>
        <v>Jul 26</v>
      </c>
      <c r="D6690" s="14">
        <v>0</v>
      </c>
    </row>
    <row r="6691" spans="1:4" x14ac:dyDescent="0.35">
      <c r="A6691" s="8" t="str">
        <f t="shared" si="3438"/>
        <v>Philippines</v>
      </c>
      <c r="B6691" s="3" t="str">
        <f t="shared" ref="B6691:B6692" si="3454">CHOOSE(2, "1395000000531", "Avg. Case count per 1-Month pro-rated MDRT agents (70-99%)")</f>
        <v>Avg. Case count per 1-Month pro-rated MDRT agents (70-99%)</v>
      </c>
      <c r="C6691" s="4" t="str">
        <f>CHOOSE(2, "5461730030", "Jun 26")</f>
        <v>Jun 26</v>
      </c>
      <c r="D6691" s="14">
        <v>0</v>
      </c>
    </row>
    <row r="6692" spans="1:4" x14ac:dyDescent="0.35">
      <c r="A6692" s="8" t="str">
        <f t="shared" si="3438"/>
        <v>Philippines</v>
      </c>
      <c r="B6692" s="6" t="str">
        <f t="shared" si="3454"/>
        <v>Avg. Case count per 1-Month pro-rated MDRT agents (70-99%)</v>
      </c>
      <c r="C6692" s="4" t="str">
        <f>CHOOSE(2, "5462030031", "Jul 26")</f>
        <v>Jul 26</v>
      </c>
      <c r="D6692" s="14">
        <v>0</v>
      </c>
    </row>
    <row r="6693" spans="1:4" x14ac:dyDescent="0.35">
      <c r="A6693" s="8" t="str">
        <f t="shared" si="3438"/>
        <v>Philippines</v>
      </c>
      <c r="B6693" s="3" t="str">
        <f t="shared" ref="B6693:B6694" si="3455">CHOOSE(2, "1395000000530", "Avg. Case count per 1-Month pro-rated MDRT agents (50-69%)")</f>
        <v>Avg. Case count per 1-Month pro-rated MDRT agents (50-69%)</v>
      </c>
      <c r="C6693" s="4" t="str">
        <f>CHOOSE(2, "5461730030", "Jun 26")</f>
        <v>Jun 26</v>
      </c>
      <c r="D6693" s="14">
        <v>0</v>
      </c>
    </row>
    <row r="6694" spans="1:4" x14ac:dyDescent="0.35">
      <c r="A6694" s="9" t="str">
        <f t="shared" si="3438"/>
        <v>Philippines</v>
      </c>
      <c r="B6694" s="6" t="str">
        <f t="shared" si="3455"/>
        <v>Avg. Case count per 1-Month pro-rated MDRT agents (50-69%)</v>
      </c>
      <c r="C6694" s="4" t="str">
        <f>CHOOSE(2, "5462030031", "Jul 26")</f>
        <v>Jul 26</v>
      </c>
      <c r="D6694" s="14">
        <v>0</v>
      </c>
    </row>
    <row r="6695" spans="1:4" x14ac:dyDescent="0.35">
      <c r="A6695" s="3" t="str">
        <f t="shared" ref="A6695:A6758" si="3456">CHOOSE(2, "1260000000008", "Agency")</f>
        <v>Agency</v>
      </c>
      <c r="B6695" s="3" t="str">
        <f t="shared" ref="B6695:B6696" si="3457">CHOOSE(2, "1395000000741", "Submitted APE")</f>
        <v>Submitted APE</v>
      </c>
      <c r="C6695" s="4" t="str">
        <f>CHOOSE(2, "5461730030", "Jun 26")</f>
        <v>Jun 26</v>
      </c>
      <c r="D6695" s="14">
        <v>565343.91709912289</v>
      </c>
    </row>
    <row r="6696" spans="1:4" x14ac:dyDescent="0.35">
      <c r="A6696" s="5" t="str">
        <f t="shared" si="3456"/>
        <v>Agency</v>
      </c>
      <c r="B6696" s="6" t="str">
        <f t="shared" si="3457"/>
        <v>Submitted APE</v>
      </c>
      <c r="C6696" s="4" t="str">
        <f>CHOOSE(2, "5462030031", "Jul 26")</f>
        <v>Jul 26</v>
      </c>
      <c r="D6696" s="14">
        <v>498886.59544389957</v>
      </c>
    </row>
    <row r="6697" spans="1:4" x14ac:dyDescent="0.35">
      <c r="A6697" s="5" t="str">
        <f t="shared" si="3456"/>
        <v>Agency</v>
      </c>
      <c r="B6697" s="3" t="str">
        <f t="shared" ref="B6697:B6698" si="3458">CHOOSE(2, "1395000000740", "# of 1-Month Active Agents")</f>
        <v># of 1-Month Active Agents</v>
      </c>
      <c r="C6697" s="4" t="str">
        <f>CHOOSE(2, "5461730030", "Jun 26")</f>
        <v>Jun 26</v>
      </c>
      <c r="D6697" s="14">
        <v>646</v>
      </c>
    </row>
    <row r="6698" spans="1:4" x14ac:dyDescent="0.35">
      <c r="A6698" s="5" t="str">
        <f t="shared" si="3456"/>
        <v>Agency</v>
      </c>
      <c r="B6698" s="6" t="str">
        <f t="shared" si="3458"/>
        <v># of 1-Month Active Agents</v>
      </c>
      <c r="C6698" s="4" t="str">
        <f>CHOOSE(2, "5462030031", "Jul 26")</f>
        <v>Jul 26</v>
      </c>
      <c r="D6698" s="14">
        <v>620</v>
      </c>
    </row>
    <row r="6699" spans="1:4" x14ac:dyDescent="0.35">
      <c r="A6699" s="5" t="str">
        <f t="shared" si="3456"/>
        <v>Agency</v>
      </c>
      <c r="B6699" s="3" t="str">
        <f t="shared" ref="B6699:B6700" si="3459">CHOOSE(2, "1395000000739", "# of 1-Month Active Agents in 0-1M")</f>
        <v># of 1-Month Active Agents in 0-1M</v>
      </c>
      <c r="C6699" s="4" t="str">
        <f>CHOOSE(2, "5461730030", "Jun 26")</f>
        <v>Jun 26</v>
      </c>
      <c r="D6699" s="14">
        <v>8</v>
      </c>
    </row>
    <row r="6700" spans="1:4" x14ac:dyDescent="0.35">
      <c r="A6700" s="5" t="str">
        <f t="shared" si="3456"/>
        <v>Agency</v>
      </c>
      <c r="B6700" s="6" t="str">
        <f t="shared" si="3459"/>
        <v># of 1-Month Active Agents in 0-1M</v>
      </c>
      <c r="C6700" s="4" t="str">
        <f>CHOOSE(2, "5462030031", "Jul 26")</f>
        <v>Jul 26</v>
      </c>
      <c r="D6700" s="14">
        <v>7</v>
      </c>
    </row>
    <row r="6701" spans="1:4" x14ac:dyDescent="0.35">
      <c r="A6701" s="5" t="str">
        <f t="shared" si="3456"/>
        <v>Agency</v>
      </c>
      <c r="B6701" s="3" t="str">
        <f t="shared" ref="B6701:B6702" si="3460">CHOOSE(2, "1395000000738", "# of 1-Month Active Agents in 2-3M")</f>
        <v># of 1-Month Active Agents in 2-3M</v>
      </c>
      <c r="C6701" s="4" t="str">
        <f>CHOOSE(2, "5461730030", "Jun 26")</f>
        <v>Jun 26</v>
      </c>
      <c r="D6701" s="14">
        <v>38</v>
      </c>
    </row>
    <row r="6702" spans="1:4" x14ac:dyDescent="0.35">
      <c r="A6702" s="5" t="str">
        <f t="shared" si="3456"/>
        <v>Agency</v>
      </c>
      <c r="B6702" s="6" t="str">
        <f t="shared" si="3460"/>
        <v># of 1-Month Active Agents in 2-3M</v>
      </c>
      <c r="C6702" s="4" t="str">
        <f>CHOOSE(2, "5462030031", "Jul 26")</f>
        <v>Jul 26</v>
      </c>
      <c r="D6702" s="14">
        <v>35</v>
      </c>
    </row>
    <row r="6703" spans="1:4" x14ac:dyDescent="0.35">
      <c r="A6703" s="5" t="str">
        <f t="shared" si="3456"/>
        <v>Agency</v>
      </c>
      <c r="B6703" s="3" t="str">
        <f t="shared" ref="B6703:B6704" si="3461">CHOOSE(2, "1395000000737", "# of 1-Month Active Agents in 4-12M")</f>
        <v># of 1-Month Active Agents in 4-12M</v>
      </c>
      <c r="C6703" s="4" t="str">
        <f>CHOOSE(2, "5461730030", "Jun 26")</f>
        <v>Jun 26</v>
      </c>
      <c r="D6703" s="14">
        <v>76</v>
      </c>
    </row>
    <row r="6704" spans="1:4" x14ac:dyDescent="0.35">
      <c r="A6704" s="5" t="str">
        <f t="shared" si="3456"/>
        <v>Agency</v>
      </c>
      <c r="B6704" s="6" t="str">
        <f t="shared" si="3461"/>
        <v># of 1-Month Active Agents in 4-12M</v>
      </c>
      <c r="C6704" s="4" t="str">
        <f>CHOOSE(2, "5462030031", "Jul 26")</f>
        <v>Jul 26</v>
      </c>
      <c r="D6704" s="14">
        <v>94</v>
      </c>
    </row>
    <row r="6705" spans="1:4" x14ac:dyDescent="0.35">
      <c r="A6705" s="5" t="str">
        <f t="shared" si="3456"/>
        <v>Agency</v>
      </c>
      <c r="B6705" s="3" t="str">
        <f t="shared" ref="B6705:B6706" si="3462">CHOOSE(2, "1395000000736", "# of 1-Month Active Agents 13+M")</f>
        <v># of 1-Month Active Agents 13+M</v>
      </c>
      <c r="C6705" s="4" t="str">
        <f>CHOOSE(2, "5461730030", "Jun 26")</f>
        <v>Jun 26</v>
      </c>
      <c r="D6705" s="14">
        <v>524</v>
      </c>
    </row>
    <row r="6706" spans="1:4" x14ac:dyDescent="0.35">
      <c r="A6706" s="5" t="str">
        <f t="shared" si="3456"/>
        <v>Agency</v>
      </c>
      <c r="B6706" s="6" t="str">
        <f t="shared" si="3462"/>
        <v># of 1-Month Active Agents 13+M</v>
      </c>
      <c r="C6706" s="4" t="str">
        <f>CHOOSE(2, "5462030031", "Jul 26")</f>
        <v>Jul 26</v>
      </c>
      <c r="D6706" s="14">
        <v>484</v>
      </c>
    </row>
    <row r="6707" spans="1:4" x14ac:dyDescent="0.35">
      <c r="A6707" s="5" t="str">
        <f t="shared" si="3456"/>
        <v>Agency</v>
      </c>
      <c r="B6707" s="3" t="str">
        <f t="shared" ref="B6707:B6708" si="3463">CHOOSE(2, "1395000000735", "# of 1-Month Active Agents in FA or equivalent")</f>
        <v># of 1-Month Active Agents in FA or equivalent</v>
      </c>
      <c r="C6707" s="4" t="str">
        <f>CHOOSE(2, "5461730030", "Jun 26")</f>
        <v>Jun 26</v>
      </c>
      <c r="D6707" s="14">
        <v>450</v>
      </c>
    </row>
    <row r="6708" spans="1:4" x14ac:dyDescent="0.35">
      <c r="A6708" s="5" t="str">
        <f t="shared" si="3456"/>
        <v>Agency</v>
      </c>
      <c r="B6708" s="6" t="str">
        <f t="shared" si="3463"/>
        <v># of 1-Month Active Agents in FA or equivalent</v>
      </c>
      <c r="C6708" s="4" t="str">
        <f>CHOOSE(2, "5462030031", "Jul 26")</f>
        <v>Jul 26</v>
      </c>
      <c r="D6708" s="14">
        <v>426</v>
      </c>
    </row>
    <row r="6709" spans="1:4" x14ac:dyDescent="0.35">
      <c r="A6709" s="5" t="str">
        <f t="shared" si="3456"/>
        <v>Agency</v>
      </c>
      <c r="B6709" s="3" t="str">
        <f t="shared" ref="B6709:B6710" si="3464">CHOOSE(2, "1395000000734", "# of 1-Month Active Agents in UM")</f>
        <v># of 1-Month Active Agents in UM</v>
      </c>
      <c r="C6709" s="4" t="str">
        <f>CHOOSE(2, "5461730030", "Jun 26")</f>
        <v>Jun 26</v>
      </c>
      <c r="D6709" s="14">
        <v>178</v>
      </c>
    </row>
    <row r="6710" spans="1:4" x14ac:dyDescent="0.35">
      <c r="A6710" s="5" t="str">
        <f t="shared" si="3456"/>
        <v>Agency</v>
      </c>
      <c r="B6710" s="6" t="str">
        <f t="shared" si="3464"/>
        <v># of 1-Month Active Agents in UM</v>
      </c>
      <c r="C6710" s="4" t="str">
        <f>CHOOSE(2, "5462030031", "Jul 26")</f>
        <v>Jul 26</v>
      </c>
      <c r="D6710" s="14">
        <v>174</v>
      </c>
    </row>
    <row r="6711" spans="1:4" x14ac:dyDescent="0.35">
      <c r="A6711" s="5" t="str">
        <f t="shared" si="3456"/>
        <v>Agency</v>
      </c>
      <c r="B6711" s="3" t="str">
        <f t="shared" ref="B6711:B6712" si="3465">CHOOSE(2, "1395000000733", "# of 1-Month Active Agents in Leaders above UM")</f>
        <v># of 1-Month Active Agents in Leaders above UM</v>
      </c>
      <c r="C6711" s="4" t="str">
        <f>CHOOSE(2, "5461730030", "Jun 26")</f>
        <v>Jun 26</v>
      </c>
      <c r="D6711" s="14">
        <v>18</v>
      </c>
    </row>
    <row r="6712" spans="1:4" x14ac:dyDescent="0.35">
      <c r="A6712" s="5" t="str">
        <f t="shared" si="3456"/>
        <v>Agency</v>
      </c>
      <c r="B6712" s="6" t="str">
        <f t="shared" si="3465"/>
        <v># of 1-Month Active Agents in Leaders above UM</v>
      </c>
      <c r="C6712" s="4" t="str">
        <f>CHOOSE(2, "5462030031", "Jul 26")</f>
        <v>Jul 26</v>
      </c>
      <c r="D6712" s="14">
        <v>20</v>
      </c>
    </row>
    <row r="6713" spans="1:4" x14ac:dyDescent="0.35">
      <c r="A6713" s="5" t="str">
        <f t="shared" si="3456"/>
        <v>Agency</v>
      </c>
      <c r="B6713" s="3" t="str">
        <f t="shared" ref="B6713:B6714" si="3466">CHOOSE(2, "1395000000732", "# of 1-Month Active Top-tier Agents")</f>
        <v># of 1-Month Active Top-tier Agents</v>
      </c>
      <c r="C6713" s="4" t="str">
        <f>CHOOSE(2, "5461730030", "Jun 26")</f>
        <v>Jun 26</v>
      </c>
      <c r="D6713" s="14">
        <v>101</v>
      </c>
    </row>
    <row r="6714" spans="1:4" x14ac:dyDescent="0.35">
      <c r="A6714" s="5" t="str">
        <f t="shared" si="3456"/>
        <v>Agency</v>
      </c>
      <c r="B6714" s="6" t="str">
        <f t="shared" si="3466"/>
        <v># of 1-Month Active Top-tier Agents</v>
      </c>
      <c r="C6714" s="4" t="str">
        <f>CHOOSE(2, "5462030031", "Jul 26")</f>
        <v>Jul 26</v>
      </c>
      <c r="D6714" s="14">
        <v>96</v>
      </c>
    </row>
    <row r="6715" spans="1:4" x14ac:dyDescent="0.35">
      <c r="A6715" s="5" t="str">
        <f t="shared" si="3456"/>
        <v>Agency</v>
      </c>
      <c r="B6715" s="3" t="str">
        <f t="shared" ref="B6715:B6716" si="3467">CHOOSE(2, "1395000000731", "# of 1-Month Active Agents in pro-rated MDRT agents (&gt;100%)")</f>
        <v># of 1-Month Active Agents in pro-rated MDRT agents (&gt;100%)</v>
      </c>
      <c r="C6715" s="4" t="str">
        <f>CHOOSE(2, "5461730030", "Jun 26")</f>
        <v>Jun 26</v>
      </c>
      <c r="D6715" s="14">
        <v>19</v>
      </c>
    </row>
    <row r="6716" spans="1:4" x14ac:dyDescent="0.35">
      <c r="A6716" s="5" t="str">
        <f t="shared" si="3456"/>
        <v>Agency</v>
      </c>
      <c r="B6716" s="6" t="str">
        <f t="shared" si="3467"/>
        <v># of 1-Month Active Agents in pro-rated MDRT agents (&gt;100%)</v>
      </c>
      <c r="C6716" s="4" t="str">
        <f>CHOOSE(2, "5462030031", "Jul 26")</f>
        <v>Jul 26</v>
      </c>
      <c r="D6716" s="14">
        <v>19</v>
      </c>
    </row>
    <row r="6717" spans="1:4" x14ac:dyDescent="0.35">
      <c r="A6717" s="5" t="str">
        <f t="shared" si="3456"/>
        <v>Agency</v>
      </c>
      <c r="B6717" s="3" t="str">
        <f t="shared" ref="B6717:B6718" si="3468">CHOOSE(2, "1395000000730", "# of 1-Month Active Agents in pro-rated MDRT agents (70-99%)")</f>
        <v># of 1-Month Active Agents in pro-rated MDRT agents (70-99%)</v>
      </c>
      <c r="C6717" s="4" t="str">
        <f>CHOOSE(2, "5461730030", "Jun 26")</f>
        <v>Jun 26</v>
      </c>
      <c r="D6717" s="14">
        <v>31</v>
      </c>
    </row>
    <row r="6718" spans="1:4" x14ac:dyDescent="0.35">
      <c r="A6718" s="5" t="str">
        <f t="shared" si="3456"/>
        <v>Agency</v>
      </c>
      <c r="B6718" s="6" t="str">
        <f t="shared" si="3468"/>
        <v># of 1-Month Active Agents in pro-rated MDRT agents (70-99%)</v>
      </c>
      <c r="C6718" s="4" t="str">
        <f>CHOOSE(2, "5462030031", "Jul 26")</f>
        <v>Jul 26</v>
      </c>
      <c r="D6718" s="14">
        <v>32</v>
      </c>
    </row>
    <row r="6719" spans="1:4" x14ac:dyDescent="0.35">
      <c r="A6719" s="5" t="str">
        <f t="shared" si="3456"/>
        <v>Agency</v>
      </c>
      <c r="B6719" s="3" t="str">
        <f t="shared" ref="B6719:B6720" si="3469">CHOOSE(2, "1395000000729", "# of 1-Month Active Agents in pro-rated MDRT agents (50-69%)")</f>
        <v># of 1-Month Active Agents in pro-rated MDRT agents (50-69%)</v>
      </c>
      <c r="C6719" s="4" t="str">
        <f>CHOOSE(2, "5461730030", "Jun 26")</f>
        <v>Jun 26</v>
      </c>
      <c r="D6719" s="14">
        <v>51</v>
      </c>
    </row>
    <row r="6720" spans="1:4" x14ac:dyDescent="0.35">
      <c r="A6720" s="5" t="str">
        <f t="shared" si="3456"/>
        <v>Agency</v>
      </c>
      <c r="B6720" s="6" t="str">
        <f t="shared" si="3469"/>
        <v># of 1-Month Active Agents in pro-rated MDRT agents (50-69%)</v>
      </c>
      <c r="C6720" s="4" t="str">
        <f>CHOOSE(2, "5462030031", "Jul 26")</f>
        <v>Jul 26</v>
      </c>
      <c r="D6720" s="14">
        <v>45</v>
      </c>
    </row>
    <row r="6721" spans="1:4" x14ac:dyDescent="0.35">
      <c r="A6721" s="5" t="str">
        <f t="shared" si="3456"/>
        <v>Agency</v>
      </c>
      <c r="B6721" s="3" t="str">
        <f t="shared" ref="B6721:B6722" si="3470">CHOOSE(2, "1395000000728", "# of 1-Month Active Agents in Manulife Pro Qualifiers -Total")</f>
        <v># of 1-Month Active Agents in Manulife Pro Qualifiers -Total</v>
      </c>
      <c r="C6721" s="4" t="str">
        <f>CHOOSE(2, "5461730030", "Jun 26")</f>
        <v>Jun 26</v>
      </c>
      <c r="D6721" s="2" t="s">
        <v>5</v>
      </c>
    </row>
    <row r="6722" spans="1:4" x14ac:dyDescent="0.35">
      <c r="A6722" s="5" t="str">
        <f t="shared" si="3456"/>
        <v>Agency</v>
      </c>
      <c r="B6722" s="6" t="str">
        <f t="shared" si="3470"/>
        <v># of 1-Month Active Agents in Manulife Pro Qualifiers -Total</v>
      </c>
      <c r="C6722" s="4" t="str">
        <f>CHOOSE(2, "5462030031", "Jul 26")</f>
        <v>Jul 26</v>
      </c>
      <c r="D6722" s="2" t="s">
        <v>5</v>
      </c>
    </row>
    <row r="6723" spans="1:4" x14ac:dyDescent="0.35">
      <c r="A6723" s="5" t="str">
        <f t="shared" si="3456"/>
        <v>Agency</v>
      </c>
      <c r="B6723" s="3" t="str">
        <f t="shared" ref="B6723:B6724" si="3471">CHOOSE(2, "1395000000727", "# of 3-Month Active Agents")</f>
        <v># of 3-Month Active Agents</v>
      </c>
      <c r="C6723" s="4" t="str">
        <f>CHOOSE(2, "5461730030", "Jun 26")</f>
        <v>Jun 26</v>
      </c>
      <c r="D6723" s="14">
        <v>1065</v>
      </c>
    </row>
    <row r="6724" spans="1:4" x14ac:dyDescent="0.35">
      <c r="A6724" s="5" t="str">
        <f t="shared" si="3456"/>
        <v>Agency</v>
      </c>
      <c r="B6724" s="6" t="str">
        <f t="shared" si="3471"/>
        <v># of 3-Month Active Agents</v>
      </c>
      <c r="C6724" s="4" t="str">
        <f>CHOOSE(2, "5462030031", "Jul 26")</f>
        <v>Jul 26</v>
      </c>
      <c r="D6724" s="14">
        <v>1061</v>
      </c>
    </row>
    <row r="6725" spans="1:4" x14ac:dyDescent="0.35">
      <c r="A6725" s="5" t="str">
        <f t="shared" si="3456"/>
        <v>Agency</v>
      </c>
      <c r="B6725" s="3" t="str">
        <f t="shared" ref="B6725:B6726" si="3472">CHOOSE(2, "1395000000726", "# of 3-Month Active Agents in 0-1M")</f>
        <v># of 3-Month Active Agents in 0-1M</v>
      </c>
      <c r="C6725" s="4" t="str">
        <f>CHOOSE(2, "5461730030", "Jun 26")</f>
        <v>Jun 26</v>
      </c>
      <c r="D6725" s="14">
        <v>8</v>
      </c>
    </row>
    <row r="6726" spans="1:4" x14ac:dyDescent="0.35">
      <c r="A6726" s="5" t="str">
        <f t="shared" si="3456"/>
        <v>Agency</v>
      </c>
      <c r="B6726" s="6" t="str">
        <f t="shared" si="3472"/>
        <v># of 3-Month Active Agents in 0-1M</v>
      </c>
      <c r="C6726" s="4" t="str">
        <f>CHOOSE(2, "5462030031", "Jul 26")</f>
        <v>Jul 26</v>
      </c>
      <c r="D6726" s="14">
        <v>7</v>
      </c>
    </row>
    <row r="6727" spans="1:4" x14ac:dyDescent="0.35">
      <c r="A6727" s="5" t="str">
        <f t="shared" si="3456"/>
        <v>Agency</v>
      </c>
      <c r="B6727" s="3" t="str">
        <f t="shared" ref="B6727:B6728" si="3473">CHOOSE(2, "1395000000725", "# of 3-Month Active Agents in 2-3M")</f>
        <v># of 3-Month Active Agents in 2-3M</v>
      </c>
      <c r="C6727" s="4" t="str">
        <f>CHOOSE(2, "5461730030", "Jun 26")</f>
        <v>Jun 26</v>
      </c>
      <c r="D6727" s="14">
        <v>49</v>
      </c>
    </row>
    <row r="6728" spans="1:4" x14ac:dyDescent="0.35">
      <c r="A6728" s="5" t="str">
        <f t="shared" si="3456"/>
        <v>Agency</v>
      </c>
      <c r="B6728" s="6" t="str">
        <f t="shared" si="3473"/>
        <v># of 3-Month Active Agents in 2-3M</v>
      </c>
      <c r="C6728" s="4" t="str">
        <f>CHOOSE(2, "5462030031", "Jul 26")</f>
        <v>Jul 26</v>
      </c>
      <c r="D6728" s="14">
        <v>50</v>
      </c>
    </row>
    <row r="6729" spans="1:4" x14ac:dyDescent="0.35">
      <c r="A6729" s="5" t="str">
        <f t="shared" si="3456"/>
        <v>Agency</v>
      </c>
      <c r="B6729" s="3" t="str">
        <f t="shared" ref="B6729:B6730" si="3474">CHOOSE(2, "1395000000724", "# of 3-Month Active Agents in 4-12M")</f>
        <v># of 3-Month Active Agents in 4-12M</v>
      </c>
      <c r="C6729" s="4" t="str">
        <f>CHOOSE(2, "5461730030", "Jun 26")</f>
        <v>Jun 26</v>
      </c>
      <c r="D6729" s="14">
        <v>140</v>
      </c>
    </row>
    <row r="6730" spans="1:4" x14ac:dyDescent="0.35">
      <c r="A6730" s="5" t="str">
        <f t="shared" si="3456"/>
        <v>Agency</v>
      </c>
      <c r="B6730" s="6" t="str">
        <f t="shared" si="3474"/>
        <v># of 3-Month Active Agents in 4-12M</v>
      </c>
      <c r="C6730" s="4" t="str">
        <f>CHOOSE(2, "5462030031", "Jul 26")</f>
        <v>Jul 26</v>
      </c>
      <c r="D6730" s="14">
        <v>144</v>
      </c>
    </row>
    <row r="6731" spans="1:4" x14ac:dyDescent="0.35">
      <c r="A6731" s="5" t="str">
        <f t="shared" si="3456"/>
        <v>Agency</v>
      </c>
      <c r="B6731" s="3" t="str">
        <f t="shared" ref="B6731:B6732" si="3475">CHOOSE(2, "1395000000723", "# of 3-Month Active Agents 13+M")</f>
        <v># of 3-Month Active Agents 13+M</v>
      </c>
      <c r="C6731" s="4" t="str">
        <f>CHOOSE(2, "5461730030", "Jun 26")</f>
        <v>Jun 26</v>
      </c>
      <c r="D6731" s="14">
        <v>868</v>
      </c>
    </row>
    <row r="6732" spans="1:4" x14ac:dyDescent="0.35">
      <c r="A6732" s="5" t="str">
        <f t="shared" si="3456"/>
        <v>Agency</v>
      </c>
      <c r="B6732" s="6" t="str">
        <f t="shared" si="3475"/>
        <v># of 3-Month Active Agents 13+M</v>
      </c>
      <c r="C6732" s="4" t="str">
        <f>CHOOSE(2, "5462030031", "Jul 26")</f>
        <v>Jul 26</v>
      </c>
      <c r="D6732" s="14">
        <v>860</v>
      </c>
    </row>
    <row r="6733" spans="1:4" x14ac:dyDescent="0.35">
      <c r="A6733" s="5" t="str">
        <f t="shared" si="3456"/>
        <v>Agency</v>
      </c>
      <c r="B6733" s="3" t="str">
        <f t="shared" ref="B6733:B6734" si="3476">CHOOSE(2, "1395000000722", "# of 3-Month Active Agents in UM")</f>
        <v># of 3-Month Active Agents in UM</v>
      </c>
      <c r="C6733" s="4" t="str">
        <f>CHOOSE(2, "5461730030", "Jun 26")</f>
        <v>Jun 26</v>
      </c>
      <c r="D6733" s="2" t="s">
        <v>5</v>
      </c>
    </row>
    <row r="6734" spans="1:4" x14ac:dyDescent="0.35">
      <c r="A6734" s="5" t="str">
        <f t="shared" si="3456"/>
        <v>Agency</v>
      </c>
      <c r="B6734" s="6" t="str">
        <f t="shared" si="3476"/>
        <v># of 3-Month Active Agents in UM</v>
      </c>
      <c r="C6734" s="4" t="str">
        <f>CHOOSE(2, "5462030031", "Jul 26")</f>
        <v>Jul 26</v>
      </c>
      <c r="D6734" s="2" t="s">
        <v>5</v>
      </c>
    </row>
    <row r="6735" spans="1:4" x14ac:dyDescent="0.35">
      <c r="A6735" s="5" t="str">
        <f t="shared" si="3456"/>
        <v>Agency</v>
      </c>
      <c r="B6735" s="3" t="str">
        <f t="shared" ref="B6735:B6736" si="3477">CHOOSE(2, "1395000000721", "# of 3-Month Active Agents in Leaders above UM")</f>
        <v># of 3-Month Active Agents in Leaders above UM</v>
      </c>
      <c r="C6735" s="4" t="str">
        <f>CHOOSE(2, "5461730030", "Jun 26")</f>
        <v>Jun 26</v>
      </c>
      <c r="D6735" s="2" t="s">
        <v>5</v>
      </c>
    </row>
    <row r="6736" spans="1:4" x14ac:dyDescent="0.35">
      <c r="A6736" s="5" t="str">
        <f t="shared" si="3456"/>
        <v>Agency</v>
      </c>
      <c r="B6736" s="6" t="str">
        <f t="shared" si="3477"/>
        <v># of 3-Month Active Agents in Leaders above UM</v>
      </c>
      <c r="C6736" s="4" t="str">
        <f>CHOOSE(2, "5462030031", "Jul 26")</f>
        <v>Jul 26</v>
      </c>
      <c r="D6736" s="2" t="s">
        <v>5</v>
      </c>
    </row>
    <row r="6737" spans="1:4" x14ac:dyDescent="0.35">
      <c r="A6737" s="5" t="str">
        <f t="shared" si="3456"/>
        <v>Agency</v>
      </c>
      <c r="B6737" s="3" t="str">
        <f t="shared" ref="B6737:B6738" si="3478">CHOOSE(2, "1395000000720", "# of 3-Month Active Agents in FA or equivalent")</f>
        <v># of 3-Month Active Agents in FA or equivalent</v>
      </c>
      <c r="C6737" s="4" t="str">
        <f>CHOOSE(2, "5461730030", "Jun 26")</f>
        <v>Jun 26</v>
      </c>
      <c r="D6737" s="2" t="s">
        <v>5</v>
      </c>
    </row>
    <row r="6738" spans="1:4" x14ac:dyDescent="0.35">
      <c r="A6738" s="5" t="str">
        <f t="shared" si="3456"/>
        <v>Agency</v>
      </c>
      <c r="B6738" s="6" t="str">
        <f t="shared" si="3478"/>
        <v># of 3-Month Active Agents in FA or equivalent</v>
      </c>
      <c r="C6738" s="4" t="str">
        <f>CHOOSE(2, "5462030031", "Jul 26")</f>
        <v>Jul 26</v>
      </c>
      <c r="D6738" s="2" t="s">
        <v>5</v>
      </c>
    </row>
    <row r="6739" spans="1:4" x14ac:dyDescent="0.35">
      <c r="A6739" s="5" t="str">
        <f t="shared" si="3456"/>
        <v>Agency</v>
      </c>
      <c r="B6739" s="3" t="str">
        <f t="shared" ref="B6739:B6740" si="3479">CHOOSE(2, "1395000000719", "Net Case Count - Agency")</f>
        <v>Net Case Count - Agency</v>
      </c>
      <c r="C6739" s="4" t="str">
        <f>CHOOSE(2, "5461730030", "Jun 26")</f>
        <v>Jun 26</v>
      </c>
      <c r="D6739" s="14">
        <v>1544.4</v>
      </c>
    </row>
    <row r="6740" spans="1:4" x14ac:dyDescent="0.35">
      <c r="A6740" s="5" t="str">
        <f t="shared" si="3456"/>
        <v>Agency</v>
      </c>
      <c r="B6740" s="6" t="str">
        <f t="shared" si="3479"/>
        <v>Net Case Count - Agency</v>
      </c>
      <c r="C6740" s="4" t="str">
        <f>CHOOSE(2, "5462030031", "Jul 26")</f>
        <v>Jul 26</v>
      </c>
      <c r="D6740" s="14">
        <v>1511.2</v>
      </c>
    </row>
    <row r="6741" spans="1:4" x14ac:dyDescent="0.35">
      <c r="A6741" s="5" t="str">
        <f t="shared" si="3456"/>
        <v>Agency</v>
      </c>
      <c r="B6741" s="3" t="str">
        <f t="shared" ref="B6741:B6742" si="3480">CHOOSE(2, "1395000000718", "Net Case Count - Agency in 0-1M")</f>
        <v>Net Case Count - Agency in 0-1M</v>
      </c>
      <c r="C6741" s="4" t="str">
        <f>CHOOSE(2, "5461730030", "Jun 26")</f>
        <v>Jun 26</v>
      </c>
      <c r="D6741" s="14">
        <v>20</v>
      </c>
    </row>
    <row r="6742" spans="1:4" x14ac:dyDescent="0.35">
      <c r="A6742" s="5" t="str">
        <f t="shared" si="3456"/>
        <v>Agency</v>
      </c>
      <c r="B6742" s="6" t="str">
        <f t="shared" si="3480"/>
        <v>Net Case Count - Agency in 0-1M</v>
      </c>
      <c r="C6742" s="4" t="str">
        <f>CHOOSE(2, "5462030031", "Jul 26")</f>
        <v>Jul 26</v>
      </c>
      <c r="D6742" s="14">
        <v>8.6999999999999993</v>
      </c>
    </row>
    <row r="6743" spans="1:4" x14ac:dyDescent="0.35">
      <c r="A6743" s="5" t="str">
        <f t="shared" si="3456"/>
        <v>Agency</v>
      </c>
      <c r="B6743" s="3" t="str">
        <f t="shared" ref="B6743:B6744" si="3481">CHOOSE(2, "1395000000717", "Net Case Count - Agency in 2-3M")</f>
        <v>Net Case Count - Agency in 2-3M</v>
      </c>
      <c r="C6743" s="4" t="str">
        <f>CHOOSE(2, "5461730030", "Jun 26")</f>
        <v>Jun 26</v>
      </c>
      <c r="D6743" s="14">
        <v>86</v>
      </c>
    </row>
    <row r="6744" spans="1:4" x14ac:dyDescent="0.35">
      <c r="A6744" s="5" t="str">
        <f t="shared" si="3456"/>
        <v>Agency</v>
      </c>
      <c r="B6744" s="6" t="str">
        <f t="shared" si="3481"/>
        <v>Net Case Count - Agency in 2-3M</v>
      </c>
      <c r="C6744" s="4" t="str">
        <f>CHOOSE(2, "5462030031", "Jul 26")</f>
        <v>Jul 26</v>
      </c>
      <c r="D6744" s="14">
        <v>61</v>
      </c>
    </row>
    <row r="6745" spans="1:4" x14ac:dyDescent="0.35">
      <c r="A6745" s="5" t="str">
        <f t="shared" si="3456"/>
        <v>Agency</v>
      </c>
      <c r="B6745" s="3" t="str">
        <f t="shared" ref="B6745:B6746" si="3482">CHOOSE(2, "1395000000716", "Net Case Count - Agency in 4-12M")</f>
        <v>Net Case Count - Agency in 4-12M</v>
      </c>
      <c r="C6745" s="4" t="str">
        <f>CHOOSE(2, "5461730030", "Jun 26")</f>
        <v>Jun 26</v>
      </c>
      <c r="D6745" s="14">
        <v>166.6</v>
      </c>
    </row>
    <row r="6746" spans="1:4" x14ac:dyDescent="0.35">
      <c r="A6746" s="5" t="str">
        <f t="shared" si="3456"/>
        <v>Agency</v>
      </c>
      <c r="B6746" s="6" t="str">
        <f t="shared" si="3482"/>
        <v>Net Case Count - Agency in 4-12M</v>
      </c>
      <c r="C6746" s="4" t="str">
        <f>CHOOSE(2, "5462030031", "Jul 26")</f>
        <v>Jul 26</v>
      </c>
      <c r="D6746" s="14">
        <v>218.8</v>
      </c>
    </row>
    <row r="6747" spans="1:4" x14ac:dyDescent="0.35">
      <c r="A6747" s="5" t="str">
        <f t="shared" si="3456"/>
        <v>Agency</v>
      </c>
      <c r="B6747" s="3" t="str">
        <f t="shared" ref="B6747:B6748" si="3483">CHOOSE(2, "1395000000715", "Net Case Count - Agency 13+M")</f>
        <v>Net Case Count - Agency 13+M</v>
      </c>
      <c r="C6747" s="4" t="str">
        <f>CHOOSE(2, "5461730030", "Jun 26")</f>
        <v>Jun 26</v>
      </c>
      <c r="D6747" s="14">
        <v>1271.8</v>
      </c>
    </row>
    <row r="6748" spans="1:4" x14ac:dyDescent="0.35">
      <c r="A6748" s="5" t="str">
        <f t="shared" si="3456"/>
        <v>Agency</v>
      </c>
      <c r="B6748" s="6" t="str">
        <f t="shared" si="3483"/>
        <v>Net Case Count - Agency 13+M</v>
      </c>
      <c r="C6748" s="4" t="str">
        <f>CHOOSE(2, "5462030031", "Jul 26")</f>
        <v>Jul 26</v>
      </c>
      <c r="D6748" s="14">
        <v>1222.7</v>
      </c>
    </row>
    <row r="6749" spans="1:4" x14ac:dyDescent="0.35">
      <c r="A6749" s="5" t="str">
        <f t="shared" si="3456"/>
        <v>Agency</v>
      </c>
      <c r="B6749" s="3" t="str">
        <f t="shared" ref="B6749:B6750" si="3484">CHOOSE(2, "1395000000714", "Net Case Count - Agency in FA or equivalent")</f>
        <v>Net Case Count - Agency in FA or equivalent</v>
      </c>
      <c r="C6749" s="4" t="str">
        <f>CHOOSE(2, "5461730030", "Jun 26")</f>
        <v>Jun 26</v>
      </c>
      <c r="D6749" s="14">
        <v>962.9</v>
      </c>
    </row>
    <row r="6750" spans="1:4" x14ac:dyDescent="0.35">
      <c r="A6750" s="5" t="str">
        <f t="shared" si="3456"/>
        <v>Agency</v>
      </c>
      <c r="B6750" s="6" t="str">
        <f t="shared" si="3484"/>
        <v>Net Case Count - Agency in FA or equivalent</v>
      </c>
      <c r="C6750" s="4" t="str">
        <f>CHOOSE(2, "5462030031", "Jul 26")</f>
        <v>Jul 26</v>
      </c>
      <c r="D6750" s="14">
        <v>910.3</v>
      </c>
    </row>
    <row r="6751" spans="1:4" x14ac:dyDescent="0.35">
      <c r="A6751" s="5" t="str">
        <f t="shared" si="3456"/>
        <v>Agency</v>
      </c>
      <c r="B6751" s="3" t="str">
        <f t="shared" ref="B6751:B6752" si="3485">CHOOSE(2, "1395000000713", "Net Case Count - Agency in UM")</f>
        <v>Net Case Count - Agency in UM</v>
      </c>
      <c r="C6751" s="4" t="str">
        <f>CHOOSE(2, "5461730030", "Jun 26")</f>
        <v>Jun 26</v>
      </c>
      <c r="D6751" s="14">
        <v>550.79999999999995</v>
      </c>
    </row>
    <row r="6752" spans="1:4" x14ac:dyDescent="0.35">
      <c r="A6752" s="5" t="str">
        <f t="shared" si="3456"/>
        <v>Agency</v>
      </c>
      <c r="B6752" s="6" t="str">
        <f t="shared" si="3485"/>
        <v>Net Case Count - Agency in UM</v>
      </c>
      <c r="C6752" s="4" t="str">
        <f>CHOOSE(2, "5462030031", "Jul 26")</f>
        <v>Jul 26</v>
      </c>
      <c r="D6752" s="14">
        <v>562.5</v>
      </c>
    </row>
    <row r="6753" spans="1:4" x14ac:dyDescent="0.35">
      <c r="A6753" s="5" t="str">
        <f t="shared" si="3456"/>
        <v>Agency</v>
      </c>
      <c r="B6753" s="3" t="str">
        <f t="shared" ref="B6753:B6754" si="3486">CHOOSE(2, "1395000000712", "Net Case Count - Agency in Leaders above UM")</f>
        <v>Net Case Count - Agency in Leaders above UM</v>
      </c>
      <c r="C6753" s="4" t="str">
        <f>CHOOSE(2, "5461730030", "Jun 26")</f>
        <v>Jun 26</v>
      </c>
      <c r="D6753" s="14">
        <v>30.7</v>
      </c>
    </row>
    <row r="6754" spans="1:4" x14ac:dyDescent="0.35">
      <c r="A6754" s="5" t="str">
        <f t="shared" si="3456"/>
        <v>Agency</v>
      </c>
      <c r="B6754" s="6" t="str">
        <f t="shared" si="3486"/>
        <v>Net Case Count - Agency in Leaders above UM</v>
      </c>
      <c r="C6754" s="4" t="str">
        <f>CHOOSE(2, "5462030031", "Jul 26")</f>
        <v>Jul 26</v>
      </c>
      <c r="D6754" s="14">
        <v>38.4</v>
      </c>
    </row>
    <row r="6755" spans="1:4" x14ac:dyDescent="0.35">
      <c r="A6755" s="5" t="str">
        <f t="shared" si="3456"/>
        <v>Agency</v>
      </c>
      <c r="B6755" s="3" t="str">
        <f t="shared" ref="B6755:B6756" si="3487">CHOOSE(2, "1395000000711", "Net Case Count - Agency in Top-tier Agents")</f>
        <v>Net Case Count - Agency in Top-tier Agents</v>
      </c>
      <c r="C6755" s="4" t="str">
        <f>CHOOSE(2, "5461730030", "Jun 26")</f>
        <v>Jun 26</v>
      </c>
      <c r="D6755" s="14">
        <v>483.4</v>
      </c>
    </row>
    <row r="6756" spans="1:4" x14ac:dyDescent="0.35">
      <c r="A6756" s="5" t="str">
        <f t="shared" si="3456"/>
        <v>Agency</v>
      </c>
      <c r="B6756" s="6" t="str">
        <f t="shared" si="3487"/>
        <v>Net Case Count - Agency in Top-tier Agents</v>
      </c>
      <c r="C6756" s="4" t="str">
        <f>CHOOSE(2, "5462030031", "Jul 26")</f>
        <v>Jul 26</v>
      </c>
      <c r="D6756" s="14">
        <v>504.5</v>
      </c>
    </row>
    <row r="6757" spans="1:4" x14ac:dyDescent="0.35">
      <c r="A6757" s="5" t="str">
        <f t="shared" si="3456"/>
        <v>Agency</v>
      </c>
      <c r="B6757" s="3" t="str">
        <f t="shared" ref="B6757:B6758" si="3488">CHOOSE(2, "1395000000710", "Net Case Count - Agency in pro-rated MDRT agents (&gt;100%)")</f>
        <v>Net Case Count - Agency in pro-rated MDRT agents (&gt;100%)</v>
      </c>
      <c r="C6757" s="4" t="str">
        <f>CHOOSE(2, "5461730030", "Jun 26")</f>
        <v>Jun 26</v>
      </c>
      <c r="D6757" s="14">
        <v>126.8</v>
      </c>
    </row>
    <row r="6758" spans="1:4" x14ac:dyDescent="0.35">
      <c r="A6758" s="5" t="str">
        <f t="shared" si="3456"/>
        <v>Agency</v>
      </c>
      <c r="B6758" s="6" t="str">
        <f t="shared" si="3488"/>
        <v>Net Case Count - Agency in pro-rated MDRT agents (&gt;100%)</v>
      </c>
      <c r="C6758" s="4" t="str">
        <f>CHOOSE(2, "5462030031", "Jul 26")</f>
        <v>Jul 26</v>
      </c>
      <c r="D6758" s="14">
        <v>78.400000000000006</v>
      </c>
    </row>
    <row r="6759" spans="1:4" x14ac:dyDescent="0.35">
      <c r="A6759" s="5" t="str">
        <f t="shared" ref="A6759:A6822" si="3489">CHOOSE(2, "1260000000008", "Agency")</f>
        <v>Agency</v>
      </c>
      <c r="B6759" s="3" t="str">
        <f t="shared" ref="B6759:B6760" si="3490">CHOOSE(2, "1395000000709", "Net Case Count - Agency in pro-rated MDRT agents (70-99%)")</f>
        <v>Net Case Count - Agency in pro-rated MDRT agents (70-99%)</v>
      </c>
      <c r="C6759" s="4" t="str">
        <f>CHOOSE(2, "5461730030", "Jun 26")</f>
        <v>Jun 26</v>
      </c>
      <c r="D6759" s="14">
        <v>166.5</v>
      </c>
    </row>
    <row r="6760" spans="1:4" x14ac:dyDescent="0.35">
      <c r="A6760" s="5" t="str">
        <f t="shared" si="3489"/>
        <v>Agency</v>
      </c>
      <c r="B6760" s="6" t="str">
        <f t="shared" si="3490"/>
        <v>Net Case Count - Agency in pro-rated MDRT agents (70-99%)</v>
      </c>
      <c r="C6760" s="4" t="str">
        <f>CHOOSE(2, "5462030031", "Jul 26")</f>
        <v>Jul 26</v>
      </c>
      <c r="D6760" s="14">
        <v>225.7</v>
      </c>
    </row>
    <row r="6761" spans="1:4" x14ac:dyDescent="0.35">
      <c r="A6761" s="5" t="str">
        <f t="shared" si="3489"/>
        <v>Agency</v>
      </c>
      <c r="B6761" s="3" t="str">
        <f t="shared" ref="B6761:B6762" si="3491">CHOOSE(2, "1395000000708", "Net Case Count - Agency in pro-rated MDRT agents (50-69%)")</f>
        <v>Net Case Count - Agency in pro-rated MDRT agents (50-69%)</v>
      </c>
      <c r="C6761" s="4" t="str">
        <f>CHOOSE(2, "5461730030", "Jun 26")</f>
        <v>Jun 26</v>
      </c>
      <c r="D6761" s="14">
        <v>190.1</v>
      </c>
    </row>
    <row r="6762" spans="1:4" x14ac:dyDescent="0.35">
      <c r="A6762" s="5" t="str">
        <f t="shared" si="3489"/>
        <v>Agency</v>
      </c>
      <c r="B6762" s="6" t="str">
        <f t="shared" si="3491"/>
        <v>Net Case Count - Agency in pro-rated MDRT agents (50-69%)</v>
      </c>
      <c r="C6762" s="4" t="str">
        <f>CHOOSE(2, "5462030031", "Jul 26")</f>
        <v>Jul 26</v>
      </c>
      <c r="D6762" s="14">
        <v>200.4</v>
      </c>
    </row>
    <row r="6763" spans="1:4" x14ac:dyDescent="0.35">
      <c r="A6763" s="5" t="str">
        <f t="shared" si="3489"/>
        <v>Agency</v>
      </c>
      <c r="B6763" s="3" t="str">
        <f t="shared" ref="B6763:B6764" si="3492">CHOOSE(2, "1395000000707", "Net Case Count - Agency in Manulife Pro Qualifiers - Total")</f>
        <v>Net Case Count - Agency in Manulife Pro Qualifiers - Total</v>
      </c>
      <c r="C6763" s="4" t="str">
        <f>CHOOSE(2, "5461730030", "Jun 26")</f>
        <v>Jun 26</v>
      </c>
      <c r="D6763" s="2" t="s">
        <v>5</v>
      </c>
    </row>
    <row r="6764" spans="1:4" x14ac:dyDescent="0.35">
      <c r="A6764" s="5" t="str">
        <f t="shared" si="3489"/>
        <v>Agency</v>
      </c>
      <c r="B6764" s="6" t="str">
        <f t="shared" si="3492"/>
        <v>Net Case Count - Agency in Manulife Pro Qualifiers - Total</v>
      </c>
      <c r="C6764" s="4" t="str">
        <f>CHOOSE(2, "5462030031", "Jul 26")</f>
        <v>Jul 26</v>
      </c>
      <c r="D6764" s="2" t="s">
        <v>5</v>
      </c>
    </row>
    <row r="6765" spans="1:4" x14ac:dyDescent="0.35">
      <c r="A6765" s="5" t="str">
        <f t="shared" si="3489"/>
        <v>Agency</v>
      </c>
      <c r="B6765" s="3" t="str">
        <f t="shared" ref="B6765:B6766" si="3493">CHOOSE(2, "1395000000706", "No. of Sales Proposal Generated")</f>
        <v>No. of Sales Proposal Generated</v>
      </c>
      <c r="C6765" s="4" t="str">
        <f>CHOOSE(2, "5461730030", "Jun 26")</f>
        <v>Jun 26</v>
      </c>
      <c r="D6765" s="14">
        <v>3234</v>
      </c>
    </row>
    <row r="6766" spans="1:4" x14ac:dyDescent="0.35">
      <c r="A6766" s="5" t="str">
        <f t="shared" si="3489"/>
        <v>Agency</v>
      </c>
      <c r="B6766" s="6" t="str">
        <f t="shared" si="3493"/>
        <v>No. of Sales Proposal Generated</v>
      </c>
      <c r="C6766" s="4" t="str">
        <f>CHOOSE(2, "5462030031", "Jul 26")</f>
        <v>Jul 26</v>
      </c>
      <c r="D6766" s="14">
        <v>3075</v>
      </c>
    </row>
    <row r="6767" spans="1:4" x14ac:dyDescent="0.35">
      <c r="A6767" s="5" t="str">
        <f t="shared" si="3489"/>
        <v>Agency</v>
      </c>
      <c r="B6767" s="3" t="str">
        <f t="shared" ref="B6767:B6768" si="3494">CHOOSE(2, "1395000000705", "$ APE from Agents in X tenure")</f>
        <v>$ APE from Agents in X tenure</v>
      </c>
      <c r="C6767" s="4" t="str">
        <f>CHOOSE(2, "5461730030", "Jun 26")</f>
        <v>Jun 26</v>
      </c>
      <c r="D6767" s="14">
        <v>1989012.8510195799</v>
      </c>
    </row>
    <row r="6768" spans="1:4" x14ac:dyDescent="0.35">
      <c r="A6768" s="5" t="str">
        <f t="shared" si="3489"/>
        <v>Agency</v>
      </c>
      <c r="B6768" s="6" t="str">
        <f t="shared" si="3494"/>
        <v>$ APE from Agents in X tenure</v>
      </c>
      <c r="C6768" s="4" t="str">
        <f>CHOOSE(2, "5462030031", "Jul 26")</f>
        <v>Jul 26</v>
      </c>
      <c r="D6768" s="14">
        <v>2026112.8594190197</v>
      </c>
    </row>
    <row r="6769" spans="1:4" x14ac:dyDescent="0.35">
      <c r="A6769" s="5" t="str">
        <f t="shared" si="3489"/>
        <v>Agency</v>
      </c>
      <c r="B6769" s="3" t="str">
        <f t="shared" ref="B6769:B6770" si="3495">CHOOSE(2, "1395000000704", "$ APE from Agents in X tenure in 0-1M")</f>
        <v>$ APE from Agents in X tenure in 0-1M</v>
      </c>
      <c r="C6769" s="4" t="str">
        <f>CHOOSE(2, "5461730030", "Jun 26")</f>
        <v>Jun 26</v>
      </c>
      <c r="D6769" s="14">
        <v>198901.285101958</v>
      </c>
    </row>
    <row r="6770" spans="1:4" x14ac:dyDescent="0.35">
      <c r="A6770" s="5" t="str">
        <f t="shared" si="3489"/>
        <v>Agency</v>
      </c>
      <c r="B6770" s="6" t="str">
        <f t="shared" si="3495"/>
        <v>$ APE from Agents in X tenure in 0-1M</v>
      </c>
      <c r="C6770" s="4" t="str">
        <f>CHOOSE(2, "5462030031", "Jul 26")</f>
        <v>Jul 26</v>
      </c>
      <c r="D6770" s="14">
        <v>202611.28594190197</v>
      </c>
    </row>
    <row r="6771" spans="1:4" x14ac:dyDescent="0.35">
      <c r="A6771" s="5" t="str">
        <f t="shared" si="3489"/>
        <v>Agency</v>
      </c>
      <c r="B6771" s="3" t="str">
        <f t="shared" ref="B6771:B6772" si="3496">CHOOSE(2, "1395000000703", "$ APE from Agents in X tenure in 2-3M")</f>
        <v>$ APE from Agents in X tenure in 2-3M</v>
      </c>
      <c r="C6771" s="4" t="str">
        <f>CHOOSE(2, "5461730030", "Jun 26")</f>
        <v>Jun 26</v>
      </c>
      <c r="D6771" s="14">
        <v>397802.570203916</v>
      </c>
    </row>
    <row r="6772" spans="1:4" x14ac:dyDescent="0.35">
      <c r="A6772" s="5" t="str">
        <f t="shared" si="3489"/>
        <v>Agency</v>
      </c>
      <c r="B6772" s="6" t="str">
        <f t="shared" si="3496"/>
        <v>$ APE from Agents in X tenure in 2-3M</v>
      </c>
      <c r="C6772" s="4" t="str">
        <f>CHOOSE(2, "5462030031", "Jul 26")</f>
        <v>Jul 26</v>
      </c>
      <c r="D6772" s="14">
        <v>405222.57188380393</v>
      </c>
    </row>
    <row r="6773" spans="1:4" x14ac:dyDescent="0.35">
      <c r="A6773" s="5" t="str">
        <f t="shared" si="3489"/>
        <v>Agency</v>
      </c>
      <c r="B6773" s="3" t="str">
        <f t="shared" ref="B6773:B6774" si="3497">CHOOSE(2, "1395000000702", "$ APE from Agents in X tenure in 4-12M")</f>
        <v>$ APE from Agents in X tenure in 4-12M</v>
      </c>
      <c r="C6773" s="4" t="str">
        <f>CHOOSE(2, "5461730030", "Jun 26")</f>
        <v>Jun 26</v>
      </c>
      <c r="D6773" s="14">
        <v>596703.85530587391</v>
      </c>
    </row>
    <row r="6774" spans="1:4" x14ac:dyDescent="0.35">
      <c r="A6774" s="5" t="str">
        <f t="shared" si="3489"/>
        <v>Agency</v>
      </c>
      <c r="B6774" s="6" t="str">
        <f t="shared" si="3497"/>
        <v>$ APE from Agents in X tenure in 4-12M</v>
      </c>
      <c r="C6774" s="4" t="str">
        <f>CHOOSE(2, "5462030031", "Jul 26")</f>
        <v>Jul 26</v>
      </c>
      <c r="D6774" s="14">
        <v>607833.8578257059</v>
      </c>
    </row>
    <row r="6775" spans="1:4" x14ac:dyDescent="0.35">
      <c r="A6775" s="5" t="str">
        <f t="shared" si="3489"/>
        <v>Agency</v>
      </c>
      <c r="B6775" s="3" t="str">
        <f t="shared" ref="B6775:B6776" si="3498">CHOOSE(2, "1395000000701", "$ APE from Agents in X tenure 13+M")</f>
        <v>$ APE from Agents in X tenure 13+M</v>
      </c>
      <c r="C6775" s="4" t="str">
        <f>CHOOSE(2, "5461730030", "Jun 26")</f>
        <v>Jun 26</v>
      </c>
      <c r="D6775" s="14">
        <v>795605.14040783199</v>
      </c>
    </row>
    <row r="6776" spans="1:4" x14ac:dyDescent="0.35">
      <c r="A6776" s="5" t="str">
        <f t="shared" si="3489"/>
        <v>Agency</v>
      </c>
      <c r="B6776" s="6" t="str">
        <f t="shared" si="3498"/>
        <v>$ APE from Agents in X tenure 13+M</v>
      </c>
      <c r="C6776" s="4" t="str">
        <f>CHOOSE(2, "5462030031", "Jul 26")</f>
        <v>Jul 26</v>
      </c>
      <c r="D6776" s="14">
        <v>810445.14376760786</v>
      </c>
    </row>
    <row r="6777" spans="1:4" x14ac:dyDescent="0.35">
      <c r="A6777" s="5" t="str">
        <f t="shared" si="3489"/>
        <v>Agency</v>
      </c>
      <c r="B6777" s="3" t="str">
        <f t="shared" ref="B6777:B6778" si="3499">CHOOSE(2, "1395000000700", "Total agent headcount (end of period)")</f>
        <v>Total agent headcount (end of period)</v>
      </c>
      <c r="C6777" s="4" t="str">
        <f>CHOOSE(2, "5461730030", "Jun 26")</f>
        <v>Jun 26</v>
      </c>
      <c r="D6777" s="14">
        <v>2193</v>
      </c>
    </row>
    <row r="6778" spans="1:4" x14ac:dyDescent="0.35">
      <c r="A6778" s="5" t="str">
        <f t="shared" si="3489"/>
        <v>Agency</v>
      </c>
      <c r="B6778" s="6" t="str">
        <f t="shared" si="3499"/>
        <v>Total agent headcount (end of period)</v>
      </c>
      <c r="C6778" s="4" t="str">
        <f>CHOOSE(2, "5462030031", "Jul 26")</f>
        <v>Jul 26</v>
      </c>
      <c r="D6778" s="14">
        <v>2219</v>
      </c>
    </row>
    <row r="6779" spans="1:4" x14ac:dyDescent="0.35">
      <c r="A6779" s="5" t="str">
        <f t="shared" si="3489"/>
        <v>Agency</v>
      </c>
      <c r="B6779" s="3" t="str">
        <f t="shared" ref="B6779:B6780" si="3500">CHOOSE(2, "1395000000699", "Total agent headcount (end of period) in 0-1M")</f>
        <v>Total agent headcount (end of period) in 0-1M</v>
      </c>
      <c r="C6779" s="4" t="str">
        <f>CHOOSE(2, "5461730030", "Jun 26")</f>
        <v>Jun 26</v>
      </c>
      <c r="D6779" s="14">
        <v>58</v>
      </c>
    </row>
    <row r="6780" spans="1:4" x14ac:dyDescent="0.35">
      <c r="A6780" s="5" t="str">
        <f t="shared" si="3489"/>
        <v>Agency</v>
      </c>
      <c r="B6780" s="6" t="str">
        <f t="shared" si="3500"/>
        <v>Total agent headcount (end of period) in 0-1M</v>
      </c>
      <c r="C6780" s="4" t="str">
        <f>CHOOSE(2, "5462030031", "Jul 26")</f>
        <v>Jul 26</v>
      </c>
      <c r="D6780" s="14">
        <v>46</v>
      </c>
    </row>
    <row r="6781" spans="1:4" x14ac:dyDescent="0.35">
      <c r="A6781" s="5" t="str">
        <f t="shared" si="3489"/>
        <v>Agency</v>
      </c>
      <c r="B6781" s="3" t="str">
        <f t="shared" ref="B6781:B6782" si="3501">CHOOSE(2, "1395000000698", "Total agent headcount (end of period) in 2-3M")</f>
        <v>Total agent headcount (end of period) in 2-3M</v>
      </c>
      <c r="C6781" s="4" t="str">
        <f>CHOOSE(2, "5461730030", "Jun 26")</f>
        <v>Jun 26</v>
      </c>
      <c r="D6781" s="14">
        <v>129</v>
      </c>
    </row>
    <row r="6782" spans="1:4" x14ac:dyDescent="0.35">
      <c r="A6782" s="5" t="str">
        <f t="shared" si="3489"/>
        <v>Agency</v>
      </c>
      <c r="B6782" s="6" t="str">
        <f t="shared" si="3501"/>
        <v>Total agent headcount (end of period) in 2-3M</v>
      </c>
      <c r="C6782" s="4" t="str">
        <f>CHOOSE(2, "5462030031", "Jul 26")</f>
        <v>Jul 26</v>
      </c>
      <c r="D6782" s="14">
        <v>126</v>
      </c>
    </row>
    <row r="6783" spans="1:4" x14ac:dyDescent="0.35">
      <c r="A6783" s="5" t="str">
        <f t="shared" si="3489"/>
        <v>Agency</v>
      </c>
      <c r="B6783" s="3" t="str">
        <f t="shared" ref="B6783:B6784" si="3502">CHOOSE(2, "1395000000697", "Total agent headcount (end of period) in 4-12M")</f>
        <v>Total agent headcount (end of period) in 4-12M</v>
      </c>
      <c r="C6783" s="4" t="str">
        <f>CHOOSE(2, "5461730030", "Jun 26")</f>
        <v>Jun 26</v>
      </c>
      <c r="D6783" s="14">
        <v>438</v>
      </c>
    </row>
    <row r="6784" spans="1:4" x14ac:dyDescent="0.35">
      <c r="A6784" s="5" t="str">
        <f t="shared" si="3489"/>
        <v>Agency</v>
      </c>
      <c r="B6784" s="6" t="str">
        <f t="shared" si="3502"/>
        <v>Total agent headcount (end of period) in 4-12M</v>
      </c>
      <c r="C6784" s="4" t="str">
        <f>CHOOSE(2, "5462030031", "Jul 26")</f>
        <v>Jul 26</v>
      </c>
      <c r="D6784" s="14">
        <v>435</v>
      </c>
    </row>
    <row r="6785" spans="1:4" x14ac:dyDescent="0.35">
      <c r="A6785" s="5" t="str">
        <f t="shared" si="3489"/>
        <v>Agency</v>
      </c>
      <c r="B6785" s="3" t="str">
        <f t="shared" ref="B6785:B6786" si="3503">CHOOSE(2, "1395000000696", "Total agent headcount (end of period) 13+M")</f>
        <v>Total agent headcount (end of period) 13+M</v>
      </c>
      <c r="C6785" s="4" t="str">
        <f>CHOOSE(2, "5461730030", "Jun 26")</f>
        <v>Jun 26</v>
      </c>
      <c r="D6785" s="14">
        <v>1568</v>
      </c>
    </row>
    <row r="6786" spans="1:4" x14ac:dyDescent="0.35">
      <c r="A6786" s="5" t="str">
        <f t="shared" si="3489"/>
        <v>Agency</v>
      </c>
      <c r="B6786" s="6" t="str">
        <f t="shared" si="3503"/>
        <v>Total agent headcount (end of period) 13+M</v>
      </c>
      <c r="C6786" s="4" t="str">
        <f>CHOOSE(2, "5462030031", "Jul 26")</f>
        <v>Jul 26</v>
      </c>
      <c r="D6786" s="14">
        <v>1612</v>
      </c>
    </row>
    <row r="6787" spans="1:4" x14ac:dyDescent="0.35">
      <c r="A6787" s="5" t="str">
        <f t="shared" si="3489"/>
        <v>Agency</v>
      </c>
      <c r="B6787" s="3" t="str">
        <f t="shared" ref="B6787:B6788" si="3504">CHOOSE(2, "1395000000695", "Total agent headcount (end of period) in FA or equivalent")</f>
        <v>Total agent headcount (end of period) in FA or equivalent</v>
      </c>
      <c r="C6787" s="4" t="str">
        <f>CHOOSE(2, "5461730030", "Jun 26")</f>
        <v>Jun 26</v>
      </c>
      <c r="D6787" s="14">
        <v>1815</v>
      </c>
    </row>
    <row r="6788" spans="1:4" x14ac:dyDescent="0.35">
      <c r="A6788" s="5" t="str">
        <f t="shared" si="3489"/>
        <v>Agency</v>
      </c>
      <c r="B6788" s="6" t="str">
        <f t="shared" si="3504"/>
        <v>Total agent headcount (end of period) in FA or equivalent</v>
      </c>
      <c r="C6788" s="4" t="str">
        <f>CHOOSE(2, "5462030031", "Jul 26")</f>
        <v>Jul 26</v>
      </c>
      <c r="D6788" s="14">
        <v>1846</v>
      </c>
    </row>
    <row r="6789" spans="1:4" x14ac:dyDescent="0.35">
      <c r="A6789" s="5" t="str">
        <f t="shared" si="3489"/>
        <v>Agency</v>
      </c>
      <c r="B6789" s="3" t="str">
        <f t="shared" ref="B6789:B6790" si="3505">CHOOSE(2, "1395000000694", "Total agent headcount (end of period) in UM")</f>
        <v>Total agent headcount (end of period) in UM</v>
      </c>
      <c r="C6789" s="4" t="str">
        <f>CHOOSE(2, "5461730030", "Jun 26")</f>
        <v>Jun 26</v>
      </c>
      <c r="D6789" s="14">
        <v>315</v>
      </c>
    </row>
    <row r="6790" spans="1:4" x14ac:dyDescent="0.35">
      <c r="A6790" s="5" t="str">
        <f t="shared" si="3489"/>
        <v>Agency</v>
      </c>
      <c r="B6790" s="6" t="str">
        <f t="shared" si="3505"/>
        <v>Total agent headcount (end of period) in UM</v>
      </c>
      <c r="C6790" s="4" t="str">
        <f>CHOOSE(2, "5462030031", "Jul 26")</f>
        <v>Jul 26</v>
      </c>
      <c r="D6790" s="14">
        <v>311</v>
      </c>
    </row>
    <row r="6791" spans="1:4" x14ac:dyDescent="0.35">
      <c r="A6791" s="5" t="str">
        <f t="shared" si="3489"/>
        <v>Agency</v>
      </c>
      <c r="B6791" s="3" t="str">
        <f t="shared" ref="B6791:B6792" si="3506">CHOOSE(2, "1395000000693", "Total agent headcount (end of period) in Leaders above UM")</f>
        <v>Total agent headcount (end of period) in Leaders above UM</v>
      </c>
      <c r="C6791" s="4" t="str">
        <f>CHOOSE(2, "5461730030", "Jun 26")</f>
        <v>Jun 26</v>
      </c>
      <c r="D6791" s="14">
        <v>63</v>
      </c>
    </row>
    <row r="6792" spans="1:4" x14ac:dyDescent="0.35">
      <c r="A6792" s="5" t="str">
        <f t="shared" si="3489"/>
        <v>Agency</v>
      </c>
      <c r="B6792" s="6" t="str">
        <f t="shared" si="3506"/>
        <v>Total agent headcount (end of period) in Leaders above UM</v>
      </c>
      <c r="C6792" s="4" t="str">
        <f>CHOOSE(2, "5462030031", "Jul 26")</f>
        <v>Jul 26</v>
      </c>
      <c r="D6792" s="14">
        <v>62</v>
      </c>
    </row>
    <row r="6793" spans="1:4" x14ac:dyDescent="0.35">
      <c r="A6793" s="5" t="str">
        <f t="shared" si="3489"/>
        <v>Agency</v>
      </c>
      <c r="B6793" s="3" t="str">
        <f t="shared" ref="B6793:B6794" si="3507">CHOOSE(2, "1395000000692", "Total agent headcount (end of period) in Top-tier agents")</f>
        <v>Total agent headcount (end of period) in Top-tier agents</v>
      </c>
      <c r="C6793" s="4" t="str">
        <f>CHOOSE(2, "5461730030", "Jun 26")</f>
        <v>Jun 26</v>
      </c>
      <c r="D6793" s="14">
        <v>108</v>
      </c>
    </row>
    <row r="6794" spans="1:4" x14ac:dyDescent="0.35">
      <c r="A6794" s="5" t="str">
        <f t="shared" si="3489"/>
        <v>Agency</v>
      </c>
      <c r="B6794" s="6" t="str">
        <f t="shared" si="3507"/>
        <v>Total agent headcount (end of period) in Top-tier agents</v>
      </c>
      <c r="C6794" s="4" t="str">
        <f>CHOOSE(2, "5462030031", "Jul 26")</f>
        <v>Jul 26</v>
      </c>
      <c r="D6794" s="14">
        <v>108</v>
      </c>
    </row>
    <row r="6795" spans="1:4" x14ac:dyDescent="0.35">
      <c r="A6795" s="5" t="str">
        <f t="shared" si="3489"/>
        <v>Agency</v>
      </c>
      <c r="B6795" s="3" t="str">
        <f t="shared" ref="B6795:B6796" si="3508">CHOOSE(2, "1395000000691", "Total agent headcount  in pro-rated MDRT agents (&gt;100%)")</f>
        <v>Total agent headcount  in pro-rated MDRT agents (&gt;100%)</v>
      </c>
      <c r="C6795" s="4" t="str">
        <f>CHOOSE(2, "5461730030", "Jun 26")</f>
        <v>Jun 26</v>
      </c>
      <c r="D6795" s="14">
        <v>21</v>
      </c>
    </row>
    <row r="6796" spans="1:4" x14ac:dyDescent="0.35">
      <c r="A6796" s="5" t="str">
        <f t="shared" si="3489"/>
        <v>Agency</v>
      </c>
      <c r="B6796" s="6" t="str">
        <f t="shared" si="3508"/>
        <v>Total agent headcount  in pro-rated MDRT agents (&gt;100%)</v>
      </c>
      <c r="C6796" s="4" t="str">
        <f>CHOOSE(2, "5462030031", "Jul 26")</f>
        <v>Jul 26</v>
      </c>
      <c r="D6796" s="14">
        <v>22</v>
      </c>
    </row>
    <row r="6797" spans="1:4" x14ac:dyDescent="0.35">
      <c r="A6797" s="5" t="str">
        <f t="shared" si="3489"/>
        <v>Agency</v>
      </c>
      <c r="B6797" s="3" t="str">
        <f t="shared" ref="B6797:B6798" si="3509">CHOOSE(2, "1395000000690", "Total agent headcount  in pro-rated MDRT agents (70-99%)")</f>
        <v>Total agent headcount  in pro-rated MDRT agents (70-99%)</v>
      </c>
      <c r="C6797" s="4" t="str">
        <f>CHOOSE(2, "5461730030", "Jun 26")</f>
        <v>Jun 26</v>
      </c>
      <c r="D6797" s="14">
        <v>32</v>
      </c>
    </row>
    <row r="6798" spans="1:4" x14ac:dyDescent="0.35">
      <c r="A6798" s="5" t="str">
        <f t="shared" si="3489"/>
        <v>Agency</v>
      </c>
      <c r="B6798" s="6" t="str">
        <f t="shared" si="3509"/>
        <v>Total agent headcount  in pro-rated MDRT agents (70-99%)</v>
      </c>
      <c r="C6798" s="4" t="str">
        <f>CHOOSE(2, "5462030031", "Jul 26")</f>
        <v>Jul 26</v>
      </c>
      <c r="D6798" s="14">
        <v>35</v>
      </c>
    </row>
    <row r="6799" spans="1:4" x14ac:dyDescent="0.35">
      <c r="A6799" s="5" t="str">
        <f t="shared" si="3489"/>
        <v>Agency</v>
      </c>
      <c r="B6799" s="3" t="str">
        <f t="shared" ref="B6799:B6800" si="3510">CHOOSE(2, "1395000000689", "Total agent headcount  in pro-rated MDRT agents (50-69%)")</f>
        <v>Total agent headcount  in pro-rated MDRT agents (50-69%)</v>
      </c>
      <c r="C6799" s="4" t="str">
        <f>CHOOSE(2, "5461730030", "Jun 26")</f>
        <v>Jun 26</v>
      </c>
      <c r="D6799" s="14">
        <v>55</v>
      </c>
    </row>
    <row r="6800" spans="1:4" x14ac:dyDescent="0.35">
      <c r="A6800" s="5" t="str">
        <f t="shared" si="3489"/>
        <v>Agency</v>
      </c>
      <c r="B6800" s="6" t="str">
        <f t="shared" si="3510"/>
        <v>Total agent headcount  in pro-rated MDRT agents (50-69%)</v>
      </c>
      <c r="C6800" s="4" t="str">
        <f>CHOOSE(2, "5462030031", "Jul 26")</f>
        <v>Jul 26</v>
      </c>
      <c r="D6800" s="14">
        <v>51</v>
      </c>
    </row>
    <row r="6801" spans="1:4" x14ac:dyDescent="0.35">
      <c r="A6801" s="5" t="str">
        <f t="shared" si="3489"/>
        <v>Agency</v>
      </c>
      <c r="B6801" s="3" t="str">
        <f t="shared" ref="B6801:B6802" si="3511">CHOOSE(2, "1395000000688", "Total agent headcount  in Manulife Pro Qualifiers - Total")</f>
        <v>Total agent headcount  in Manulife Pro Qualifiers - Total</v>
      </c>
      <c r="C6801" s="4" t="str">
        <f>CHOOSE(2, "5461730030", "Jun 26")</f>
        <v>Jun 26</v>
      </c>
      <c r="D6801" s="2" t="s">
        <v>5</v>
      </c>
    </row>
    <row r="6802" spans="1:4" x14ac:dyDescent="0.35">
      <c r="A6802" s="5" t="str">
        <f t="shared" si="3489"/>
        <v>Agency</v>
      </c>
      <c r="B6802" s="6" t="str">
        <f t="shared" si="3511"/>
        <v>Total agent headcount  in Manulife Pro Qualifiers - Total</v>
      </c>
      <c r="C6802" s="4" t="str">
        <f>CHOOSE(2, "5462030031", "Jul 26")</f>
        <v>Jul 26</v>
      </c>
      <c r="D6802" s="2" t="s">
        <v>5</v>
      </c>
    </row>
    <row r="6803" spans="1:4" x14ac:dyDescent="0.35">
      <c r="A6803" s="5" t="str">
        <f t="shared" si="3489"/>
        <v>Agency</v>
      </c>
      <c r="B6803" s="3" t="str">
        <f t="shared" ref="B6803:B6804" si="3512">CHOOSE(2, "1395000000687", "New recruits")</f>
        <v>New recruits</v>
      </c>
      <c r="C6803" s="4" t="str">
        <f>CHOOSE(2, "5461730030", "Jun 26")</f>
        <v>Jun 26</v>
      </c>
      <c r="D6803" s="14">
        <v>58</v>
      </c>
    </row>
    <row r="6804" spans="1:4" x14ac:dyDescent="0.35">
      <c r="A6804" s="5" t="str">
        <f t="shared" si="3489"/>
        <v>Agency</v>
      </c>
      <c r="B6804" s="6" t="str">
        <f t="shared" si="3512"/>
        <v>New recruits</v>
      </c>
      <c r="C6804" s="4" t="str">
        <f>CHOOSE(2, "5462030031", "Jul 26")</f>
        <v>Jul 26</v>
      </c>
      <c r="D6804" s="14">
        <v>46</v>
      </c>
    </row>
    <row r="6805" spans="1:4" x14ac:dyDescent="0.35">
      <c r="A6805" s="5" t="str">
        <f t="shared" si="3489"/>
        <v>Agency</v>
      </c>
      <c r="B6805" s="3" t="str">
        <f t="shared" ref="B6805:B6806" si="3513">CHOOSE(2, "1395000000686", "New recruits - Leader level")</f>
        <v>New recruits - Leader level</v>
      </c>
      <c r="C6805" s="4" t="str">
        <f>CHOOSE(2, "5461730030", "Jun 26")</f>
        <v>Jun 26</v>
      </c>
      <c r="D6805" s="2" t="s">
        <v>5</v>
      </c>
    </row>
    <row r="6806" spans="1:4" x14ac:dyDescent="0.35">
      <c r="A6806" s="5" t="str">
        <f t="shared" si="3489"/>
        <v>Agency</v>
      </c>
      <c r="B6806" s="6" t="str">
        <f t="shared" si="3513"/>
        <v>New recruits - Leader level</v>
      </c>
      <c r="C6806" s="4" t="str">
        <f>CHOOSE(2, "5462030031", "Jul 26")</f>
        <v>Jul 26</v>
      </c>
      <c r="D6806" s="2" t="s">
        <v>5</v>
      </c>
    </row>
    <row r="6807" spans="1:4" x14ac:dyDescent="0.35">
      <c r="A6807" s="5" t="str">
        <f t="shared" si="3489"/>
        <v>Agency</v>
      </c>
      <c r="B6807" s="3" t="str">
        <f t="shared" ref="B6807:B6808" si="3514">CHOOSE(2, "1395000000685", "New recruits - FA or equivalent")</f>
        <v>New recruits - FA or equivalent</v>
      </c>
      <c r="C6807" s="4" t="str">
        <f>CHOOSE(2, "5461730030", "Jun 26")</f>
        <v>Jun 26</v>
      </c>
      <c r="D6807" s="14">
        <v>57</v>
      </c>
    </row>
    <row r="6808" spans="1:4" x14ac:dyDescent="0.35">
      <c r="A6808" s="5" t="str">
        <f t="shared" si="3489"/>
        <v>Agency</v>
      </c>
      <c r="B6808" s="6" t="str">
        <f t="shared" si="3514"/>
        <v>New recruits - FA or equivalent</v>
      </c>
      <c r="C6808" s="4" t="str">
        <f>CHOOSE(2, "5462030031", "Jul 26")</f>
        <v>Jul 26</v>
      </c>
      <c r="D6808" s="14">
        <v>44</v>
      </c>
    </row>
    <row r="6809" spans="1:4" x14ac:dyDescent="0.35">
      <c r="A6809" s="5" t="str">
        <f t="shared" si="3489"/>
        <v>Agency</v>
      </c>
      <c r="B6809" s="3" t="str">
        <f t="shared" ref="B6809:B6810" si="3515">CHOOSE(2, "1395000000684", "New recruits in UM")</f>
        <v>New recruits in UM</v>
      </c>
      <c r="C6809" s="4" t="str">
        <f>CHOOSE(2, "5461730030", "Jun 26")</f>
        <v>Jun 26</v>
      </c>
      <c r="D6809" s="14">
        <v>0</v>
      </c>
    </row>
    <row r="6810" spans="1:4" x14ac:dyDescent="0.35">
      <c r="A6810" s="5" t="str">
        <f t="shared" si="3489"/>
        <v>Agency</v>
      </c>
      <c r="B6810" s="6" t="str">
        <f t="shared" si="3515"/>
        <v>New recruits in UM</v>
      </c>
      <c r="C6810" s="4" t="str">
        <f>CHOOSE(2, "5462030031", "Jul 26")</f>
        <v>Jul 26</v>
      </c>
      <c r="D6810" s="14">
        <v>1</v>
      </c>
    </row>
    <row r="6811" spans="1:4" x14ac:dyDescent="0.35">
      <c r="A6811" s="5" t="str">
        <f t="shared" si="3489"/>
        <v>Agency</v>
      </c>
      <c r="B6811" s="3" t="str">
        <f t="shared" ref="B6811:B6812" si="3516">CHOOSE(2, "1395000000683", "New recruits in Leaders above UM")</f>
        <v>New recruits in Leaders above UM</v>
      </c>
      <c r="C6811" s="4" t="str">
        <f>CHOOSE(2, "5461730030", "Jun 26")</f>
        <v>Jun 26</v>
      </c>
      <c r="D6811" s="14">
        <v>1</v>
      </c>
    </row>
    <row r="6812" spans="1:4" x14ac:dyDescent="0.35">
      <c r="A6812" s="5" t="str">
        <f t="shared" si="3489"/>
        <v>Agency</v>
      </c>
      <c r="B6812" s="6" t="str">
        <f t="shared" si="3516"/>
        <v>New recruits in Leaders above UM</v>
      </c>
      <c r="C6812" s="4" t="str">
        <f>CHOOSE(2, "5462030031", "Jul 26")</f>
        <v>Jul 26</v>
      </c>
      <c r="D6812" s="14">
        <v>1</v>
      </c>
    </row>
    <row r="6813" spans="1:4" x14ac:dyDescent="0.35">
      <c r="A6813" s="5" t="str">
        <f t="shared" si="3489"/>
        <v>Agency</v>
      </c>
      <c r="B6813" s="3" t="str">
        <f t="shared" ref="B6813:B6814" si="3517">CHOOSE(2, "1395000000682", "# of 6-90 agents")</f>
        <v># of 6-90 agents</v>
      </c>
      <c r="C6813" s="4" t="str">
        <f>CHOOSE(2, "5461730030", "Jun 26")</f>
        <v>Jun 26</v>
      </c>
      <c r="D6813" s="14">
        <v>14</v>
      </c>
    </row>
    <row r="6814" spans="1:4" x14ac:dyDescent="0.35">
      <c r="A6814" s="5" t="str">
        <f t="shared" si="3489"/>
        <v>Agency</v>
      </c>
      <c r="B6814" s="6" t="str">
        <f t="shared" si="3517"/>
        <v># of 6-90 agents</v>
      </c>
      <c r="C6814" s="4" t="str">
        <f>CHOOSE(2, "5462030031", "Jul 26")</f>
        <v>Jul 26</v>
      </c>
      <c r="D6814" s="14">
        <v>12</v>
      </c>
    </row>
    <row r="6815" spans="1:4" x14ac:dyDescent="0.35">
      <c r="A6815" s="5" t="str">
        <f t="shared" si="3489"/>
        <v>Agency</v>
      </c>
      <c r="B6815" s="3" t="str">
        <f t="shared" ref="B6815:B6816" si="3518">CHOOSE(2, "1395000000681", "New Recruits 3M Activation #")</f>
        <v>New Recruits 3M Activation #</v>
      </c>
      <c r="C6815" s="4" t="str">
        <f>CHOOSE(2, "5461730030", "Jun 26")</f>
        <v>Jun 26</v>
      </c>
      <c r="D6815" s="14">
        <v>20</v>
      </c>
    </row>
    <row r="6816" spans="1:4" x14ac:dyDescent="0.35">
      <c r="A6816" s="5" t="str">
        <f t="shared" si="3489"/>
        <v>Agency</v>
      </c>
      <c r="B6816" s="6" t="str">
        <f t="shared" si="3518"/>
        <v>New Recruits 3M Activation #</v>
      </c>
      <c r="C6816" s="4" t="str">
        <f>CHOOSE(2, "5462030031", "Jul 26")</f>
        <v>Jul 26</v>
      </c>
      <c r="D6816" s="14">
        <v>25</v>
      </c>
    </row>
    <row r="6817" spans="1:4" x14ac:dyDescent="0.35">
      <c r="A6817" s="5" t="str">
        <f t="shared" si="3489"/>
        <v>Agency</v>
      </c>
      <c r="B6817" s="3" t="str">
        <f t="shared" ref="B6817:B6818" si="3519">CHOOSE(2, "1395000000680", "No of Terminations")</f>
        <v>No of Terminations</v>
      </c>
      <c r="C6817" s="4" t="str">
        <f>CHOOSE(2, "5461730030", "Jun 26")</f>
        <v>Jun 26</v>
      </c>
      <c r="D6817" s="14">
        <v>28</v>
      </c>
    </row>
    <row r="6818" spans="1:4" x14ac:dyDescent="0.35">
      <c r="A6818" s="5" t="str">
        <f t="shared" si="3489"/>
        <v>Agency</v>
      </c>
      <c r="B6818" s="6" t="str">
        <f t="shared" si="3519"/>
        <v>No of Terminations</v>
      </c>
      <c r="C6818" s="4" t="str">
        <f>CHOOSE(2, "5462030031", "Jul 26")</f>
        <v>Jul 26</v>
      </c>
      <c r="D6818" s="14">
        <v>21</v>
      </c>
    </row>
    <row r="6819" spans="1:4" x14ac:dyDescent="0.35">
      <c r="A6819" s="5" t="str">
        <f t="shared" si="3489"/>
        <v>Agency</v>
      </c>
      <c r="B6819" s="3" t="str">
        <f t="shared" ref="B6819:B6820" si="3520">CHOOSE(2, "1395000000679", "No of Terminations in FA or equivalent")</f>
        <v>No of Terminations in FA or equivalent</v>
      </c>
      <c r="C6819" s="4" t="str">
        <f>CHOOSE(2, "5461730030", "Jun 26")</f>
        <v>Jun 26</v>
      </c>
      <c r="D6819" s="14">
        <v>28</v>
      </c>
    </row>
    <row r="6820" spans="1:4" x14ac:dyDescent="0.35">
      <c r="A6820" s="5" t="str">
        <f t="shared" si="3489"/>
        <v>Agency</v>
      </c>
      <c r="B6820" s="6" t="str">
        <f t="shared" si="3520"/>
        <v>No of Terminations in FA or equivalent</v>
      </c>
      <c r="C6820" s="4" t="str">
        <f>CHOOSE(2, "5462030031", "Jul 26")</f>
        <v>Jul 26</v>
      </c>
      <c r="D6820" s="14">
        <v>17</v>
      </c>
    </row>
    <row r="6821" spans="1:4" x14ac:dyDescent="0.35">
      <c r="A6821" s="5" t="str">
        <f t="shared" si="3489"/>
        <v>Agency</v>
      </c>
      <c r="B6821" s="3" t="str">
        <f t="shared" ref="B6821:B6822" si="3521">CHOOSE(2, "1395000000678", "No of Terminations in UM")</f>
        <v>No of Terminations in UM</v>
      </c>
      <c r="C6821" s="4" t="str">
        <f>CHOOSE(2, "5461730030", "Jun 26")</f>
        <v>Jun 26</v>
      </c>
      <c r="D6821" s="14">
        <v>0</v>
      </c>
    </row>
    <row r="6822" spans="1:4" x14ac:dyDescent="0.35">
      <c r="A6822" s="5" t="str">
        <f t="shared" si="3489"/>
        <v>Agency</v>
      </c>
      <c r="B6822" s="6" t="str">
        <f t="shared" si="3521"/>
        <v>No of Terminations in UM</v>
      </c>
      <c r="C6822" s="4" t="str">
        <f>CHOOSE(2, "5462030031", "Jul 26")</f>
        <v>Jul 26</v>
      </c>
      <c r="D6822" s="14">
        <v>1</v>
      </c>
    </row>
    <row r="6823" spans="1:4" x14ac:dyDescent="0.35">
      <c r="A6823" s="5" t="str">
        <f t="shared" ref="A6823:A6886" si="3522">CHOOSE(2, "1260000000008", "Agency")</f>
        <v>Agency</v>
      </c>
      <c r="B6823" s="3" t="str">
        <f t="shared" ref="B6823:B6824" si="3523">CHOOSE(2, "1395000000677", "No of Terminations in Leaders above UM")</f>
        <v>No of Terminations in Leaders above UM</v>
      </c>
      <c r="C6823" s="4" t="str">
        <f>CHOOSE(2, "5461730030", "Jun 26")</f>
        <v>Jun 26</v>
      </c>
      <c r="D6823" s="14">
        <v>0</v>
      </c>
    </row>
    <row r="6824" spans="1:4" x14ac:dyDescent="0.35">
      <c r="A6824" s="5" t="str">
        <f t="shared" si="3522"/>
        <v>Agency</v>
      </c>
      <c r="B6824" s="6" t="str">
        <f t="shared" si="3523"/>
        <v>No of Terminations in Leaders above UM</v>
      </c>
      <c r="C6824" s="4" t="str">
        <f>CHOOSE(2, "5462030031", "Jul 26")</f>
        <v>Jul 26</v>
      </c>
      <c r="D6824" s="14">
        <v>3</v>
      </c>
    </row>
    <row r="6825" spans="1:4" x14ac:dyDescent="0.35">
      <c r="A6825" s="5" t="str">
        <f t="shared" si="3522"/>
        <v>Agency</v>
      </c>
      <c r="B6825" s="3" t="str">
        <f t="shared" ref="B6825:B6826" si="3524">CHOOSE(2, "1395000000676", "No of Terminations in Top-tier Agents")</f>
        <v>No of Terminations in Top-tier Agents</v>
      </c>
      <c r="C6825" s="4" t="str">
        <f>CHOOSE(2, "5461730030", "Jun 26")</f>
        <v>Jun 26</v>
      </c>
      <c r="D6825" s="14">
        <v>0</v>
      </c>
    </row>
    <row r="6826" spans="1:4" x14ac:dyDescent="0.35">
      <c r="A6826" s="5" t="str">
        <f t="shared" si="3522"/>
        <v>Agency</v>
      </c>
      <c r="B6826" s="6" t="str">
        <f t="shared" si="3524"/>
        <v>No of Terminations in Top-tier Agents</v>
      </c>
      <c r="C6826" s="4" t="str">
        <f>CHOOSE(2, "5462030031", "Jul 26")</f>
        <v>Jul 26</v>
      </c>
      <c r="D6826" s="14">
        <v>0</v>
      </c>
    </row>
    <row r="6827" spans="1:4" x14ac:dyDescent="0.35">
      <c r="A6827" s="5" t="str">
        <f t="shared" si="3522"/>
        <v>Agency</v>
      </c>
      <c r="B6827" s="3" t="str">
        <f t="shared" ref="B6827:B6828" si="3525">CHOOSE(2, "1395000000675", "No of Terminations in pro-rated MDRT agents (&gt;100%)")</f>
        <v>No of Terminations in pro-rated MDRT agents (&gt;100%)</v>
      </c>
      <c r="C6827" s="4" t="str">
        <f>CHOOSE(2, "5461730030", "Jun 26")</f>
        <v>Jun 26</v>
      </c>
      <c r="D6827" s="14">
        <v>0</v>
      </c>
    </row>
    <row r="6828" spans="1:4" x14ac:dyDescent="0.35">
      <c r="A6828" s="5" t="str">
        <f t="shared" si="3522"/>
        <v>Agency</v>
      </c>
      <c r="B6828" s="6" t="str">
        <f t="shared" si="3525"/>
        <v>No of Terminations in pro-rated MDRT agents (&gt;100%)</v>
      </c>
      <c r="C6828" s="4" t="str">
        <f>CHOOSE(2, "5462030031", "Jul 26")</f>
        <v>Jul 26</v>
      </c>
      <c r="D6828" s="14">
        <v>0</v>
      </c>
    </row>
    <row r="6829" spans="1:4" x14ac:dyDescent="0.35">
      <c r="A6829" s="5" t="str">
        <f t="shared" si="3522"/>
        <v>Agency</v>
      </c>
      <c r="B6829" s="3" t="str">
        <f t="shared" ref="B6829:B6830" si="3526">CHOOSE(2, "1395000000674", "No of Terminations in pro-rated MDRT agents (70-99%)")</f>
        <v>No of Terminations in pro-rated MDRT agents (70-99%)</v>
      </c>
      <c r="C6829" s="4" t="str">
        <f>CHOOSE(2, "5461730030", "Jun 26")</f>
        <v>Jun 26</v>
      </c>
      <c r="D6829" s="14">
        <v>0</v>
      </c>
    </row>
    <row r="6830" spans="1:4" x14ac:dyDescent="0.35">
      <c r="A6830" s="5" t="str">
        <f t="shared" si="3522"/>
        <v>Agency</v>
      </c>
      <c r="B6830" s="6" t="str">
        <f t="shared" si="3526"/>
        <v>No of Terminations in pro-rated MDRT agents (70-99%)</v>
      </c>
      <c r="C6830" s="4" t="str">
        <f>CHOOSE(2, "5462030031", "Jul 26")</f>
        <v>Jul 26</v>
      </c>
      <c r="D6830" s="14">
        <v>0</v>
      </c>
    </row>
    <row r="6831" spans="1:4" x14ac:dyDescent="0.35">
      <c r="A6831" s="5" t="str">
        <f t="shared" si="3522"/>
        <v>Agency</v>
      </c>
      <c r="B6831" s="3" t="str">
        <f t="shared" ref="B6831:B6832" si="3527">CHOOSE(2, "1395000000673", "No of Terminations in pro-rated MDRT agents (50-69%)")</f>
        <v>No of Terminations in pro-rated MDRT agents (50-69%)</v>
      </c>
      <c r="C6831" s="4" t="str">
        <f>CHOOSE(2, "5461730030", "Jun 26")</f>
        <v>Jun 26</v>
      </c>
      <c r="D6831" s="14">
        <v>0</v>
      </c>
    </row>
    <row r="6832" spans="1:4" x14ac:dyDescent="0.35">
      <c r="A6832" s="5" t="str">
        <f t="shared" si="3522"/>
        <v>Agency</v>
      </c>
      <c r="B6832" s="6" t="str">
        <f t="shared" si="3527"/>
        <v>No of Terminations in pro-rated MDRT agents (50-69%)</v>
      </c>
      <c r="C6832" s="4" t="str">
        <f>CHOOSE(2, "5462030031", "Jul 26")</f>
        <v>Jul 26</v>
      </c>
      <c r="D6832" s="14">
        <v>0</v>
      </c>
    </row>
    <row r="6833" spans="1:4" x14ac:dyDescent="0.35">
      <c r="A6833" s="5" t="str">
        <f t="shared" si="3522"/>
        <v>Agency</v>
      </c>
      <c r="B6833" s="3" t="str">
        <f t="shared" ref="B6833:B6834" si="3528">CHOOSE(2, "1395000000672", "No of Terminations in Manulife Pro Qualifiers - Total")</f>
        <v>No of Terminations in Manulife Pro Qualifiers - Total</v>
      </c>
      <c r="C6833" s="4" t="str">
        <f>CHOOSE(2, "5461730030", "Jun 26")</f>
        <v>Jun 26</v>
      </c>
      <c r="D6833" s="2" t="s">
        <v>5</v>
      </c>
    </row>
    <row r="6834" spans="1:4" x14ac:dyDescent="0.35">
      <c r="A6834" s="5" t="str">
        <f t="shared" si="3522"/>
        <v>Agency</v>
      </c>
      <c r="B6834" s="6" t="str">
        <f t="shared" si="3528"/>
        <v>No of Terminations in Manulife Pro Qualifiers - Total</v>
      </c>
      <c r="C6834" s="4" t="str">
        <f>CHOOSE(2, "5462030031", "Jul 26")</f>
        <v>Jul 26</v>
      </c>
      <c r="D6834" s="2" t="s">
        <v>5</v>
      </c>
    </row>
    <row r="6835" spans="1:4" x14ac:dyDescent="0.35">
      <c r="A6835" s="5" t="str">
        <f t="shared" si="3522"/>
        <v>Agency</v>
      </c>
      <c r="B6835" s="3" t="str">
        <f t="shared" ref="B6835:B6836" si="3529">CHOOSE(2, "1395000000671", "First Year Agents Terminated without Sales")</f>
        <v>First Year Agents Terminated without Sales</v>
      </c>
      <c r="C6835" s="4" t="str">
        <f>CHOOSE(2, "5461730030", "Jun 26")</f>
        <v>Jun 26</v>
      </c>
      <c r="D6835" s="14">
        <v>6</v>
      </c>
    </row>
    <row r="6836" spans="1:4" x14ac:dyDescent="0.35">
      <c r="A6836" s="5" t="str">
        <f t="shared" si="3522"/>
        <v>Agency</v>
      </c>
      <c r="B6836" s="6" t="str">
        <f t="shared" si="3529"/>
        <v>First Year Agents Terminated without Sales</v>
      </c>
      <c r="C6836" s="4" t="str">
        <f>CHOOSE(2, "5462030031", "Jul 26")</f>
        <v>Jul 26</v>
      </c>
      <c r="D6836" s="14">
        <v>6</v>
      </c>
    </row>
    <row r="6837" spans="1:4" x14ac:dyDescent="0.35">
      <c r="A6837" s="5" t="str">
        <f t="shared" si="3522"/>
        <v>Agency</v>
      </c>
      <c r="B6837" s="3" t="str">
        <f t="shared" ref="B6837:B6838" si="3530">CHOOSE(2, "1395000000670", "6mth Agency Retention Ratio")</f>
        <v>6mth Agency Retention Ratio</v>
      </c>
      <c r="C6837" s="4" t="str">
        <f>CHOOSE(2, "5461730030", "Jun 26")</f>
        <v>Jun 26</v>
      </c>
      <c r="D6837" s="14">
        <v>0.94687500000000002</v>
      </c>
    </row>
    <row r="6838" spans="1:4" x14ac:dyDescent="0.35">
      <c r="A6838" s="5" t="str">
        <f t="shared" si="3522"/>
        <v>Agency</v>
      </c>
      <c r="B6838" s="6" t="str">
        <f t="shared" si="3530"/>
        <v>6mth Agency Retention Ratio</v>
      </c>
      <c r="C6838" s="4" t="str">
        <f>CHOOSE(2, "5462030031", "Jul 26")</f>
        <v>Jul 26</v>
      </c>
      <c r="D6838" s="14">
        <v>0.95524699999999996</v>
      </c>
    </row>
    <row r="6839" spans="1:4" x14ac:dyDescent="0.35">
      <c r="A6839" s="5" t="str">
        <f t="shared" si="3522"/>
        <v>Agency</v>
      </c>
      <c r="B6839" s="3" t="str">
        <f t="shared" ref="B6839:B6840" si="3531">CHOOSE(2, "1395000000669", "12mth Agency Retention Ratio")</f>
        <v>12mth Agency Retention Ratio</v>
      </c>
      <c r="C6839" s="4" t="str">
        <f>CHOOSE(2, "5461730030", "Jun 26")</f>
        <v>Jun 26</v>
      </c>
      <c r="D6839" s="14">
        <v>0.86301399999999995</v>
      </c>
    </row>
    <row r="6840" spans="1:4" x14ac:dyDescent="0.35">
      <c r="A6840" s="5" t="str">
        <f t="shared" si="3522"/>
        <v>Agency</v>
      </c>
      <c r="B6840" s="6" t="str">
        <f t="shared" si="3531"/>
        <v>12mth Agency Retention Ratio</v>
      </c>
      <c r="C6840" s="4" t="str">
        <f>CHOOSE(2, "5462030031", "Jul 26")</f>
        <v>Jul 26</v>
      </c>
      <c r="D6840" s="14">
        <v>0.85975599999999996</v>
      </c>
    </row>
    <row r="6841" spans="1:4" x14ac:dyDescent="0.35">
      <c r="A6841" s="5" t="str">
        <f t="shared" si="3522"/>
        <v>Agency</v>
      </c>
      <c r="B6841" s="3" t="str">
        <f t="shared" ref="B6841:B6842" si="3532">CHOOSE(2, "1395000000668", "24mth Agency Retention Ratio")</f>
        <v>24mth Agency Retention Ratio</v>
      </c>
      <c r="C6841" s="4" t="str">
        <f>CHOOSE(2, "5461730030", "Jun 26")</f>
        <v>Jun 26</v>
      </c>
      <c r="D6841" s="14">
        <v>0.42532500000000001</v>
      </c>
    </row>
    <row r="6842" spans="1:4" x14ac:dyDescent="0.35">
      <c r="A6842" s="5" t="str">
        <f t="shared" si="3522"/>
        <v>Agency</v>
      </c>
      <c r="B6842" s="6" t="str">
        <f t="shared" si="3532"/>
        <v>24mth Agency Retention Ratio</v>
      </c>
      <c r="C6842" s="4" t="str">
        <f>CHOOSE(2, "5462030031", "Jul 26")</f>
        <v>Jul 26</v>
      </c>
      <c r="D6842" s="14">
        <v>0.43525599999999998</v>
      </c>
    </row>
    <row r="6843" spans="1:4" x14ac:dyDescent="0.35">
      <c r="A6843" s="5" t="str">
        <f t="shared" si="3522"/>
        <v>Agency</v>
      </c>
      <c r="B6843" s="3" t="str">
        <f t="shared" ref="B6843:B6844" si="3533">CHOOSE(2, "1395000000667", "Total # of Leaders (end of period)")</f>
        <v>Total # of Leaders (end of period)</v>
      </c>
      <c r="C6843" s="4" t="str">
        <f>CHOOSE(2, "5461730030", "Jun 26")</f>
        <v>Jun 26</v>
      </c>
      <c r="D6843" s="14">
        <v>378</v>
      </c>
    </row>
    <row r="6844" spans="1:4" x14ac:dyDescent="0.35">
      <c r="A6844" s="5" t="str">
        <f t="shared" si="3522"/>
        <v>Agency</v>
      </c>
      <c r="B6844" s="6" t="str">
        <f t="shared" si="3533"/>
        <v>Total # of Leaders (end of period)</v>
      </c>
      <c r="C6844" s="4" t="str">
        <f>CHOOSE(2, "5462030031", "Jul 26")</f>
        <v>Jul 26</v>
      </c>
      <c r="D6844" s="14">
        <v>373</v>
      </c>
    </row>
    <row r="6845" spans="1:4" x14ac:dyDescent="0.35">
      <c r="A6845" s="5" t="str">
        <f t="shared" si="3522"/>
        <v>Agency</v>
      </c>
      <c r="B6845" s="3" t="str">
        <f t="shared" ref="B6845:B6846" si="3534">CHOOSE(2, "1395000000666", "Total # of Unit Managers")</f>
        <v>Total # of Unit Managers</v>
      </c>
      <c r="C6845" s="4" t="str">
        <f>CHOOSE(2, "5461730030", "Jun 26")</f>
        <v>Jun 26</v>
      </c>
      <c r="D6845" s="14">
        <v>315</v>
      </c>
    </row>
    <row r="6846" spans="1:4" x14ac:dyDescent="0.35">
      <c r="A6846" s="5" t="str">
        <f t="shared" si="3522"/>
        <v>Agency</v>
      </c>
      <c r="B6846" s="6" t="str">
        <f t="shared" si="3534"/>
        <v>Total # of Unit Managers</v>
      </c>
      <c r="C6846" s="4" t="str">
        <f>CHOOSE(2, "5462030031", "Jul 26")</f>
        <v>Jul 26</v>
      </c>
      <c r="D6846" s="14">
        <v>311</v>
      </c>
    </row>
    <row r="6847" spans="1:4" x14ac:dyDescent="0.35">
      <c r="A6847" s="5" t="str">
        <f t="shared" si="3522"/>
        <v>Agency</v>
      </c>
      <c r="B6847" s="3" t="str">
        <f t="shared" ref="B6847:B6848" si="3535">CHOOSE(2, "1395000000665", "Total # of Leaders above Unit Manager level")</f>
        <v>Total # of Leaders above Unit Manager level</v>
      </c>
      <c r="C6847" s="4" t="str">
        <f>CHOOSE(2, "5461730030", "Jun 26")</f>
        <v>Jun 26</v>
      </c>
      <c r="D6847" s="14">
        <v>63</v>
      </c>
    </row>
    <row r="6848" spans="1:4" x14ac:dyDescent="0.35">
      <c r="A6848" s="5" t="str">
        <f t="shared" si="3522"/>
        <v>Agency</v>
      </c>
      <c r="B6848" s="6" t="str">
        <f t="shared" si="3535"/>
        <v>Total # of Leaders above Unit Manager level</v>
      </c>
      <c r="C6848" s="4" t="str">
        <f>CHOOSE(2, "5462030031", "Jul 26")</f>
        <v>Jul 26</v>
      </c>
      <c r="D6848" s="14">
        <v>62</v>
      </c>
    </row>
    <row r="6849" spans="1:4" x14ac:dyDescent="0.35">
      <c r="A6849" s="5" t="str">
        <f t="shared" si="3522"/>
        <v>Agency</v>
      </c>
      <c r="B6849" s="3" t="str">
        <f t="shared" ref="B6849:B6850" si="3536">CHOOSE(2, "1395000000664", "Total # of Agents below Unit Manager level (end of period)")</f>
        <v>Total # of Agents below Unit Manager level (end of period)</v>
      </c>
      <c r="C6849" s="4" t="str">
        <f>CHOOSE(2, "5461730030", "Jun 26")</f>
        <v>Jun 26</v>
      </c>
      <c r="D6849" s="14">
        <v>1815</v>
      </c>
    </row>
    <row r="6850" spans="1:4" x14ac:dyDescent="0.35">
      <c r="A6850" s="5" t="str">
        <f t="shared" si="3522"/>
        <v>Agency</v>
      </c>
      <c r="B6850" s="6" t="str">
        <f t="shared" si="3536"/>
        <v>Total # of Agents below Unit Manager level (end of period)</v>
      </c>
      <c r="C6850" s="4" t="str">
        <f>CHOOSE(2, "5462030031", "Jul 26")</f>
        <v>Jul 26</v>
      </c>
      <c r="D6850" s="14">
        <v>1846</v>
      </c>
    </row>
    <row r="6851" spans="1:4" x14ac:dyDescent="0.35">
      <c r="A6851" s="5" t="str">
        <f t="shared" si="3522"/>
        <v>Agency</v>
      </c>
      <c r="B6851" s="3" t="str">
        <f t="shared" ref="B6851:B6852" si="3537">CHOOSE(2, "1395000000663", "# of Active Recruiting Leaders")</f>
        <v># of Active Recruiting Leaders</v>
      </c>
      <c r="C6851" s="4" t="str">
        <f>CHOOSE(2, "5461730030", "Jun 26")</f>
        <v>Jun 26</v>
      </c>
      <c r="D6851" s="14">
        <v>22</v>
      </c>
    </row>
    <row r="6852" spans="1:4" x14ac:dyDescent="0.35">
      <c r="A6852" s="5" t="str">
        <f t="shared" si="3522"/>
        <v>Agency</v>
      </c>
      <c r="B6852" s="6" t="str">
        <f t="shared" si="3537"/>
        <v># of Active Recruiting Leaders</v>
      </c>
      <c r="C6852" s="4" t="str">
        <f>CHOOSE(2, "5462030031", "Jul 26")</f>
        <v>Jul 26</v>
      </c>
      <c r="D6852" s="14">
        <v>22</v>
      </c>
    </row>
    <row r="6853" spans="1:4" x14ac:dyDescent="0.35">
      <c r="A6853" s="5" t="str">
        <f t="shared" si="3522"/>
        <v>Agency</v>
      </c>
      <c r="B6853" s="3" t="str">
        <f t="shared" ref="B6853:B6854" si="3538">CHOOSE(2, "1395000000662", "# of leaders with &gt;1 YTD recruit")</f>
        <v># of leaders with &gt;1 YTD recruit</v>
      </c>
      <c r="C6853" s="4" t="str">
        <f>CHOOSE(2, "5461730030", "Jun 26")</f>
        <v>Jun 26</v>
      </c>
      <c r="D6853" s="14">
        <v>110</v>
      </c>
    </row>
    <row r="6854" spans="1:4" x14ac:dyDescent="0.35">
      <c r="A6854" s="5" t="str">
        <f t="shared" si="3522"/>
        <v>Agency</v>
      </c>
      <c r="B6854" s="6" t="str">
        <f t="shared" si="3538"/>
        <v># of leaders with &gt;1 YTD recruit</v>
      </c>
      <c r="C6854" s="4" t="str">
        <f>CHOOSE(2, "5462030031", "Jul 26")</f>
        <v>Jul 26</v>
      </c>
      <c r="D6854" s="14">
        <v>120</v>
      </c>
    </row>
    <row r="6855" spans="1:4" x14ac:dyDescent="0.35">
      <c r="A6855" s="5" t="str">
        <f t="shared" si="3522"/>
        <v>Agency</v>
      </c>
      <c r="B6855" s="3" t="str">
        <f t="shared" ref="B6855:B6856" si="3539">CHOOSE(2, "1395000000661", "Income ratio from personal sales (UM)")</f>
        <v>Income ratio from personal sales (UM)</v>
      </c>
      <c r="C6855" s="4" t="str">
        <f>CHOOSE(2, "5461730030", "Jun 26")</f>
        <v>Jun 26</v>
      </c>
      <c r="D6855" s="14">
        <v>0.57343532306217315</v>
      </c>
    </row>
    <row r="6856" spans="1:4" x14ac:dyDescent="0.35">
      <c r="A6856" s="5" t="str">
        <f t="shared" si="3522"/>
        <v>Agency</v>
      </c>
      <c r="B6856" s="6" t="str">
        <f t="shared" si="3539"/>
        <v>Income ratio from personal sales (UM)</v>
      </c>
      <c r="C6856" s="4" t="str">
        <f>CHOOSE(2, "5462030031", "Jul 26")</f>
        <v>Jul 26</v>
      </c>
      <c r="D6856" s="14">
        <v>0.17346229973750943</v>
      </c>
    </row>
    <row r="6857" spans="1:4" x14ac:dyDescent="0.35">
      <c r="A6857" s="5" t="str">
        <f t="shared" si="3522"/>
        <v>Agency</v>
      </c>
      <c r="B6857" s="3" t="str">
        <f t="shared" ref="B6857:B6858" si="3540">CHOOSE(2, "1395000000660", "Income ratio from personal sales (UM) (numerator)")</f>
        <v>Income ratio from personal sales (UM) (numerator)</v>
      </c>
      <c r="C6857" s="4" t="str">
        <f>CHOOSE(2, "5461730030", "Jun 26")</f>
        <v>Jun 26</v>
      </c>
      <c r="D6857" s="14">
        <v>100775.693101</v>
      </c>
    </row>
    <row r="6858" spans="1:4" x14ac:dyDescent="0.35">
      <c r="A6858" s="5" t="str">
        <f t="shared" si="3522"/>
        <v>Agency</v>
      </c>
      <c r="B6858" s="6" t="str">
        <f t="shared" si="3540"/>
        <v>Income ratio from personal sales (UM) (numerator)</v>
      </c>
      <c r="C6858" s="4" t="str">
        <f>CHOOSE(2, "5462030031", "Jul 26")</f>
        <v>Jul 26</v>
      </c>
      <c r="D6858" s="14">
        <v>26725.819403000001</v>
      </c>
    </row>
    <row r="6859" spans="1:4" x14ac:dyDescent="0.35">
      <c r="A6859" s="5" t="str">
        <f t="shared" si="3522"/>
        <v>Agency</v>
      </c>
      <c r="B6859" s="3" t="str">
        <f t="shared" ref="B6859:B6860" si="3541">CHOOSE(2, "1395000000659", "Income ratio from personal sales (UM) (denominator)")</f>
        <v>Income ratio from personal sales (UM) (denominator)</v>
      </c>
      <c r="C6859" s="4" t="str">
        <f>CHOOSE(2, "5461730030", "Jun 26")</f>
        <v>Jun 26</v>
      </c>
      <c r="D6859" s="14">
        <v>175740.29545800001</v>
      </c>
    </row>
    <row r="6860" spans="1:4" x14ac:dyDescent="0.35">
      <c r="A6860" s="5" t="str">
        <f t="shared" si="3522"/>
        <v>Agency</v>
      </c>
      <c r="B6860" s="6" t="str">
        <f t="shared" si="3541"/>
        <v>Income ratio from personal sales (UM) (denominator)</v>
      </c>
      <c r="C6860" s="4" t="str">
        <f>CHOOSE(2, "5462030031", "Jul 26")</f>
        <v>Jul 26</v>
      </c>
      <c r="D6860" s="14">
        <v>154072.78378900001</v>
      </c>
    </row>
    <row r="6861" spans="1:4" x14ac:dyDescent="0.35">
      <c r="A6861" s="5" t="str">
        <f t="shared" si="3522"/>
        <v>Agency</v>
      </c>
      <c r="B6861" s="3" t="str">
        <f t="shared" ref="B6861:B6862" si="3542">CHOOSE(2, "1395000000658", "Income ratio from personal sales (Leader above UM)")</f>
        <v>Income ratio from personal sales (Leader above UM)</v>
      </c>
      <c r="C6861" s="4" t="str">
        <f>CHOOSE(2, "5461730030", "Jun 26")</f>
        <v>Jun 26</v>
      </c>
      <c r="D6861" s="14">
        <v>0.19827178140451313</v>
      </c>
    </row>
    <row r="6862" spans="1:4" x14ac:dyDescent="0.35">
      <c r="A6862" s="5" t="str">
        <f t="shared" si="3522"/>
        <v>Agency</v>
      </c>
      <c r="B6862" s="6" t="str">
        <f t="shared" si="3542"/>
        <v>Income ratio from personal sales (Leader above UM)</v>
      </c>
      <c r="C6862" s="4" t="str">
        <f>CHOOSE(2, "5462030031", "Jul 26")</f>
        <v>Jul 26</v>
      </c>
      <c r="D6862" s="14">
        <v>5.1132768315277119E-2</v>
      </c>
    </row>
    <row r="6863" spans="1:4" x14ac:dyDescent="0.35">
      <c r="A6863" s="5" t="str">
        <f t="shared" si="3522"/>
        <v>Agency</v>
      </c>
      <c r="B6863" s="3" t="str">
        <f t="shared" ref="B6863:B6864" si="3543">CHOOSE(2, "1395000000657", "Income ratio from personal sales (Leader above UM) (num)")</f>
        <v>Income ratio from personal sales (Leader above UM) (num)</v>
      </c>
      <c r="C6863" s="4" t="str">
        <f>CHOOSE(2, "5461730030", "Jun 26")</f>
        <v>Jun 26</v>
      </c>
      <c r="D6863" s="14">
        <v>39998.439993</v>
      </c>
    </row>
    <row r="6864" spans="1:4" x14ac:dyDescent="0.35">
      <c r="A6864" s="5" t="str">
        <f t="shared" si="3522"/>
        <v>Agency</v>
      </c>
      <c r="B6864" s="6" t="str">
        <f t="shared" si="3543"/>
        <v>Income ratio from personal sales (Leader above UM) (num)</v>
      </c>
      <c r="C6864" s="4" t="str">
        <f>CHOOSE(2, "5462030031", "Jul 26")</f>
        <v>Jul 26</v>
      </c>
      <c r="D6864" s="14">
        <v>11048.171693</v>
      </c>
    </row>
    <row r="6865" spans="1:4" x14ac:dyDescent="0.35">
      <c r="A6865" s="5" t="str">
        <f t="shared" si="3522"/>
        <v>Agency</v>
      </c>
      <c r="B6865" s="3" t="str">
        <f t="shared" ref="B6865:B6866" si="3544">CHOOSE(2, "1395000000656", "Income ratio from personal sales (Leader above UM) (den)")</f>
        <v>Income ratio from personal sales (Leader above UM) (den)</v>
      </c>
      <c r="C6865" s="4" t="str">
        <f>CHOOSE(2, "5461730030", "Jun 26")</f>
        <v>Jun 26</v>
      </c>
      <c r="D6865" s="14">
        <v>201735.41443800001</v>
      </c>
    </row>
    <row r="6866" spans="1:4" x14ac:dyDescent="0.35">
      <c r="A6866" s="5" t="str">
        <f t="shared" si="3522"/>
        <v>Agency</v>
      </c>
      <c r="B6866" s="6" t="str">
        <f t="shared" si="3544"/>
        <v>Income ratio from personal sales (Leader above UM) (den)</v>
      </c>
      <c r="C6866" s="4" t="str">
        <f>CHOOSE(2, "5462030031", "Jul 26")</f>
        <v>Jul 26</v>
      </c>
      <c r="D6866" s="14">
        <v>216068.32677000001</v>
      </c>
    </row>
    <row r="6867" spans="1:4" x14ac:dyDescent="0.35">
      <c r="A6867" s="5" t="str">
        <f t="shared" si="3522"/>
        <v>Agency</v>
      </c>
      <c r="B6867" s="3" t="str">
        <f t="shared" ref="B6867:B6868" si="3545">CHOOSE(2, "1395000000655", "Total agent earnings")</f>
        <v>Total agent earnings</v>
      </c>
      <c r="C6867" s="4" t="str">
        <f>CHOOSE(2, "5461730030", "Jun 26")</f>
        <v>Jun 26</v>
      </c>
      <c r="D6867" s="14">
        <v>320620.96495222987</v>
      </c>
    </row>
    <row r="6868" spans="1:4" x14ac:dyDescent="0.35">
      <c r="A6868" s="5" t="str">
        <f t="shared" si="3522"/>
        <v>Agency</v>
      </c>
      <c r="B6868" s="6" t="str">
        <f t="shared" si="3545"/>
        <v>Total agent earnings</v>
      </c>
      <c r="C6868" s="4" t="str">
        <f>CHOOSE(2, "5462030031", "Jul 26")</f>
        <v>Jul 26</v>
      </c>
      <c r="D6868" s="14">
        <v>194286.27553099353</v>
      </c>
    </row>
    <row r="6869" spans="1:4" x14ac:dyDescent="0.35">
      <c r="A6869" s="5" t="str">
        <f t="shared" si="3522"/>
        <v>Agency</v>
      </c>
      <c r="B6869" s="3" t="str">
        <f t="shared" ref="B6869:B6870" si="3546">CHOOSE(2, "1395000000654", "Total agent earnings in FA or equivalent")</f>
        <v>Total agent earnings in FA or equivalent</v>
      </c>
      <c r="C6869" s="4" t="str">
        <f>CHOOSE(2, "5461730030", "Jun 26")</f>
        <v>Jun 26</v>
      </c>
      <c r="D6869" s="14">
        <v>226251.66000251999</v>
      </c>
    </row>
    <row r="6870" spans="1:4" x14ac:dyDescent="0.35">
      <c r="A6870" s="5" t="str">
        <f t="shared" si="3522"/>
        <v>Agency</v>
      </c>
      <c r="B6870" s="6" t="str">
        <f t="shared" si="3546"/>
        <v>Total agent earnings in FA or equivalent</v>
      </c>
      <c r="C6870" s="4" t="str">
        <f>CHOOSE(2, "5462030031", "Jul 26")</f>
        <v>Jul 26</v>
      </c>
      <c r="D6870" s="14">
        <v>101750.62775013299</v>
      </c>
    </row>
    <row r="6871" spans="1:4" x14ac:dyDescent="0.35">
      <c r="A6871" s="5" t="str">
        <f t="shared" si="3522"/>
        <v>Agency</v>
      </c>
      <c r="B6871" s="3" t="str">
        <f t="shared" ref="B6871:B6872" si="3547">CHOOSE(2, "1395000000653", "Total agent earnings in UM")</f>
        <v>Total agent earnings in UM</v>
      </c>
      <c r="C6871" s="4" t="str">
        <f>CHOOSE(2, "5461730030", "Jun 26")</f>
        <v>Jun 26</v>
      </c>
      <c r="D6871" s="14">
        <v>43935.249604795456</v>
      </c>
    </row>
    <row r="6872" spans="1:4" x14ac:dyDescent="0.35">
      <c r="A6872" s="5" t="str">
        <f t="shared" si="3522"/>
        <v>Agency</v>
      </c>
      <c r="B6872" s="6" t="str">
        <f t="shared" si="3547"/>
        <v>Total agent earnings in UM</v>
      </c>
      <c r="C6872" s="4" t="str">
        <f>CHOOSE(2, "5462030031", "Jul 26")</f>
        <v>Jul 26</v>
      </c>
      <c r="D6872" s="14">
        <v>38518.350020033788</v>
      </c>
    </row>
    <row r="6873" spans="1:4" x14ac:dyDescent="0.35">
      <c r="A6873" s="5" t="str">
        <f t="shared" si="3522"/>
        <v>Agency</v>
      </c>
      <c r="B6873" s="3" t="str">
        <f t="shared" ref="B6873:B6874" si="3548">CHOOSE(2, "1395000000652", "Total agent earnings in Leaders above UM")</f>
        <v>Total agent earnings in Leaders above UM</v>
      </c>
      <c r="C6873" s="4" t="str">
        <f>CHOOSE(2, "5461730030", "Jun 26")</f>
        <v>Jun 26</v>
      </c>
      <c r="D6873" s="14">
        <v>50434.055344914435</v>
      </c>
    </row>
    <row r="6874" spans="1:4" x14ac:dyDescent="0.35">
      <c r="A6874" s="5" t="str">
        <f t="shared" si="3522"/>
        <v>Agency</v>
      </c>
      <c r="B6874" s="6" t="str">
        <f t="shared" si="3548"/>
        <v>Total agent earnings in Leaders above UM</v>
      </c>
      <c r="C6874" s="4" t="str">
        <f>CHOOSE(2, "5462030031", "Jul 26")</f>
        <v>Jul 26</v>
      </c>
      <c r="D6874" s="14">
        <v>54017.297760826768</v>
      </c>
    </row>
    <row r="6875" spans="1:4" x14ac:dyDescent="0.35">
      <c r="A6875" s="5" t="str">
        <f t="shared" si="3522"/>
        <v>Agency</v>
      </c>
      <c r="B6875" s="3" t="str">
        <f t="shared" ref="B6875:B6876" si="3549">CHOOSE(2, "1395000000651", "# of Newly Promoted UM")</f>
        <v># of Newly Promoted UM</v>
      </c>
      <c r="C6875" s="4" t="str">
        <f>CHOOSE(2, "5461730030", "Jun 26")</f>
        <v>Jun 26</v>
      </c>
      <c r="D6875" s="14">
        <v>1</v>
      </c>
    </row>
    <row r="6876" spans="1:4" x14ac:dyDescent="0.35">
      <c r="A6876" s="5" t="str">
        <f t="shared" si="3522"/>
        <v>Agency</v>
      </c>
      <c r="B6876" s="6" t="str">
        <f t="shared" si="3549"/>
        <v># of Newly Promoted UM</v>
      </c>
      <c r="C6876" s="4" t="str">
        <f>CHOOSE(2, "5462030031", "Jul 26")</f>
        <v>Jul 26</v>
      </c>
      <c r="D6876" s="14">
        <v>11</v>
      </c>
    </row>
    <row r="6877" spans="1:4" x14ac:dyDescent="0.35">
      <c r="A6877" s="5" t="str">
        <f t="shared" si="3522"/>
        <v>Agency</v>
      </c>
      <c r="B6877" s="3" t="str">
        <f t="shared" ref="B6877:B6878" si="3550">CHOOSE(2, "1395000000650", "# of Newly Promoted Leaders above UM")</f>
        <v># of Newly Promoted Leaders above UM</v>
      </c>
      <c r="C6877" s="4" t="str">
        <f>CHOOSE(2, "5461730030", "Jun 26")</f>
        <v>Jun 26</v>
      </c>
      <c r="D6877" s="14">
        <v>0</v>
      </c>
    </row>
    <row r="6878" spans="1:4" x14ac:dyDescent="0.35">
      <c r="A6878" s="5" t="str">
        <f t="shared" si="3522"/>
        <v>Agency</v>
      </c>
      <c r="B6878" s="6" t="str">
        <f t="shared" si="3550"/>
        <v># of Newly Promoted Leaders above UM</v>
      </c>
      <c r="C6878" s="4" t="str">
        <f>CHOOSE(2, "5462030031", "Jul 26")</f>
        <v>Jul 26</v>
      </c>
      <c r="D6878" s="14">
        <v>1</v>
      </c>
    </row>
    <row r="6879" spans="1:4" x14ac:dyDescent="0.35">
      <c r="A6879" s="5" t="str">
        <f t="shared" si="3522"/>
        <v>Agency</v>
      </c>
      <c r="B6879" s="3" t="str">
        <f t="shared" ref="B6879:B6880" si="3551">CHOOSE(2, "1395000000649", "# of Total Leader Promotions")</f>
        <v># of Total Leader Promotions</v>
      </c>
      <c r="C6879" s="4" t="str">
        <f>CHOOSE(2, "5461730030", "Jun 26")</f>
        <v>Jun 26</v>
      </c>
      <c r="D6879" s="14">
        <v>1</v>
      </c>
    </row>
    <row r="6880" spans="1:4" x14ac:dyDescent="0.35">
      <c r="A6880" s="5" t="str">
        <f t="shared" si="3522"/>
        <v>Agency</v>
      </c>
      <c r="B6880" s="6" t="str">
        <f t="shared" si="3551"/>
        <v># of Total Leader Promotions</v>
      </c>
      <c r="C6880" s="4" t="str">
        <f>CHOOSE(2, "5462030031", "Jul 26")</f>
        <v>Jul 26</v>
      </c>
      <c r="D6880" s="14">
        <v>12</v>
      </c>
    </row>
    <row r="6881" spans="1:4" x14ac:dyDescent="0.35">
      <c r="A6881" s="5" t="str">
        <f t="shared" si="3522"/>
        <v>Agency</v>
      </c>
      <c r="B6881" s="3" t="str">
        <f t="shared" ref="B6881:B6882" si="3552">CHOOSE(2, "1395000000648", "# of Newly Demoted UM")</f>
        <v># of Newly Demoted UM</v>
      </c>
      <c r="C6881" s="4" t="str">
        <f>CHOOSE(2, "5461730030", "Jun 26")</f>
        <v>Jun 26</v>
      </c>
      <c r="D6881" s="14">
        <v>0</v>
      </c>
    </row>
    <row r="6882" spans="1:4" x14ac:dyDescent="0.35">
      <c r="A6882" s="5" t="str">
        <f t="shared" si="3522"/>
        <v>Agency</v>
      </c>
      <c r="B6882" s="6" t="str">
        <f t="shared" si="3552"/>
        <v># of Newly Demoted UM</v>
      </c>
      <c r="C6882" s="4" t="str">
        <f>CHOOSE(2, "5462030031", "Jul 26")</f>
        <v>Jul 26</v>
      </c>
      <c r="D6882" s="14">
        <v>3</v>
      </c>
    </row>
    <row r="6883" spans="1:4" x14ac:dyDescent="0.35">
      <c r="A6883" s="5" t="str">
        <f t="shared" si="3522"/>
        <v>Agency</v>
      </c>
      <c r="B6883" s="3" t="str">
        <f t="shared" ref="B6883:B6884" si="3553">CHOOSE(2, "1395000000647", "# of Newly Demoted Leaders above UM")</f>
        <v># of Newly Demoted Leaders above UM</v>
      </c>
      <c r="C6883" s="4" t="str">
        <f>CHOOSE(2, "5461730030", "Jun 26")</f>
        <v>Jun 26</v>
      </c>
      <c r="D6883" s="14">
        <v>0</v>
      </c>
    </row>
    <row r="6884" spans="1:4" x14ac:dyDescent="0.35">
      <c r="A6884" s="5" t="str">
        <f t="shared" si="3522"/>
        <v>Agency</v>
      </c>
      <c r="B6884" s="6" t="str">
        <f t="shared" si="3553"/>
        <v># of Newly Demoted Leaders above UM</v>
      </c>
      <c r="C6884" s="4" t="str">
        <f>CHOOSE(2, "5462030031", "Jul 26")</f>
        <v>Jul 26</v>
      </c>
      <c r="D6884" s="14">
        <v>0</v>
      </c>
    </row>
    <row r="6885" spans="1:4" x14ac:dyDescent="0.35">
      <c r="A6885" s="5" t="str">
        <f t="shared" si="3522"/>
        <v>Agency</v>
      </c>
      <c r="B6885" s="3" t="str">
        <f t="shared" ref="B6885:B6886" si="3554">CHOOSE(2, "1395000000646", "# of Total Leader Demotions")</f>
        <v># of Total Leader Demotions</v>
      </c>
      <c r="C6885" s="4" t="str">
        <f>CHOOSE(2, "5461730030", "Jun 26")</f>
        <v>Jun 26</v>
      </c>
      <c r="D6885" s="14">
        <v>0</v>
      </c>
    </row>
    <row r="6886" spans="1:4" x14ac:dyDescent="0.35">
      <c r="A6886" s="5" t="str">
        <f t="shared" si="3522"/>
        <v>Agency</v>
      </c>
      <c r="B6886" s="6" t="str">
        <f t="shared" si="3554"/>
        <v># of Total Leader Demotions</v>
      </c>
      <c r="C6886" s="4" t="str">
        <f>CHOOSE(2, "5462030031", "Jul 26")</f>
        <v>Jul 26</v>
      </c>
      <c r="D6886" s="14">
        <v>3</v>
      </c>
    </row>
    <row r="6887" spans="1:4" x14ac:dyDescent="0.35">
      <c r="A6887" s="5" t="str">
        <f t="shared" ref="A6887:A6950" si="3555">CHOOSE(2, "1260000000008", "Agency")</f>
        <v>Agency</v>
      </c>
      <c r="B6887" s="3" t="str">
        <f t="shared" ref="B6887:B6888" si="3556">CHOOSE(2, "1395000000645", "# of agents meeting MOC")</f>
        <v># of agents meeting MOC</v>
      </c>
      <c r="C6887" s="4" t="str">
        <f>CHOOSE(2, "5461730030", "Jun 26")</f>
        <v>Jun 26</v>
      </c>
      <c r="D6887" s="14">
        <v>2134</v>
      </c>
    </row>
    <row r="6888" spans="1:4" x14ac:dyDescent="0.35">
      <c r="A6888" s="5" t="str">
        <f t="shared" si="3555"/>
        <v>Agency</v>
      </c>
      <c r="B6888" s="6" t="str">
        <f t="shared" si="3556"/>
        <v># of agents meeting MOC</v>
      </c>
      <c r="C6888" s="4" t="str">
        <f>CHOOSE(2, "5462030031", "Jul 26")</f>
        <v>Jul 26</v>
      </c>
      <c r="D6888" s="14">
        <v>2172</v>
      </c>
    </row>
    <row r="6889" spans="1:4" x14ac:dyDescent="0.35">
      <c r="A6889" s="5" t="str">
        <f t="shared" si="3555"/>
        <v>Agency</v>
      </c>
      <c r="B6889" s="3" t="str">
        <f t="shared" ref="B6889:B6890" si="3557">CHOOSE(2, "1395000000644", "# of agents meeting MOC in FA or equivalent")</f>
        <v># of agents meeting MOC in FA or equivalent</v>
      </c>
      <c r="C6889" s="4" t="str">
        <f>CHOOSE(2, "5461730030", "Jun 26")</f>
        <v>Jun 26</v>
      </c>
      <c r="D6889" s="14">
        <v>1758</v>
      </c>
    </row>
    <row r="6890" spans="1:4" x14ac:dyDescent="0.35">
      <c r="A6890" s="5" t="str">
        <f t="shared" si="3555"/>
        <v>Agency</v>
      </c>
      <c r="B6890" s="6" t="str">
        <f t="shared" si="3557"/>
        <v># of agents meeting MOC in FA or equivalent</v>
      </c>
      <c r="C6890" s="4" t="str">
        <f>CHOOSE(2, "5462030031", "Jul 26")</f>
        <v>Jul 26</v>
      </c>
      <c r="D6890" s="14">
        <v>1802</v>
      </c>
    </row>
    <row r="6891" spans="1:4" x14ac:dyDescent="0.35">
      <c r="A6891" s="5" t="str">
        <f t="shared" si="3555"/>
        <v>Agency</v>
      </c>
      <c r="B6891" s="3" t="str">
        <f t="shared" ref="B6891:B6892" si="3558">CHOOSE(2, "1395000000643", "# of agents meeting MOC in UM")</f>
        <v># of agents meeting MOC in UM</v>
      </c>
      <c r="C6891" s="4" t="str">
        <f>CHOOSE(2, "5461730030", "Jun 26")</f>
        <v>Jun 26</v>
      </c>
      <c r="D6891" s="14">
        <v>314</v>
      </c>
    </row>
    <row r="6892" spans="1:4" x14ac:dyDescent="0.35">
      <c r="A6892" s="5" t="str">
        <f t="shared" si="3555"/>
        <v>Agency</v>
      </c>
      <c r="B6892" s="6" t="str">
        <f t="shared" si="3558"/>
        <v># of agents meeting MOC in UM</v>
      </c>
      <c r="C6892" s="4" t="str">
        <f>CHOOSE(2, "5462030031", "Jul 26")</f>
        <v>Jul 26</v>
      </c>
      <c r="D6892" s="14">
        <v>310</v>
      </c>
    </row>
    <row r="6893" spans="1:4" x14ac:dyDescent="0.35">
      <c r="A6893" s="5" t="str">
        <f t="shared" si="3555"/>
        <v>Agency</v>
      </c>
      <c r="B6893" s="3" t="str">
        <f t="shared" ref="B6893:B6894" si="3559">CHOOSE(2, "1395000000642", "# of agents meeting MOC in Leaders above UM")</f>
        <v># of agents meeting MOC in Leaders above UM</v>
      </c>
      <c r="C6893" s="4" t="str">
        <f>CHOOSE(2, "5461730030", "Jun 26")</f>
        <v>Jun 26</v>
      </c>
      <c r="D6893" s="14">
        <v>62</v>
      </c>
    </row>
    <row r="6894" spans="1:4" x14ac:dyDescent="0.35">
      <c r="A6894" s="5" t="str">
        <f t="shared" si="3555"/>
        <v>Agency</v>
      </c>
      <c r="B6894" s="6" t="str">
        <f t="shared" si="3559"/>
        <v># of agents meeting MOC in Leaders above UM</v>
      </c>
      <c r="C6894" s="4" t="str">
        <f>CHOOSE(2, "5462030031", "Jul 26")</f>
        <v>Jul 26</v>
      </c>
      <c r="D6894" s="14">
        <v>60</v>
      </c>
    </row>
    <row r="6895" spans="1:4" x14ac:dyDescent="0.35">
      <c r="A6895" s="5" t="str">
        <f t="shared" si="3555"/>
        <v>Agency</v>
      </c>
      <c r="B6895" s="3" t="str">
        <f t="shared" ref="B6895:B6896" si="3560">CHOOSE(2, "1395000000641", "New Leaders 3M Activation Rate (by cohort)")</f>
        <v>New Leaders 3M Activation Rate (by cohort)</v>
      </c>
      <c r="C6895" s="4" t="str">
        <f>CHOOSE(2, "5461730030", "Jun 26")</f>
        <v>Jun 26</v>
      </c>
      <c r="D6895" s="14">
        <v>0.33333333333333331</v>
      </c>
    </row>
    <row r="6896" spans="1:4" x14ac:dyDescent="0.35">
      <c r="A6896" s="5" t="str">
        <f t="shared" si="3555"/>
        <v>Agency</v>
      </c>
      <c r="B6896" s="6" t="str">
        <f t="shared" si="3560"/>
        <v>New Leaders 3M Activation Rate (by cohort)</v>
      </c>
      <c r="C6896" s="4" t="str">
        <f>CHOOSE(2, "5462030031", "Jul 26")</f>
        <v>Jul 26</v>
      </c>
      <c r="D6896" s="14">
        <v>0</v>
      </c>
    </row>
    <row r="6897" spans="1:4" x14ac:dyDescent="0.35">
      <c r="A6897" s="5" t="str">
        <f t="shared" si="3555"/>
        <v>Agency</v>
      </c>
      <c r="B6897" s="3" t="str">
        <f t="shared" ref="B6897:B6898" si="3561">CHOOSE(2, "1395000000640", "New Leaders 3M Activation Rate (by cohort) (numerator)")</f>
        <v>New Leaders 3M Activation Rate (by cohort) (numerator)</v>
      </c>
      <c r="C6897" s="4" t="str">
        <f>CHOOSE(2, "5461730030", "Jun 26")</f>
        <v>Jun 26</v>
      </c>
      <c r="D6897" s="14">
        <v>1</v>
      </c>
    </row>
    <row r="6898" spans="1:4" x14ac:dyDescent="0.35">
      <c r="A6898" s="5" t="str">
        <f t="shared" si="3555"/>
        <v>Agency</v>
      </c>
      <c r="B6898" s="6" t="str">
        <f t="shared" si="3561"/>
        <v>New Leaders 3M Activation Rate (by cohort) (numerator)</v>
      </c>
      <c r="C6898" s="4" t="str">
        <f>CHOOSE(2, "5462030031", "Jul 26")</f>
        <v>Jul 26</v>
      </c>
      <c r="D6898" s="14">
        <v>0</v>
      </c>
    </row>
    <row r="6899" spans="1:4" x14ac:dyDescent="0.35">
      <c r="A6899" s="5" t="str">
        <f t="shared" si="3555"/>
        <v>Agency</v>
      </c>
      <c r="B6899" s="3" t="str">
        <f t="shared" ref="B6899:B6900" si="3562">CHOOSE(2, "1395000000639", "New Leaders 3M Activation Rate (by cohort) (denominator)")</f>
        <v>New Leaders 3M Activation Rate (by cohort) (denominator)</v>
      </c>
      <c r="C6899" s="4" t="str">
        <f>CHOOSE(2, "5461730030", "Jun 26")</f>
        <v>Jun 26</v>
      </c>
      <c r="D6899" s="14">
        <v>3</v>
      </c>
    </row>
    <row r="6900" spans="1:4" x14ac:dyDescent="0.35">
      <c r="A6900" s="5" t="str">
        <f t="shared" si="3555"/>
        <v>Agency</v>
      </c>
      <c r="B6900" s="6" t="str">
        <f t="shared" si="3562"/>
        <v>New Leaders 3M Activation Rate (by cohort) (denominator)</v>
      </c>
      <c r="C6900" s="4" t="str">
        <f>CHOOSE(2, "5462030031", "Jul 26")</f>
        <v>Jul 26</v>
      </c>
      <c r="D6900" s="14">
        <v>2</v>
      </c>
    </row>
    <row r="6901" spans="1:4" x14ac:dyDescent="0.35">
      <c r="A6901" s="5" t="str">
        <f t="shared" si="3555"/>
        <v>Agency</v>
      </c>
      <c r="B6901" s="3" t="str">
        <f t="shared" ref="B6901:B6902" si="3563">CHOOSE(2, "1395000000638", "# of pro-rated MDRT agents (100%)")</f>
        <v># of pro-rated MDRT agents (100%)</v>
      </c>
      <c r="C6901" s="4" t="str">
        <f>CHOOSE(2, "5461730030", "Jun 26")</f>
        <v>Jun 26</v>
      </c>
      <c r="D6901" s="14">
        <v>21</v>
      </c>
    </row>
    <row r="6902" spans="1:4" x14ac:dyDescent="0.35">
      <c r="A6902" s="5" t="str">
        <f t="shared" si="3555"/>
        <v>Agency</v>
      </c>
      <c r="B6902" s="6" t="str">
        <f t="shared" si="3563"/>
        <v># of pro-rated MDRT agents (100%)</v>
      </c>
      <c r="C6902" s="4" t="str">
        <f>CHOOSE(2, "5462030031", "Jul 26")</f>
        <v>Jul 26</v>
      </c>
      <c r="D6902" s="14">
        <v>22</v>
      </c>
    </row>
    <row r="6903" spans="1:4" x14ac:dyDescent="0.35">
      <c r="A6903" s="5" t="str">
        <f t="shared" si="3555"/>
        <v>Agency</v>
      </c>
      <c r="B6903" s="3" t="str">
        <f t="shared" ref="B6903:B6904" si="3564">CHOOSE(2, "1395000000637", "# of pro-rated MDRT agents (90%-99%)")</f>
        <v># of pro-rated MDRT agents (90%-99%)</v>
      </c>
      <c r="C6903" s="4" t="str">
        <f>CHOOSE(2, "5461730030", "Jun 26")</f>
        <v>Jun 26</v>
      </c>
      <c r="D6903" s="2" t="s">
        <v>5</v>
      </c>
    </row>
    <row r="6904" spans="1:4" x14ac:dyDescent="0.35">
      <c r="A6904" s="5" t="str">
        <f t="shared" si="3555"/>
        <v>Agency</v>
      </c>
      <c r="B6904" s="6" t="str">
        <f t="shared" si="3564"/>
        <v># of pro-rated MDRT agents (90%-99%)</v>
      </c>
      <c r="C6904" s="4" t="str">
        <f>CHOOSE(2, "5462030031", "Jul 26")</f>
        <v>Jul 26</v>
      </c>
      <c r="D6904" s="2" t="s">
        <v>5</v>
      </c>
    </row>
    <row r="6905" spans="1:4" x14ac:dyDescent="0.35">
      <c r="A6905" s="5" t="str">
        <f t="shared" si="3555"/>
        <v>Agency</v>
      </c>
      <c r="B6905" s="3" t="str">
        <f t="shared" ref="B6905:B6906" si="3565">CHOOSE(2, "1395000000636", "# of pro-rated MDRT agents (70%-90%)")</f>
        <v># of pro-rated MDRT agents (70%-90%)</v>
      </c>
      <c r="C6905" s="4" t="str">
        <f>CHOOSE(2, "5461730030", "Jun 26")</f>
        <v>Jun 26</v>
      </c>
      <c r="D6905" s="2" t="s">
        <v>5</v>
      </c>
    </row>
    <row r="6906" spans="1:4" x14ac:dyDescent="0.35">
      <c r="A6906" s="5" t="str">
        <f t="shared" si="3555"/>
        <v>Agency</v>
      </c>
      <c r="B6906" s="6" t="str">
        <f t="shared" si="3565"/>
        <v># of pro-rated MDRT agents (70%-90%)</v>
      </c>
      <c r="C6906" s="4" t="str">
        <f>CHOOSE(2, "5462030031", "Jul 26")</f>
        <v>Jul 26</v>
      </c>
      <c r="D6906" s="2" t="s">
        <v>5</v>
      </c>
    </row>
    <row r="6907" spans="1:4" x14ac:dyDescent="0.35">
      <c r="A6907" s="5" t="str">
        <f t="shared" si="3555"/>
        <v>Agency</v>
      </c>
      <c r="B6907" s="3" t="str">
        <f t="shared" ref="B6907:B6908" si="3566">CHOOSE(2, "1395000000635", "# of pro-rated MDRT agents (&lt;70%)")</f>
        <v># of pro-rated MDRT agents (&lt;70%)</v>
      </c>
      <c r="C6907" s="4" t="str">
        <f>CHOOSE(2, "5461730030", "Jun 26")</f>
        <v>Jun 26</v>
      </c>
      <c r="D6907" s="2" t="s">
        <v>5</v>
      </c>
    </row>
    <row r="6908" spans="1:4" x14ac:dyDescent="0.35">
      <c r="A6908" s="5" t="str">
        <f t="shared" si="3555"/>
        <v>Agency</v>
      </c>
      <c r="B6908" s="6" t="str">
        <f t="shared" si="3566"/>
        <v># of pro-rated MDRT agents (&lt;70%)</v>
      </c>
      <c r="C6908" s="4" t="str">
        <f>CHOOSE(2, "5462030031", "Jul 26")</f>
        <v>Jul 26</v>
      </c>
      <c r="D6908" s="2" t="s">
        <v>5</v>
      </c>
    </row>
    <row r="6909" spans="1:4" x14ac:dyDescent="0.35">
      <c r="A6909" s="5" t="str">
        <f t="shared" si="3555"/>
        <v>Agency</v>
      </c>
      <c r="B6909" s="3" t="str">
        <f t="shared" ref="B6909:B6910" si="3567">CHOOSE(2, "1395000000634", "# of pro-rated MDRT agents (50%-70%)")</f>
        <v># of pro-rated MDRT agents (50%-70%)</v>
      </c>
      <c r="C6909" s="4" t="str">
        <f>CHOOSE(2, "5461730030", "Jun 26")</f>
        <v>Jun 26</v>
      </c>
      <c r="D6909" s="2" t="s">
        <v>5</v>
      </c>
    </row>
    <row r="6910" spans="1:4" x14ac:dyDescent="0.35">
      <c r="A6910" s="5" t="str">
        <f t="shared" si="3555"/>
        <v>Agency</v>
      </c>
      <c r="B6910" s="6" t="str">
        <f t="shared" si="3567"/>
        <v># of pro-rated MDRT agents (50%-70%)</v>
      </c>
      <c r="C6910" s="4" t="str">
        <f>CHOOSE(2, "5462030031", "Jul 26")</f>
        <v>Jul 26</v>
      </c>
      <c r="D6910" s="2" t="s">
        <v>5</v>
      </c>
    </row>
    <row r="6911" spans="1:4" x14ac:dyDescent="0.35">
      <c r="A6911" s="5" t="str">
        <f t="shared" si="3555"/>
        <v>Agency</v>
      </c>
      <c r="B6911" s="3" t="str">
        <f t="shared" ref="B6911:B6912" si="3568">CHOOSE(2, "1395000000633", "# of pro-rated MDRT agents (&lt;50%)")</f>
        <v># of pro-rated MDRT agents (&lt;50%)</v>
      </c>
      <c r="C6911" s="4" t="str">
        <f>CHOOSE(2, "5461730030", "Jun 26")</f>
        <v>Jun 26</v>
      </c>
      <c r="D6911" s="2" t="s">
        <v>5</v>
      </c>
    </row>
    <row r="6912" spans="1:4" x14ac:dyDescent="0.35">
      <c r="A6912" s="5" t="str">
        <f t="shared" si="3555"/>
        <v>Agency</v>
      </c>
      <c r="B6912" s="6" t="str">
        <f t="shared" si="3568"/>
        <v># of pro-rated MDRT agents (&lt;50%)</v>
      </c>
      <c r="C6912" s="4" t="str">
        <f>CHOOSE(2, "5462030031", "Jul 26")</f>
        <v>Jul 26</v>
      </c>
      <c r="D6912" s="2" t="s">
        <v>5</v>
      </c>
    </row>
    <row r="6913" spans="1:4" x14ac:dyDescent="0.35">
      <c r="A6913" s="5" t="str">
        <f t="shared" si="3555"/>
        <v>Agency</v>
      </c>
      <c r="B6913" s="3" t="str">
        <f t="shared" ref="B6913:B6914" si="3569">CHOOSE(2, "1395000000632", "# of pro-rated MDRT agents (70-99%)")</f>
        <v># of pro-rated MDRT agents (70-99%)</v>
      </c>
      <c r="C6913" s="4" t="str">
        <f>CHOOSE(2, "5461730030", "Jun 26")</f>
        <v>Jun 26</v>
      </c>
      <c r="D6913" s="14">
        <v>32</v>
      </c>
    </row>
    <row r="6914" spans="1:4" x14ac:dyDescent="0.35">
      <c r="A6914" s="5" t="str">
        <f t="shared" si="3555"/>
        <v>Agency</v>
      </c>
      <c r="B6914" s="6" t="str">
        <f t="shared" si="3569"/>
        <v># of pro-rated MDRT agents (70-99%)</v>
      </c>
      <c r="C6914" s="4" t="str">
        <f>CHOOSE(2, "5462030031", "Jul 26")</f>
        <v>Jul 26</v>
      </c>
      <c r="D6914" s="14">
        <v>35</v>
      </c>
    </row>
    <row r="6915" spans="1:4" x14ac:dyDescent="0.35">
      <c r="A6915" s="5" t="str">
        <f t="shared" si="3555"/>
        <v>Agency</v>
      </c>
      <c r="B6915" s="3" t="str">
        <f t="shared" ref="B6915:B6916" si="3570">CHOOSE(2, "1395000000631", "# of pro-rated MDRT agents (50-69%)")</f>
        <v># of pro-rated MDRT agents (50-69%)</v>
      </c>
      <c r="C6915" s="4" t="str">
        <f>CHOOSE(2, "5461730030", "Jun 26")</f>
        <v>Jun 26</v>
      </c>
      <c r="D6915" s="14">
        <v>55</v>
      </c>
    </row>
    <row r="6916" spans="1:4" x14ac:dyDescent="0.35">
      <c r="A6916" s="5" t="str">
        <f t="shared" si="3555"/>
        <v>Agency</v>
      </c>
      <c r="B6916" s="6" t="str">
        <f t="shared" si="3570"/>
        <v># of pro-rated MDRT agents (50-69%)</v>
      </c>
      <c r="C6916" s="4" t="str">
        <f>CHOOSE(2, "5462030031", "Jul 26")</f>
        <v>Jul 26</v>
      </c>
      <c r="D6916" s="14">
        <v>51</v>
      </c>
    </row>
    <row r="6917" spans="1:4" x14ac:dyDescent="0.35">
      <c r="A6917" s="5" t="str">
        <f t="shared" si="3555"/>
        <v>Agency</v>
      </c>
      <c r="B6917" s="3" t="str">
        <f t="shared" ref="B6917:B6918" si="3571">CHOOSE(2, "1395000000630", "# of Top-tier agents")</f>
        <v># of Top-tier agents</v>
      </c>
      <c r="C6917" s="4" t="str">
        <f>CHOOSE(2, "5461730030", "Jun 26")</f>
        <v>Jun 26</v>
      </c>
      <c r="D6917" s="14">
        <v>108</v>
      </c>
    </row>
    <row r="6918" spans="1:4" x14ac:dyDescent="0.35">
      <c r="A6918" s="5" t="str">
        <f t="shared" si="3555"/>
        <v>Agency</v>
      </c>
      <c r="B6918" s="6" t="str">
        <f t="shared" si="3571"/>
        <v># of Top-tier agents</v>
      </c>
      <c r="C6918" s="4" t="str">
        <f>CHOOSE(2, "5462030031", "Jul 26")</f>
        <v>Jul 26</v>
      </c>
      <c r="D6918" s="14">
        <v>108</v>
      </c>
    </row>
    <row r="6919" spans="1:4" x14ac:dyDescent="0.35">
      <c r="A6919" s="5" t="str">
        <f t="shared" si="3555"/>
        <v>Agency</v>
      </c>
      <c r="B6919" s="3" t="str">
        <f t="shared" ref="B6919:B6920" si="3572">CHOOSE(2, "1395000000629", "$ APE from pro-rated MDRT agents (100%)")</f>
        <v>$ APE from pro-rated MDRT agents (100%)</v>
      </c>
      <c r="C6919" s="4" t="str">
        <f>CHOOSE(2, "5461730030", "Jun 26")</f>
        <v>Jun 26</v>
      </c>
      <c r="D6919" s="14">
        <v>240853.313509</v>
      </c>
    </row>
    <row r="6920" spans="1:4" x14ac:dyDescent="0.35">
      <c r="A6920" s="5" t="str">
        <f t="shared" si="3555"/>
        <v>Agency</v>
      </c>
      <c r="B6920" s="6" t="str">
        <f t="shared" si="3572"/>
        <v>$ APE from pro-rated MDRT agents (100%)</v>
      </c>
      <c r="C6920" s="4" t="str">
        <f>CHOOSE(2, "5462030031", "Jul 26")</f>
        <v>Jul 26</v>
      </c>
      <c r="D6920" s="14">
        <v>162538.275651</v>
      </c>
    </row>
    <row r="6921" spans="1:4" x14ac:dyDescent="0.35">
      <c r="A6921" s="5" t="str">
        <f t="shared" si="3555"/>
        <v>Agency</v>
      </c>
      <c r="B6921" s="3" t="str">
        <f t="shared" ref="B6921:B6922" si="3573">CHOOSE(2, "1395000000628", "$ APE from pro-rated MDRT agents (70-99%)")</f>
        <v>$ APE from pro-rated MDRT agents (70-99%)</v>
      </c>
      <c r="C6921" s="4" t="str">
        <f>CHOOSE(2, "5461730030", "Jun 26")</f>
        <v>Jun 26</v>
      </c>
      <c r="D6921" s="14">
        <v>184133.25208000001</v>
      </c>
    </row>
    <row r="6922" spans="1:4" x14ac:dyDescent="0.35">
      <c r="A6922" s="5" t="str">
        <f t="shared" si="3555"/>
        <v>Agency</v>
      </c>
      <c r="B6922" s="6" t="str">
        <f t="shared" si="3573"/>
        <v>$ APE from pro-rated MDRT agents (70-99%)</v>
      </c>
      <c r="C6922" s="4" t="str">
        <f>CHOOSE(2, "5462030031", "Jul 26")</f>
        <v>Jul 26</v>
      </c>
      <c r="D6922" s="14">
        <v>245897.81123699999</v>
      </c>
    </row>
    <row r="6923" spans="1:4" x14ac:dyDescent="0.35">
      <c r="A6923" s="5" t="str">
        <f t="shared" si="3555"/>
        <v>Agency</v>
      </c>
      <c r="B6923" s="3" t="str">
        <f t="shared" ref="B6923:B6924" si="3574">CHOOSE(2, "1395000000627", "$ APE from pro-rated MDRT agents (50-69%)")</f>
        <v>$ APE from pro-rated MDRT agents (50-69%)</v>
      </c>
      <c r="C6923" s="4" t="str">
        <f>CHOOSE(2, "5461730030", "Jun 26")</f>
        <v>Jun 26</v>
      </c>
      <c r="D6923" s="14">
        <v>251736.94554399999</v>
      </c>
    </row>
    <row r="6924" spans="1:4" x14ac:dyDescent="0.35">
      <c r="A6924" s="5" t="str">
        <f t="shared" si="3555"/>
        <v>Agency</v>
      </c>
      <c r="B6924" s="6" t="str">
        <f t="shared" si="3574"/>
        <v>$ APE from pro-rated MDRT agents (50-69%)</v>
      </c>
      <c r="C6924" s="4" t="str">
        <f>CHOOSE(2, "5462030031", "Jul 26")</f>
        <v>Jul 26</v>
      </c>
      <c r="D6924" s="14">
        <v>316637.339294</v>
      </c>
    </row>
    <row r="6925" spans="1:4" x14ac:dyDescent="0.35">
      <c r="A6925" s="5" t="str">
        <f t="shared" si="3555"/>
        <v>Agency</v>
      </c>
      <c r="B6925" s="3" t="str">
        <f t="shared" ref="B6925:B6926" si="3575">CHOOSE(2, "1395000000626", "$ APE from Top-tier agents")</f>
        <v>$ APE from Top-tier agents</v>
      </c>
      <c r="C6925" s="4" t="str">
        <f>CHOOSE(2, "5461730030", "Jun 26")</f>
        <v>Jun 26</v>
      </c>
      <c r="D6925" s="14">
        <v>676723.51113300002</v>
      </c>
    </row>
    <row r="6926" spans="1:4" x14ac:dyDescent="0.35">
      <c r="A6926" s="5" t="str">
        <f t="shared" si="3555"/>
        <v>Agency</v>
      </c>
      <c r="B6926" s="6" t="str">
        <f t="shared" si="3575"/>
        <v>$ APE from Top-tier agents</v>
      </c>
      <c r="C6926" s="4" t="str">
        <f>CHOOSE(2, "5462030031", "Jul 26")</f>
        <v>Jul 26</v>
      </c>
      <c r="D6926" s="14">
        <v>725073.42618199997</v>
      </c>
    </row>
    <row r="6927" spans="1:4" x14ac:dyDescent="0.35">
      <c r="A6927" s="5" t="str">
        <f t="shared" si="3555"/>
        <v>Agency</v>
      </c>
      <c r="B6927" s="3" t="str">
        <f t="shared" ref="B6927:B6928" si="3576">CHOOSE(2, "1395000000625", "# of MDRT qualifiers - YTD")</f>
        <v># of MDRT qualifiers - YTD</v>
      </c>
      <c r="C6927" s="4" t="str">
        <f>CHOOSE(2, "5461730030", "Jun 26")</f>
        <v>Jun 26</v>
      </c>
      <c r="D6927" s="14">
        <v>4</v>
      </c>
    </row>
    <row r="6928" spans="1:4" x14ac:dyDescent="0.35">
      <c r="A6928" s="5" t="str">
        <f t="shared" si="3555"/>
        <v>Agency</v>
      </c>
      <c r="B6928" s="6" t="str">
        <f t="shared" si="3576"/>
        <v># of MDRT qualifiers - YTD</v>
      </c>
      <c r="C6928" s="4" t="str">
        <f>CHOOSE(2, "5462030031", "Jul 26")</f>
        <v>Jul 26</v>
      </c>
      <c r="D6928" s="14">
        <v>5</v>
      </c>
    </row>
    <row r="6929" spans="1:4" x14ac:dyDescent="0.35">
      <c r="A6929" s="5" t="str">
        <f t="shared" si="3555"/>
        <v>Agency</v>
      </c>
      <c r="B6929" s="3" t="str">
        <f t="shared" ref="B6929:B6930" si="3577">CHOOSE(2, "1395000000624", "# of MDRT COT qualifiers - YTD")</f>
        <v># of MDRT COT qualifiers - YTD</v>
      </c>
      <c r="C6929" s="4" t="str">
        <f>CHOOSE(2, "5461730030", "Jun 26")</f>
        <v>Jun 26</v>
      </c>
      <c r="D6929" s="14">
        <v>0</v>
      </c>
    </row>
    <row r="6930" spans="1:4" x14ac:dyDescent="0.35">
      <c r="A6930" s="5" t="str">
        <f t="shared" si="3555"/>
        <v>Agency</v>
      </c>
      <c r="B6930" s="6" t="str">
        <f t="shared" si="3577"/>
        <v># of MDRT COT qualifiers - YTD</v>
      </c>
      <c r="C6930" s="4" t="str">
        <f>CHOOSE(2, "5462030031", "Jul 26")</f>
        <v>Jul 26</v>
      </c>
      <c r="D6930" s="14">
        <v>0</v>
      </c>
    </row>
    <row r="6931" spans="1:4" x14ac:dyDescent="0.35">
      <c r="A6931" s="5" t="str">
        <f t="shared" si="3555"/>
        <v>Agency</v>
      </c>
      <c r="B6931" s="3" t="str">
        <f t="shared" ref="B6931:B6932" si="3578">CHOOSE(2, "1395000000623", "# of MDRT TOT qualifiers - YTD")</f>
        <v># of MDRT TOT qualifiers - YTD</v>
      </c>
      <c r="C6931" s="4" t="str">
        <f>CHOOSE(2, "5461730030", "Jun 26")</f>
        <v>Jun 26</v>
      </c>
      <c r="D6931" s="14">
        <v>0</v>
      </c>
    </row>
    <row r="6932" spans="1:4" x14ac:dyDescent="0.35">
      <c r="A6932" s="5" t="str">
        <f t="shared" si="3555"/>
        <v>Agency</v>
      </c>
      <c r="B6932" s="6" t="str">
        <f t="shared" si="3578"/>
        <v># of MDRT TOT qualifiers - YTD</v>
      </c>
      <c r="C6932" s="4" t="str">
        <f>CHOOSE(2, "5462030031", "Jul 26")</f>
        <v>Jul 26</v>
      </c>
      <c r="D6932" s="14">
        <v>0</v>
      </c>
    </row>
    <row r="6933" spans="1:4" x14ac:dyDescent="0.35">
      <c r="A6933" s="5" t="str">
        <f t="shared" si="3555"/>
        <v>Agency</v>
      </c>
      <c r="B6933" s="3" t="str">
        <f t="shared" ref="B6933:B6934" si="3579">CHOOSE(2, "1395000000622", "Manulife Pro Qualifiers - Total")</f>
        <v>Manulife Pro Qualifiers - Total</v>
      </c>
      <c r="C6933" s="4" t="str">
        <f>CHOOSE(2, "5461730030", "Jun 26")</f>
        <v>Jun 26</v>
      </c>
      <c r="D6933" s="2" t="s">
        <v>5</v>
      </c>
    </row>
    <row r="6934" spans="1:4" x14ac:dyDescent="0.35">
      <c r="A6934" s="5" t="str">
        <f t="shared" si="3555"/>
        <v>Agency</v>
      </c>
      <c r="B6934" s="6" t="str">
        <f t="shared" si="3579"/>
        <v>Manulife Pro Qualifiers - Total</v>
      </c>
      <c r="C6934" s="4" t="str">
        <f>CHOOSE(2, "5462030031", "Jul 26")</f>
        <v>Jul 26</v>
      </c>
      <c r="D6934" s="2" t="s">
        <v>5</v>
      </c>
    </row>
    <row r="6935" spans="1:4" x14ac:dyDescent="0.35">
      <c r="A6935" s="5" t="str">
        <f t="shared" si="3555"/>
        <v>Agency</v>
      </c>
      <c r="B6935" s="3" t="str">
        <f t="shared" ref="B6935:B6936" si="3580">CHOOSE(2, "1395000000621", "Manulife Pro Qualifiers - Silver")</f>
        <v>Manulife Pro Qualifiers - Silver</v>
      </c>
      <c r="C6935" s="4" t="str">
        <f>CHOOSE(2, "5461730030", "Jun 26")</f>
        <v>Jun 26</v>
      </c>
      <c r="D6935" s="2" t="s">
        <v>5</v>
      </c>
    </row>
    <row r="6936" spans="1:4" x14ac:dyDescent="0.35">
      <c r="A6936" s="5" t="str">
        <f t="shared" si="3555"/>
        <v>Agency</v>
      </c>
      <c r="B6936" s="6" t="str">
        <f t="shared" si="3580"/>
        <v>Manulife Pro Qualifiers - Silver</v>
      </c>
      <c r="C6936" s="4" t="str">
        <f>CHOOSE(2, "5462030031", "Jul 26")</f>
        <v>Jul 26</v>
      </c>
      <c r="D6936" s="2" t="s">
        <v>5</v>
      </c>
    </row>
    <row r="6937" spans="1:4" x14ac:dyDescent="0.35">
      <c r="A6937" s="5" t="str">
        <f t="shared" si="3555"/>
        <v>Agency</v>
      </c>
      <c r="B6937" s="3" t="str">
        <f t="shared" ref="B6937:B6938" si="3581">CHOOSE(2, "1395000000620", "Manulife Pro Qualifiers - Gold")</f>
        <v>Manulife Pro Qualifiers - Gold</v>
      </c>
      <c r="C6937" s="4" t="str">
        <f>CHOOSE(2, "5461730030", "Jun 26")</f>
        <v>Jun 26</v>
      </c>
      <c r="D6937" s="2" t="s">
        <v>5</v>
      </c>
    </row>
    <row r="6938" spans="1:4" x14ac:dyDescent="0.35">
      <c r="A6938" s="5" t="str">
        <f t="shared" si="3555"/>
        <v>Agency</v>
      </c>
      <c r="B6938" s="6" t="str">
        <f t="shared" si="3581"/>
        <v>Manulife Pro Qualifiers - Gold</v>
      </c>
      <c r="C6938" s="4" t="str">
        <f>CHOOSE(2, "5462030031", "Jul 26")</f>
        <v>Jul 26</v>
      </c>
      <c r="D6938" s="2" t="s">
        <v>5</v>
      </c>
    </row>
    <row r="6939" spans="1:4" x14ac:dyDescent="0.35">
      <c r="A6939" s="5" t="str">
        <f t="shared" si="3555"/>
        <v>Agency</v>
      </c>
      <c r="B6939" s="3" t="str">
        <f t="shared" ref="B6939:B6940" si="3582">CHOOSE(2, "1395000000619", "Manulife Pro Qualifiers  - Platinum")</f>
        <v>Manulife Pro Qualifiers  - Platinum</v>
      </c>
      <c r="C6939" s="4" t="str">
        <f>CHOOSE(2, "5461730030", "Jun 26")</f>
        <v>Jun 26</v>
      </c>
      <c r="D6939" s="2" t="s">
        <v>5</v>
      </c>
    </row>
    <row r="6940" spans="1:4" x14ac:dyDescent="0.35">
      <c r="A6940" s="5" t="str">
        <f t="shared" si="3555"/>
        <v>Agency</v>
      </c>
      <c r="B6940" s="6" t="str">
        <f t="shared" si="3582"/>
        <v>Manulife Pro Qualifiers  - Platinum</v>
      </c>
      <c r="C6940" s="4" t="str">
        <f>CHOOSE(2, "5462030031", "Jul 26")</f>
        <v>Jul 26</v>
      </c>
      <c r="D6940" s="2" t="s">
        <v>5</v>
      </c>
    </row>
    <row r="6941" spans="1:4" x14ac:dyDescent="0.35">
      <c r="A6941" s="5" t="str">
        <f t="shared" si="3555"/>
        <v>Agency</v>
      </c>
      <c r="B6941" s="3" t="str">
        <f t="shared" ref="B6941:B6942" si="3583">CHOOSE(2, "1395000000618", "$ APE from Manulife Pro - Total")</f>
        <v>$ APE from Manulife Pro - Total</v>
      </c>
      <c r="C6941" s="4" t="str">
        <f>CHOOSE(2, "5461730030", "Jun 26")</f>
        <v>Jun 26</v>
      </c>
      <c r="D6941" s="2" t="s">
        <v>5</v>
      </c>
    </row>
    <row r="6942" spans="1:4" x14ac:dyDescent="0.35">
      <c r="A6942" s="5" t="str">
        <f t="shared" si="3555"/>
        <v>Agency</v>
      </c>
      <c r="B6942" s="6" t="str">
        <f t="shared" si="3583"/>
        <v>$ APE from Manulife Pro - Total</v>
      </c>
      <c r="C6942" s="4" t="str">
        <f>CHOOSE(2, "5462030031", "Jul 26")</f>
        <v>Jul 26</v>
      </c>
      <c r="D6942" s="2" t="s">
        <v>5</v>
      </c>
    </row>
    <row r="6943" spans="1:4" x14ac:dyDescent="0.35">
      <c r="A6943" s="5" t="str">
        <f t="shared" si="3555"/>
        <v>Agency</v>
      </c>
      <c r="B6943" s="3" t="str">
        <f t="shared" ref="B6943:B6944" si="3584">CHOOSE(2, "1395000000617", "$ APE from Manulife Pro - Silver")</f>
        <v>$ APE from Manulife Pro - Silver</v>
      </c>
      <c r="C6943" s="4" t="str">
        <f>CHOOSE(2, "5461730030", "Jun 26")</f>
        <v>Jun 26</v>
      </c>
      <c r="D6943" s="2" t="s">
        <v>5</v>
      </c>
    </row>
    <row r="6944" spans="1:4" x14ac:dyDescent="0.35">
      <c r="A6944" s="5" t="str">
        <f t="shared" si="3555"/>
        <v>Agency</v>
      </c>
      <c r="B6944" s="6" t="str">
        <f t="shared" si="3584"/>
        <v>$ APE from Manulife Pro - Silver</v>
      </c>
      <c r="C6944" s="4" t="str">
        <f>CHOOSE(2, "5462030031", "Jul 26")</f>
        <v>Jul 26</v>
      </c>
      <c r="D6944" s="2" t="s">
        <v>5</v>
      </c>
    </row>
    <row r="6945" spans="1:4" x14ac:dyDescent="0.35">
      <c r="A6945" s="5" t="str">
        <f t="shared" si="3555"/>
        <v>Agency</v>
      </c>
      <c r="B6945" s="3" t="str">
        <f t="shared" ref="B6945:B6946" si="3585">CHOOSE(2, "1395000000616", "$ APE from Manulife Pro - Gold")</f>
        <v>$ APE from Manulife Pro - Gold</v>
      </c>
      <c r="C6945" s="4" t="str">
        <f>CHOOSE(2, "5461730030", "Jun 26")</f>
        <v>Jun 26</v>
      </c>
      <c r="D6945" s="2" t="s">
        <v>5</v>
      </c>
    </row>
    <row r="6946" spans="1:4" x14ac:dyDescent="0.35">
      <c r="A6946" s="5" t="str">
        <f t="shared" si="3555"/>
        <v>Agency</v>
      </c>
      <c r="B6946" s="6" t="str">
        <f t="shared" si="3585"/>
        <v>$ APE from Manulife Pro - Gold</v>
      </c>
      <c r="C6946" s="4" t="str">
        <f>CHOOSE(2, "5462030031", "Jul 26")</f>
        <v>Jul 26</v>
      </c>
      <c r="D6946" s="2" t="s">
        <v>5</v>
      </c>
    </row>
    <row r="6947" spans="1:4" x14ac:dyDescent="0.35">
      <c r="A6947" s="5" t="str">
        <f t="shared" si="3555"/>
        <v>Agency</v>
      </c>
      <c r="B6947" s="3" t="str">
        <f t="shared" ref="B6947:B6948" si="3586">CHOOSE(2, "1395000000615", "$ APE from Manulife Pro  - Platinum")</f>
        <v>$ APE from Manulife Pro  - Platinum</v>
      </c>
      <c r="C6947" s="4" t="str">
        <f>CHOOSE(2, "5461730030", "Jun 26")</f>
        <v>Jun 26</v>
      </c>
      <c r="D6947" s="2" t="s">
        <v>5</v>
      </c>
    </row>
    <row r="6948" spans="1:4" x14ac:dyDescent="0.35">
      <c r="A6948" s="5" t="str">
        <f t="shared" si="3555"/>
        <v>Agency</v>
      </c>
      <c r="B6948" s="6" t="str">
        <f t="shared" si="3586"/>
        <v>$ APE from Manulife Pro  - Platinum</v>
      </c>
      <c r="C6948" s="4" t="str">
        <f>CHOOSE(2, "5462030031", "Jul 26")</f>
        <v>Jul 26</v>
      </c>
      <c r="D6948" s="2" t="s">
        <v>5</v>
      </c>
    </row>
    <row r="6949" spans="1:4" x14ac:dyDescent="0.35">
      <c r="A6949" s="5" t="str">
        <f t="shared" si="3555"/>
        <v>Agency</v>
      </c>
      <c r="B6949" s="3" t="str">
        <f t="shared" ref="B6949:B6950" si="3587">CHOOSE(2, "1395000000614", "Issued APE")</f>
        <v>Issued APE</v>
      </c>
      <c r="C6949" s="4" t="str">
        <f>CHOOSE(2, "5461730030", "Jun 26")</f>
        <v>Jun 26</v>
      </c>
      <c r="D6949" s="14">
        <v>1989012.8510195799</v>
      </c>
    </row>
    <row r="6950" spans="1:4" x14ac:dyDescent="0.35">
      <c r="A6950" s="5" t="str">
        <f t="shared" si="3555"/>
        <v>Agency</v>
      </c>
      <c r="B6950" s="6" t="str">
        <f t="shared" si="3587"/>
        <v>Issued APE</v>
      </c>
      <c r="C6950" s="4" t="str">
        <f>CHOOSE(2, "5462030031", "Jul 26")</f>
        <v>Jul 26</v>
      </c>
      <c r="D6950" s="14">
        <v>2026112.8594190197</v>
      </c>
    </row>
    <row r="6951" spans="1:4" x14ac:dyDescent="0.35">
      <c r="A6951" s="5" t="str">
        <f t="shared" ref="A6951:A7014" si="3588">CHOOSE(2, "1260000000008", "Agency")</f>
        <v>Agency</v>
      </c>
      <c r="B6951" s="3" t="str">
        <f t="shared" ref="B6951:B6952" si="3589">CHOOSE(2, "1395000000613", "Post-MI APE")</f>
        <v>Post-MI APE</v>
      </c>
      <c r="C6951" s="4" t="str">
        <f>CHOOSE(2, "5461730030", "Jun 26")</f>
        <v>Jun 26</v>
      </c>
      <c r="D6951" s="14">
        <v>1259244.0369559999</v>
      </c>
    </row>
    <row r="6952" spans="1:4" x14ac:dyDescent="0.35">
      <c r="A6952" s="5" t="str">
        <f t="shared" si="3588"/>
        <v>Agency</v>
      </c>
      <c r="B6952" s="6" t="str">
        <f t="shared" si="3589"/>
        <v>Post-MI APE</v>
      </c>
      <c r="C6952" s="4" t="str">
        <f>CHOOSE(2, "5462030031", "Jul 26")</f>
        <v>Jul 26</v>
      </c>
      <c r="D6952" s="14">
        <v>1296307.0077072899</v>
      </c>
    </row>
    <row r="6953" spans="1:4" x14ac:dyDescent="0.35">
      <c r="A6953" s="5" t="str">
        <f t="shared" si="3588"/>
        <v>Agency</v>
      </c>
      <c r="B6953" s="3" t="str">
        <f t="shared" ref="B6953:B6954" si="3590">CHOOSE(2, "1395000000610", "Pre-gap NBV")</f>
        <v>Pre-gap NBV</v>
      </c>
      <c r="C6953" s="4" t="str">
        <f>CHOOSE(2, "5461730030", "Jun 26")</f>
        <v>Jun 26</v>
      </c>
      <c r="D6953" s="14">
        <v>357062.37574378995</v>
      </c>
    </row>
    <row r="6954" spans="1:4" x14ac:dyDescent="0.35">
      <c r="A6954" s="5" t="str">
        <f t="shared" si="3588"/>
        <v>Agency</v>
      </c>
      <c r="B6954" s="6" t="str">
        <f t="shared" si="3590"/>
        <v>Pre-gap NBV</v>
      </c>
      <c r="C6954" s="4" t="str">
        <f>CHOOSE(2, "5462030031", "Jul 26")</f>
        <v>Jul 26</v>
      </c>
      <c r="D6954" s="14">
        <v>345362.37644397997</v>
      </c>
    </row>
    <row r="6955" spans="1:4" x14ac:dyDescent="0.35">
      <c r="A6955" s="5" t="str">
        <f t="shared" si="3588"/>
        <v>Agency</v>
      </c>
      <c r="B6955" s="3" t="str">
        <f t="shared" ref="B6955:B6956" si="3591">CHOOSE(2, "1395000000609", "Pre-gap NBV Margin %")</f>
        <v>Pre-gap NBV Margin %</v>
      </c>
      <c r="C6955" s="4" t="str">
        <f>CHOOSE(2, "5461730030", "Jun 26")</f>
        <v>Jun 26</v>
      </c>
      <c r="D6955" s="14">
        <v>0.28355296135205466</v>
      </c>
    </row>
    <row r="6956" spans="1:4" x14ac:dyDescent="0.35">
      <c r="A6956" s="5" t="str">
        <f t="shared" si="3588"/>
        <v>Agency</v>
      </c>
      <c r="B6956" s="6" t="str">
        <f t="shared" si="3591"/>
        <v>Pre-gap NBV Margin %</v>
      </c>
      <c r="C6956" s="4" t="str">
        <f>CHOOSE(2, "5462030031", "Jul 26")</f>
        <v>Jul 26</v>
      </c>
      <c r="D6956" s="14">
        <v>0.26642020323164362</v>
      </c>
    </row>
    <row r="6957" spans="1:4" x14ac:dyDescent="0.35">
      <c r="A6957" s="5" t="str">
        <f t="shared" si="3588"/>
        <v>Agency</v>
      </c>
      <c r="B6957" s="3" t="str">
        <f t="shared" ref="B6957:B6958" si="3592">CHOOSE(2, "1395000000608", "Post-gap NBV")</f>
        <v>Post-gap NBV</v>
      </c>
      <c r="C6957" s="4" t="str">
        <f>CHOOSE(2, "5461730030", "Jun 26")</f>
        <v>Jun 26</v>
      </c>
      <c r="D6957" s="14">
        <v>357062.37574378995</v>
      </c>
    </row>
    <row r="6958" spans="1:4" x14ac:dyDescent="0.35">
      <c r="A6958" s="5" t="str">
        <f t="shared" si="3588"/>
        <v>Agency</v>
      </c>
      <c r="B6958" s="6" t="str">
        <f t="shared" si="3592"/>
        <v>Post-gap NBV</v>
      </c>
      <c r="C6958" s="4" t="str">
        <f>CHOOSE(2, "5462030031", "Jul 26")</f>
        <v>Jul 26</v>
      </c>
      <c r="D6958" s="14">
        <v>345362.37644397997</v>
      </c>
    </row>
    <row r="6959" spans="1:4" x14ac:dyDescent="0.35">
      <c r="A6959" s="5" t="str">
        <f t="shared" si="3588"/>
        <v>Agency</v>
      </c>
      <c r="B6959" s="3" t="str">
        <f t="shared" ref="B6959:B6960" si="3593">CHOOSE(2, "1395000000607", "Post-gap NBV Margin %")</f>
        <v>Post-gap NBV Margin %</v>
      </c>
      <c r="C6959" s="4" t="str">
        <f>CHOOSE(2, "5461730030", "Jun 26")</f>
        <v>Jun 26</v>
      </c>
      <c r="D6959" s="14">
        <v>0.28355296135205466</v>
      </c>
    </row>
    <row r="6960" spans="1:4" x14ac:dyDescent="0.35">
      <c r="A6960" s="5" t="str">
        <f t="shared" si="3588"/>
        <v>Agency</v>
      </c>
      <c r="B6960" s="6" t="str">
        <f t="shared" si="3593"/>
        <v>Post-gap NBV Margin %</v>
      </c>
      <c r="C6960" s="4" t="str">
        <f>CHOOSE(2, "5462030031", "Jul 26")</f>
        <v>Jul 26</v>
      </c>
      <c r="D6960" s="14">
        <v>0.26642020323164362</v>
      </c>
    </row>
    <row r="6961" spans="1:4" x14ac:dyDescent="0.35">
      <c r="A6961" s="5" t="str">
        <f t="shared" si="3588"/>
        <v>Agency</v>
      </c>
      <c r="B6961" s="3" t="str">
        <f t="shared" ref="B6961:B6962" si="3594">CHOOSE(2, "1395000000606", "NB CSM")</f>
        <v>NB CSM</v>
      </c>
      <c r="C6961" s="4" t="str">
        <f>CHOOSE(2, "5461730030", "Jun 26")</f>
        <v>Jun 26</v>
      </c>
      <c r="D6961" s="14">
        <v>176738.96695303998</v>
      </c>
    </row>
    <row r="6962" spans="1:4" x14ac:dyDescent="0.35">
      <c r="A6962" s="5" t="str">
        <f t="shared" si="3588"/>
        <v>Agency</v>
      </c>
      <c r="B6962" s="6" t="str">
        <f t="shared" si="3594"/>
        <v>NB CSM</v>
      </c>
      <c r="C6962" s="4" t="str">
        <f>CHOOSE(2, "5462030031", "Jul 26")</f>
        <v>Jul 26</v>
      </c>
      <c r="D6962" s="14">
        <v>192728.93841266999</v>
      </c>
    </row>
    <row r="6963" spans="1:4" x14ac:dyDescent="0.35">
      <c r="A6963" s="5" t="str">
        <f t="shared" si="3588"/>
        <v>Agency</v>
      </c>
      <c r="B6963" s="3" t="str">
        <f t="shared" ref="B6963:B6964" si="3595">CHOOSE(2, "1395000000605", "NB CSM Margin %")</f>
        <v>NB CSM Margin %</v>
      </c>
      <c r="C6963" s="4" t="str">
        <f>CHOOSE(2, "5461730030", "Jun 26")</f>
        <v>Jun 26</v>
      </c>
      <c r="D6963" s="14">
        <v>0.14035322921224644</v>
      </c>
    </row>
    <row r="6964" spans="1:4" x14ac:dyDescent="0.35">
      <c r="A6964" s="5" t="str">
        <f t="shared" si="3588"/>
        <v>Agency</v>
      </c>
      <c r="B6964" s="6" t="str">
        <f t="shared" si="3595"/>
        <v>NB CSM Margin %</v>
      </c>
      <c r="C6964" s="4" t="str">
        <f>CHOOSE(2, "5462030031", "Jul 26")</f>
        <v>Jul 26</v>
      </c>
      <c r="D6964" s="14">
        <v>0.14867538111480208</v>
      </c>
    </row>
    <row r="6965" spans="1:4" x14ac:dyDescent="0.35">
      <c r="A6965" s="5" t="str">
        <f t="shared" si="3588"/>
        <v>Agency</v>
      </c>
      <c r="B6965" s="3" t="str">
        <f t="shared" ref="B6965:B6966" si="3596">CHOOSE(2, "1395000000604", "PRE")</f>
        <v>PRE</v>
      </c>
      <c r="C6965" s="4" t="str">
        <f>CHOOSE(2, "5461730030", "Jun 26")</f>
        <v>Jun 26</v>
      </c>
      <c r="D6965" s="14">
        <v>382207.19086111017</v>
      </c>
    </row>
    <row r="6966" spans="1:4" x14ac:dyDescent="0.35">
      <c r="A6966" s="5" t="str">
        <f t="shared" si="3588"/>
        <v>Agency</v>
      </c>
      <c r="B6966" s="6" t="str">
        <f t="shared" si="3596"/>
        <v>PRE</v>
      </c>
      <c r="C6966" s="4" t="str">
        <f>CHOOSE(2, "5462030031", "Jul 26")</f>
        <v>Jul 26</v>
      </c>
      <c r="D6966" s="14">
        <v>379643.08990360174</v>
      </c>
    </row>
    <row r="6967" spans="1:4" x14ac:dyDescent="0.35">
      <c r="A6967" s="5" t="str">
        <f t="shared" si="3588"/>
        <v>Agency</v>
      </c>
      <c r="B6967" s="3" t="str">
        <f t="shared" ref="B6967:B6968" si="3597">CHOOSE(2, "1395000000603", "ContEx")</f>
        <v>ContEx</v>
      </c>
      <c r="C6967" s="4" t="str">
        <f>CHOOSE(2, "5461730030", "Jun 26")</f>
        <v>Jun 26</v>
      </c>
      <c r="D6967" s="14">
        <v>0</v>
      </c>
    </row>
    <row r="6968" spans="1:4" x14ac:dyDescent="0.35">
      <c r="A6968" s="5" t="str">
        <f t="shared" si="3588"/>
        <v>Agency</v>
      </c>
      <c r="B6968" s="6" t="str">
        <f t="shared" si="3597"/>
        <v>ContEx</v>
      </c>
      <c r="C6968" s="4" t="str">
        <f>CHOOSE(2, "5462030031", "Jul 26")</f>
        <v>Jul 26</v>
      </c>
      <c r="D6968" s="14">
        <v>0</v>
      </c>
    </row>
    <row r="6969" spans="1:4" x14ac:dyDescent="0.35">
      <c r="A6969" s="5" t="str">
        <f t="shared" si="3588"/>
        <v>Agency</v>
      </c>
      <c r="B6969" s="3" t="str">
        <f t="shared" ref="B6969:B6970" si="3598">CHOOSE(2, "1395000000602", "% of 6-90 agents")</f>
        <v>% of 6-90 agents</v>
      </c>
      <c r="C6969" s="4" t="str">
        <f>CHOOSE(2, "5461730030", "Jun 26")</f>
        <v>Jun 26</v>
      </c>
      <c r="D6969" s="14">
        <v>7.4468085106382975E-2</v>
      </c>
    </row>
    <row r="6970" spans="1:4" x14ac:dyDescent="0.35">
      <c r="A6970" s="5" t="str">
        <f t="shared" si="3588"/>
        <v>Agency</v>
      </c>
      <c r="B6970" s="6" t="str">
        <f t="shared" si="3598"/>
        <v>% of 6-90 agents</v>
      </c>
      <c r="C6970" s="4" t="str">
        <f>CHOOSE(2, "5462030031", "Jul 26")</f>
        <v>Jul 26</v>
      </c>
      <c r="D6970" s="14">
        <v>6.9364161849710976E-2</v>
      </c>
    </row>
    <row r="6971" spans="1:4" x14ac:dyDescent="0.35">
      <c r="A6971" s="5" t="str">
        <f t="shared" si="3588"/>
        <v>Agency</v>
      </c>
      <c r="B6971" s="3" t="str">
        <f t="shared" ref="B6971:B6972" si="3599">CHOOSE(2, "1395000000601", "New Recruits 3M Activation Rate")</f>
        <v>New Recruits 3M Activation Rate</v>
      </c>
      <c r="C6971" s="4" t="str">
        <f>CHOOSE(2, "5461730030", "Jun 26")</f>
        <v>Jun 26</v>
      </c>
      <c r="D6971" s="14">
        <v>0.30769230769230771</v>
      </c>
    </row>
    <row r="6972" spans="1:4" x14ac:dyDescent="0.35">
      <c r="A6972" s="5" t="str">
        <f t="shared" si="3588"/>
        <v>Agency</v>
      </c>
      <c r="B6972" s="6" t="str">
        <f t="shared" si="3599"/>
        <v>New Recruits 3M Activation Rate</v>
      </c>
      <c r="C6972" s="4" t="str">
        <f>CHOOSE(2, "5462030031", "Jul 26")</f>
        <v>Jul 26</v>
      </c>
      <c r="D6972" s="14">
        <v>0.4098360655737705</v>
      </c>
    </row>
    <row r="6973" spans="1:4" x14ac:dyDescent="0.35">
      <c r="A6973" s="5" t="str">
        <f t="shared" si="3588"/>
        <v>Agency</v>
      </c>
      <c r="B6973" s="3" t="str">
        <f t="shared" ref="B6973:B6974" si="3600">CHOOSE(2, "1395000000600", "No. of Recruits from leaders")</f>
        <v>No. of Recruits from leaders</v>
      </c>
      <c r="C6973" s="4" t="str">
        <f>CHOOSE(2, "5461730030", "Jun 26")</f>
        <v>Jun 26</v>
      </c>
      <c r="D6973" s="2" t="s">
        <v>5</v>
      </c>
    </row>
    <row r="6974" spans="1:4" x14ac:dyDescent="0.35">
      <c r="A6974" s="5" t="str">
        <f t="shared" si="3588"/>
        <v>Agency</v>
      </c>
      <c r="B6974" s="6" t="str">
        <f t="shared" si="3600"/>
        <v>No. of Recruits from leaders</v>
      </c>
      <c r="C6974" s="4" t="str">
        <f>CHOOSE(2, "5462030031", "Jul 26")</f>
        <v>Jul 26</v>
      </c>
      <c r="D6974" s="2" t="s">
        <v>5</v>
      </c>
    </row>
    <row r="6975" spans="1:4" x14ac:dyDescent="0.35">
      <c r="A6975" s="5" t="str">
        <f t="shared" si="3588"/>
        <v>Agency</v>
      </c>
      <c r="B6975" s="3" t="str">
        <f t="shared" ref="B6975:B6976" si="3601">CHOOSE(2, "1395000000599", "No. of Recruits per Active Recruiting Leader per month")</f>
        <v>No. of Recruits per Active Recruiting Leader per month</v>
      </c>
      <c r="C6975" s="4" t="str">
        <f>CHOOSE(2, "5461730030", "Jun 26")</f>
        <v>Jun 26</v>
      </c>
      <c r="D6975" s="14">
        <v>0</v>
      </c>
    </row>
    <row r="6976" spans="1:4" x14ac:dyDescent="0.35">
      <c r="A6976" s="5" t="str">
        <f t="shared" si="3588"/>
        <v>Agency</v>
      </c>
      <c r="B6976" s="6" t="str">
        <f t="shared" si="3601"/>
        <v>No. of Recruits per Active Recruiting Leader per month</v>
      </c>
      <c r="C6976" s="4" t="str">
        <f>CHOOSE(2, "5462030031", "Jul 26")</f>
        <v>Jul 26</v>
      </c>
      <c r="D6976" s="14">
        <v>0</v>
      </c>
    </row>
    <row r="6977" spans="1:4" x14ac:dyDescent="0.35">
      <c r="A6977" s="5" t="str">
        <f t="shared" si="3588"/>
        <v>Agency</v>
      </c>
      <c r="B6977" s="3" t="str">
        <f t="shared" ref="B6977:B6978" si="3602">CHOOSE(2, "1395000000598", "PRE as % of APE")</f>
        <v>PRE as % of APE</v>
      </c>
      <c r="C6977" s="4" t="str">
        <f>CHOOSE(2, "5461730030", "Jun 26")</f>
        <v>Jun 26</v>
      </c>
      <c r="D6977" s="14">
        <v>0.19215923651030634</v>
      </c>
    </row>
    <row r="6978" spans="1:4" x14ac:dyDescent="0.35">
      <c r="A6978" s="5" t="str">
        <f t="shared" si="3588"/>
        <v>Agency</v>
      </c>
      <c r="B6978" s="6" t="str">
        <f t="shared" si="3602"/>
        <v>PRE as % of APE</v>
      </c>
      <c r="C6978" s="4" t="str">
        <f>CHOOSE(2, "5462030031", "Jul 26")</f>
        <v>Jul 26</v>
      </c>
      <c r="D6978" s="14">
        <v>0.18737509519211235</v>
      </c>
    </row>
    <row r="6979" spans="1:4" x14ac:dyDescent="0.35">
      <c r="A6979" s="5" t="str">
        <f t="shared" si="3588"/>
        <v>Agency</v>
      </c>
      <c r="B6979" s="3" t="str">
        <f t="shared" ref="B6979:B6980" si="3603">CHOOSE(2, "1395000000597", "ContEx as % of APE")</f>
        <v>ContEx as % of APE</v>
      </c>
      <c r="C6979" s="4" t="str">
        <f>CHOOSE(2, "5461730030", "Jun 26")</f>
        <v>Jun 26</v>
      </c>
      <c r="D6979" s="14">
        <v>0</v>
      </c>
    </row>
    <row r="6980" spans="1:4" x14ac:dyDescent="0.35">
      <c r="A6980" s="5" t="str">
        <f t="shared" si="3588"/>
        <v>Agency</v>
      </c>
      <c r="B6980" s="6" t="str">
        <f t="shared" si="3603"/>
        <v>ContEx as % of APE</v>
      </c>
      <c r="C6980" s="4" t="str">
        <f>CHOOSE(2, "5462030031", "Jul 26")</f>
        <v>Jul 26</v>
      </c>
      <c r="D6980" s="14">
        <v>0</v>
      </c>
    </row>
    <row r="6981" spans="1:4" x14ac:dyDescent="0.35">
      <c r="A6981" s="5" t="str">
        <f t="shared" si="3588"/>
        <v>Agency</v>
      </c>
      <c r="B6981" s="3" t="str">
        <f t="shared" ref="B6981:B6982" si="3604">CHOOSE(2, "1395000000596", "% of 1-Month Active Agents")</f>
        <v>% of 1-Month Active Agents</v>
      </c>
      <c r="C6981" s="4" t="str">
        <f>CHOOSE(2, "5461730030", "Jun 26")</f>
        <v>Jun 26</v>
      </c>
      <c r="D6981" s="14">
        <v>0.29457364341085274</v>
      </c>
    </row>
    <row r="6982" spans="1:4" x14ac:dyDescent="0.35">
      <c r="A6982" s="5" t="str">
        <f t="shared" si="3588"/>
        <v>Agency</v>
      </c>
      <c r="B6982" s="6" t="str">
        <f t="shared" si="3604"/>
        <v>% of 1-Month Active Agents</v>
      </c>
      <c r="C6982" s="4" t="str">
        <f>CHOOSE(2, "5462030031", "Jul 26")</f>
        <v>Jul 26</v>
      </c>
      <c r="D6982" s="14">
        <v>0.27940513744930151</v>
      </c>
    </row>
    <row r="6983" spans="1:4" x14ac:dyDescent="0.35">
      <c r="A6983" s="5" t="str">
        <f t="shared" si="3588"/>
        <v>Agency</v>
      </c>
      <c r="B6983" s="3" t="str">
        <f t="shared" ref="B6983:B6984" si="3605">CHOOSE(2, "1395000000595", "% of 3-Month Active Agents")</f>
        <v>% of 3-Month Active Agents</v>
      </c>
      <c r="C6983" s="4" t="str">
        <f>CHOOSE(2, "5461730030", "Jun 26")</f>
        <v>Jun 26</v>
      </c>
      <c r="D6983" s="14">
        <v>0.16153496132261488</v>
      </c>
    </row>
    <row r="6984" spans="1:4" x14ac:dyDescent="0.35">
      <c r="A6984" s="5" t="str">
        <f t="shared" si="3588"/>
        <v>Agency</v>
      </c>
      <c r="B6984" s="6" t="str">
        <f t="shared" si="3605"/>
        <v>% of 3-Month Active Agents</v>
      </c>
      <c r="C6984" s="4" t="str">
        <f>CHOOSE(2, "5462030031", "Jul 26")</f>
        <v>Jul 26</v>
      </c>
      <c r="D6984" s="14">
        <v>0.16136882129277566</v>
      </c>
    </row>
    <row r="6985" spans="1:4" x14ac:dyDescent="0.35">
      <c r="A6985" s="5" t="str">
        <f t="shared" si="3588"/>
        <v>Agency</v>
      </c>
      <c r="B6985" s="3" t="str">
        <f t="shared" ref="B6985:B6986" si="3606">CHOOSE(2, "1395000000594", "Active agents per active leader")</f>
        <v>Active agents per active leader</v>
      </c>
      <c r="C6985" s="4" t="str">
        <f>CHOOSE(2, "5461730030", "Jun 26")</f>
        <v>Jun 26</v>
      </c>
      <c r="D6985" s="14">
        <v>29.363636363636363</v>
      </c>
    </row>
    <row r="6986" spans="1:4" x14ac:dyDescent="0.35">
      <c r="A6986" s="5" t="str">
        <f t="shared" si="3588"/>
        <v>Agency</v>
      </c>
      <c r="B6986" s="6" t="str">
        <f t="shared" si="3606"/>
        <v>Active agents per active leader</v>
      </c>
      <c r="C6986" s="4" t="str">
        <f>CHOOSE(2, "5462030031", "Jul 26")</f>
        <v>Jul 26</v>
      </c>
      <c r="D6986" s="14">
        <v>28.181818181818183</v>
      </c>
    </row>
    <row r="6987" spans="1:4" x14ac:dyDescent="0.35">
      <c r="A6987" s="5" t="str">
        <f t="shared" si="3588"/>
        <v>Agency</v>
      </c>
      <c r="B6987" s="3" t="str">
        <f t="shared" ref="B6987:B6988" si="3607">CHOOSE(2, "1395000000593", "Avg. Case count per 1-Month Active Agent")</f>
        <v>Avg. Case count per 1-Month Active Agent</v>
      </c>
      <c r="C6987" s="4" t="str">
        <f>CHOOSE(2, "5461730030", "Jun 26")</f>
        <v>Jun 26</v>
      </c>
      <c r="D6987" s="14">
        <v>2.3907120743034058</v>
      </c>
    </row>
    <row r="6988" spans="1:4" x14ac:dyDescent="0.35">
      <c r="A6988" s="5" t="str">
        <f t="shared" si="3588"/>
        <v>Agency</v>
      </c>
      <c r="B6988" s="6" t="str">
        <f t="shared" si="3607"/>
        <v>Avg. Case count per 1-Month Active Agent</v>
      </c>
      <c r="C6988" s="4" t="str">
        <f>CHOOSE(2, "5462030031", "Jul 26")</f>
        <v>Jul 26</v>
      </c>
      <c r="D6988" s="14">
        <v>2.4374193548387098</v>
      </c>
    </row>
    <row r="6989" spans="1:4" x14ac:dyDescent="0.35">
      <c r="A6989" s="5" t="str">
        <f t="shared" si="3588"/>
        <v>Agency</v>
      </c>
      <c r="B6989" s="3" t="str">
        <f t="shared" ref="B6989:B6990" si="3608">CHOOSE(2, "1395000000592", "Avg. Case size")</f>
        <v>Avg. Case size</v>
      </c>
      <c r="C6989" s="4" t="str">
        <f>CHOOSE(2, "5461730030", "Jun 26")</f>
        <v>Jun 26</v>
      </c>
      <c r="D6989" s="14">
        <v>1287.8871089222869</v>
      </c>
    </row>
    <row r="6990" spans="1:4" x14ac:dyDescent="0.35">
      <c r="A6990" s="5" t="str">
        <f t="shared" si="3588"/>
        <v>Agency</v>
      </c>
      <c r="B6990" s="6" t="str">
        <f t="shared" si="3608"/>
        <v>Avg. Case size</v>
      </c>
      <c r="C6990" s="4" t="str">
        <f>CHOOSE(2, "5462030031", "Jul 26")</f>
        <v>Jul 26</v>
      </c>
      <c r="D6990" s="14">
        <v>1340.7311139617652</v>
      </c>
    </row>
    <row r="6991" spans="1:4" x14ac:dyDescent="0.35">
      <c r="A6991" s="5" t="str">
        <f t="shared" si="3588"/>
        <v>Agency</v>
      </c>
      <c r="B6991" s="3" t="str">
        <f t="shared" ref="B6991:B6992" si="3609">CHOOSE(2, "1395000000591", "APE per 1-Month Active Agent")</f>
        <v>APE per 1-Month Active Agent</v>
      </c>
      <c r="C6991" s="4" t="str">
        <f>CHOOSE(2, "5461730030", "Jun 26")</f>
        <v>Jun 26</v>
      </c>
      <c r="D6991" s="14">
        <v>3078.9672616402167</v>
      </c>
    </row>
    <row r="6992" spans="1:4" x14ac:dyDescent="0.35">
      <c r="A6992" s="5" t="str">
        <f t="shared" si="3588"/>
        <v>Agency</v>
      </c>
      <c r="B6992" s="6" t="str">
        <f t="shared" si="3609"/>
        <v>APE per 1-Month Active Agent</v>
      </c>
      <c r="C6992" s="4" t="str">
        <f>CHOOSE(2, "5462030031", "Jul 26")</f>
        <v>Jul 26</v>
      </c>
      <c r="D6992" s="14">
        <v>3267.9239668048704</v>
      </c>
    </row>
    <row r="6993" spans="1:4" x14ac:dyDescent="0.35">
      <c r="A6993" s="5" t="str">
        <f t="shared" si="3588"/>
        <v>Agency</v>
      </c>
      <c r="B6993" s="3" t="str">
        <f t="shared" ref="B6993:B6994" si="3610">CHOOSE(2, "1395000000590", "% Conversion of Proposals to cases")</f>
        <v>% Conversion of Proposals to cases</v>
      </c>
      <c r="C6993" s="4" t="str">
        <f>CHOOSE(2, "5461730030", "Jun 26")</f>
        <v>Jun 26</v>
      </c>
      <c r="D6993" s="14">
        <v>0.47755102040816327</v>
      </c>
    </row>
    <row r="6994" spans="1:4" x14ac:dyDescent="0.35">
      <c r="A6994" s="5" t="str">
        <f t="shared" si="3588"/>
        <v>Agency</v>
      </c>
      <c r="B6994" s="6" t="str">
        <f t="shared" si="3610"/>
        <v>% Conversion of Proposals to cases</v>
      </c>
      <c r="C6994" s="4" t="str">
        <f>CHOOSE(2, "5462030031", "Jul 26")</f>
        <v>Jul 26</v>
      </c>
      <c r="D6994" s="14">
        <v>0.49144715447154474</v>
      </c>
    </row>
    <row r="6995" spans="1:4" x14ac:dyDescent="0.35">
      <c r="A6995" s="5" t="str">
        <f t="shared" si="3588"/>
        <v>Agency</v>
      </c>
      <c r="B6995" s="3" t="str">
        <f t="shared" ref="B6995:B6996" si="3611">CHOOSE(2, "1395000000588", "% APE from Agents in X tenure")</f>
        <v>% APE from Agents in X tenure</v>
      </c>
      <c r="C6995" s="4" t="str">
        <f>CHOOSE(2, "5461730030", "Jun 26")</f>
        <v>Jun 26</v>
      </c>
      <c r="D6995" s="14">
        <v>1</v>
      </c>
    </row>
    <row r="6996" spans="1:4" x14ac:dyDescent="0.35">
      <c r="A6996" s="5" t="str">
        <f t="shared" si="3588"/>
        <v>Agency</v>
      </c>
      <c r="B6996" s="6" t="str">
        <f t="shared" si="3611"/>
        <v>% APE from Agents in X tenure</v>
      </c>
      <c r="C6996" s="4" t="str">
        <f>CHOOSE(2, "5462030031", "Jul 26")</f>
        <v>Jul 26</v>
      </c>
      <c r="D6996" s="14">
        <v>1</v>
      </c>
    </row>
    <row r="6997" spans="1:4" x14ac:dyDescent="0.35">
      <c r="A6997" s="5" t="str">
        <f t="shared" si="3588"/>
        <v>Agency</v>
      </c>
      <c r="B6997" s="3" t="str">
        <f t="shared" ref="B6997:B6998" si="3612">CHOOSE(2, "1395000000587", "% APE from Agents in X tenure in 0-1M")</f>
        <v>% APE from Agents in X tenure in 0-1M</v>
      </c>
      <c r="C6997" s="4" t="str">
        <f>CHOOSE(2, "5461730030", "Jun 26")</f>
        <v>Jun 26</v>
      </c>
      <c r="D6997" s="14">
        <v>0.1</v>
      </c>
    </row>
    <row r="6998" spans="1:4" x14ac:dyDescent="0.35">
      <c r="A6998" s="5" t="str">
        <f t="shared" si="3588"/>
        <v>Agency</v>
      </c>
      <c r="B6998" s="6" t="str">
        <f t="shared" si="3612"/>
        <v>% APE from Agents in X tenure in 0-1M</v>
      </c>
      <c r="C6998" s="4" t="str">
        <f>CHOOSE(2, "5462030031", "Jul 26")</f>
        <v>Jul 26</v>
      </c>
      <c r="D6998" s="14">
        <v>0.1</v>
      </c>
    </row>
    <row r="6999" spans="1:4" x14ac:dyDescent="0.35">
      <c r="A6999" s="5" t="str">
        <f t="shared" si="3588"/>
        <v>Agency</v>
      </c>
      <c r="B6999" s="3" t="str">
        <f t="shared" ref="B6999:B7000" si="3613">CHOOSE(2, "1395000000586", "% APE from Agents in X tenure in 2-3M")</f>
        <v>% APE from Agents in X tenure in 2-3M</v>
      </c>
      <c r="C6999" s="4" t="str">
        <f>CHOOSE(2, "5461730030", "Jun 26")</f>
        <v>Jun 26</v>
      </c>
      <c r="D6999" s="14">
        <v>0.2</v>
      </c>
    </row>
    <row r="7000" spans="1:4" x14ac:dyDescent="0.35">
      <c r="A7000" s="5" t="str">
        <f t="shared" si="3588"/>
        <v>Agency</v>
      </c>
      <c r="B7000" s="6" t="str">
        <f t="shared" si="3613"/>
        <v>% APE from Agents in X tenure in 2-3M</v>
      </c>
      <c r="C7000" s="4" t="str">
        <f>CHOOSE(2, "5462030031", "Jul 26")</f>
        <v>Jul 26</v>
      </c>
      <c r="D7000" s="14">
        <v>0.2</v>
      </c>
    </row>
    <row r="7001" spans="1:4" x14ac:dyDescent="0.35">
      <c r="A7001" s="5" t="str">
        <f t="shared" si="3588"/>
        <v>Agency</v>
      </c>
      <c r="B7001" s="3" t="str">
        <f t="shared" ref="B7001:B7002" si="3614">CHOOSE(2, "1395000000585", "% APE from Agents in X tenure in 4-12M")</f>
        <v>% APE from Agents in X tenure in 4-12M</v>
      </c>
      <c r="C7001" s="4" t="str">
        <f>CHOOSE(2, "5461730030", "Jun 26")</f>
        <v>Jun 26</v>
      </c>
      <c r="D7001" s="14">
        <v>0.3</v>
      </c>
    </row>
    <row r="7002" spans="1:4" x14ac:dyDescent="0.35">
      <c r="A7002" s="5" t="str">
        <f t="shared" si="3588"/>
        <v>Agency</v>
      </c>
      <c r="B7002" s="6" t="str">
        <f t="shared" si="3614"/>
        <v>% APE from Agents in X tenure in 4-12M</v>
      </c>
      <c r="C7002" s="4" t="str">
        <f>CHOOSE(2, "5462030031", "Jul 26")</f>
        <v>Jul 26</v>
      </c>
      <c r="D7002" s="14">
        <v>0.3</v>
      </c>
    </row>
    <row r="7003" spans="1:4" x14ac:dyDescent="0.35">
      <c r="A7003" s="5" t="str">
        <f t="shared" si="3588"/>
        <v>Agency</v>
      </c>
      <c r="B7003" s="3" t="str">
        <f t="shared" ref="B7003:B7004" si="3615">CHOOSE(2, "1395000000584", "% APE from Agents in X tenure 13+M")</f>
        <v>% APE from Agents in X tenure 13+M</v>
      </c>
      <c r="C7003" s="4" t="str">
        <f>CHOOSE(2, "5461730030", "Jun 26")</f>
        <v>Jun 26</v>
      </c>
      <c r="D7003" s="14">
        <v>0.4</v>
      </c>
    </row>
    <row r="7004" spans="1:4" x14ac:dyDescent="0.35">
      <c r="A7004" s="5" t="str">
        <f t="shared" si="3588"/>
        <v>Agency</v>
      </c>
      <c r="B7004" s="6" t="str">
        <f t="shared" si="3615"/>
        <v>% APE from Agents in X tenure 13+M</v>
      </c>
      <c r="C7004" s="4" t="str">
        <f>CHOOSE(2, "5462030031", "Jul 26")</f>
        <v>Jul 26</v>
      </c>
      <c r="D7004" s="14">
        <v>0.4</v>
      </c>
    </row>
    <row r="7005" spans="1:4" x14ac:dyDescent="0.35">
      <c r="A7005" s="5" t="str">
        <f t="shared" si="3588"/>
        <v>Agency</v>
      </c>
      <c r="B7005" s="3" t="str">
        <f t="shared" ref="B7005:B7006" si="3616">CHOOSE(2, "1395000000583", "% APE from pro-rated MDRT agents (100%)")</f>
        <v>% APE from pro-rated MDRT agents (100%)</v>
      </c>
      <c r="C7005" s="4" t="str">
        <f>CHOOSE(2, "5461730030", "Jun 26")</f>
        <v>Jun 26</v>
      </c>
      <c r="D7005" s="14">
        <v>0.12109188403963159</v>
      </c>
    </row>
    <row r="7006" spans="1:4" x14ac:dyDescent="0.35">
      <c r="A7006" s="5" t="str">
        <f t="shared" si="3588"/>
        <v>Agency</v>
      </c>
      <c r="B7006" s="6" t="str">
        <f t="shared" si="3616"/>
        <v>% APE from pro-rated MDRT agents (100%)</v>
      </c>
      <c r="C7006" s="4" t="str">
        <f>CHOOSE(2, "5462030031", "Jul 26")</f>
        <v>Jul 26</v>
      </c>
      <c r="D7006" s="14">
        <v>8.0221728466600445E-2</v>
      </c>
    </row>
    <row r="7007" spans="1:4" x14ac:dyDescent="0.35">
      <c r="A7007" s="5" t="str">
        <f t="shared" si="3588"/>
        <v>Agency</v>
      </c>
      <c r="B7007" s="3" t="str">
        <f t="shared" ref="B7007:B7008" si="3617">CHOOSE(2, "1395000000582", "% APE from pro-rated MDRT agents (70-99%)")</f>
        <v>% APE from pro-rated MDRT agents (70-99%)</v>
      </c>
      <c r="C7007" s="4" t="str">
        <f>CHOOSE(2, "5461730030", "Jun 26")</f>
        <v>Jun 26</v>
      </c>
      <c r="D7007" s="14">
        <v>9.257519476840595E-2</v>
      </c>
    </row>
    <row r="7008" spans="1:4" x14ac:dyDescent="0.35">
      <c r="A7008" s="5" t="str">
        <f t="shared" si="3588"/>
        <v>Agency</v>
      </c>
      <c r="B7008" s="6" t="str">
        <f t="shared" si="3617"/>
        <v>% APE from pro-rated MDRT agents (70-99%)</v>
      </c>
      <c r="C7008" s="4" t="str">
        <f>CHOOSE(2, "5462030031", "Jul 26")</f>
        <v>Jul 26</v>
      </c>
      <c r="D7008" s="14">
        <v>0.12136432089351147</v>
      </c>
    </row>
    <row r="7009" spans="1:4" x14ac:dyDescent="0.35">
      <c r="A7009" s="5" t="str">
        <f t="shared" si="3588"/>
        <v>Agency</v>
      </c>
      <c r="B7009" s="3" t="str">
        <f t="shared" ref="B7009:B7010" si="3618">CHOOSE(2, "1395000000581", "% APE from pro-rated MDRT agents (50-69%)")</f>
        <v>% APE from pro-rated MDRT agents (50-69%)</v>
      </c>
      <c r="C7009" s="4" t="str">
        <f>CHOOSE(2, "5461730030", "Jun 26")</f>
        <v>Jun 26</v>
      </c>
      <c r="D7009" s="14">
        <v>0.12656376021651047</v>
      </c>
    </row>
    <row r="7010" spans="1:4" x14ac:dyDescent="0.35">
      <c r="A7010" s="5" t="str">
        <f t="shared" si="3588"/>
        <v>Agency</v>
      </c>
      <c r="B7010" s="6" t="str">
        <f t="shared" si="3618"/>
        <v>% APE from pro-rated MDRT agents (50-69%)</v>
      </c>
      <c r="C7010" s="4" t="str">
        <f>CHOOSE(2, "5462030031", "Jul 26")</f>
        <v>Jul 26</v>
      </c>
      <c r="D7010" s="14">
        <v>0.15627823387133261</v>
      </c>
    </row>
    <row r="7011" spans="1:4" x14ac:dyDescent="0.35">
      <c r="A7011" s="5" t="str">
        <f t="shared" si="3588"/>
        <v>Agency</v>
      </c>
      <c r="B7011" s="3" t="str">
        <f t="shared" ref="B7011:B7012" si="3619">CHOOSE(2, "1395000000580", "% APE from Top-tier agents")</f>
        <v>% APE from Top-tier agents</v>
      </c>
      <c r="C7011" s="4" t="str">
        <f>CHOOSE(2, "5461730030", "Jun 26")</f>
        <v>Jun 26</v>
      </c>
      <c r="D7011" s="14">
        <v>0.34023083902454804</v>
      </c>
    </row>
    <row r="7012" spans="1:4" x14ac:dyDescent="0.35">
      <c r="A7012" s="5" t="str">
        <f t="shared" si="3588"/>
        <v>Agency</v>
      </c>
      <c r="B7012" s="6" t="str">
        <f t="shared" si="3619"/>
        <v>% APE from Top-tier agents</v>
      </c>
      <c r="C7012" s="4" t="str">
        <f>CHOOSE(2, "5462030031", "Jul 26")</f>
        <v>Jul 26</v>
      </c>
      <c r="D7012" s="14">
        <v>0.35786428323144454</v>
      </c>
    </row>
    <row r="7013" spans="1:4" x14ac:dyDescent="0.35">
      <c r="A7013" s="5" t="str">
        <f t="shared" si="3588"/>
        <v>Agency</v>
      </c>
      <c r="B7013" s="3" t="str">
        <f t="shared" ref="B7013:B7014" si="3620">CHOOSE(2, "1395000000579", "% of Active Recruiting Leaders")</f>
        <v>% of Active Recruiting Leaders</v>
      </c>
      <c r="C7013" s="4" t="str">
        <f>CHOOSE(2, "5461730030", "Jun 26")</f>
        <v>Jun 26</v>
      </c>
      <c r="D7013" s="14">
        <v>5.8201058201058198E-2</v>
      </c>
    </row>
    <row r="7014" spans="1:4" x14ac:dyDescent="0.35">
      <c r="A7014" s="5" t="str">
        <f t="shared" si="3588"/>
        <v>Agency</v>
      </c>
      <c r="B7014" s="6" t="str">
        <f t="shared" si="3620"/>
        <v>% of Active Recruiting Leaders</v>
      </c>
      <c r="C7014" s="4" t="str">
        <f>CHOOSE(2, "5462030031", "Jul 26")</f>
        <v>Jul 26</v>
      </c>
      <c r="D7014" s="14">
        <v>5.8981233243967826E-2</v>
      </c>
    </row>
    <row r="7015" spans="1:4" x14ac:dyDescent="0.35">
      <c r="A7015" s="5" t="str">
        <f t="shared" ref="A7015:A7078" si="3621">CHOOSE(2, "1260000000008", "Agency")</f>
        <v>Agency</v>
      </c>
      <c r="B7015" s="3" t="str">
        <f t="shared" ref="B7015:B7016" si="3622">CHOOSE(2, "1395000000578", "% of leaders with &gt;1 YTD recruit")</f>
        <v>% of leaders with &gt;1 YTD recruit</v>
      </c>
      <c r="C7015" s="4" t="str">
        <f>CHOOSE(2, "5461730030", "Jun 26")</f>
        <v>Jun 26</v>
      </c>
      <c r="D7015" s="14">
        <v>0.29100529100529099</v>
      </c>
    </row>
    <row r="7016" spans="1:4" x14ac:dyDescent="0.35">
      <c r="A7016" s="5" t="str">
        <f t="shared" si="3621"/>
        <v>Agency</v>
      </c>
      <c r="B7016" s="6" t="str">
        <f t="shared" si="3622"/>
        <v>% of leaders with &gt;1 YTD recruit</v>
      </c>
      <c r="C7016" s="4" t="str">
        <f>CHOOSE(2, "5462030031", "Jul 26")</f>
        <v>Jul 26</v>
      </c>
      <c r="D7016" s="14">
        <v>0.32171581769436997</v>
      </c>
    </row>
    <row r="7017" spans="1:4" x14ac:dyDescent="0.35">
      <c r="A7017" s="5" t="str">
        <f t="shared" si="3621"/>
        <v>Agency</v>
      </c>
      <c r="B7017" s="3" t="str">
        <f t="shared" ref="B7017:B7018" si="3623">CHOOSE(2, "1395000000577", "% of 1-Month Active Top-tier agents")</f>
        <v>% of 1-Month Active Top-tier agents</v>
      </c>
      <c r="C7017" s="4" t="str">
        <f>CHOOSE(2, "5461730030", "Jun 26")</f>
        <v>Jun 26</v>
      </c>
      <c r="D7017" s="14">
        <v>0.93518518518518523</v>
      </c>
    </row>
    <row r="7018" spans="1:4" x14ac:dyDescent="0.35">
      <c r="A7018" s="5" t="str">
        <f t="shared" si="3621"/>
        <v>Agency</v>
      </c>
      <c r="B7018" s="6" t="str">
        <f t="shared" si="3623"/>
        <v>% of 1-Month Active Top-tier agents</v>
      </c>
      <c r="C7018" s="4" t="str">
        <f>CHOOSE(2, "5462030031", "Jul 26")</f>
        <v>Jul 26</v>
      </c>
      <c r="D7018" s="14">
        <v>0.88888888888888884</v>
      </c>
    </row>
    <row r="7019" spans="1:4" x14ac:dyDescent="0.35">
      <c r="A7019" s="5" t="str">
        <f t="shared" si="3621"/>
        <v>Agency</v>
      </c>
      <c r="B7019" s="3" t="str">
        <f t="shared" ref="B7019:B7020" si="3624">CHOOSE(2, "1395000000576", "% APE from Manulife Pro - Total")</f>
        <v>% APE from Manulife Pro - Total</v>
      </c>
      <c r="C7019" s="4" t="str">
        <f>CHOOSE(2, "5461730030", "Jun 26")</f>
        <v>Jun 26</v>
      </c>
      <c r="D7019" s="14">
        <v>0</v>
      </c>
    </row>
    <row r="7020" spans="1:4" x14ac:dyDescent="0.35">
      <c r="A7020" s="5" t="str">
        <f t="shared" si="3621"/>
        <v>Agency</v>
      </c>
      <c r="B7020" s="6" t="str">
        <f t="shared" si="3624"/>
        <v>% APE from Manulife Pro - Total</v>
      </c>
      <c r="C7020" s="4" t="str">
        <f>CHOOSE(2, "5462030031", "Jul 26")</f>
        <v>Jul 26</v>
      </c>
      <c r="D7020" s="14">
        <v>0</v>
      </c>
    </row>
    <row r="7021" spans="1:4" x14ac:dyDescent="0.35">
      <c r="A7021" s="5" t="str">
        <f t="shared" si="3621"/>
        <v>Agency</v>
      </c>
      <c r="B7021" s="3" t="str">
        <f t="shared" ref="B7021:B7022" si="3625">CHOOSE(2, "1395000000575", "% of 1-Month Active Agents Manulife Pro Qualifiers - Total")</f>
        <v>% of 1-Month Active Agents Manulife Pro Qualifiers - Total</v>
      </c>
      <c r="C7021" s="4" t="str">
        <f>CHOOSE(2, "5461730030", "Jun 26")</f>
        <v>Jun 26</v>
      </c>
      <c r="D7021" s="14">
        <v>0</v>
      </c>
    </row>
    <row r="7022" spans="1:4" x14ac:dyDescent="0.35">
      <c r="A7022" s="5" t="str">
        <f t="shared" si="3621"/>
        <v>Agency</v>
      </c>
      <c r="B7022" s="6" t="str">
        <f t="shared" si="3625"/>
        <v>% of 1-Month Active Agents Manulife Pro Qualifiers - Total</v>
      </c>
      <c r="C7022" s="4" t="str">
        <f>CHOOSE(2, "5462030031", "Jul 26")</f>
        <v>Jul 26</v>
      </c>
      <c r="D7022" s="14">
        <v>0</v>
      </c>
    </row>
    <row r="7023" spans="1:4" x14ac:dyDescent="0.35">
      <c r="A7023" s="5" t="str">
        <f t="shared" si="3621"/>
        <v>Agency</v>
      </c>
      <c r="B7023" s="3" t="str">
        <f t="shared" ref="B7023:B7024" si="3626">CHOOSE(2, "1395000000574", "% of Newly Demoted UM")</f>
        <v>% of Newly Demoted UM</v>
      </c>
      <c r="C7023" s="4" t="str">
        <f>CHOOSE(2, "5461730030", "Jun 26")</f>
        <v>Jun 26</v>
      </c>
      <c r="D7023" s="14">
        <v>0</v>
      </c>
    </row>
    <row r="7024" spans="1:4" x14ac:dyDescent="0.35">
      <c r="A7024" s="5" t="str">
        <f t="shared" si="3621"/>
        <v>Agency</v>
      </c>
      <c r="B7024" s="6" t="str">
        <f t="shared" si="3626"/>
        <v>% of Newly Demoted UM</v>
      </c>
      <c r="C7024" s="4" t="str">
        <f>CHOOSE(2, "5462030031", "Jul 26")</f>
        <v>Jul 26</v>
      </c>
      <c r="D7024" s="14">
        <v>9.6463022508038593E-3</v>
      </c>
    </row>
    <row r="7025" spans="1:4" x14ac:dyDescent="0.35">
      <c r="A7025" s="5" t="str">
        <f t="shared" si="3621"/>
        <v>Agency</v>
      </c>
      <c r="B7025" s="3" t="str">
        <f t="shared" ref="B7025:B7026" si="3627">CHOOSE(2, "1395000000573", "% of Newly Demoted Leaders above UM")</f>
        <v>% of Newly Demoted Leaders above UM</v>
      </c>
      <c r="C7025" s="4" t="str">
        <f>CHOOSE(2, "5461730030", "Jun 26")</f>
        <v>Jun 26</v>
      </c>
      <c r="D7025" s="14">
        <v>0</v>
      </c>
    </row>
    <row r="7026" spans="1:4" x14ac:dyDescent="0.35">
      <c r="A7026" s="5" t="str">
        <f t="shared" si="3621"/>
        <v>Agency</v>
      </c>
      <c r="B7026" s="6" t="str">
        <f t="shared" si="3627"/>
        <v>% of Newly Demoted Leaders above UM</v>
      </c>
      <c r="C7026" s="4" t="str">
        <f>CHOOSE(2, "5462030031", "Jul 26")</f>
        <v>Jul 26</v>
      </c>
      <c r="D7026" s="14">
        <v>0</v>
      </c>
    </row>
    <row r="7027" spans="1:4" x14ac:dyDescent="0.35">
      <c r="A7027" s="5" t="str">
        <f t="shared" si="3621"/>
        <v>Agency</v>
      </c>
      <c r="B7027" s="3" t="str">
        <f t="shared" ref="B7027:B7028" si="3628">CHOOSE(2, "1395000000572", "Avg. Earning per agent")</f>
        <v>Avg. Earning per agent</v>
      </c>
      <c r="C7027" s="4" t="str">
        <f>CHOOSE(2, "5461730030", "Jun 26")</f>
        <v>Jun 26</v>
      </c>
      <c r="D7027" s="14">
        <v>146.2019904022936</v>
      </c>
    </row>
    <row r="7028" spans="1:4" x14ac:dyDescent="0.35">
      <c r="A7028" s="5" t="str">
        <f t="shared" si="3621"/>
        <v>Agency</v>
      </c>
      <c r="B7028" s="6" t="str">
        <f t="shared" si="3628"/>
        <v>Avg. Earning per agent</v>
      </c>
      <c r="C7028" s="4" t="str">
        <f>CHOOSE(2, "5462030031", "Jul 26")</f>
        <v>Jul 26</v>
      </c>
      <c r="D7028" s="14">
        <v>87.55577986975824</v>
      </c>
    </row>
    <row r="7029" spans="1:4" x14ac:dyDescent="0.35">
      <c r="A7029" s="5" t="str">
        <f t="shared" si="3621"/>
        <v>Agency</v>
      </c>
      <c r="B7029" s="3" t="str">
        <f t="shared" ref="B7029:B7030" si="3629">CHOOSE(2, "1395000000571", "Avg. Earning per agent in FA or equivalent")</f>
        <v>Avg. Earning per agent in FA or equivalent</v>
      </c>
      <c r="C7029" s="4" t="str">
        <f>CHOOSE(2, "5461730030", "Jun 26")</f>
        <v>Jun 26</v>
      </c>
      <c r="D7029" s="14">
        <v>124.65656198485949</v>
      </c>
    </row>
    <row r="7030" spans="1:4" x14ac:dyDescent="0.35">
      <c r="A7030" s="5" t="str">
        <f t="shared" si="3621"/>
        <v>Agency</v>
      </c>
      <c r="B7030" s="6" t="str">
        <f t="shared" si="3629"/>
        <v>Avg. Earning per agent in FA or equivalent</v>
      </c>
      <c r="C7030" s="4" t="str">
        <f>CHOOSE(2, "5462030031", "Jul 26")</f>
        <v>Jul 26</v>
      </c>
      <c r="D7030" s="14">
        <v>55.119516657710179</v>
      </c>
    </row>
    <row r="7031" spans="1:4" x14ac:dyDescent="0.35">
      <c r="A7031" s="5" t="str">
        <f t="shared" si="3621"/>
        <v>Agency</v>
      </c>
      <c r="B7031" s="3" t="str">
        <f t="shared" ref="B7031:B7032" si="3630">CHOOSE(2, "1395000000570", "Avg. Earning per agent in UM")</f>
        <v>Avg. Earning per agent in UM</v>
      </c>
      <c r="C7031" s="4" t="str">
        <f>CHOOSE(2, "5461730030", "Jun 26")</f>
        <v>Jun 26</v>
      </c>
      <c r="D7031" s="14">
        <v>139.47698287236653</v>
      </c>
    </row>
    <row r="7032" spans="1:4" x14ac:dyDescent="0.35">
      <c r="A7032" s="5" t="str">
        <f t="shared" si="3621"/>
        <v>Agency</v>
      </c>
      <c r="B7032" s="6" t="str">
        <f t="shared" si="3630"/>
        <v>Avg. Earning per agent in UM</v>
      </c>
      <c r="C7032" s="4" t="str">
        <f>CHOOSE(2, "5462030031", "Jul 26")</f>
        <v>Jul 26</v>
      </c>
      <c r="D7032" s="14">
        <v>123.85321549850093</v>
      </c>
    </row>
    <row r="7033" spans="1:4" x14ac:dyDescent="0.35">
      <c r="A7033" s="5" t="str">
        <f t="shared" si="3621"/>
        <v>Agency</v>
      </c>
      <c r="B7033" s="3" t="str">
        <f t="shared" ref="B7033:B7034" si="3631">CHOOSE(2, "1395000000569", "Avg. Earning per agent in Leaders above UM")</f>
        <v>Avg. Earning per agent in Leaders above UM</v>
      </c>
      <c r="C7033" s="4" t="str">
        <f>CHOOSE(2, "5461730030", "Jun 26")</f>
        <v>Jun 26</v>
      </c>
      <c r="D7033" s="14">
        <v>800.54056103038783</v>
      </c>
    </row>
    <row r="7034" spans="1:4" x14ac:dyDescent="0.35">
      <c r="A7034" s="5" t="str">
        <f t="shared" si="3621"/>
        <v>Agency</v>
      </c>
      <c r="B7034" s="6" t="str">
        <f t="shared" si="3631"/>
        <v>Avg. Earning per agent in Leaders above UM</v>
      </c>
      <c r="C7034" s="4" t="str">
        <f>CHOOSE(2, "5462030031", "Jul 26")</f>
        <v>Jul 26</v>
      </c>
      <c r="D7034" s="14">
        <v>871.24673807785109</v>
      </c>
    </row>
    <row r="7035" spans="1:4" x14ac:dyDescent="0.35">
      <c r="A7035" s="5" t="str">
        <f t="shared" si="3621"/>
        <v>Agency</v>
      </c>
      <c r="B7035" s="3" t="str">
        <f t="shared" ref="B7035:B7036" si="3632">CHOOSE(2, "1395000000568", "% of 1-Month Active Agents 0-1M")</f>
        <v>% of 1-Month Active Agents 0-1M</v>
      </c>
      <c r="C7035" s="4" t="str">
        <f>CHOOSE(2, "5461730030", "Jun 26")</f>
        <v>Jun 26</v>
      </c>
      <c r="D7035" s="14">
        <v>0.13793103448275862</v>
      </c>
    </row>
    <row r="7036" spans="1:4" x14ac:dyDescent="0.35">
      <c r="A7036" s="5" t="str">
        <f t="shared" si="3621"/>
        <v>Agency</v>
      </c>
      <c r="B7036" s="6" t="str">
        <f t="shared" si="3632"/>
        <v>% of 1-Month Active Agents 0-1M</v>
      </c>
      <c r="C7036" s="4" t="str">
        <f>CHOOSE(2, "5462030031", "Jul 26")</f>
        <v>Jul 26</v>
      </c>
      <c r="D7036" s="14">
        <v>0.15217391304347827</v>
      </c>
    </row>
    <row r="7037" spans="1:4" x14ac:dyDescent="0.35">
      <c r="A7037" s="5" t="str">
        <f t="shared" si="3621"/>
        <v>Agency</v>
      </c>
      <c r="B7037" s="3" t="str">
        <f t="shared" ref="B7037:B7038" si="3633">CHOOSE(2, "1395000000567", "% of 1-Month Active Agents in 2-3M")</f>
        <v>% of 1-Month Active Agents in 2-3M</v>
      </c>
      <c r="C7037" s="4" t="str">
        <f>CHOOSE(2, "5461730030", "Jun 26")</f>
        <v>Jun 26</v>
      </c>
      <c r="D7037" s="14">
        <v>0.29457364341085274</v>
      </c>
    </row>
    <row r="7038" spans="1:4" x14ac:dyDescent="0.35">
      <c r="A7038" s="5" t="str">
        <f t="shared" si="3621"/>
        <v>Agency</v>
      </c>
      <c r="B7038" s="6" t="str">
        <f t="shared" si="3633"/>
        <v>% of 1-Month Active Agents in 2-3M</v>
      </c>
      <c r="C7038" s="4" t="str">
        <f>CHOOSE(2, "5462030031", "Jul 26")</f>
        <v>Jul 26</v>
      </c>
      <c r="D7038" s="14">
        <v>0.27777777777777779</v>
      </c>
    </row>
    <row r="7039" spans="1:4" x14ac:dyDescent="0.35">
      <c r="A7039" s="5" t="str">
        <f t="shared" si="3621"/>
        <v>Agency</v>
      </c>
      <c r="B7039" s="3" t="str">
        <f t="shared" ref="B7039:B7040" si="3634">CHOOSE(2, "1395000000566", "% of 1-Month Active Agents 4-12M")</f>
        <v>% of 1-Month Active Agents 4-12M</v>
      </c>
      <c r="C7039" s="4" t="str">
        <f>CHOOSE(2, "5461730030", "Jun 26")</f>
        <v>Jun 26</v>
      </c>
      <c r="D7039" s="14">
        <v>0.17351598173515981</v>
      </c>
    </row>
    <row r="7040" spans="1:4" x14ac:dyDescent="0.35">
      <c r="A7040" s="5" t="str">
        <f t="shared" si="3621"/>
        <v>Agency</v>
      </c>
      <c r="B7040" s="6" t="str">
        <f t="shared" si="3634"/>
        <v>% of 1-Month Active Agents 4-12M</v>
      </c>
      <c r="C7040" s="4" t="str">
        <f>CHOOSE(2, "5462030031", "Jul 26")</f>
        <v>Jul 26</v>
      </c>
      <c r="D7040" s="14">
        <v>0.2160919540229885</v>
      </c>
    </row>
    <row r="7041" spans="1:4" x14ac:dyDescent="0.35">
      <c r="A7041" s="5" t="str">
        <f t="shared" si="3621"/>
        <v>Agency</v>
      </c>
      <c r="B7041" s="3" t="str">
        <f t="shared" ref="B7041:B7042" si="3635">CHOOSE(2, "1395000000565", "% of 1-Month Active Agents 13+M")</f>
        <v>% of 1-Month Active Agents 13+M</v>
      </c>
      <c r="C7041" s="4" t="str">
        <f>CHOOSE(2, "5461730030", "Jun 26")</f>
        <v>Jun 26</v>
      </c>
      <c r="D7041" s="14">
        <v>0.33418367346938777</v>
      </c>
    </row>
    <row r="7042" spans="1:4" x14ac:dyDescent="0.35">
      <c r="A7042" s="5" t="str">
        <f t="shared" si="3621"/>
        <v>Agency</v>
      </c>
      <c r="B7042" s="6" t="str">
        <f t="shared" si="3635"/>
        <v>% of 1-Month Active Agents 13+M</v>
      </c>
      <c r="C7042" s="4" t="str">
        <f>CHOOSE(2, "5462030031", "Jul 26")</f>
        <v>Jul 26</v>
      </c>
      <c r="D7042" s="14">
        <v>0.30024813895781638</v>
      </c>
    </row>
    <row r="7043" spans="1:4" x14ac:dyDescent="0.35">
      <c r="A7043" s="5" t="str">
        <f t="shared" si="3621"/>
        <v>Agency</v>
      </c>
      <c r="B7043" s="3" t="str">
        <f t="shared" ref="B7043:B7044" si="3636">CHOOSE(2, "1395000000564", "% of 3-Month Active Agents 0-1M")</f>
        <v>% of 3-Month Active Agents 0-1M</v>
      </c>
      <c r="C7043" s="4" t="str">
        <f>CHOOSE(2, "5461730030", "Jun 26")</f>
        <v>Jun 26</v>
      </c>
      <c r="D7043" s="14">
        <v>0.13793103448275862</v>
      </c>
    </row>
    <row r="7044" spans="1:4" x14ac:dyDescent="0.35">
      <c r="A7044" s="5" t="str">
        <f t="shared" si="3621"/>
        <v>Agency</v>
      </c>
      <c r="B7044" s="6" t="str">
        <f t="shared" si="3636"/>
        <v>% of 3-Month Active Agents 0-1M</v>
      </c>
      <c r="C7044" s="4" t="str">
        <f>CHOOSE(2, "5462030031", "Jul 26")</f>
        <v>Jul 26</v>
      </c>
      <c r="D7044" s="14">
        <v>0.15217391304347827</v>
      </c>
    </row>
    <row r="7045" spans="1:4" x14ac:dyDescent="0.35">
      <c r="A7045" s="5" t="str">
        <f t="shared" si="3621"/>
        <v>Agency</v>
      </c>
      <c r="B7045" s="3" t="str">
        <f t="shared" ref="B7045:B7046" si="3637">CHOOSE(2, "1395000000563", "% of 3-Month Active Agents in 2-3M")</f>
        <v>% of 3-Month Active Agents in 2-3M</v>
      </c>
      <c r="C7045" s="4" t="str">
        <f>CHOOSE(2, "5461730030", "Jun 26")</f>
        <v>Jun 26</v>
      </c>
      <c r="D7045" s="14">
        <v>0.37984496124031009</v>
      </c>
    </row>
    <row r="7046" spans="1:4" x14ac:dyDescent="0.35">
      <c r="A7046" s="5" t="str">
        <f t="shared" si="3621"/>
        <v>Agency</v>
      </c>
      <c r="B7046" s="6" t="str">
        <f t="shared" si="3637"/>
        <v>% of 3-Month Active Agents in 2-3M</v>
      </c>
      <c r="C7046" s="4" t="str">
        <f>CHOOSE(2, "5462030031", "Jul 26")</f>
        <v>Jul 26</v>
      </c>
      <c r="D7046" s="14">
        <v>0.3968253968253968</v>
      </c>
    </row>
    <row r="7047" spans="1:4" x14ac:dyDescent="0.35">
      <c r="A7047" s="5" t="str">
        <f t="shared" si="3621"/>
        <v>Agency</v>
      </c>
      <c r="B7047" s="3" t="str">
        <f t="shared" ref="B7047:B7048" si="3638">CHOOSE(2, "1395000000562", "% of 3-Month Active Agents 4-12M")</f>
        <v>% of 3-Month Active Agents 4-12M</v>
      </c>
      <c r="C7047" s="4" t="str">
        <f>CHOOSE(2, "5461730030", "Jun 26")</f>
        <v>Jun 26</v>
      </c>
      <c r="D7047" s="14">
        <v>0.31963470319634701</v>
      </c>
    </row>
    <row r="7048" spans="1:4" x14ac:dyDescent="0.35">
      <c r="A7048" s="5" t="str">
        <f t="shared" si="3621"/>
        <v>Agency</v>
      </c>
      <c r="B7048" s="6" t="str">
        <f t="shared" si="3638"/>
        <v>% of 3-Month Active Agents 4-12M</v>
      </c>
      <c r="C7048" s="4" t="str">
        <f>CHOOSE(2, "5462030031", "Jul 26")</f>
        <v>Jul 26</v>
      </c>
      <c r="D7048" s="14">
        <v>0.33103448275862069</v>
      </c>
    </row>
    <row r="7049" spans="1:4" x14ac:dyDescent="0.35">
      <c r="A7049" s="5" t="str">
        <f t="shared" si="3621"/>
        <v>Agency</v>
      </c>
      <c r="B7049" s="3" t="str">
        <f t="shared" ref="B7049:B7050" si="3639">CHOOSE(2, "1395000000561", "% of 3-Month Active Agents 13+M")</f>
        <v>% of 3-Month Active Agents 13+M</v>
      </c>
      <c r="C7049" s="4" t="str">
        <f>CHOOSE(2, "5461730030", "Jun 26")</f>
        <v>Jun 26</v>
      </c>
      <c r="D7049" s="14">
        <v>0.5535714285714286</v>
      </c>
    </row>
    <row r="7050" spans="1:4" x14ac:dyDescent="0.35">
      <c r="A7050" s="5" t="str">
        <f t="shared" si="3621"/>
        <v>Agency</v>
      </c>
      <c r="B7050" s="6" t="str">
        <f t="shared" si="3639"/>
        <v>% of 3-Month Active Agents 13+M</v>
      </c>
      <c r="C7050" s="4" t="str">
        <f>CHOOSE(2, "5462030031", "Jul 26")</f>
        <v>Jul 26</v>
      </c>
      <c r="D7050" s="14">
        <v>0.53349875930521096</v>
      </c>
    </row>
    <row r="7051" spans="1:4" x14ac:dyDescent="0.35">
      <c r="A7051" s="5" t="str">
        <f t="shared" si="3621"/>
        <v>Agency</v>
      </c>
      <c r="B7051" s="3" t="str">
        <f t="shared" ref="B7051:B7052" si="3640">CHOOSE(2, "1395000000560", "Avg. Case count per 1-Month Active Agent 0-1M")</f>
        <v>Avg. Case count per 1-Month Active Agent 0-1M</v>
      </c>
      <c r="C7051" s="4" t="str">
        <f>CHOOSE(2, "5461730030", "Jun 26")</f>
        <v>Jun 26</v>
      </c>
      <c r="D7051" s="14">
        <v>2.5</v>
      </c>
    </row>
    <row r="7052" spans="1:4" x14ac:dyDescent="0.35">
      <c r="A7052" s="5" t="str">
        <f t="shared" si="3621"/>
        <v>Agency</v>
      </c>
      <c r="B7052" s="6" t="str">
        <f t="shared" si="3640"/>
        <v>Avg. Case count per 1-Month Active Agent 0-1M</v>
      </c>
      <c r="C7052" s="4" t="str">
        <f>CHOOSE(2, "5462030031", "Jul 26")</f>
        <v>Jul 26</v>
      </c>
      <c r="D7052" s="14">
        <v>1.2428571428571427</v>
      </c>
    </row>
    <row r="7053" spans="1:4" x14ac:dyDescent="0.35">
      <c r="A7053" s="5" t="str">
        <f t="shared" si="3621"/>
        <v>Agency</v>
      </c>
      <c r="B7053" s="3" t="str">
        <f t="shared" ref="B7053:B7054" si="3641">CHOOSE(2, "1395000000559", "Avg. Case count per 1-Month Active Agent in 2-3M")</f>
        <v>Avg. Case count per 1-Month Active Agent in 2-3M</v>
      </c>
      <c r="C7053" s="4" t="str">
        <f>CHOOSE(2, "5461730030", "Jun 26")</f>
        <v>Jun 26</v>
      </c>
      <c r="D7053" s="14">
        <v>2.263157894736842</v>
      </c>
    </row>
    <row r="7054" spans="1:4" x14ac:dyDescent="0.35">
      <c r="A7054" s="5" t="str">
        <f t="shared" si="3621"/>
        <v>Agency</v>
      </c>
      <c r="B7054" s="6" t="str">
        <f t="shared" si="3641"/>
        <v>Avg. Case count per 1-Month Active Agent in 2-3M</v>
      </c>
      <c r="C7054" s="4" t="str">
        <f>CHOOSE(2, "5462030031", "Jul 26")</f>
        <v>Jul 26</v>
      </c>
      <c r="D7054" s="14">
        <v>1.7428571428571429</v>
      </c>
    </row>
    <row r="7055" spans="1:4" x14ac:dyDescent="0.35">
      <c r="A7055" s="5" t="str">
        <f t="shared" si="3621"/>
        <v>Agency</v>
      </c>
      <c r="B7055" s="3" t="str">
        <f t="shared" ref="B7055:B7056" si="3642">CHOOSE(2, "1395000000558", "Avg. Case count per 1-Month Active Agent 4-12M")</f>
        <v>Avg. Case count per 1-Month Active Agent 4-12M</v>
      </c>
      <c r="C7055" s="4" t="str">
        <f>CHOOSE(2, "5461730030", "Jun 26")</f>
        <v>Jun 26</v>
      </c>
      <c r="D7055" s="14">
        <v>2.1921052631578948</v>
      </c>
    </row>
    <row r="7056" spans="1:4" x14ac:dyDescent="0.35">
      <c r="A7056" s="5" t="str">
        <f t="shared" si="3621"/>
        <v>Agency</v>
      </c>
      <c r="B7056" s="6" t="str">
        <f t="shared" si="3642"/>
        <v>Avg. Case count per 1-Month Active Agent 4-12M</v>
      </c>
      <c r="C7056" s="4" t="str">
        <f>CHOOSE(2, "5462030031", "Jul 26")</f>
        <v>Jul 26</v>
      </c>
      <c r="D7056" s="14">
        <v>2.3276595744680852</v>
      </c>
    </row>
    <row r="7057" spans="1:4" x14ac:dyDescent="0.35">
      <c r="A7057" s="5" t="str">
        <f t="shared" si="3621"/>
        <v>Agency</v>
      </c>
      <c r="B7057" s="3" t="str">
        <f t="shared" ref="B7057:B7058" si="3643">CHOOSE(2, "1395000000557", "Avg. Case count per 1-Month Active Agent 13+M")</f>
        <v>Avg. Case count per 1-Month Active Agent 13+M</v>
      </c>
      <c r="C7057" s="4" t="str">
        <f>CHOOSE(2, "5461730030", "Jun 26")</f>
        <v>Jun 26</v>
      </c>
      <c r="D7057" s="14">
        <v>2.4270992366412214</v>
      </c>
    </row>
    <row r="7058" spans="1:4" x14ac:dyDescent="0.35">
      <c r="A7058" s="5" t="str">
        <f t="shared" si="3621"/>
        <v>Agency</v>
      </c>
      <c r="B7058" s="6" t="str">
        <f t="shared" si="3643"/>
        <v>Avg. Case count per 1-Month Active Agent 13+M</v>
      </c>
      <c r="C7058" s="4" t="str">
        <f>CHOOSE(2, "5462030031", "Jul 26")</f>
        <v>Jul 26</v>
      </c>
      <c r="D7058" s="14">
        <v>2.5262396694214875</v>
      </c>
    </row>
    <row r="7059" spans="1:4" x14ac:dyDescent="0.35">
      <c r="A7059" s="5" t="str">
        <f t="shared" si="3621"/>
        <v>Agency</v>
      </c>
      <c r="B7059" s="3" t="str">
        <f t="shared" ref="B7059:B7060" si="3644">CHOOSE(2, "1395000000556", "Avg. Case size 0-1M")</f>
        <v>Avg. Case size 0-1M</v>
      </c>
      <c r="C7059" s="4" t="str">
        <f>CHOOSE(2, "5461730030", "Jun 26")</f>
        <v>Jun 26</v>
      </c>
      <c r="D7059" s="14">
        <v>9945.0642550978991</v>
      </c>
    </row>
    <row r="7060" spans="1:4" x14ac:dyDescent="0.35">
      <c r="A7060" s="5" t="str">
        <f t="shared" si="3621"/>
        <v>Agency</v>
      </c>
      <c r="B7060" s="6" t="str">
        <f t="shared" si="3644"/>
        <v>Avg. Case size 0-1M</v>
      </c>
      <c r="C7060" s="4" t="str">
        <f>CHOOSE(2, "5462030031", "Jul 26")</f>
        <v>Jul 26</v>
      </c>
      <c r="D7060" s="14">
        <v>23288.653556540459</v>
      </c>
    </row>
    <row r="7061" spans="1:4" x14ac:dyDescent="0.35">
      <c r="A7061" s="5" t="str">
        <f t="shared" si="3621"/>
        <v>Agency</v>
      </c>
      <c r="B7061" s="3" t="str">
        <f t="shared" ref="B7061:B7062" si="3645">CHOOSE(2, "1395000000555", "Avg. Case size in 2-3M")</f>
        <v>Avg. Case size in 2-3M</v>
      </c>
      <c r="C7061" s="4" t="str">
        <f>CHOOSE(2, "5461730030", "Jun 26")</f>
        <v>Jun 26</v>
      </c>
      <c r="D7061" s="14">
        <v>4625.6112814408834</v>
      </c>
    </row>
    <row r="7062" spans="1:4" x14ac:dyDescent="0.35">
      <c r="A7062" s="5" t="str">
        <f t="shared" si="3621"/>
        <v>Agency</v>
      </c>
      <c r="B7062" s="6" t="str">
        <f t="shared" si="3645"/>
        <v>Avg. Case size in 2-3M</v>
      </c>
      <c r="C7062" s="4" t="str">
        <f>CHOOSE(2, "5462030031", "Jul 26")</f>
        <v>Jul 26</v>
      </c>
      <c r="D7062" s="14">
        <v>6642.9929817017037</v>
      </c>
    </row>
    <row r="7063" spans="1:4" x14ac:dyDescent="0.35">
      <c r="A7063" s="5" t="str">
        <f t="shared" si="3621"/>
        <v>Agency</v>
      </c>
      <c r="B7063" s="3" t="str">
        <f t="shared" ref="B7063:B7064" si="3646">CHOOSE(2, "1395000000554", "Avg. Case size 4-12M")</f>
        <v>Avg. Case size 4-12M</v>
      </c>
      <c r="C7063" s="4" t="str">
        <f>CHOOSE(2, "5461730030", "Jun 26")</f>
        <v>Jun 26</v>
      </c>
      <c r="D7063" s="14">
        <v>3581.6557941529045</v>
      </c>
    </row>
    <row r="7064" spans="1:4" x14ac:dyDescent="0.35">
      <c r="A7064" s="5" t="str">
        <f t="shared" si="3621"/>
        <v>Agency</v>
      </c>
      <c r="B7064" s="6" t="str">
        <f t="shared" si="3646"/>
        <v>Avg. Case size 4-12M</v>
      </c>
      <c r="C7064" s="4" t="str">
        <f>CHOOSE(2, "5462030031", "Jul 26")</f>
        <v>Jul 26</v>
      </c>
      <c r="D7064" s="14">
        <v>2778.0340851266265</v>
      </c>
    </row>
    <row r="7065" spans="1:4" x14ac:dyDescent="0.35">
      <c r="A7065" s="5" t="str">
        <f t="shared" si="3621"/>
        <v>Agency</v>
      </c>
      <c r="B7065" s="3" t="str">
        <f t="shared" ref="B7065:B7066" si="3647">CHOOSE(2, "1395000000553", "Avg. Case size 13+M")</f>
        <v>Avg. Case size 13+M</v>
      </c>
      <c r="C7065" s="4" t="str">
        <f>CHOOSE(2, "5461730030", "Jun 26")</f>
        <v>Jun 26</v>
      </c>
      <c r="D7065" s="14">
        <v>625.57410002188396</v>
      </c>
    </row>
    <row r="7066" spans="1:4" x14ac:dyDescent="0.35">
      <c r="A7066" s="5" t="str">
        <f t="shared" si="3621"/>
        <v>Agency</v>
      </c>
      <c r="B7066" s="6" t="str">
        <f t="shared" si="3647"/>
        <v>Avg. Case size 13+M</v>
      </c>
      <c r="C7066" s="4" t="str">
        <f>CHOOSE(2, "5462030031", "Jul 26")</f>
        <v>Jul 26</v>
      </c>
      <c r="D7066" s="14">
        <v>662.83237406363605</v>
      </c>
    </row>
    <row r="7067" spans="1:4" x14ac:dyDescent="0.35">
      <c r="A7067" s="5" t="str">
        <f t="shared" si="3621"/>
        <v>Agency</v>
      </c>
      <c r="B7067" s="3" t="str">
        <f t="shared" ref="B7067:B7068" si="3648">CHOOSE(2, "1395000000552", "Avg. Case size UM")</f>
        <v>Avg. Case size UM</v>
      </c>
      <c r="C7067" s="4" t="str">
        <f>CHOOSE(2, "5461730030", "Jun 26")</f>
        <v>Jun 26</v>
      </c>
      <c r="D7067" s="14">
        <v>0</v>
      </c>
    </row>
    <row r="7068" spans="1:4" x14ac:dyDescent="0.35">
      <c r="A7068" s="5" t="str">
        <f t="shared" si="3621"/>
        <v>Agency</v>
      </c>
      <c r="B7068" s="6" t="str">
        <f t="shared" si="3648"/>
        <v>Avg. Case size UM</v>
      </c>
      <c r="C7068" s="4" t="str">
        <f>CHOOSE(2, "5462030031", "Jul 26")</f>
        <v>Jul 26</v>
      </c>
      <c r="D7068" s="14">
        <v>0</v>
      </c>
    </row>
    <row r="7069" spans="1:4" x14ac:dyDescent="0.35">
      <c r="A7069" s="5" t="str">
        <f t="shared" si="3621"/>
        <v>Agency</v>
      </c>
      <c r="B7069" s="3" t="str">
        <f t="shared" ref="B7069:B7070" si="3649">CHOOSE(2, "1395000000551", "Avg. Case size Leaders above UM")</f>
        <v>Avg. Case size Leaders above UM</v>
      </c>
      <c r="C7069" s="4" t="str">
        <f>CHOOSE(2, "5461730030", "Jun 26")</f>
        <v>Jun 26</v>
      </c>
      <c r="D7069" s="14">
        <v>0</v>
      </c>
    </row>
    <row r="7070" spans="1:4" x14ac:dyDescent="0.35">
      <c r="A7070" s="5" t="str">
        <f t="shared" si="3621"/>
        <v>Agency</v>
      </c>
      <c r="B7070" s="6" t="str">
        <f t="shared" si="3649"/>
        <v>Avg. Case size Leaders above UM</v>
      </c>
      <c r="C7070" s="4" t="str">
        <f>CHOOSE(2, "5462030031", "Jul 26")</f>
        <v>Jul 26</v>
      </c>
      <c r="D7070" s="14">
        <v>0</v>
      </c>
    </row>
    <row r="7071" spans="1:4" x14ac:dyDescent="0.35">
      <c r="A7071" s="5" t="str">
        <f t="shared" si="3621"/>
        <v>Agency</v>
      </c>
      <c r="B7071" s="3" t="str">
        <f t="shared" ref="B7071:B7072" si="3650">CHOOSE(2, "1395000000550", "Avg. Case size Top-tier agents")</f>
        <v>Avg. Case size Top-tier agents</v>
      </c>
      <c r="C7071" s="4" t="str">
        <f>CHOOSE(2, "5461730030", "Jun 26")</f>
        <v>Jun 26</v>
      </c>
      <c r="D7071" s="14">
        <v>1399.924516203972</v>
      </c>
    </row>
    <row r="7072" spans="1:4" x14ac:dyDescent="0.35">
      <c r="A7072" s="5" t="str">
        <f t="shared" si="3621"/>
        <v>Agency</v>
      </c>
      <c r="B7072" s="6" t="str">
        <f t="shared" si="3650"/>
        <v>Avg. Case size Top-tier agents</v>
      </c>
      <c r="C7072" s="4" t="str">
        <f>CHOOSE(2, "5462030031", "Jul 26")</f>
        <v>Jul 26</v>
      </c>
      <c r="D7072" s="14">
        <v>1437.2119448602575</v>
      </c>
    </row>
    <row r="7073" spans="1:4" x14ac:dyDescent="0.35">
      <c r="A7073" s="5" t="str">
        <f t="shared" si="3621"/>
        <v>Agency</v>
      </c>
      <c r="B7073" s="3" t="str">
        <f t="shared" ref="B7073:B7074" si="3651">CHOOSE(2, "1395000000549", "Avg. Case size Manulife Pro Qualifiers - Total")</f>
        <v>Avg. Case size Manulife Pro Qualifiers - Total</v>
      </c>
      <c r="C7073" s="4" t="str">
        <f>CHOOSE(2, "5461730030", "Jun 26")</f>
        <v>Jun 26</v>
      </c>
      <c r="D7073" s="14">
        <v>0</v>
      </c>
    </row>
    <row r="7074" spans="1:4" x14ac:dyDescent="0.35">
      <c r="A7074" s="5" t="str">
        <f t="shared" si="3621"/>
        <v>Agency</v>
      </c>
      <c r="B7074" s="6" t="str">
        <f t="shared" si="3651"/>
        <v>Avg. Case size Manulife Pro Qualifiers - Total</v>
      </c>
      <c r="C7074" s="4" t="str">
        <f>CHOOSE(2, "5462030031", "Jul 26")</f>
        <v>Jul 26</v>
      </c>
      <c r="D7074" s="14">
        <v>0</v>
      </c>
    </row>
    <row r="7075" spans="1:4" x14ac:dyDescent="0.35">
      <c r="A7075" s="5" t="str">
        <f t="shared" si="3621"/>
        <v>Agency</v>
      </c>
      <c r="B7075" s="3" t="str">
        <f t="shared" ref="B7075:B7076" si="3652">CHOOSE(2, "1395000000548", "Avg. Case size FA or equivalent")</f>
        <v>Avg. Case size FA or equivalent</v>
      </c>
      <c r="C7075" s="4" t="str">
        <f>CHOOSE(2, "5461730030", "Jun 26")</f>
        <v>Jun 26</v>
      </c>
      <c r="D7075" s="14">
        <v>0</v>
      </c>
    </row>
    <row r="7076" spans="1:4" x14ac:dyDescent="0.35">
      <c r="A7076" s="5" t="str">
        <f t="shared" si="3621"/>
        <v>Agency</v>
      </c>
      <c r="B7076" s="6" t="str">
        <f t="shared" si="3652"/>
        <v>Avg. Case size FA or equivalent</v>
      </c>
      <c r="C7076" s="4" t="str">
        <f>CHOOSE(2, "5462030031", "Jul 26")</f>
        <v>Jul 26</v>
      </c>
      <c r="D7076" s="14">
        <v>0</v>
      </c>
    </row>
    <row r="7077" spans="1:4" x14ac:dyDescent="0.35">
      <c r="A7077" s="5" t="str">
        <f t="shared" si="3621"/>
        <v>Agency</v>
      </c>
      <c r="B7077" s="3" t="str">
        <f t="shared" ref="B7077:B7078" si="3653">CHOOSE(2, "1395000000547", "Avg. Case size pro-rated MDRT agents (&gt;100%)")</f>
        <v>Avg. Case size pro-rated MDRT agents (&gt;100%)</v>
      </c>
      <c r="C7077" s="4" t="str">
        <f>CHOOSE(2, "5461730030", "Jun 26")</f>
        <v>Jun 26</v>
      </c>
      <c r="D7077" s="14">
        <v>1899.4740813012618</v>
      </c>
    </row>
    <row r="7078" spans="1:4" x14ac:dyDescent="0.35">
      <c r="A7078" s="5" t="str">
        <f t="shared" si="3621"/>
        <v>Agency</v>
      </c>
      <c r="B7078" s="6" t="str">
        <f t="shared" si="3653"/>
        <v>Avg. Case size pro-rated MDRT agents (&gt;100%)</v>
      </c>
      <c r="C7078" s="4" t="str">
        <f>CHOOSE(2, "5462030031", "Jul 26")</f>
        <v>Jul 26</v>
      </c>
      <c r="D7078" s="14">
        <v>2073.1922914668367</v>
      </c>
    </row>
    <row r="7079" spans="1:4" x14ac:dyDescent="0.35">
      <c r="A7079" s="5" t="str">
        <f t="shared" ref="A7079:A7112" si="3654">CHOOSE(2, "1260000000008", "Agency")</f>
        <v>Agency</v>
      </c>
      <c r="B7079" s="3" t="str">
        <f t="shared" ref="B7079:B7080" si="3655">CHOOSE(2, "1395000000546", "Avg. Case size pro-rated MDRT agents (70-99%)")</f>
        <v>Avg. Case size pro-rated MDRT agents (70-99%)</v>
      </c>
      <c r="C7079" s="4" t="str">
        <f>CHOOSE(2, "5461730030", "Jun 26")</f>
        <v>Jun 26</v>
      </c>
      <c r="D7079" s="14">
        <v>1105.9054178978979</v>
      </c>
    </row>
    <row r="7080" spans="1:4" x14ac:dyDescent="0.35">
      <c r="A7080" s="5" t="str">
        <f t="shared" si="3654"/>
        <v>Agency</v>
      </c>
      <c r="B7080" s="6" t="str">
        <f t="shared" si="3655"/>
        <v>Avg. Case size pro-rated MDRT agents (70-99%)</v>
      </c>
      <c r="C7080" s="4" t="str">
        <f>CHOOSE(2, "5462030031", "Jul 26")</f>
        <v>Jul 26</v>
      </c>
      <c r="D7080" s="14">
        <v>1089.4896377359325</v>
      </c>
    </row>
    <row r="7081" spans="1:4" x14ac:dyDescent="0.35">
      <c r="A7081" s="5" t="str">
        <f t="shared" si="3654"/>
        <v>Agency</v>
      </c>
      <c r="B7081" s="3" t="str">
        <f t="shared" ref="B7081:B7082" si="3656">CHOOSE(2, "1395000000545", "Avg. Case size pro-rated MDRT agents (50-69%)")</f>
        <v>Avg. Case size pro-rated MDRT agents (50-69%)</v>
      </c>
      <c r="C7081" s="4" t="str">
        <f>CHOOSE(2, "5461730030", "Jun 26")</f>
        <v>Jun 26</v>
      </c>
      <c r="D7081" s="14">
        <v>1324.2343269016308</v>
      </c>
    </row>
    <row r="7082" spans="1:4" x14ac:dyDescent="0.35">
      <c r="A7082" s="5" t="str">
        <f t="shared" si="3654"/>
        <v>Agency</v>
      </c>
      <c r="B7082" s="6" t="str">
        <f t="shared" si="3656"/>
        <v>Avg. Case size pro-rated MDRT agents (50-69%)</v>
      </c>
      <c r="C7082" s="4" t="str">
        <f>CHOOSE(2, "5462030031", "Jul 26")</f>
        <v>Jul 26</v>
      </c>
      <c r="D7082" s="14">
        <v>1580.0266431836328</v>
      </c>
    </row>
    <row r="7083" spans="1:4" x14ac:dyDescent="0.35">
      <c r="A7083" s="5" t="str">
        <f t="shared" si="3654"/>
        <v>Agency</v>
      </c>
      <c r="B7083" s="3" t="str">
        <f t="shared" ref="B7083:B7084" si="3657">CHOOSE(2, "1395000000544", "% of 1-Month Active Agents UM")</f>
        <v>% of 1-Month Active Agents UM</v>
      </c>
      <c r="C7083" s="4" t="str">
        <f>CHOOSE(2, "5461730030", "Jun 26")</f>
        <v>Jun 26</v>
      </c>
      <c r="D7083" s="14">
        <v>0.56507936507936507</v>
      </c>
    </row>
    <row r="7084" spans="1:4" x14ac:dyDescent="0.35">
      <c r="A7084" s="5" t="str">
        <f t="shared" si="3654"/>
        <v>Agency</v>
      </c>
      <c r="B7084" s="6" t="str">
        <f t="shared" si="3657"/>
        <v>% of 1-Month Active Agents UM</v>
      </c>
      <c r="C7084" s="4" t="str">
        <f>CHOOSE(2, "5462030031", "Jul 26")</f>
        <v>Jul 26</v>
      </c>
      <c r="D7084" s="14">
        <v>0.55948553054662375</v>
      </c>
    </row>
    <row r="7085" spans="1:4" x14ac:dyDescent="0.35">
      <c r="A7085" s="5" t="str">
        <f t="shared" si="3654"/>
        <v>Agency</v>
      </c>
      <c r="B7085" s="3" t="str">
        <f t="shared" ref="B7085:B7086" si="3658">CHOOSE(2, "1395000000543", "% of 1-Month Active Agents Leaders above UM")</f>
        <v>% of 1-Month Active Agents Leaders above UM</v>
      </c>
      <c r="C7085" s="4" t="str">
        <f>CHOOSE(2, "5461730030", "Jun 26")</f>
        <v>Jun 26</v>
      </c>
      <c r="D7085" s="14">
        <v>0.2857142857142857</v>
      </c>
    </row>
    <row r="7086" spans="1:4" x14ac:dyDescent="0.35">
      <c r="A7086" s="5" t="str">
        <f t="shared" si="3654"/>
        <v>Agency</v>
      </c>
      <c r="B7086" s="6" t="str">
        <f t="shared" si="3658"/>
        <v>% of 1-Month Active Agents Leaders above UM</v>
      </c>
      <c r="C7086" s="4" t="str">
        <f>CHOOSE(2, "5462030031", "Jul 26")</f>
        <v>Jul 26</v>
      </c>
      <c r="D7086" s="14">
        <v>0.32258064516129031</v>
      </c>
    </row>
    <row r="7087" spans="1:4" x14ac:dyDescent="0.35">
      <c r="A7087" s="5" t="str">
        <f t="shared" si="3654"/>
        <v>Agency</v>
      </c>
      <c r="B7087" s="3" t="str">
        <f t="shared" ref="B7087:B7088" si="3659">CHOOSE(2, "1395000000542", "% of 1-Month Active Agents Top-tier agents")</f>
        <v>% of 1-Month Active Agents Top-tier agents</v>
      </c>
      <c r="C7087" s="4" t="str">
        <f>CHOOSE(2, "5461730030", "Jun 26")</f>
        <v>Jun 26</v>
      </c>
      <c r="D7087" s="14">
        <v>0.93518518518518523</v>
      </c>
    </row>
    <row r="7088" spans="1:4" x14ac:dyDescent="0.35">
      <c r="A7088" s="5" t="str">
        <f t="shared" si="3654"/>
        <v>Agency</v>
      </c>
      <c r="B7088" s="6" t="str">
        <f t="shared" si="3659"/>
        <v>% of 1-Month Active Agents Top-tier agents</v>
      </c>
      <c r="C7088" s="4" t="str">
        <f>CHOOSE(2, "5462030031", "Jul 26")</f>
        <v>Jul 26</v>
      </c>
      <c r="D7088" s="14">
        <v>0.88888888888888884</v>
      </c>
    </row>
    <row r="7089" spans="1:4" x14ac:dyDescent="0.35">
      <c r="A7089" s="5" t="str">
        <f t="shared" si="3654"/>
        <v>Agency</v>
      </c>
      <c r="B7089" s="3" t="str">
        <f t="shared" ref="B7089:B7090" si="3660">CHOOSE(2, "1395000000541", "% of 1-Month Active Agents FA or equivalent")</f>
        <v>% of 1-Month Active Agents FA or equivalent</v>
      </c>
      <c r="C7089" s="4" t="str">
        <f>CHOOSE(2, "5461730030", "Jun 26")</f>
        <v>Jun 26</v>
      </c>
      <c r="D7089" s="14">
        <v>0.24793388429752067</v>
      </c>
    </row>
    <row r="7090" spans="1:4" x14ac:dyDescent="0.35">
      <c r="A7090" s="5" t="str">
        <f t="shared" si="3654"/>
        <v>Agency</v>
      </c>
      <c r="B7090" s="6" t="str">
        <f t="shared" si="3660"/>
        <v>% of 1-Month Active Agents FA or equivalent</v>
      </c>
      <c r="C7090" s="4" t="str">
        <f>CHOOSE(2, "5462030031", "Jul 26")</f>
        <v>Jul 26</v>
      </c>
      <c r="D7090" s="14">
        <v>0.23076923076923078</v>
      </c>
    </row>
    <row r="7091" spans="1:4" x14ac:dyDescent="0.35">
      <c r="A7091" s="5" t="str">
        <f t="shared" si="3654"/>
        <v>Agency</v>
      </c>
      <c r="B7091" s="3" t="str">
        <f t="shared" ref="B7091:B7092" si="3661">CHOOSE(2, "1395000000540", "% of 1-Month Active Agents pro-rated MDRT agents (&gt;100%)")</f>
        <v>% of 1-Month Active Agents pro-rated MDRT agents (&gt;100%)</v>
      </c>
      <c r="C7091" s="4" t="str">
        <f>CHOOSE(2, "5461730030", "Jun 26")</f>
        <v>Jun 26</v>
      </c>
      <c r="D7091" s="14">
        <v>0.90476190476190477</v>
      </c>
    </row>
    <row r="7092" spans="1:4" x14ac:dyDescent="0.35">
      <c r="A7092" s="5" t="str">
        <f t="shared" si="3654"/>
        <v>Agency</v>
      </c>
      <c r="B7092" s="6" t="str">
        <f t="shared" si="3661"/>
        <v>% of 1-Month Active Agents pro-rated MDRT agents (&gt;100%)</v>
      </c>
      <c r="C7092" s="4" t="str">
        <f>CHOOSE(2, "5462030031", "Jul 26")</f>
        <v>Jul 26</v>
      </c>
      <c r="D7092" s="14">
        <v>0.86363636363636365</v>
      </c>
    </row>
    <row r="7093" spans="1:4" x14ac:dyDescent="0.35">
      <c r="A7093" s="5" t="str">
        <f t="shared" si="3654"/>
        <v>Agency</v>
      </c>
      <c r="B7093" s="3" t="str">
        <f t="shared" ref="B7093:B7094" si="3662">CHOOSE(2, "1395000000539", "% of 1-Month Active Agents pro-rated MDRT agents (70-99%)")</f>
        <v>% of 1-Month Active Agents pro-rated MDRT agents (70-99%)</v>
      </c>
      <c r="C7093" s="4" t="str">
        <f>CHOOSE(2, "5461730030", "Jun 26")</f>
        <v>Jun 26</v>
      </c>
      <c r="D7093" s="14">
        <v>0.96875</v>
      </c>
    </row>
    <row r="7094" spans="1:4" x14ac:dyDescent="0.35">
      <c r="A7094" s="5" t="str">
        <f t="shared" si="3654"/>
        <v>Agency</v>
      </c>
      <c r="B7094" s="6" t="str">
        <f t="shared" si="3662"/>
        <v>% of 1-Month Active Agents pro-rated MDRT agents (70-99%)</v>
      </c>
      <c r="C7094" s="4" t="str">
        <f>CHOOSE(2, "5462030031", "Jul 26")</f>
        <v>Jul 26</v>
      </c>
      <c r="D7094" s="14">
        <v>0.91428571428571426</v>
      </c>
    </row>
    <row r="7095" spans="1:4" x14ac:dyDescent="0.35">
      <c r="A7095" s="5" t="str">
        <f t="shared" si="3654"/>
        <v>Agency</v>
      </c>
      <c r="B7095" s="3" t="str">
        <f t="shared" ref="B7095:B7096" si="3663">CHOOSE(2, "1395000000538", "% of 1-Month Active Agents pro-rated MDRT agents (50-69%)")</f>
        <v>% of 1-Month Active Agents pro-rated MDRT agents (50-69%)</v>
      </c>
      <c r="C7095" s="4" t="str">
        <f>CHOOSE(2, "5461730030", "Jun 26")</f>
        <v>Jun 26</v>
      </c>
      <c r="D7095" s="14">
        <v>0.92727272727272725</v>
      </c>
    </row>
    <row r="7096" spans="1:4" x14ac:dyDescent="0.35">
      <c r="A7096" s="5" t="str">
        <f t="shared" si="3654"/>
        <v>Agency</v>
      </c>
      <c r="B7096" s="6" t="str">
        <f t="shared" si="3663"/>
        <v>% of 1-Month Active Agents pro-rated MDRT agents (50-69%)</v>
      </c>
      <c r="C7096" s="4" t="str">
        <f>CHOOSE(2, "5462030031", "Jul 26")</f>
        <v>Jul 26</v>
      </c>
      <c r="D7096" s="14">
        <v>0.88235294117647056</v>
      </c>
    </row>
    <row r="7097" spans="1:4" x14ac:dyDescent="0.35">
      <c r="A7097" s="5" t="str">
        <f t="shared" si="3654"/>
        <v>Agency</v>
      </c>
      <c r="B7097" s="3" t="str">
        <f t="shared" ref="B7097:B7098" si="3664">CHOOSE(2, "1395000000537", "Avg. Case count per 1-Month Active Agent UM")</f>
        <v>Avg. Case count per 1-Month Active Agent UM</v>
      </c>
      <c r="C7097" s="4" t="str">
        <f>CHOOSE(2, "5461730030", "Jun 26")</f>
        <v>Jun 26</v>
      </c>
      <c r="D7097" s="14">
        <v>3.0943820224719101</v>
      </c>
    </row>
    <row r="7098" spans="1:4" x14ac:dyDescent="0.35">
      <c r="A7098" s="5" t="str">
        <f t="shared" si="3654"/>
        <v>Agency</v>
      </c>
      <c r="B7098" s="6" t="str">
        <f t="shared" si="3664"/>
        <v>Avg. Case count per 1-Month Active Agent UM</v>
      </c>
      <c r="C7098" s="4" t="str">
        <f>CHOOSE(2, "5462030031", "Jul 26")</f>
        <v>Jul 26</v>
      </c>
      <c r="D7098" s="14">
        <v>3.2327586206896552</v>
      </c>
    </row>
    <row r="7099" spans="1:4" x14ac:dyDescent="0.35">
      <c r="A7099" s="5" t="str">
        <f t="shared" si="3654"/>
        <v>Agency</v>
      </c>
      <c r="B7099" s="3" t="str">
        <f t="shared" ref="B7099:B7100" si="3665">CHOOSE(2, "1395000000536", "Avg. Case count per 1-Month Active Agent Leaders above UM")</f>
        <v>Avg. Case count per 1-Month Active Agent Leaders above UM</v>
      </c>
      <c r="C7099" s="4" t="str">
        <f>CHOOSE(2, "5461730030", "Jun 26")</f>
        <v>Jun 26</v>
      </c>
      <c r="D7099" s="14">
        <v>1.7055555555555555</v>
      </c>
    </row>
    <row r="7100" spans="1:4" x14ac:dyDescent="0.35">
      <c r="A7100" s="5" t="str">
        <f t="shared" si="3654"/>
        <v>Agency</v>
      </c>
      <c r="B7100" s="6" t="str">
        <f t="shared" si="3665"/>
        <v>Avg. Case count per 1-Month Active Agent Leaders above UM</v>
      </c>
      <c r="C7100" s="4" t="str">
        <f>CHOOSE(2, "5462030031", "Jul 26")</f>
        <v>Jul 26</v>
      </c>
      <c r="D7100" s="14">
        <v>1.92</v>
      </c>
    </row>
    <row r="7101" spans="1:4" x14ac:dyDescent="0.35">
      <c r="A7101" s="5" t="str">
        <f t="shared" si="3654"/>
        <v>Agency</v>
      </c>
      <c r="B7101" s="3" t="str">
        <f t="shared" ref="B7101:B7102" si="3666">CHOOSE(2, "1395000000535", "Avg. Case count per 1-Month Active Agent Top-tier agents")</f>
        <v>Avg. Case count per 1-Month Active Agent Top-tier agents</v>
      </c>
      <c r="C7101" s="4" t="str">
        <f>CHOOSE(2, "5461730030", "Jun 26")</f>
        <v>Jun 26</v>
      </c>
      <c r="D7101" s="14">
        <v>4.7861386138613859</v>
      </c>
    </row>
    <row r="7102" spans="1:4" x14ac:dyDescent="0.35">
      <c r="A7102" s="5" t="str">
        <f t="shared" si="3654"/>
        <v>Agency</v>
      </c>
      <c r="B7102" s="6" t="str">
        <f t="shared" si="3666"/>
        <v>Avg. Case count per 1-Month Active Agent Top-tier agents</v>
      </c>
      <c r="C7102" s="4" t="str">
        <f>CHOOSE(2, "5462030031", "Jul 26")</f>
        <v>Jul 26</v>
      </c>
      <c r="D7102" s="14">
        <v>5.255208333333333</v>
      </c>
    </row>
    <row r="7103" spans="1:4" x14ac:dyDescent="0.35">
      <c r="A7103" s="5" t="str">
        <f t="shared" si="3654"/>
        <v>Agency</v>
      </c>
      <c r="B7103" s="3" t="str">
        <f t="shared" ref="B7103:B7104" si="3667">CHOOSE(2, "1395000000534", "Avg. Case count per 1-Month Manulife Pro Qualifiers - Total")</f>
        <v>Avg. Case count per 1-Month Manulife Pro Qualifiers - Total</v>
      </c>
      <c r="C7103" s="4" t="str">
        <f>CHOOSE(2, "5461730030", "Jun 26")</f>
        <v>Jun 26</v>
      </c>
      <c r="D7103" s="14">
        <v>0</v>
      </c>
    </row>
    <row r="7104" spans="1:4" x14ac:dyDescent="0.35">
      <c r="A7104" s="5" t="str">
        <f t="shared" si="3654"/>
        <v>Agency</v>
      </c>
      <c r="B7104" s="6" t="str">
        <f t="shared" si="3667"/>
        <v>Avg. Case count per 1-Month Manulife Pro Qualifiers - Total</v>
      </c>
      <c r="C7104" s="4" t="str">
        <f>CHOOSE(2, "5462030031", "Jul 26")</f>
        <v>Jul 26</v>
      </c>
      <c r="D7104" s="14">
        <v>0</v>
      </c>
    </row>
    <row r="7105" spans="1:4" x14ac:dyDescent="0.35">
      <c r="A7105" s="5" t="str">
        <f t="shared" si="3654"/>
        <v>Agency</v>
      </c>
      <c r="B7105" s="3" t="str">
        <f t="shared" ref="B7105:B7106" si="3668">CHOOSE(2, "1395000000533", "Avg. Case count per 1-Month Active Agent FA or equivalent")</f>
        <v>Avg. Case count per 1-Month Active Agent FA or equivalent</v>
      </c>
      <c r="C7105" s="4" t="str">
        <f>CHOOSE(2, "5461730030", "Jun 26")</f>
        <v>Jun 26</v>
      </c>
      <c r="D7105" s="14">
        <v>2.1397777777777778</v>
      </c>
    </row>
    <row r="7106" spans="1:4" x14ac:dyDescent="0.35">
      <c r="A7106" s="5" t="str">
        <f t="shared" si="3654"/>
        <v>Agency</v>
      </c>
      <c r="B7106" s="6" t="str">
        <f t="shared" si="3668"/>
        <v>Avg. Case count per 1-Month Active Agent FA or equivalent</v>
      </c>
      <c r="C7106" s="4" t="str">
        <f>CHOOSE(2, "5462030031", "Jul 26")</f>
        <v>Jul 26</v>
      </c>
      <c r="D7106" s="14">
        <v>2.1368544600938968</v>
      </c>
    </row>
    <row r="7107" spans="1:4" x14ac:dyDescent="0.35">
      <c r="A7107" s="5" t="str">
        <f t="shared" si="3654"/>
        <v>Agency</v>
      </c>
      <c r="B7107" s="3" t="str">
        <f t="shared" ref="B7107:B7108" si="3669">CHOOSE(2, "1395000000532", "Avg. Case count per 1-Month pro-rated MDRT agents (&gt;100%)")</f>
        <v>Avg. Case count per 1-Month pro-rated MDRT agents (&gt;100%)</v>
      </c>
      <c r="C7107" s="4" t="str">
        <f>CHOOSE(2, "5461730030", "Jun 26")</f>
        <v>Jun 26</v>
      </c>
      <c r="D7107" s="14">
        <v>6.6736842105263152</v>
      </c>
    </row>
    <row r="7108" spans="1:4" x14ac:dyDescent="0.35">
      <c r="A7108" s="5" t="str">
        <f t="shared" si="3654"/>
        <v>Agency</v>
      </c>
      <c r="B7108" s="6" t="str">
        <f t="shared" si="3669"/>
        <v>Avg. Case count per 1-Month pro-rated MDRT agents (&gt;100%)</v>
      </c>
      <c r="C7108" s="4" t="str">
        <f>CHOOSE(2, "5462030031", "Jul 26")</f>
        <v>Jul 26</v>
      </c>
      <c r="D7108" s="14">
        <v>4.1263157894736846</v>
      </c>
    </row>
    <row r="7109" spans="1:4" x14ac:dyDescent="0.35">
      <c r="A7109" s="5" t="str">
        <f t="shared" si="3654"/>
        <v>Agency</v>
      </c>
      <c r="B7109" s="3" t="str">
        <f t="shared" ref="B7109:B7110" si="3670">CHOOSE(2, "1395000000531", "Avg. Case count per 1-Month pro-rated MDRT agents (70-99%)")</f>
        <v>Avg. Case count per 1-Month pro-rated MDRT agents (70-99%)</v>
      </c>
      <c r="C7109" s="4" t="str">
        <f>CHOOSE(2, "5461730030", "Jun 26")</f>
        <v>Jun 26</v>
      </c>
      <c r="D7109" s="14">
        <v>5.370967741935484</v>
      </c>
    </row>
    <row r="7110" spans="1:4" x14ac:dyDescent="0.35">
      <c r="A7110" s="5" t="str">
        <f t="shared" si="3654"/>
        <v>Agency</v>
      </c>
      <c r="B7110" s="6" t="str">
        <f t="shared" si="3670"/>
        <v>Avg. Case count per 1-Month pro-rated MDRT agents (70-99%)</v>
      </c>
      <c r="C7110" s="4" t="str">
        <f>CHOOSE(2, "5462030031", "Jul 26")</f>
        <v>Jul 26</v>
      </c>
      <c r="D7110" s="14">
        <v>7.0531249999999996</v>
      </c>
    </row>
    <row r="7111" spans="1:4" x14ac:dyDescent="0.35">
      <c r="A7111" s="5" t="str">
        <f t="shared" si="3654"/>
        <v>Agency</v>
      </c>
      <c r="B7111" s="3" t="str">
        <f t="shared" ref="B7111:B7112" si="3671">CHOOSE(2, "1395000000530", "Avg. Case count per 1-Month pro-rated MDRT agents (50-69%)")</f>
        <v>Avg. Case count per 1-Month pro-rated MDRT agents (50-69%)</v>
      </c>
      <c r="C7111" s="4" t="str">
        <f>CHOOSE(2, "5461730030", "Jun 26")</f>
        <v>Jun 26</v>
      </c>
      <c r="D7111" s="14">
        <v>3.7274509803921569</v>
      </c>
    </row>
    <row r="7112" spans="1:4" x14ac:dyDescent="0.35">
      <c r="A7112" s="6" t="str">
        <f t="shared" si="3654"/>
        <v>Agency</v>
      </c>
      <c r="B7112" s="6" t="str">
        <f t="shared" si="3671"/>
        <v>Avg. Case count per 1-Month pro-rated MDRT agents (50-69%)</v>
      </c>
      <c r="C7112" s="4" t="str">
        <f>CHOOSE(2, "5462030031", "Jul 26")</f>
        <v>Jul 26</v>
      </c>
      <c r="D7112" s="14">
        <v>4.4533333333333331</v>
      </c>
    </row>
    <row r="7113" spans="1:4" x14ac:dyDescent="0.35">
      <c r="A7113" s="7" t="str">
        <f t="shared" ref="A7113:A7176" si="3672">CHOOSE(2, "204000000008", "Malaysia")</f>
        <v>Malaysia</v>
      </c>
      <c r="B7113" s="3" t="str">
        <f t="shared" ref="B7113:B7114" si="3673">CHOOSE(2, "1395000000741", "Submitted APE")</f>
        <v>Submitted APE</v>
      </c>
      <c r="C7113" s="4" t="str">
        <f>CHOOSE(2, "5461730030", "Jun 26")</f>
        <v>Jun 26</v>
      </c>
      <c r="D7113" s="14">
        <v>565343.91709912289</v>
      </c>
    </row>
    <row r="7114" spans="1:4" x14ac:dyDescent="0.35">
      <c r="A7114" s="8" t="str">
        <f t="shared" si="3672"/>
        <v>Malaysia</v>
      </c>
      <c r="B7114" s="6" t="str">
        <f t="shared" si="3673"/>
        <v>Submitted APE</v>
      </c>
      <c r="C7114" s="4" t="str">
        <f>CHOOSE(2, "5462030031", "Jul 26")</f>
        <v>Jul 26</v>
      </c>
      <c r="D7114" s="14">
        <v>498886.59544389957</v>
      </c>
    </row>
    <row r="7115" spans="1:4" x14ac:dyDescent="0.35">
      <c r="A7115" s="8" t="str">
        <f t="shared" si="3672"/>
        <v>Malaysia</v>
      </c>
      <c r="B7115" s="3" t="str">
        <f t="shared" ref="B7115:B7116" si="3674">CHOOSE(2, "1395000000740", "# of 1-Month Active Agents")</f>
        <v># of 1-Month Active Agents</v>
      </c>
      <c r="C7115" s="4" t="str">
        <f>CHOOSE(2, "5461730030", "Jun 26")</f>
        <v>Jun 26</v>
      </c>
      <c r="D7115" s="14">
        <v>646</v>
      </c>
    </row>
    <row r="7116" spans="1:4" x14ac:dyDescent="0.35">
      <c r="A7116" s="8" t="str">
        <f t="shared" si="3672"/>
        <v>Malaysia</v>
      </c>
      <c r="B7116" s="6" t="str">
        <f t="shared" si="3674"/>
        <v># of 1-Month Active Agents</v>
      </c>
      <c r="C7116" s="4" t="str">
        <f>CHOOSE(2, "5462030031", "Jul 26")</f>
        <v>Jul 26</v>
      </c>
      <c r="D7116" s="14">
        <v>620</v>
      </c>
    </row>
    <row r="7117" spans="1:4" x14ac:dyDescent="0.35">
      <c r="A7117" s="8" t="str">
        <f t="shared" si="3672"/>
        <v>Malaysia</v>
      </c>
      <c r="B7117" s="3" t="str">
        <f t="shared" ref="B7117:B7118" si="3675">CHOOSE(2, "1395000000739", "# of 1-Month Active Agents in 0-1M")</f>
        <v># of 1-Month Active Agents in 0-1M</v>
      </c>
      <c r="C7117" s="4" t="str">
        <f>CHOOSE(2, "5461730030", "Jun 26")</f>
        <v>Jun 26</v>
      </c>
      <c r="D7117" s="14">
        <v>8</v>
      </c>
    </row>
    <row r="7118" spans="1:4" x14ac:dyDescent="0.35">
      <c r="A7118" s="8" t="str">
        <f t="shared" si="3672"/>
        <v>Malaysia</v>
      </c>
      <c r="B7118" s="6" t="str">
        <f t="shared" si="3675"/>
        <v># of 1-Month Active Agents in 0-1M</v>
      </c>
      <c r="C7118" s="4" t="str">
        <f>CHOOSE(2, "5462030031", "Jul 26")</f>
        <v>Jul 26</v>
      </c>
      <c r="D7118" s="14">
        <v>7</v>
      </c>
    </row>
    <row r="7119" spans="1:4" x14ac:dyDescent="0.35">
      <c r="A7119" s="8" t="str">
        <f t="shared" si="3672"/>
        <v>Malaysia</v>
      </c>
      <c r="B7119" s="3" t="str">
        <f t="shared" ref="B7119:B7120" si="3676">CHOOSE(2, "1395000000738", "# of 1-Month Active Agents in 2-3M")</f>
        <v># of 1-Month Active Agents in 2-3M</v>
      </c>
      <c r="C7119" s="4" t="str">
        <f>CHOOSE(2, "5461730030", "Jun 26")</f>
        <v>Jun 26</v>
      </c>
      <c r="D7119" s="14">
        <v>38</v>
      </c>
    </row>
    <row r="7120" spans="1:4" x14ac:dyDescent="0.35">
      <c r="A7120" s="8" t="str">
        <f t="shared" si="3672"/>
        <v>Malaysia</v>
      </c>
      <c r="B7120" s="6" t="str">
        <f t="shared" si="3676"/>
        <v># of 1-Month Active Agents in 2-3M</v>
      </c>
      <c r="C7120" s="4" t="str">
        <f>CHOOSE(2, "5462030031", "Jul 26")</f>
        <v>Jul 26</v>
      </c>
      <c r="D7120" s="14">
        <v>35</v>
      </c>
    </row>
    <row r="7121" spans="1:4" x14ac:dyDescent="0.35">
      <c r="A7121" s="8" t="str">
        <f t="shared" si="3672"/>
        <v>Malaysia</v>
      </c>
      <c r="B7121" s="3" t="str">
        <f t="shared" ref="B7121:B7122" si="3677">CHOOSE(2, "1395000000737", "# of 1-Month Active Agents in 4-12M")</f>
        <v># of 1-Month Active Agents in 4-12M</v>
      </c>
      <c r="C7121" s="4" t="str">
        <f>CHOOSE(2, "5461730030", "Jun 26")</f>
        <v>Jun 26</v>
      </c>
      <c r="D7121" s="14">
        <v>76</v>
      </c>
    </row>
    <row r="7122" spans="1:4" x14ac:dyDescent="0.35">
      <c r="A7122" s="8" t="str">
        <f t="shared" si="3672"/>
        <v>Malaysia</v>
      </c>
      <c r="B7122" s="6" t="str">
        <f t="shared" si="3677"/>
        <v># of 1-Month Active Agents in 4-12M</v>
      </c>
      <c r="C7122" s="4" t="str">
        <f>CHOOSE(2, "5462030031", "Jul 26")</f>
        <v>Jul 26</v>
      </c>
      <c r="D7122" s="14">
        <v>94</v>
      </c>
    </row>
    <row r="7123" spans="1:4" x14ac:dyDescent="0.35">
      <c r="A7123" s="8" t="str">
        <f t="shared" si="3672"/>
        <v>Malaysia</v>
      </c>
      <c r="B7123" s="3" t="str">
        <f t="shared" ref="B7123:B7124" si="3678">CHOOSE(2, "1395000000736", "# of 1-Month Active Agents 13+M")</f>
        <v># of 1-Month Active Agents 13+M</v>
      </c>
      <c r="C7123" s="4" t="str">
        <f>CHOOSE(2, "5461730030", "Jun 26")</f>
        <v>Jun 26</v>
      </c>
      <c r="D7123" s="14">
        <v>524</v>
      </c>
    </row>
    <row r="7124" spans="1:4" x14ac:dyDescent="0.35">
      <c r="A7124" s="8" t="str">
        <f t="shared" si="3672"/>
        <v>Malaysia</v>
      </c>
      <c r="B7124" s="6" t="str">
        <f t="shared" si="3678"/>
        <v># of 1-Month Active Agents 13+M</v>
      </c>
      <c r="C7124" s="4" t="str">
        <f>CHOOSE(2, "5462030031", "Jul 26")</f>
        <v>Jul 26</v>
      </c>
      <c r="D7124" s="14">
        <v>484</v>
      </c>
    </row>
    <row r="7125" spans="1:4" x14ac:dyDescent="0.35">
      <c r="A7125" s="8" t="str">
        <f t="shared" si="3672"/>
        <v>Malaysia</v>
      </c>
      <c r="B7125" s="3" t="str">
        <f t="shared" ref="B7125:B7126" si="3679">CHOOSE(2, "1395000000735", "# of 1-Month Active Agents in FA or equivalent")</f>
        <v># of 1-Month Active Agents in FA or equivalent</v>
      </c>
      <c r="C7125" s="4" t="str">
        <f>CHOOSE(2, "5461730030", "Jun 26")</f>
        <v>Jun 26</v>
      </c>
      <c r="D7125" s="14">
        <v>450</v>
      </c>
    </row>
    <row r="7126" spans="1:4" x14ac:dyDescent="0.35">
      <c r="A7126" s="8" t="str">
        <f t="shared" si="3672"/>
        <v>Malaysia</v>
      </c>
      <c r="B7126" s="6" t="str">
        <f t="shared" si="3679"/>
        <v># of 1-Month Active Agents in FA or equivalent</v>
      </c>
      <c r="C7126" s="4" t="str">
        <f>CHOOSE(2, "5462030031", "Jul 26")</f>
        <v>Jul 26</v>
      </c>
      <c r="D7126" s="14">
        <v>426</v>
      </c>
    </row>
    <row r="7127" spans="1:4" x14ac:dyDescent="0.35">
      <c r="A7127" s="8" t="str">
        <f t="shared" si="3672"/>
        <v>Malaysia</v>
      </c>
      <c r="B7127" s="3" t="str">
        <f t="shared" ref="B7127:B7128" si="3680">CHOOSE(2, "1395000000734", "# of 1-Month Active Agents in UM")</f>
        <v># of 1-Month Active Agents in UM</v>
      </c>
      <c r="C7127" s="4" t="str">
        <f>CHOOSE(2, "5461730030", "Jun 26")</f>
        <v>Jun 26</v>
      </c>
      <c r="D7127" s="14">
        <v>178</v>
      </c>
    </row>
    <row r="7128" spans="1:4" x14ac:dyDescent="0.35">
      <c r="A7128" s="8" t="str">
        <f t="shared" si="3672"/>
        <v>Malaysia</v>
      </c>
      <c r="B7128" s="6" t="str">
        <f t="shared" si="3680"/>
        <v># of 1-Month Active Agents in UM</v>
      </c>
      <c r="C7128" s="4" t="str">
        <f>CHOOSE(2, "5462030031", "Jul 26")</f>
        <v>Jul 26</v>
      </c>
      <c r="D7128" s="14">
        <v>174</v>
      </c>
    </row>
    <row r="7129" spans="1:4" x14ac:dyDescent="0.35">
      <c r="A7129" s="8" t="str">
        <f t="shared" si="3672"/>
        <v>Malaysia</v>
      </c>
      <c r="B7129" s="3" t="str">
        <f t="shared" ref="B7129:B7130" si="3681">CHOOSE(2, "1395000000733", "# of 1-Month Active Agents in Leaders above UM")</f>
        <v># of 1-Month Active Agents in Leaders above UM</v>
      </c>
      <c r="C7129" s="4" t="str">
        <f>CHOOSE(2, "5461730030", "Jun 26")</f>
        <v>Jun 26</v>
      </c>
      <c r="D7129" s="14">
        <v>18</v>
      </c>
    </row>
    <row r="7130" spans="1:4" x14ac:dyDescent="0.35">
      <c r="A7130" s="8" t="str">
        <f t="shared" si="3672"/>
        <v>Malaysia</v>
      </c>
      <c r="B7130" s="6" t="str">
        <f t="shared" si="3681"/>
        <v># of 1-Month Active Agents in Leaders above UM</v>
      </c>
      <c r="C7130" s="4" t="str">
        <f>CHOOSE(2, "5462030031", "Jul 26")</f>
        <v>Jul 26</v>
      </c>
      <c r="D7130" s="14">
        <v>20</v>
      </c>
    </row>
    <row r="7131" spans="1:4" x14ac:dyDescent="0.35">
      <c r="A7131" s="8" t="str">
        <f t="shared" si="3672"/>
        <v>Malaysia</v>
      </c>
      <c r="B7131" s="3" t="str">
        <f t="shared" ref="B7131:B7132" si="3682">CHOOSE(2, "1395000000732", "# of 1-Month Active Top-tier Agents")</f>
        <v># of 1-Month Active Top-tier Agents</v>
      </c>
      <c r="C7131" s="4" t="str">
        <f>CHOOSE(2, "5461730030", "Jun 26")</f>
        <v>Jun 26</v>
      </c>
      <c r="D7131" s="14">
        <v>101</v>
      </c>
    </row>
    <row r="7132" spans="1:4" x14ac:dyDescent="0.35">
      <c r="A7132" s="8" t="str">
        <f t="shared" si="3672"/>
        <v>Malaysia</v>
      </c>
      <c r="B7132" s="6" t="str">
        <f t="shared" si="3682"/>
        <v># of 1-Month Active Top-tier Agents</v>
      </c>
      <c r="C7132" s="4" t="str">
        <f>CHOOSE(2, "5462030031", "Jul 26")</f>
        <v>Jul 26</v>
      </c>
      <c r="D7132" s="14">
        <v>96</v>
      </c>
    </row>
    <row r="7133" spans="1:4" x14ac:dyDescent="0.35">
      <c r="A7133" s="8" t="str">
        <f t="shared" si="3672"/>
        <v>Malaysia</v>
      </c>
      <c r="B7133" s="3" t="str">
        <f t="shared" ref="B7133:B7134" si="3683">CHOOSE(2, "1395000000731", "# of 1-Month Active Agents in pro-rated MDRT agents (&gt;100%)")</f>
        <v># of 1-Month Active Agents in pro-rated MDRT agents (&gt;100%)</v>
      </c>
      <c r="C7133" s="4" t="str">
        <f>CHOOSE(2, "5461730030", "Jun 26")</f>
        <v>Jun 26</v>
      </c>
      <c r="D7133" s="14">
        <v>19</v>
      </c>
    </row>
    <row r="7134" spans="1:4" x14ac:dyDescent="0.35">
      <c r="A7134" s="8" t="str">
        <f t="shared" si="3672"/>
        <v>Malaysia</v>
      </c>
      <c r="B7134" s="6" t="str">
        <f t="shared" si="3683"/>
        <v># of 1-Month Active Agents in pro-rated MDRT agents (&gt;100%)</v>
      </c>
      <c r="C7134" s="4" t="str">
        <f>CHOOSE(2, "5462030031", "Jul 26")</f>
        <v>Jul 26</v>
      </c>
      <c r="D7134" s="14">
        <v>19</v>
      </c>
    </row>
    <row r="7135" spans="1:4" x14ac:dyDescent="0.35">
      <c r="A7135" s="8" t="str">
        <f t="shared" si="3672"/>
        <v>Malaysia</v>
      </c>
      <c r="B7135" s="3" t="str">
        <f t="shared" ref="B7135:B7136" si="3684">CHOOSE(2, "1395000000730", "# of 1-Month Active Agents in pro-rated MDRT agents (70-99%)")</f>
        <v># of 1-Month Active Agents in pro-rated MDRT agents (70-99%)</v>
      </c>
      <c r="C7135" s="4" t="str">
        <f>CHOOSE(2, "5461730030", "Jun 26")</f>
        <v>Jun 26</v>
      </c>
      <c r="D7135" s="14">
        <v>31</v>
      </c>
    </row>
    <row r="7136" spans="1:4" x14ac:dyDescent="0.35">
      <c r="A7136" s="8" t="str">
        <f t="shared" si="3672"/>
        <v>Malaysia</v>
      </c>
      <c r="B7136" s="6" t="str">
        <f t="shared" si="3684"/>
        <v># of 1-Month Active Agents in pro-rated MDRT agents (70-99%)</v>
      </c>
      <c r="C7136" s="4" t="str">
        <f>CHOOSE(2, "5462030031", "Jul 26")</f>
        <v>Jul 26</v>
      </c>
      <c r="D7136" s="14">
        <v>32</v>
      </c>
    </row>
    <row r="7137" spans="1:4" x14ac:dyDescent="0.35">
      <c r="A7137" s="8" t="str">
        <f t="shared" si="3672"/>
        <v>Malaysia</v>
      </c>
      <c r="B7137" s="3" t="str">
        <f t="shared" ref="B7137:B7138" si="3685">CHOOSE(2, "1395000000729", "# of 1-Month Active Agents in pro-rated MDRT agents (50-69%)")</f>
        <v># of 1-Month Active Agents in pro-rated MDRT agents (50-69%)</v>
      </c>
      <c r="C7137" s="4" t="str">
        <f>CHOOSE(2, "5461730030", "Jun 26")</f>
        <v>Jun 26</v>
      </c>
      <c r="D7137" s="14">
        <v>51</v>
      </c>
    </row>
    <row r="7138" spans="1:4" x14ac:dyDescent="0.35">
      <c r="A7138" s="8" t="str">
        <f t="shared" si="3672"/>
        <v>Malaysia</v>
      </c>
      <c r="B7138" s="6" t="str">
        <f t="shared" si="3685"/>
        <v># of 1-Month Active Agents in pro-rated MDRT agents (50-69%)</v>
      </c>
      <c r="C7138" s="4" t="str">
        <f>CHOOSE(2, "5462030031", "Jul 26")</f>
        <v>Jul 26</v>
      </c>
      <c r="D7138" s="14">
        <v>45</v>
      </c>
    </row>
    <row r="7139" spans="1:4" x14ac:dyDescent="0.35">
      <c r="A7139" s="8" t="str">
        <f t="shared" si="3672"/>
        <v>Malaysia</v>
      </c>
      <c r="B7139" s="3" t="str">
        <f t="shared" ref="B7139:B7140" si="3686">CHOOSE(2, "1395000000728", "# of 1-Month Active Agents in Manulife Pro Qualifiers -Total")</f>
        <v># of 1-Month Active Agents in Manulife Pro Qualifiers -Total</v>
      </c>
      <c r="C7139" s="4" t="str">
        <f>CHOOSE(2, "5461730030", "Jun 26")</f>
        <v>Jun 26</v>
      </c>
      <c r="D7139" s="2" t="s">
        <v>5</v>
      </c>
    </row>
    <row r="7140" spans="1:4" x14ac:dyDescent="0.35">
      <c r="A7140" s="8" t="str">
        <f t="shared" si="3672"/>
        <v>Malaysia</v>
      </c>
      <c r="B7140" s="6" t="str">
        <f t="shared" si="3686"/>
        <v># of 1-Month Active Agents in Manulife Pro Qualifiers -Total</v>
      </c>
      <c r="C7140" s="4" t="str">
        <f>CHOOSE(2, "5462030031", "Jul 26")</f>
        <v>Jul 26</v>
      </c>
      <c r="D7140" s="2" t="s">
        <v>5</v>
      </c>
    </row>
    <row r="7141" spans="1:4" x14ac:dyDescent="0.35">
      <c r="A7141" s="8" t="str">
        <f t="shared" si="3672"/>
        <v>Malaysia</v>
      </c>
      <c r="B7141" s="3" t="str">
        <f t="shared" ref="B7141:B7142" si="3687">CHOOSE(2, "1395000000727", "# of 3-Month Active Agents")</f>
        <v># of 3-Month Active Agents</v>
      </c>
      <c r="C7141" s="4" t="str">
        <f>CHOOSE(2, "5461730030", "Jun 26")</f>
        <v>Jun 26</v>
      </c>
      <c r="D7141" s="14">
        <v>1065</v>
      </c>
    </row>
    <row r="7142" spans="1:4" x14ac:dyDescent="0.35">
      <c r="A7142" s="8" t="str">
        <f t="shared" si="3672"/>
        <v>Malaysia</v>
      </c>
      <c r="B7142" s="6" t="str">
        <f t="shared" si="3687"/>
        <v># of 3-Month Active Agents</v>
      </c>
      <c r="C7142" s="4" t="str">
        <f>CHOOSE(2, "5462030031", "Jul 26")</f>
        <v>Jul 26</v>
      </c>
      <c r="D7142" s="14">
        <v>1061</v>
      </c>
    </row>
    <row r="7143" spans="1:4" x14ac:dyDescent="0.35">
      <c r="A7143" s="8" t="str">
        <f t="shared" si="3672"/>
        <v>Malaysia</v>
      </c>
      <c r="B7143" s="3" t="str">
        <f t="shared" ref="B7143:B7144" si="3688">CHOOSE(2, "1395000000726", "# of 3-Month Active Agents in 0-1M")</f>
        <v># of 3-Month Active Agents in 0-1M</v>
      </c>
      <c r="C7143" s="4" t="str">
        <f>CHOOSE(2, "5461730030", "Jun 26")</f>
        <v>Jun 26</v>
      </c>
      <c r="D7143" s="14">
        <v>8</v>
      </c>
    </row>
    <row r="7144" spans="1:4" x14ac:dyDescent="0.35">
      <c r="A7144" s="8" t="str">
        <f t="shared" si="3672"/>
        <v>Malaysia</v>
      </c>
      <c r="B7144" s="6" t="str">
        <f t="shared" si="3688"/>
        <v># of 3-Month Active Agents in 0-1M</v>
      </c>
      <c r="C7144" s="4" t="str">
        <f>CHOOSE(2, "5462030031", "Jul 26")</f>
        <v>Jul 26</v>
      </c>
      <c r="D7144" s="14">
        <v>7</v>
      </c>
    </row>
    <row r="7145" spans="1:4" x14ac:dyDescent="0.35">
      <c r="A7145" s="8" t="str">
        <f t="shared" si="3672"/>
        <v>Malaysia</v>
      </c>
      <c r="B7145" s="3" t="str">
        <f t="shared" ref="B7145:B7146" si="3689">CHOOSE(2, "1395000000725", "# of 3-Month Active Agents in 2-3M")</f>
        <v># of 3-Month Active Agents in 2-3M</v>
      </c>
      <c r="C7145" s="4" t="str">
        <f>CHOOSE(2, "5461730030", "Jun 26")</f>
        <v>Jun 26</v>
      </c>
      <c r="D7145" s="14">
        <v>49</v>
      </c>
    </row>
    <row r="7146" spans="1:4" x14ac:dyDescent="0.35">
      <c r="A7146" s="8" t="str">
        <f t="shared" si="3672"/>
        <v>Malaysia</v>
      </c>
      <c r="B7146" s="6" t="str">
        <f t="shared" si="3689"/>
        <v># of 3-Month Active Agents in 2-3M</v>
      </c>
      <c r="C7146" s="4" t="str">
        <f>CHOOSE(2, "5462030031", "Jul 26")</f>
        <v>Jul 26</v>
      </c>
      <c r="D7146" s="14">
        <v>50</v>
      </c>
    </row>
    <row r="7147" spans="1:4" x14ac:dyDescent="0.35">
      <c r="A7147" s="8" t="str">
        <f t="shared" si="3672"/>
        <v>Malaysia</v>
      </c>
      <c r="B7147" s="3" t="str">
        <f t="shared" ref="B7147:B7148" si="3690">CHOOSE(2, "1395000000724", "# of 3-Month Active Agents in 4-12M")</f>
        <v># of 3-Month Active Agents in 4-12M</v>
      </c>
      <c r="C7147" s="4" t="str">
        <f>CHOOSE(2, "5461730030", "Jun 26")</f>
        <v>Jun 26</v>
      </c>
      <c r="D7147" s="14">
        <v>140</v>
      </c>
    </row>
    <row r="7148" spans="1:4" x14ac:dyDescent="0.35">
      <c r="A7148" s="8" t="str">
        <f t="shared" si="3672"/>
        <v>Malaysia</v>
      </c>
      <c r="B7148" s="6" t="str">
        <f t="shared" si="3690"/>
        <v># of 3-Month Active Agents in 4-12M</v>
      </c>
      <c r="C7148" s="4" t="str">
        <f>CHOOSE(2, "5462030031", "Jul 26")</f>
        <v>Jul 26</v>
      </c>
      <c r="D7148" s="14">
        <v>144</v>
      </c>
    </row>
    <row r="7149" spans="1:4" x14ac:dyDescent="0.35">
      <c r="A7149" s="8" t="str">
        <f t="shared" si="3672"/>
        <v>Malaysia</v>
      </c>
      <c r="B7149" s="3" t="str">
        <f t="shared" ref="B7149:B7150" si="3691">CHOOSE(2, "1395000000723", "# of 3-Month Active Agents 13+M")</f>
        <v># of 3-Month Active Agents 13+M</v>
      </c>
      <c r="C7149" s="4" t="str">
        <f>CHOOSE(2, "5461730030", "Jun 26")</f>
        <v>Jun 26</v>
      </c>
      <c r="D7149" s="14">
        <v>868</v>
      </c>
    </row>
    <row r="7150" spans="1:4" x14ac:dyDescent="0.35">
      <c r="A7150" s="8" t="str">
        <f t="shared" si="3672"/>
        <v>Malaysia</v>
      </c>
      <c r="B7150" s="6" t="str">
        <f t="shared" si="3691"/>
        <v># of 3-Month Active Agents 13+M</v>
      </c>
      <c r="C7150" s="4" t="str">
        <f>CHOOSE(2, "5462030031", "Jul 26")</f>
        <v>Jul 26</v>
      </c>
      <c r="D7150" s="14">
        <v>860</v>
      </c>
    </row>
    <row r="7151" spans="1:4" x14ac:dyDescent="0.35">
      <c r="A7151" s="8" t="str">
        <f t="shared" si="3672"/>
        <v>Malaysia</v>
      </c>
      <c r="B7151" s="3" t="str">
        <f t="shared" ref="B7151:B7152" si="3692">CHOOSE(2, "1395000000722", "# of 3-Month Active Agents in UM")</f>
        <v># of 3-Month Active Agents in UM</v>
      </c>
      <c r="C7151" s="4" t="str">
        <f>CHOOSE(2, "5461730030", "Jun 26")</f>
        <v>Jun 26</v>
      </c>
      <c r="D7151" s="2" t="s">
        <v>5</v>
      </c>
    </row>
    <row r="7152" spans="1:4" x14ac:dyDescent="0.35">
      <c r="A7152" s="8" t="str">
        <f t="shared" si="3672"/>
        <v>Malaysia</v>
      </c>
      <c r="B7152" s="6" t="str">
        <f t="shared" si="3692"/>
        <v># of 3-Month Active Agents in UM</v>
      </c>
      <c r="C7152" s="4" t="str">
        <f>CHOOSE(2, "5462030031", "Jul 26")</f>
        <v>Jul 26</v>
      </c>
      <c r="D7152" s="2" t="s">
        <v>5</v>
      </c>
    </row>
    <row r="7153" spans="1:4" x14ac:dyDescent="0.35">
      <c r="A7153" s="8" t="str">
        <f t="shared" si="3672"/>
        <v>Malaysia</v>
      </c>
      <c r="B7153" s="3" t="str">
        <f t="shared" ref="B7153:B7154" si="3693">CHOOSE(2, "1395000000721", "# of 3-Month Active Agents in Leaders above UM")</f>
        <v># of 3-Month Active Agents in Leaders above UM</v>
      </c>
      <c r="C7153" s="4" t="str">
        <f>CHOOSE(2, "5461730030", "Jun 26")</f>
        <v>Jun 26</v>
      </c>
      <c r="D7153" s="2" t="s">
        <v>5</v>
      </c>
    </row>
    <row r="7154" spans="1:4" x14ac:dyDescent="0.35">
      <c r="A7154" s="8" t="str">
        <f t="shared" si="3672"/>
        <v>Malaysia</v>
      </c>
      <c r="B7154" s="6" t="str">
        <f t="shared" si="3693"/>
        <v># of 3-Month Active Agents in Leaders above UM</v>
      </c>
      <c r="C7154" s="4" t="str">
        <f>CHOOSE(2, "5462030031", "Jul 26")</f>
        <v>Jul 26</v>
      </c>
      <c r="D7154" s="2" t="s">
        <v>5</v>
      </c>
    </row>
    <row r="7155" spans="1:4" x14ac:dyDescent="0.35">
      <c r="A7155" s="8" t="str">
        <f t="shared" si="3672"/>
        <v>Malaysia</v>
      </c>
      <c r="B7155" s="3" t="str">
        <f t="shared" ref="B7155:B7156" si="3694">CHOOSE(2, "1395000000720", "# of 3-Month Active Agents in FA or equivalent")</f>
        <v># of 3-Month Active Agents in FA or equivalent</v>
      </c>
      <c r="C7155" s="4" t="str">
        <f>CHOOSE(2, "5461730030", "Jun 26")</f>
        <v>Jun 26</v>
      </c>
      <c r="D7155" s="2" t="s">
        <v>5</v>
      </c>
    </row>
    <row r="7156" spans="1:4" x14ac:dyDescent="0.35">
      <c r="A7156" s="8" t="str">
        <f t="shared" si="3672"/>
        <v>Malaysia</v>
      </c>
      <c r="B7156" s="6" t="str">
        <f t="shared" si="3694"/>
        <v># of 3-Month Active Agents in FA or equivalent</v>
      </c>
      <c r="C7156" s="4" t="str">
        <f>CHOOSE(2, "5462030031", "Jul 26")</f>
        <v>Jul 26</v>
      </c>
      <c r="D7156" s="2" t="s">
        <v>5</v>
      </c>
    </row>
    <row r="7157" spans="1:4" x14ac:dyDescent="0.35">
      <c r="A7157" s="8" t="str">
        <f t="shared" si="3672"/>
        <v>Malaysia</v>
      </c>
      <c r="B7157" s="3" t="str">
        <f t="shared" ref="B7157:B7158" si="3695">CHOOSE(2, "1395000000719", "Net Case Count - Agency")</f>
        <v>Net Case Count - Agency</v>
      </c>
      <c r="C7157" s="4" t="str">
        <f>CHOOSE(2, "5461730030", "Jun 26")</f>
        <v>Jun 26</v>
      </c>
      <c r="D7157" s="14">
        <v>1544.4</v>
      </c>
    </row>
    <row r="7158" spans="1:4" x14ac:dyDescent="0.35">
      <c r="A7158" s="8" t="str">
        <f t="shared" si="3672"/>
        <v>Malaysia</v>
      </c>
      <c r="B7158" s="6" t="str">
        <f t="shared" si="3695"/>
        <v>Net Case Count - Agency</v>
      </c>
      <c r="C7158" s="4" t="str">
        <f>CHOOSE(2, "5462030031", "Jul 26")</f>
        <v>Jul 26</v>
      </c>
      <c r="D7158" s="14">
        <v>1511.2</v>
      </c>
    </row>
    <row r="7159" spans="1:4" x14ac:dyDescent="0.35">
      <c r="A7159" s="8" t="str">
        <f t="shared" si="3672"/>
        <v>Malaysia</v>
      </c>
      <c r="B7159" s="3" t="str">
        <f t="shared" ref="B7159:B7160" si="3696">CHOOSE(2, "1395000000718", "Net Case Count - Agency in 0-1M")</f>
        <v>Net Case Count - Agency in 0-1M</v>
      </c>
      <c r="C7159" s="4" t="str">
        <f>CHOOSE(2, "5461730030", "Jun 26")</f>
        <v>Jun 26</v>
      </c>
      <c r="D7159" s="14">
        <v>20</v>
      </c>
    </row>
    <row r="7160" spans="1:4" x14ac:dyDescent="0.35">
      <c r="A7160" s="8" t="str">
        <f t="shared" si="3672"/>
        <v>Malaysia</v>
      </c>
      <c r="B7160" s="6" t="str">
        <f t="shared" si="3696"/>
        <v>Net Case Count - Agency in 0-1M</v>
      </c>
      <c r="C7160" s="4" t="str">
        <f>CHOOSE(2, "5462030031", "Jul 26")</f>
        <v>Jul 26</v>
      </c>
      <c r="D7160" s="14">
        <v>8.6999999999999993</v>
      </c>
    </row>
    <row r="7161" spans="1:4" x14ac:dyDescent="0.35">
      <c r="A7161" s="8" t="str">
        <f t="shared" si="3672"/>
        <v>Malaysia</v>
      </c>
      <c r="B7161" s="3" t="str">
        <f t="shared" ref="B7161:B7162" si="3697">CHOOSE(2, "1395000000717", "Net Case Count - Agency in 2-3M")</f>
        <v>Net Case Count - Agency in 2-3M</v>
      </c>
      <c r="C7161" s="4" t="str">
        <f>CHOOSE(2, "5461730030", "Jun 26")</f>
        <v>Jun 26</v>
      </c>
      <c r="D7161" s="14">
        <v>86</v>
      </c>
    </row>
    <row r="7162" spans="1:4" x14ac:dyDescent="0.35">
      <c r="A7162" s="8" t="str">
        <f t="shared" si="3672"/>
        <v>Malaysia</v>
      </c>
      <c r="B7162" s="6" t="str">
        <f t="shared" si="3697"/>
        <v>Net Case Count - Agency in 2-3M</v>
      </c>
      <c r="C7162" s="4" t="str">
        <f>CHOOSE(2, "5462030031", "Jul 26")</f>
        <v>Jul 26</v>
      </c>
      <c r="D7162" s="14">
        <v>61</v>
      </c>
    </row>
    <row r="7163" spans="1:4" x14ac:dyDescent="0.35">
      <c r="A7163" s="8" t="str">
        <f t="shared" si="3672"/>
        <v>Malaysia</v>
      </c>
      <c r="B7163" s="3" t="str">
        <f t="shared" ref="B7163:B7164" si="3698">CHOOSE(2, "1395000000716", "Net Case Count - Agency in 4-12M")</f>
        <v>Net Case Count - Agency in 4-12M</v>
      </c>
      <c r="C7163" s="4" t="str">
        <f>CHOOSE(2, "5461730030", "Jun 26")</f>
        <v>Jun 26</v>
      </c>
      <c r="D7163" s="14">
        <v>166.6</v>
      </c>
    </row>
    <row r="7164" spans="1:4" x14ac:dyDescent="0.35">
      <c r="A7164" s="8" t="str">
        <f t="shared" si="3672"/>
        <v>Malaysia</v>
      </c>
      <c r="B7164" s="6" t="str">
        <f t="shared" si="3698"/>
        <v>Net Case Count - Agency in 4-12M</v>
      </c>
      <c r="C7164" s="4" t="str">
        <f>CHOOSE(2, "5462030031", "Jul 26")</f>
        <v>Jul 26</v>
      </c>
      <c r="D7164" s="14">
        <v>218.8</v>
      </c>
    </row>
    <row r="7165" spans="1:4" x14ac:dyDescent="0.35">
      <c r="A7165" s="8" t="str">
        <f t="shared" si="3672"/>
        <v>Malaysia</v>
      </c>
      <c r="B7165" s="3" t="str">
        <f t="shared" ref="B7165:B7166" si="3699">CHOOSE(2, "1395000000715", "Net Case Count - Agency 13+M")</f>
        <v>Net Case Count - Agency 13+M</v>
      </c>
      <c r="C7165" s="4" t="str">
        <f>CHOOSE(2, "5461730030", "Jun 26")</f>
        <v>Jun 26</v>
      </c>
      <c r="D7165" s="14">
        <v>1271.8</v>
      </c>
    </row>
    <row r="7166" spans="1:4" x14ac:dyDescent="0.35">
      <c r="A7166" s="8" t="str">
        <f t="shared" si="3672"/>
        <v>Malaysia</v>
      </c>
      <c r="B7166" s="6" t="str">
        <f t="shared" si="3699"/>
        <v>Net Case Count - Agency 13+M</v>
      </c>
      <c r="C7166" s="4" t="str">
        <f>CHOOSE(2, "5462030031", "Jul 26")</f>
        <v>Jul 26</v>
      </c>
      <c r="D7166" s="14">
        <v>1222.7</v>
      </c>
    </row>
    <row r="7167" spans="1:4" x14ac:dyDescent="0.35">
      <c r="A7167" s="8" t="str">
        <f t="shared" si="3672"/>
        <v>Malaysia</v>
      </c>
      <c r="B7167" s="3" t="str">
        <f t="shared" ref="B7167:B7168" si="3700">CHOOSE(2, "1395000000714", "Net Case Count - Agency in FA or equivalent")</f>
        <v>Net Case Count - Agency in FA or equivalent</v>
      </c>
      <c r="C7167" s="4" t="str">
        <f>CHOOSE(2, "5461730030", "Jun 26")</f>
        <v>Jun 26</v>
      </c>
      <c r="D7167" s="14">
        <v>962.9</v>
      </c>
    </row>
    <row r="7168" spans="1:4" x14ac:dyDescent="0.35">
      <c r="A7168" s="8" t="str">
        <f t="shared" si="3672"/>
        <v>Malaysia</v>
      </c>
      <c r="B7168" s="6" t="str">
        <f t="shared" si="3700"/>
        <v>Net Case Count - Agency in FA or equivalent</v>
      </c>
      <c r="C7168" s="4" t="str">
        <f>CHOOSE(2, "5462030031", "Jul 26")</f>
        <v>Jul 26</v>
      </c>
      <c r="D7168" s="14">
        <v>910.3</v>
      </c>
    </row>
    <row r="7169" spans="1:4" x14ac:dyDescent="0.35">
      <c r="A7169" s="8" t="str">
        <f t="shared" si="3672"/>
        <v>Malaysia</v>
      </c>
      <c r="B7169" s="3" t="str">
        <f t="shared" ref="B7169:B7170" si="3701">CHOOSE(2, "1395000000713", "Net Case Count - Agency in UM")</f>
        <v>Net Case Count - Agency in UM</v>
      </c>
      <c r="C7169" s="4" t="str">
        <f>CHOOSE(2, "5461730030", "Jun 26")</f>
        <v>Jun 26</v>
      </c>
      <c r="D7169" s="14">
        <v>550.79999999999995</v>
      </c>
    </row>
    <row r="7170" spans="1:4" x14ac:dyDescent="0.35">
      <c r="A7170" s="8" t="str">
        <f t="shared" si="3672"/>
        <v>Malaysia</v>
      </c>
      <c r="B7170" s="6" t="str">
        <f t="shared" si="3701"/>
        <v>Net Case Count - Agency in UM</v>
      </c>
      <c r="C7170" s="4" t="str">
        <f>CHOOSE(2, "5462030031", "Jul 26")</f>
        <v>Jul 26</v>
      </c>
      <c r="D7170" s="14">
        <v>562.5</v>
      </c>
    </row>
    <row r="7171" spans="1:4" x14ac:dyDescent="0.35">
      <c r="A7171" s="8" t="str">
        <f t="shared" si="3672"/>
        <v>Malaysia</v>
      </c>
      <c r="B7171" s="3" t="str">
        <f t="shared" ref="B7171:B7172" si="3702">CHOOSE(2, "1395000000712", "Net Case Count - Agency in Leaders above UM")</f>
        <v>Net Case Count - Agency in Leaders above UM</v>
      </c>
      <c r="C7171" s="4" t="str">
        <f>CHOOSE(2, "5461730030", "Jun 26")</f>
        <v>Jun 26</v>
      </c>
      <c r="D7171" s="14">
        <v>30.7</v>
      </c>
    </row>
    <row r="7172" spans="1:4" x14ac:dyDescent="0.35">
      <c r="A7172" s="8" t="str">
        <f t="shared" si="3672"/>
        <v>Malaysia</v>
      </c>
      <c r="B7172" s="6" t="str">
        <f t="shared" si="3702"/>
        <v>Net Case Count - Agency in Leaders above UM</v>
      </c>
      <c r="C7172" s="4" t="str">
        <f>CHOOSE(2, "5462030031", "Jul 26")</f>
        <v>Jul 26</v>
      </c>
      <c r="D7172" s="14">
        <v>38.4</v>
      </c>
    </row>
    <row r="7173" spans="1:4" x14ac:dyDescent="0.35">
      <c r="A7173" s="8" t="str">
        <f t="shared" si="3672"/>
        <v>Malaysia</v>
      </c>
      <c r="B7173" s="3" t="str">
        <f t="shared" ref="B7173:B7174" si="3703">CHOOSE(2, "1395000000711", "Net Case Count - Agency in Top-tier Agents")</f>
        <v>Net Case Count - Agency in Top-tier Agents</v>
      </c>
      <c r="C7173" s="4" t="str">
        <f>CHOOSE(2, "5461730030", "Jun 26")</f>
        <v>Jun 26</v>
      </c>
      <c r="D7173" s="14">
        <v>483.4</v>
      </c>
    </row>
    <row r="7174" spans="1:4" x14ac:dyDescent="0.35">
      <c r="A7174" s="8" t="str">
        <f t="shared" si="3672"/>
        <v>Malaysia</v>
      </c>
      <c r="B7174" s="6" t="str">
        <f t="shared" si="3703"/>
        <v>Net Case Count - Agency in Top-tier Agents</v>
      </c>
      <c r="C7174" s="4" t="str">
        <f>CHOOSE(2, "5462030031", "Jul 26")</f>
        <v>Jul 26</v>
      </c>
      <c r="D7174" s="14">
        <v>504.5</v>
      </c>
    </row>
    <row r="7175" spans="1:4" x14ac:dyDescent="0.35">
      <c r="A7175" s="8" t="str">
        <f t="shared" si="3672"/>
        <v>Malaysia</v>
      </c>
      <c r="B7175" s="3" t="str">
        <f t="shared" ref="B7175:B7176" si="3704">CHOOSE(2, "1395000000710", "Net Case Count - Agency in pro-rated MDRT agents (&gt;100%)")</f>
        <v>Net Case Count - Agency in pro-rated MDRT agents (&gt;100%)</v>
      </c>
      <c r="C7175" s="4" t="str">
        <f>CHOOSE(2, "5461730030", "Jun 26")</f>
        <v>Jun 26</v>
      </c>
      <c r="D7175" s="14">
        <v>126.8</v>
      </c>
    </row>
    <row r="7176" spans="1:4" x14ac:dyDescent="0.35">
      <c r="A7176" s="8" t="str">
        <f t="shared" si="3672"/>
        <v>Malaysia</v>
      </c>
      <c r="B7176" s="6" t="str">
        <f t="shared" si="3704"/>
        <v>Net Case Count - Agency in pro-rated MDRT agents (&gt;100%)</v>
      </c>
      <c r="C7176" s="4" t="str">
        <f>CHOOSE(2, "5462030031", "Jul 26")</f>
        <v>Jul 26</v>
      </c>
      <c r="D7176" s="14">
        <v>78.400000000000006</v>
      </c>
    </row>
    <row r="7177" spans="1:4" x14ac:dyDescent="0.35">
      <c r="A7177" s="8" t="str">
        <f t="shared" ref="A7177:A7240" si="3705">CHOOSE(2, "204000000008", "Malaysia")</f>
        <v>Malaysia</v>
      </c>
      <c r="B7177" s="3" t="str">
        <f t="shared" ref="B7177:B7178" si="3706">CHOOSE(2, "1395000000709", "Net Case Count - Agency in pro-rated MDRT agents (70-99%)")</f>
        <v>Net Case Count - Agency in pro-rated MDRT agents (70-99%)</v>
      </c>
      <c r="C7177" s="4" t="str">
        <f>CHOOSE(2, "5461730030", "Jun 26")</f>
        <v>Jun 26</v>
      </c>
      <c r="D7177" s="14">
        <v>166.5</v>
      </c>
    </row>
    <row r="7178" spans="1:4" x14ac:dyDescent="0.35">
      <c r="A7178" s="8" t="str">
        <f t="shared" si="3705"/>
        <v>Malaysia</v>
      </c>
      <c r="B7178" s="6" t="str">
        <f t="shared" si="3706"/>
        <v>Net Case Count - Agency in pro-rated MDRT agents (70-99%)</v>
      </c>
      <c r="C7178" s="4" t="str">
        <f>CHOOSE(2, "5462030031", "Jul 26")</f>
        <v>Jul 26</v>
      </c>
      <c r="D7178" s="14">
        <v>225.7</v>
      </c>
    </row>
    <row r="7179" spans="1:4" x14ac:dyDescent="0.35">
      <c r="A7179" s="8" t="str">
        <f t="shared" si="3705"/>
        <v>Malaysia</v>
      </c>
      <c r="B7179" s="3" t="str">
        <f t="shared" ref="B7179:B7180" si="3707">CHOOSE(2, "1395000000708", "Net Case Count - Agency in pro-rated MDRT agents (50-69%)")</f>
        <v>Net Case Count - Agency in pro-rated MDRT agents (50-69%)</v>
      </c>
      <c r="C7179" s="4" t="str">
        <f>CHOOSE(2, "5461730030", "Jun 26")</f>
        <v>Jun 26</v>
      </c>
      <c r="D7179" s="14">
        <v>190.1</v>
      </c>
    </row>
    <row r="7180" spans="1:4" x14ac:dyDescent="0.35">
      <c r="A7180" s="8" t="str">
        <f t="shared" si="3705"/>
        <v>Malaysia</v>
      </c>
      <c r="B7180" s="6" t="str">
        <f t="shared" si="3707"/>
        <v>Net Case Count - Agency in pro-rated MDRT agents (50-69%)</v>
      </c>
      <c r="C7180" s="4" t="str">
        <f>CHOOSE(2, "5462030031", "Jul 26")</f>
        <v>Jul 26</v>
      </c>
      <c r="D7180" s="14">
        <v>200.4</v>
      </c>
    </row>
    <row r="7181" spans="1:4" x14ac:dyDescent="0.35">
      <c r="A7181" s="8" t="str">
        <f t="shared" si="3705"/>
        <v>Malaysia</v>
      </c>
      <c r="B7181" s="3" t="str">
        <f t="shared" ref="B7181:B7182" si="3708">CHOOSE(2, "1395000000707", "Net Case Count - Agency in Manulife Pro Qualifiers - Total")</f>
        <v>Net Case Count - Agency in Manulife Pro Qualifiers - Total</v>
      </c>
      <c r="C7181" s="4" t="str">
        <f>CHOOSE(2, "5461730030", "Jun 26")</f>
        <v>Jun 26</v>
      </c>
      <c r="D7181" s="2" t="s">
        <v>5</v>
      </c>
    </row>
    <row r="7182" spans="1:4" x14ac:dyDescent="0.35">
      <c r="A7182" s="8" t="str">
        <f t="shared" si="3705"/>
        <v>Malaysia</v>
      </c>
      <c r="B7182" s="6" t="str">
        <f t="shared" si="3708"/>
        <v>Net Case Count - Agency in Manulife Pro Qualifiers - Total</v>
      </c>
      <c r="C7182" s="4" t="str">
        <f>CHOOSE(2, "5462030031", "Jul 26")</f>
        <v>Jul 26</v>
      </c>
      <c r="D7182" s="2" t="s">
        <v>5</v>
      </c>
    </row>
    <row r="7183" spans="1:4" x14ac:dyDescent="0.35">
      <c r="A7183" s="8" t="str">
        <f t="shared" si="3705"/>
        <v>Malaysia</v>
      </c>
      <c r="B7183" s="3" t="str">
        <f t="shared" ref="B7183:B7184" si="3709">CHOOSE(2, "1395000000706", "No. of Sales Proposal Generated")</f>
        <v>No. of Sales Proposal Generated</v>
      </c>
      <c r="C7183" s="4" t="str">
        <f>CHOOSE(2, "5461730030", "Jun 26")</f>
        <v>Jun 26</v>
      </c>
      <c r="D7183" s="14">
        <v>3234</v>
      </c>
    </row>
    <row r="7184" spans="1:4" x14ac:dyDescent="0.35">
      <c r="A7184" s="8" t="str">
        <f t="shared" si="3705"/>
        <v>Malaysia</v>
      </c>
      <c r="B7184" s="6" t="str">
        <f t="shared" si="3709"/>
        <v>No. of Sales Proposal Generated</v>
      </c>
      <c r="C7184" s="4" t="str">
        <f>CHOOSE(2, "5462030031", "Jul 26")</f>
        <v>Jul 26</v>
      </c>
      <c r="D7184" s="14">
        <v>3075</v>
      </c>
    </row>
    <row r="7185" spans="1:4" x14ac:dyDescent="0.35">
      <c r="A7185" s="8" t="str">
        <f t="shared" si="3705"/>
        <v>Malaysia</v>
      </c>
      <c r="B7185" s="3" t="str">
        <f t="shared" ref="B7185:B7186" si="3710">CHOOSE(2, "1395000000705", "$ APE from Agents in X tenure")</f>
        <v>$ APE from Agents in X tenure</v>
      </c>
      <c r="C7185" s="4" t="str">
        <f>CHOOSE(2, "5461730030", "Jun 26")</f>
        <v>Jun 26</v>
      </c>
      <c r="D7185" s="14">
        <v>1989012.8510195799</v>
      </c>
    </row>
    <row r="7186" spans="1:4" x14ac:dyDescent="0.35">
      <c r="A7186" s="8" t="str">
        <f t="shared" si="3705"/>
        <v>Malaysia</v>
      </c>
      <c r="B7186" s="6" t="str">
        <f t="shared" si="3710"/>
        <v>$ APE from Agents in X tenure</v>
      </c>
      <c r="C7186" s="4" t="str">
        <f>CHOOSE(2, "5462030031", "Jul 26")</f>
        <v>Jul 26</v>
      </c>
      <c r="D7186" s="14">
        <v>2026112.8594190197</v>
      </c>
    </row>
    <row r="7187" spans="1:4" x14ac:dyDescent="0.35">
      <c r="A7187" s="8" t="str">
        <f t="shared" si="3705"/>
        <v>Malaysia</v>
      </c>
      <c r="B7187" s="3" t="str">
        <f t="shared" ref="B7187:B7188" si="3711">CHOOSE(2, "1395000000704", "$ APE from Agents in X tenure in 0-1M")</f>
        <v>$ APE from Agents in X tenure in 0-1M</v>
      </c>
      <c r="C7187" s="4" t="str">
        <f>CHOOSE(2, "5461730030", "Jun 26")</f>
        <v>Jun 26</v>
      </c>
      <c r="D7187" s="14">
        <v>198901.285101958</v>
      </c>
    </row>
    <row r="7188" spans="1:4" x14ac:dyDescent="0.35">
      <c r="A7188" s="8" t="str">
        <f t="shared" si="3705"/>
        <v>Malaysia</v>
      </c>
      <c r="B7188" s="6" t="str">
        <f t="shared" si="3711"/>
        <v>$ APE from Agents in X tenure in 0-1M</v>
      </c>
      <c r="C7188" s="4" t="str">
        <f>CHOOSE(2, "5462030031", "Jul 26")</f>
        <v>Jul 26</v>
      </c>
      <c r="D7188" s="14">
        <v>202611.28594190197</v>
      </c>
    </row>
    <row r="7189" spans="1:4" x14ac:dyDescent="0.35">
      <c r="A7189" s="8" t="str">
        <f t="shared" si="3705"/>
        <v>Malaysia</v>
      </c>
      <c r="B7189" s="3" t="str">
        <f t="shared" ref="B7189:B7190" si="3712">CHOOSE(2, "1395000000703", "$ APE from Agents in X tenure in 2-3M")</f>
        <v>$ APE from Agents in X tenure in 2-3M</v>
      </c>
      <c r="C7189" s="4" t="str">
        <f>CHOOSE(2, "5461730030", "Jun 26")</f>
        <v>Jun 26</v>
      </c>
      <c r="D7189" s="14">
        <v>397802.570203916</v>
      </c>
    </row>
    <row r="7190" spans="1:4" x14ac:dyDescent="0.35">
      <c r="A7190" s="8" t="str">
        <f t="shared" si="3705"/>
        <v>Malaysia</v>
      </c>
      <c r="B7190" s="6" t="str">
        <f t="shared" si="3712"/>
        <v>$ APE from Agents in X tenure in 2-3M</v>
      </c>
      <c r="C7190" s="4" t="str">
        <f>CHOOSE(2, "5462030031", "Jul 26")</f>
        <v>Jul 26</v>
      </c>
      <c r="D7190" s="14">
        <v>405222.57188380393</v>
      </c>
    </row>
    <row r="7191" spans="1:4" x14ac:dyDescent="0.35">
      <c r="A7191" s="8" t="str">
        <f t="shared" si="3705"/>
        <v>Malaysia</v>
      </c>
      <c r="B7191" s="3" t="str">
        <f t="shared" ref="B7191:B7192" si="3713">CHOOSE(2, "1395000000702", "$ APE from Agents in X tenure in 4-12M")</f>
        <v>$ APE from Agents in X tenure in 4-12M</v>
      </c>
      <c r="C7191" s="4" t="str">
        <f>CHOOSE(2, "5461730030", "Jun 26")</f>
        <v>Jun 26</v>
      </c>
      <c r="D7191" s="14">
        <v>596703.85530587391</v>
      </c>
    </row>
    <row r="7192" spans="1:4" x14ac:dyDescent="0.35">
      <c r="A7192" s="8" t="str">
        <f t="shared" si="3705"/>
        <v>Malaysia</v>
      </c>
      <c r="B7192" s="6" t="str">
        <f t="shared" si="3713"/>
        <v>$ APE from Agents in X tenure in 4-12M</v>
      </c>
      <c r="C7192" s="4" t="str">
        <f>CHOOSE(2, "5462030031", "Jul 26")</f>
        <v>Jul 26</v>
      </c>
      <c r="D7192" s="14">
        <v>607833.8578257059</v>
      </c>
    </row>
    <row r="7193" spans="1:4" x14ac:dyDescent="0.35">
      <c r="A7193" s="8" t="str">
        <f t="shared" si="3705"/>
        <v>Malaysia</v>
      </c>
      <c r="B7193" s="3" t="str">
        <f t="shared" ref="B7193:B7194" si="3714">CHOOSE(2, "1395000000701", "$ APE from Agents in X tenure 13+M")</f>
        <v>$ APE from Agents in X tenure 13+M</v>
      </c>
      <c r="C7193" s="4" t="str">
        <f>CHOOSE(2, "5461730030", "Jun 26")</f>
        <v>Jun 26</v>
      </c>
      <c r="D7193" s="14">
        <v>795605.14040783199</v>
      </c>
    </row>
    <row r="7194" spans="1:4" x14ac:dyDescent="0.35">
      <c r="A7194" s="8" t="str">
        <f t="shared" si="3705"/>
        <v>Malaysia</v>
      </c>
      <c r="B7194" s="6" t="str">
        <f t="shared" si="3714"/>
        <v>$ APE from Agents in X tenure 13+M</v>
      </c>
      <c r="C7194" s="4" t="str">
        <f>CHOOSE(2, "5462030031", "Jul 26")</f>
        <v>Jul 26</v>
      </c>
      <c r="D7194" s="14">
        <v>810445.14376760786</v>
      </c>
    </row>
    <row r="7195" spans="1:4" x14ac:dyDescent="0.35">
      <c r="A7195" s="8" t="str">
        <f t="shared" si="3705"/>
        <v>Malaysia</v>
      </c>
      <c r="B7195" s="3" t="str">
        <f t="shared" ref="B7195:B7196" si="3715">CHOOSE(2, "1395000000700", "Total agent headcount (end of period)")</f>
        <v>Total agent headcount (end of period)</v>
      </c>
      <c r="C7195" s="4" t="str">
        <f>CHOOSE(2, "5461730030", "Jun 26")</f>
        <v>Jun 26</v>
      </c>
      <c r="D7195" s="14">
        <v>2193</v>
      </c>
    </row>
    <row r="7196" spans="1:4" x14ac:dyDescent="0.35">
      <c r="A7196" s="8" t="str">
        <f t="shared" si="3705"/>
        <v>Malaysia</v>
      </c>
      <c r="B7196" s="6" t="str">
        <f t="shared" si="3715"/>
        <v>Total agent headcount (end of period)</v>
      </c>
      <c r="C7196" s="4" t="str">
        <f>CHOOSE(2, "5462030031", "Jul 26")</f>
        <v>Jul 26</v>
      </c>
      <c r="D7196" s="14">
        <v>2219</v>
      </c>
    </row>
    <row r="7197" spans="1:4" x14ac:dyDescent="0.35">
      <c r="A7197" s="8" t="str">
        <f t="shared" si="3705"/>
        <v>Malaysia</v>
      </c>
      <c r="B7197" s="3" t="str">
        <f t="shared" ref="B7197:B7198" si="3716">CHOOSE(2, "1395000000699", "Total agent headcount (end of period) in 0-1M")</f>
        <v>Total agent headcount (end of period) in 0-1M</v>
      </c>
      <c r="C7197" s="4" t="str">
        <f>CHOOSE(2, "5461730030", "Jun 26")</f>
        <v>Jun 26</v>
      </c>
      <c r="D7197" s="14">
        <v>58</v>
      </c>
    </row>
    <row r="7198" spans="1:4" x14ac:dyDescent="0.35">
      <c r="A7198" s="8" t="str">
        <f t="shared" si="3705"/>
        <v>Malaysia</v>
      </c>
      <c r="B7198" s="6" t="str">
        <f t="shared" si="3716"/>
        <v>Total agent headcount (end of period) in 0-1M</v>
      </c>
      <c r="C7198" s="4" t="str">
        <f>CHOOSE(2, "5462030031", "Jul 26")</f>
        <v>Jul 26</v>
      </c>
      <c r="D7198" s="14">
        <v>46</v>
      </c>
    </row>
    <row r="7199" spans="1:4" x14ac:dyDescent="0.35">
      <c r="A7199" s="8" t="str">
        <f t="shared" si="3705"/>
        <v>Malaysia</v>
      </c>
      <c r="B7199" s="3" t="str">
        <f t="shared" ref="B7199:B7200" si="3717">CHOOSE(2, "1395000000698", "Total agent headcount (end of period) in 2-3M")</f>
        <v>Total agent headcount (end of period) in 2-3M</v>
      </c>
      <c r="C7199" s="4" t="str">
        <f>CHOOSE(2, "5461730030", "Jun 26")</f>
        <v>Jun 26</v>
      </c>
      <c r="D7199" s="14">
        <v>129</v>
      </c>
    </row>
    <row r="7200" spans="1:4" x14ac:dyDescent="0.35">
      <c r="A7200" s="8" t="str">
        <f t="shared" si="3705"/>
        <v>Malaysia</v>
      </c>
      <c r="B7200" s="6" t="str">
        <f t="shared" si="3717"/>
        <v>Total agent headcount (end of period) in 2-3M</v>
      </c>
      <c r="C7200" s="4" t="str">
        <f>CHOOSE(2, "5462030031", "Jul 26")</f>
        <v>Jul 26</v>
      </c>
      <c r="D7200" s="14">
        <v>126</v>
      </c>
    </row>
    <row r="7201" spans="1:4" x14ac:dyDescent="0.35">
      <c r="A7201" s="8" t="str">
        <f t="shared" si="3705"/>
        <v>Malaysia</v>
      </c>
      <c r="B7201" s="3" t="str">
        <f t="shared" ref="B7201:B7202" si="3718">CHOOSE(2, "1395000000697", "Total agent headcount (end of period) in 4-12M")</f>
        <v>Total agent headcount (end of period) in 4-12M</v>
      </c>
      <c r="C7201" s="4" t="str">
        <f>CHOOSE(2, "5461730030", "Jun 26")</f>
        <v>Jun 26</v>
      </c>
      <c r="D7201" s="14">
        <v>438</v>
      </c>
    </row>
    <row r="7202" spans="1:4" x14ac:dyDescent="0.35">
      <c r="A7202" s="8" t="str">
        <f t="shared" si="3705"/>
        <v>Malaysia</v>
      </c>
      <c r="B7202" s="6" t="str">
        <f t="shared" si="3718"/>
        <v>Total agent headcount (end of period) in 4-12M</v>
      </c>
      <c r="C7202" s="4" t="str">
        <f>CHOOSE(2, "5462030031", "Jul 26")</f>
        <v>Jul 26</v>
      </c>
      <c r="D7202" s="14">
        <v>435</v>
      </c>
    </row>
    <row r="7203" spans="1:4" x14ac:dyDescent="0.35">
      <c r="A7203" s="8" t="str">
        <f t="shared" si="3705"/>
        <v>Malaysia</v>
      </c>
      <c r="B7203" s="3" t="str">
        <f t="shared" ref="B7203:B7204" si="3719">CHOOSE(2, "1395000000696", "Total agent headcount (end of period) 13+M")</f>
        <v>Total agent headcount (end of period) 13+M</v>
      </c>
      <c r="C7203" s="4" t="str">
        <f>CHOOSE(2, "5461730030", "Jun 26")</f>
        <v>Jun 26</v>
      </c>
      <c r="D7203" s="14">
        <v>1568</v>
      </c>
    </row>
    <row r="7204" spans="1:4" x14ac:dyDescent="0.35">
      <c r="A7204" s="8" t="str">
        <f t="shared" si="3705"/>
        <v>Malaysia</v>
      </c>
      <c r="B7204" s="6" t="str">
        <f t="shared" si="3719"/>
        <v>Total agent headcount (end of period) 13+M</v>
      </c>
      <c r="C7204" s="4" t="str">
        <f>CHOOSE(2, "5462030031", "Jul 26")</f>
        <v>Jul 26</v>
      </c>
      <c r="D7204" s="14">
        <v>1612</v>
      </c>
    </row>
    <row r="7205" spans="1:4" x14ac:dyDescent="0.35">
      <c r="A7205" s="8" t="str">
        <f t="shared" si="3705"/>
        <v>Malaysia</v>
      </c>
      <c r="B7205" s="3" t="str">
        <f t="shared" ref="B7205:B7206" si="3720">CHOOSE(2, "1395000000695", "Total agent headcount (end of period) in FA or equivalent")</f>
        <v>Total agent headcount (end of period) in FA or equivalent</v>
      </c>
      <c r="C7205" s="4" t="str">
        <f>CHOOSE(2, "5461730030", "Jun 26")</f>
        <v>Jun 26</v>
      </c>
      <c r="D7205" s="14">
        <v>1815</v>
      </c>
    </row>
    <row r="7206" spans="1:4" x14ac:dyDescent="0.35">
      <c r="A7206" s="8" t="str">
        <f t="shared" si="3705"/>
        <v>Malaysia</v>
      </c>
      <c r="B7206" s="6" t="str">
        <f t="shared" si="3720"/>
        <v>Total agent headcount (end of period) in FA or equivalent</v>
      </c>
      <c r="C7206" s="4" t="str">
        <f>CHOOSE(2, "5462030031", "Jul 26")</f>
        <v>Jul 26</v>
      </c>
      <c r="D7206" s="14">
        <v>1846</v>
      </c>
    </row>
    <row r="7207" spans="1:4" x14ac:dyDescent="0.35">
      <c r="A7207" s="8" t="str">
        <f t="shared" si="3705"/>
        <v>Malaysia</v>
      </c>
      <c r="B7207" s="3" t="str">
        <f t="shared" ref="B7207:B7208" si="3721">CHOOSE(2, "1395000000694", "Total agent headcount (end of period) in UM")</f>
        <v>Total agent headcount (end of period) in UM</v>
      </c>
      <c r="C7207" s="4" t="str">
        <f>CHOOSE(2, "5461730030", "Jun 26")</f>
        <v>Jun 26</v>
      </c>
      <c r="D7207" s="14">
        <v>315</v>
      </c>
    </row>
    <row r="7208" spans="1:4" x14ac:dyDescent="0.35">
      <c r="A7208" s="8" t="str">
        <f t="shared" si="3705"/>
        <v>Malaysia</v>
      </c>
      <c r="B7208" s="6" t="str">
        <f t="shared" si="3721"/>
        <v>Total agent headcount (end of period) in UM</v>
      </c>
      <c r="C7208" s="4" t="str">
        <f>CHOOSE(2, "5462030031", "Jul 26")</f>
        <v>Jul 26</v>
      </c>
      <c r="D7208" s="14">
        <v>311</v>
      </c>
    </row>
    <row r="7209" spans="1:4" x14ac:dyDescent="0.35">
      <c r="A7209" s="8" t="str">
        <f t="shared" si="3705"/>
        <v>Malaysia</v>
      </c>
      <c r="B7209" s="3" t="str">
        <f t="shared" ref="B7209:B7210" si="3722">CHOOSE(2, "1395000000693", "Total agent headcount (end of period) in Leaders above UM")</f>
        <v>Total agent headcount (end of period) in Leaders above UM</v>
      </c>
      <c r="C7209" s="4" t="str">
        <f>CHOOSE(2, "5461730030", "Jun 26")</f>
        <v>Jun 26</v>
      </c>
      <c r="D7209" s="14">
        <v>63</v>
      </c>
    </row>
    <row r="7210" spans="1:4" x14ac:dyDescent="0.35">
      <c r="A7210" s="8" t="str">
        <f t="shared" si="3705"/>
        <v>Malaysia</v>
      </c>
      <c r="B7210" s="6" t="str">
        <f t="shared" si="3722"/>
        <v>Total agent headcount (end of period) in Leaders above UM</v>
      </c>
      <c r="C7210" s="4" t="str">
        <f>CHOOSE(2, "5462030031", "Jul 26")</f>
        <v>Jul 26</v>
      </c>
      <c r="D7210" s="14">
        <v>62</v>
      </c>
    </row>
    <row r="7211" spans="1:4" x14ac:dyDescent="0.35">
      <c r="A7211" s="8" t="str">
        <f t="shared" si="3705"/>
        <v>Malaysia</v>
      </c>
      <c r="B7211" s="3" t="str">
        <f t="shared" ref="B7211:B7212" si="3723">CHOOSE(2, "1395000000692", "Total agent headcount (end of period) in Top-tier agents")</f>
        <v>Total agent headcount (end of period) in Top-tier agents</v>
      </c>
      <c r="C7211" s="4" t="str">
        <f>CHOOSE(2, "5461730030", "Jun 26")</f>
        <v>Jun 26</v>
      </c>
      <c r="D7211" s="14">
        <v>108</v>
      </c>
    </row>
    <row r="7212" spans="1:4" x14ac:dyDescent="0.35">
      <c r="A7212" s="8" t="str">
        <f t="shared" si="3705"/>
        <v>Malaysia</v>
      </c>
      <c r="B7212" s="6" t="str">
        <f t="shared" si="3723"/>
        <v>Total agent headcount (end of period) in Top-tier agents</v>
      </c>
      <c r="C7212" s="4" t="str">
        <f>CHOOSE(2, "5462030031", "Jul 26")</f>
        <v>Jul 26</v>
      </c>
      <c r="D7212" s="14">
        <v>108</v>
      </c>
    </row>
    <row r="7213" spans="1:4" x14ac:dyDescent="0.35">
      <c r="A7213" s="8" t="str">
        <f t="shared" si="3705"/>
        <v>Malaysia</v>
      </c>
      <c r="B7213" s="3" t="str">
        <f t="shared" ref="B7213:B7214" si="3724">CHOOSE(2, "1395000000691", "Total agent headcount  in pro-rated MDRT agents (&gt;100%)")</f>
        <v>Total agent headcount  in pro-rated MDRT agents (&gt;100%)</v>
      </c>
      <c r="C7213" s="4" t="str">
        <f>CHOOSE(2, "5461730030", "Jun 26")</f>
        <v>Jun 26</v>
      </c>
      <c r="D7213" s="14">
        <v>21</v>
      </c>
    </row>
    <row r="7214" spans="1:4" x14ac:dyDescent="0.35">
      <c r="A7214" s="8" t="str">
        <f t="shared" si="3705"/>
        <v>Malaysia</v>
      </c>
      <c r="B7214" s="6" t="str">
        <f t="shared" si="3724"/>
        <v>Total agent headcount  in pro-rated MDRT agents (&gt;100%)</v>
      </c>
      <c r="C7214" s="4" t="str">
        <f>CHOOSE(2, "5462030031", "Jul 26")</f>
        <v>Jul 26</v>
      </c>
      <c r="D7214" s="14">
        <v>22</v>
      </c>
    </row>
    <row r="7215" spans="1:4" x14ac:dyDescent="0.35">
      <c r="A7215" s="8" t="str">
        <f t="shared" si="3705"/>
        <v>Malaysia</v>
      </c>
      <c r="B7215" s="3" t="str">
        <f t="shared" ref="B7215:B7216" si="3725">CHOOSE(2, "1395000000690", "Total agent headcount  in pro-rated MDRT agents (70-99%)")</f>
        <v>Total agent headcount  in pro-rated MDRT agents (70-99%)</v>
      </c>
      <c r="C7215" s="4" t="str">
        <f>CHOOSE(2, "5461730030", "Jun 26")</f>
        <v>Jun 26</v>
      </c>
      <c r="D7215" s="14">
        <v>32</v>
      </c>
    </row>
    <row r="7216" spans="1:4" x14ac:dyDescent="0.35">
      <c r="A7216" s="8" t="str">
        <f t="shared" si="3705"/>
        <v>Malaysia</v>
      </c>
      <c r="B7216" s="6" t="str">
        <f t="shared" si="3725"/>
        <v>Total agent headcount  in pro-rated MDRT agents (70-99%)</v>
      </c>
      <c r="C7216" s="4" t="str">
        <f>CHOOSE(2, "5462030031", "Jul 26")</f>
        <v>Jul 26</v>
      </c>
      <c r="D7216" s="14">
        <v>35</v>
      </c>
    </row>
    <row r="7217" spans="1:4" x14ac:dyDescent="0.35">
      <c r="A7217" s="8" t="str">
        <f t="shared" si="3705"/>
        <v>Malaysia</v>
      </c>
      <c r="B7217" s="3" t="str">
        <f t="shared" ref="B7217:B7218" si="3726">CHOOSE(2, "1395000000689", "Total agent headcount  in pro-rated MDRT agents (50-69%)")</f>
        <v>Total agent headcount  in pro-rated MDRT agents (50-69%)</v>
      </c>
      <c r="C7217" s="4" t="str">
        <f>CHOOSE(2, "5461730030", "Jun 26")</f>
        <v>Jun 26</v>
      </c>
      <c r="D7217" s="14">
        <v>55</v>
      </c>
    </row>
    <row r="7218" spans="1:4" x14ac:dyDescent="0.35">
      <c r="A7218" s="8" t="str">
        <f t="shared" si="3705"/>
        <v>Malaysia</v>
      </c>
      <c r="B7218" s="6" t="str">
        <f t="shared" si="3726"/>
        <v>Total agent headcount  in pro-rated MDRT agents (50-69%)</v>
      </c>
      <c r="C7218" s="4" t="str">
        <f>CHOOSE(2, "5462030031", "Jul 26")</f>
        <v>Jul 26</v>
      </c>
      <c r="D7218" s="14">
        <v>51</v>
      </c>
    </row>
    <row r="7219" spans="1:4" x14ac:dyDescent="0.35">
      <c r="A7219" s="8" t="str">
        <f t="shared" si="3705"/>
        <v>Malaysia</v>
      </c>
      <c r="B7219" s="3" t="str">
        <f t="shared" ref="B7219:B7220" si="3727">CHOOSE(2, "1395000000688", "Total agent headcount  in Manulife Pro Qualifiers - Total")</f>
        <v>Total agent headcount  in Manulife Pro Qualifiers - Total</v>
      </c>
      <c r="C7219" s="4" t="str">
        <f>CHOOSE(2, "5461730030", "Jun 26")</f>
        <v>Jun 26</v>
      </c>
      <c r="D7219" s="2" t="s">
        <v>5</v>
      </c>
    </row>
    <row r="7220" spans="1:4" x14ac:dyDescent="0.35">
      <c r="A7220" s="8" t="str">
        <f t="shared" si="3705"/>
        <v>Malaysia</v>
      </c>
      <c r="B7220" s="6" t="str">
        <f t="shared" si="3727"/>
        <v>Total agent headcount  in Manulife Pro Qualifiers - Total</v>
      </c>
      <c r="C7220" s="4" t="str">
        <f>CHOOSE(2, "5462030031", "Jul 26")</f>
        <v>Jul 26</v>
      </c>
      <c r="D7220" s="2" t="s">
        <v>5</v>
      </c>
    </row>
    <row r="7221" spans="1:4" x14ac:dyDescent="0.35">
      <c r="A7221" s="8" t="str">
        <f t="shared" si="3705"/>
        <v>Malaysia</v>
      </c>
      <c r="B7221" s="3" t="str">
        <f t="shared" ref="B7221:B7222" si="3728">CHOOSE(2, "1395000000687", "New recruits")</f>
        <v>New recruits</v>
      </c>
      <c r="C7221" s="4" t="str">
        <f>CHOOSE(2, "5461730030", "Jun 26")</f>
        <v>Jun 26</v>
      </c>
      <c r="D7221" s="14">
        <v>58</v>
      </c>
    </row>
    <row r="7222" spans="1:4" x14ac:dyDescent="0.35">
      <c r="A7222" s="8" t="str">
        <f t="shared" si="3705"/>
        <v>Malaysia</v>
      </c>
      <c r="B7222" s="6" t="str">
        <f t="shared" si="3728"/>
        <v>New recruits</v>
      </c>
      <c r="C7222" s="4" t="str">
        <f>CHOOSE(2, "5462030031", "Jul 26")</f>
        <v>Jul 26</v>
      </c>
      <c r="D7222" s="14">
        <v>46</v>
      </c>
    </row>
    <row r="7223" spans="1:4" x14ac:dyDescent="0.35">
      <c r="A7223" s="8" t="str">
        <f t="shared" si="3705"/>
        <v>Malaysia</v>
      </c>
      <c r="B7223" s="3" t="str">
        <f t="shared" ref="B7223:B7224" si="3729">CHOOSE(2, "1395000000686", "New recruits - Leader level")</f>
        <v>New recruits - Leader level</v>
      </c>
      <c r="C7223" s="4" t="str">
        <f>CHOOSE(2, "5461730030", "Jun 26")</f>
        <v>Jun 26</v>
      </c>
      <c r="D7223" s="2" t="s">
        <v>5</v>
      </c>
    </row>
    <row r="7224" spans="1:4" x14ac:dyDescent="0.35">
      <c r="A7224" s="8" t="str">
        <f t="shared" si="3705"/>
        <v>Malaysia</v>
      </c>
      <c r="B7224" s="6" t="str">
        <f t="shared" si="3729"/>
        <v>New recruits - Leader level</v>
      </c>
      <c r="C7224" s="4" t="str">
        <f>CHOOSE(2, "5462030031", "Jul 26")</f>
        <v>Jul 26</v>
      </c>
      <c r="D7224" s="2" t="s">
        <v>5</v>
      </c>
    </row>
    <row r="7225" spans="1:4" x14ac:dyDescent="0.35">
      <c r="A7225" s="8" t="str">
        <f t="shared" si="3705"/>
        <v>Malaysia</v>
      </c>
      <c r="B7225" s="3" t="str">
        <f t="shared" ref="B7225:B7226" si="3730">CHOOSE(2, "1395000000685", "New recruits - FA or equivalent")</f>
        <v>New recruits - FA or equivalent</v>
      </c>
      <c r="C7225" s="4" t="str">
        <f>CHOOSE(2, "5461730030", "Jun 26")</f>
        <v>Jun 26</v>
      </c>
      <c r="D7225" s="14">
        <v>57</v>
      </c>
    </row>
    <row r="7226" spans="1:4" x14ac:dyDescent="0.35">
      <c r="A7226" s="8" t="str">
        <f t="shared" si="3705"/>
        <v>Malaysia</v>
      </c>
      <c r="B7226" s="6" t="str">
        <f t="shared" si="3730"/>
        <v>New recruits - FA or equivalent</v>
      </c>
      <c r="C7226" s="4" t="str">
        <f>CHOOSE(2, "5462030031", "Jul 26")</f>
        <v>Jul 26</v>
      </c>
      <c r="D7226" s="14">
        <v>44</v>
      </c>
    </row>
    <row r="7227" spans="1:4" x14ac:dyDescent="0.35">
      <c r="A7227" s="8" t="str">
        <f t="shared" si="3705"/>
        <v>Malaysia</v>
      </c>
      <c r="B7227" s="3" t="str">
        <f t="shared" ref="B7227:B7228" si="3731">CHOOSE(2, "1395000000684", "New recruits in UM")</f>
        <v>New recruits in UM</v>
      </c>
      <c r="C7227" s="4" t="str">
        <f>CHOOSE(2, "5461730030", "Jun 26")</f>
        <v>Jun 26</v>
      </c>
      <c r="D7227" s="14">
        <v>0</v>
      </c>
    </row>
    <row r="7228" spans="1:4" x14ac:dyDescent="0.35">
      <c r="A7228" s="8" t="str">
        <f t="shared" si="3705"/>
        <v>Malaysia</v>
      </c>
      <c r="B7228" s="6" t="str">
        <f t="shared" si="3731"/>
        <v>New recruits in UM</v>
      </c>
      <c r="C7228" s="4" t="str">
        <f>CHOOSE(2, "5462030031", "Jul 26")</f>
        <v>Jul 26</v>
      </c>
      <c r="D7228" s="14">
        <v>1</v>
      </c>
    </row>
    <row r="7229" spans="1:4" x14ac:dyDescent="0.35">
      <c r="A7229" s="8" t="str">
        <f t="shared" si="3705"/>
        <v>Malaysia</v>
      </c>
      <c r="B7229" s="3" t="str">
        <f t="shared" ref="B7229:B7230" si="3732">CHOOSE(2, "1395000000683", "New recruits in Leaders above UM")</f>
        <v>New recruits in Leaders above UM</v>
      </c>
      <c r="C7229" s="4" t="str">
        <f>CHOOSE(2, "5461730030", "Jun 26")</f>
        <v>Jun 26</v>
      </c>
      <c r="D7229" s="14">
        <v>1</v>
      </c>
    </row>
    <row r="7230" spans="1:4" x14ac:dyDescent="0.35">
      <c r="A7230" s="8" t="str">
        <f t="shared" si="3705"/>
        <v>Malaysia</v>
      </c>
      <c r="B7230" s="6" t="str">
        <f t="shared" si="3732"/>
        <v>New recruits in Leaders above UM</v>
      </c>
      <c r="C7230" s="4" t="str">
        <f>CHOOSE(2, "5462030031", "Jul 26")</f>
        <v>Jul 26</v>
      </c>
      <c r="D7230" s="14">
        <v>1</v>
      </c>
    </row>
    <row r="7231" spans="1:4" x14ac:dyDescent="0.35">
      <c r="A7231" s="8" t="str">
        <f t="shared" si="3705"/>
        <v>Malaysia</v>
      </c>
      <c r="B7231" s="3" t="str">
        <f t="shared" ref="B7231:B7232" si="3733">CHOOSE(2, "1395000000682", "# of 6-90 agents")</f>
        <v># of 6-90 agents</v>
      </c>
      <c r="C7231" s="4" t="str">
        <f>CHOOSE(2, "5461730030", "Jun 26")</f>
        <v>Jun 26</v>
      </c>
      <c r="D7231" s="14">
        <v>14</v>
      </c>
    </row>
    <row r="7232" spans="1:4" x14ac:dyDescent="0.35">
      <c r="A7232" s="8" t="str">
        <f t="shared" si="3705"/>
        <v>Malaysia</v>
      </c>
      <c r="B7232" s="6" t="str">
        <f t="shared" si="3733"/>
        <v># of 6-90 agents</v>
      </c>
      <c r="C7232" s="4" t="str">
        <f>CHOOSE(2, "5462030031", "Jul 26")</f>
        <v>Jul 26</v>
      </c>
      <c r="D7232" s="14">
        <v>12</v>
      </c>
    </row>
    <row r="7233" spans="1:4" x14ac:dyDescent="0.35">
      <c r="A7233" s="8" t="str">
        <f t="shared" si="3705"/>
        <v>Malaysia</v>
      </c>
      <c r="B7233" s="3" t="str">
        <f t="shared" ref="B7233:B7234" si="3734">CHOOSE(2, "1395000000681", "New Recruits 3M Activation #")</f>
        <v>New Recruits 3M Activation #</v>
      </c>
      <c r="C7233" s="4" t="str">
        <f>CHOOSE(2, "5461730030", "Jun 26")</f>
        <v>Jun 26</v>
      </c>
      <c r="D7233" s="14">
        <v>20</v>
      </c>
    </row>
    <row r="7234" spans="1:4" x14ac:dyDescent="0.35">
      <c r="A7234" s="8" t="str">
        <f t="shared" si="3705"/>
        <v>Malaysia</v>
      </c>
      <c r="B7234" s="6" t="str">
        <f t="shared" si="3734"/>
        <v>New Recruits 3M Activation #</v>
      </c>
      <c r="C7234" s="4" t="str">
        <f>CHOOSE(2, "5462030031", "Jul 26")</f>
        <v>Jul 26</v>
      </c>
      <c r="D7234" s="14">
        <v>25</v>
      </c>
    </row>
    <row r="7235" spans="1:4" x14ac:dyDescent="0.35">
      <c r="A7235" s="8" t="str">
        <f t="shared" si="3705"/>
        <v>Malaysia</v>
      </c>
      <c r="B7235" s="3" t="str">
        <f t="shared" ref="B7235:B7236" si="3735">CHOOSE(2, "1395000000680", "No of Terminations")</f>
        <v>No of Terminations</v>
      </c>
      <c r="C7235" s="4" t="str">
        <f>CHOOSE(2, "5461730030", "Jun 26")</f>
        <v>Jun 26</v>
      </c>
      <c r="D7235" s="14">
        <v>28</v>
      </c>
    </row>
    <row r="7236" spans="1:4" x14ac:dyDescent="0.35">
      <c r="A7236" s="8" t="str">
        <f t="shared" si="3705"/>
        <v>Malaysia</v>
      </c>
      <c r="B7236" s="6" t="str">
        <f t="shared" si="3735"/>
        <v>No of Terminations</v>
      </c>
      <c r="C7236" s="4" t="str">
        <f>CHOOSE(2, "5462030031", "Jul 26")</f>
        <v>Jul 26</v>
      </c>
      <c r="D7236" s="14">
        <v>21</v>
      </c>
    </row>
    <row r="7237" spans="1:4" x14ac:dyDescent="0.35">
      <c r="A7237" s="8" t="str">
        <f t="shared" si="3705"/>
        <v>Malaysia</v>
      </c>
      <c r="B7237" s="3" t="str">
        <f t="shared" ref="B7237:B7238" si="3736">CHOOSE(2, "1395000000679", "No of Terminations in FA or equivalent")</f>
        <v>No of Terminations in FA or equivalent</v>
      </c>
      <c r="C7237" s="4" t="str">
        <f>CHOOSE(2, "5461730030", "Jun 26")</f>
        <v>Jun 26</v>
      </c>
      <c r="D7237" s="14">
        <v>28</v>
      </c>
    </row>
    <row r="7238" spans="1:4" x14ac:dyDescent="0.35">
      <c r="A7238" s="8" t="str">
        <f t="shared" si="3705"/>
        <v>Malaysia</v>
      </c>
      <c r="B7238" s="6" t="str">
        <f t="shared" si="3736"/>
        <v>No of Terminations in FA or equivalent</v>
      </c>
      <c r="C7238" s="4" t="str">
        <f>CHOOSE(2, "5462030031", "Jul 26")</f>
        <v>Jul 26</v>
      </c>
      <c r="D7238" s="14">
        <v>17</v>
      </c>
    </row>
    <row r="7239" spans="1:4" x14ac:dyDescent="0.35">
      <c r="A7239" s="8" t="str">
        <f t="shared" si="3705"/>
        <v>Malaysia</v>
      </c>
      <c r="B7239" s="3" t="str">
        <f t="shared" ref="B7239:B7240" si="3737">CHOOSE(2, "1395000000678", "No of Terminations in UM")</f>
        <v>No of Terminations in UM</v>
      </c>
      <c r="C7239" s="4" t="str">
        <f>CHOOSE(2, "5461730030", "Jun 26")</f>
        <v>Jun 26</v>
      </c>
      <c r="D7239" s="14">
        <v>0</v>
      </c>
    </row>
    <row r="7240" spans="1:4" x14ac:dyDescent="0.35">
      <c r="A7240" s="8" t="str">
        <f t="shared" si="3705"/>
        <v>Malaysia</v>
      </c>
      <c r="B7240" s="6" t="str">
        <f t="shared" si="3737"/>
        <v>No of Terminations in UM</v>
      </c>
      <c r="C7240" s="4" t="str">
        <f>CHOOSE(2, "5462030031", "Jul 26")</f>
        <v>Jul 26</v>
      </c>
      <c r="D7240" s="14">
        <v>1</v>
      </c>
    </row>
    <row r="7241" spans="1:4" x14ac:dyDescent="0.35">
      <c r="A7241" s="8" t="str">
        <f t="shared" ref="A7241:A7304" si="3738">CHOOSE(2, "204000000008", "Malaysia")</f>
        <v>Malaysia</v>
      </c>
      <c r="B7241" s="3" t="str">
        <f t="shared" ref="B7241:B7242" si="3739">CHOOSE(2, "1395000000677", "No of Terminations in Leaders above UM")</f>
        <v>No of Terminations in Leaders above UM</v>
      </c>
      <c r="C7241" s="4" t="str">
        <f>CHOOSE(2, "5461730030", "Jun 26")</f>
        <v>Jun 26</v>
      </c>
      <c r="D7241" s="14">
        <v>0</v>
      </c>
    </row>
    <row r="7242" spans="1:4" x14ac:dyDescent="0.35">
      <c r="A7242" s="8" t="str">
        <f t="shared" si="3738"/>
        <v>Malaysia</v>
      </c>
      <c r="B7242" s="6" t="str">
        <f t="shared" si="3739"/>
        <v>No of Terminations in Leaders above UM</v>
      </c>
      <c r="C7242" s="4" t="str">
        <f>CHOOSE(2, "5462030031", "Jul 26")</f>
        <v>Jul 26</v>
      </c>
      <c r="D7242" s="14">
        <v>3</v>
      </c>
    </row>
    <row r="7243" spans="1:4" x14ac:dyDescent="0.35">
      <c r="A7243" s="8" t="str">
        <f t="shared" si="3738"/>
        <v>Malaysia</v>
      </c>
      <c r="B7243" s="3" t="str">
        <f t="shared" ref="B7243:B7244" si="3740">CHOOSE(2, "1395000000676", "No of Terminations in Top-tier Agents")</f>
        <v>No of Terminations in Top-tier Agents</v>
      </c>
      <c r="C7243" s="4" t="str">
        <f>CHOOSE(2, "5461730030", "Jun 26")</f>
        <v>Jun 26</v>
      </c>
      <c r="D7243" s="14">
        <v>0</v>
      </c>
    </row>
    <row r="7244" spans="1:4" x14ac:dyDescent="0.35">
      <c r="A7244" s="8" t="str">
        <f t="shared" si="3738"/>
        <v>Malaysia</v>
      </c>
      <c r="B7244" s="6" t="str">
        <f t="shared" si="3740"/>
        <v>No of Terminations in Top-tier Agents</v>
      </c>
      <c r="C7244" s="4" t="str">
        <f>CHOOSE(2, "5462030031", "Jul 26")</f>
        <v>Jul 26</v>
      </c>
      <c r="D7244" s="14">
        <v>0</v>
      </c>
    </row>
    <row r="7245" spans="1:4" x14ac:dyDescent="0.35">
      <c r="A7245" s="8" t="str">
        <f t="shared" si="3738"/>
        <v>Malaysia</v>
      </c>
      <c r="B7245" s="3" t="str">
        <f t="shared" ref="B7245:B7246" si="3741">CHOOSE(2, "1395000000675", "No of Terminations in pro-rated MDRT agents (&gt;100%)")</f>
        <v>No of Terminations in pro-rated MDRT agents (&gt;100%)</v>
      </c>
      <c r="C7245" s="4" t="str">
        <f>CHOOSE(2, "5461730030", "Jun 26")</f>
        <v>Jun 26</v>
      </c>
      <c r="D7245" s="14">
        <v>0</v>
      </c>
    </row>
    <row r="7246" spans="1:4" x14ac:dyDescent="0.35">
      <c r="A7246" s="8" t="str">
        <f t="shared" si="3738"/>
        <v>Malaysia</v>
      </c>
      <c r="B7246" s="6" t="str">
        <f t="shared" si="3741"/>
        <v>No of Terminations in pro-rated MDRT agents (&gt;100%)</v>
      </c>
      <c r="C7246" s="4" t="str">
        <f>CHOOSE(2, "5462030031", "Jul 26")</f>
        <v>Jul 26</v>
      </c>
      <c r="D7246" s="14">
        <v>0</v>
      </c>
    </row>
    <row r="7247" spans="1:4" x14ac:dyDescent="0.35">
      <c r="A7247" s="8" t="str">
        <f t="shared" si="3738"/>
        <v>Malaysia</v>
      </c>
      <c r="B7247" s="3" t="str">
        <f t="shared" ref="B7247:B7248" si="3742">CHOOSE(2, "1395000000674", "No of Terminations in pro-rated MDRT agents (70-99%)")</f>
        <v>No of Terminations in pro-rated MDRT agents (70-99%)</v>
      </c>
      <c r="C7247" s="4" t="str">
        <f>CHOOSE(2, "5461730030", "Jun 26")</f>
        <v>Jun 26</v>
      </c>
      <c r="D7247" s="14">
        <v>0</v>
      </c>
    </row>
    <row r="7248" spans="1:4" x14ac:dyDescent="0.35">
      <c r="A7248" s="8" t="str">
        <f t="shared" si="3738"/>
        <v>Malaysia</v>
      </c>
      <c r="B7248" s="6" t="str">
        <f t="shared" si="3742"/>
        <v>No of Terminations in pro-rated MDRT agents (70-99%)</v>
      </c>
      <c r="C7248" s="4" t="str">
        <f>CHOOSE(2, "5462030031", "Jul 26")</f>
        <v>Jul 26</v>
      </c>
      <c r="D7248" s="14">
        <v>0</v>
      </c>
    </row>
    <row r="7249" spans="1:4" x14ac:dyDescent="0.35">
      <c r="A7249" s="8" t="str">
        <f t="shared" si="3738"/>
        <v>Malaysia</v>
      </c>
      <c r="B7249" s="3" t="str">
        <f t="shared" ref="B7249:B7250" si="3743">CHOOSE(2, "1395000000673", "No of Terminations in pro-rated MDRT agents (50-69%)")</f>
        <v>No of Terminations in pro-rated MDRT agents (50-69%)</v>
      </c>
      <c r="C7249" s="4" t="str">
        <f>CHOOSE(2, "5461730030", "Jun 26")</f>
        <v>Jun 26</v>
      </c>
      <c r="D7249" s="14">
        <v>0</v>
      </c>
    </row>
    <row r="7250" spans="1:4" x14ac:dyDescent="0.35">
      <c r="A7250" s="8" t="str">
        <f t="shared" si="3738"/>
        <v>Malaysia</v>
      </c>
      <c r="B7250" s="6" t="str">
        <f t="shared" si="3743"/>
        <v>No of Terminations in pro-rated MDRT agents (50-69%)</v>
      </c>
      <c r="C7250" s="4" t="str">
        <f>CHOOSE(2, "5462030031", "Jul 26")</f>
        <v>Jul 26</v>
      </c>
      <c r="D7250" s="14">
        <v>0</v>
      </c>
    </row>
    <row r="7251" spans="1:4" x14ac:dyDescent="0.35">
      <c r="A7251" s="8" t="str">
        <f t="shared" si="3738"/>
        <v>Malaysia</v>
      </c>
      <c r="B7251" s="3" t="str">
        <f t="shared" ref="B7251:B7252" si="3744">CHOOSE(2, "1395000000672", "No of Terminations in Manulife Pro Qualifiers - Total")</f>
        <v>No of Terminations in Manulife Pro Qualifiers - Total</v>
      </c>
      <c r="C7251" s="4" t="str">
        <f>CHOOSE(2, "5461730030", "Jun 26")</f>
        <v>Jun 26</v>
      </c>
      <c r="D7251" s="2" t="s">
        <v>5</v>
      </c>
    </row>
    <row r="7252" spans="1:4" x14ac:dyDescent="0.35">
      <c r="A7252" s="8" t="str">
        <f t="shared" si="3738"/>
        <v>Malaysia</v>
      </c>
      <c r="B7252" s="6" t="str">
        <f t="shared" si="3744"/>
        <v>No of Terminations in Manulife Pro Qualifiers - Total</v>
      </c>
      <c r="C7252" s="4" t="str">
        <f>CHOOSE(2, "5462030031", "Jul 26")</f>
        <v>Jul 26</v>
      </c>
      <c r="D7252" s="2" t="s">
        <v>5</v>
      </c>
    </row>
    <row r="7253" spans="1:4" x14ac:dyDescent="0.35">
      <c r="A7253" s="8" t="str">
        <f t="shared" si="3738"/>
        <v>Malaysia</v>
      </c>
      <c r="B7253" s="3" t="str">
        <f t="shared" ref="B7253:B7254" si="3745">CHOOSE(2, "1395000000671", "First Year Agents Terminated without Sales")</f>
        <v>First Year Agents Terminated without Sales</v>
      </c>
      <c r="C7253" s="4" t="str">
        <f>CHOOSE(2, "5461730030", "Jun 26")</f>
        <v>Jun 26</v>
      </c>
      <c r="D7253" s="14">
        <v>6</v>
      </c>
    </row>
    <row r="7254" spans="1:4" x14ac:dyDescent="0.35">
      <c r="A7254" s="8" t="str">
        <f t="shared" si="3738"/>
        <v>Malaysia</v>
      </c>
      <c r="B7254" s="6" t="str">
        <f t="shared" si="3745"/>
        <v>First Year Agents Terminated without Sales</v>
      </c>
      <c r="C7254" s="4" t="str">
        <f>CHOOSE(2, "5462030031", "Jul 26")</f>
        <v>Jul 26</v>
      </c>
      <c r="D7254" s="14">
        <v>6</v>
      </c>
    </row>
    <row r="7255" spans="1:4" x14ac:dyDescent="0.35">
      <c r="A7255" s="8" t="str">
        <f t="shared" si="3738"/>
        <v>Malaysia</v>
      </c>
      <c r="B7255" s="3" t="str">
        <f t="shared" ref="B7255:B7256" si="3746">CHOOSE(2, "1395000000670", "6mth Agency Retention Ratio")</f>
        <v>6mth Agency Retention Ratio</v>
      </c>
      <c r="C7255" s="4" t="str">
        <f>CHOOSE(2, "5461730030", "Jun 26")</f>
        <v>Jun 26</v>
      </c>
      <c r="D7255" s="14">
        <v>0.94687500000000002</v>
      </c>
    </row>
    <row r="7256" spans="1:4" x14ac:dyDescent="0.35">
      <c r="A7256" s="8" t="str">
        <f t="shared" si="3738"/>
        <v>Malaysia</v>
      </c>
      <c r="B7256" s="6" t="str">
        <f t="shared" si="3746"/>
        <v>6mth Agency Retention Ratio</v>
      </c>
      <c r="C7256" s="4" t="str">
        <f>CHOOSE(2, "5462030031", "Jul 26")</f>
        <v>Jul 26</v>
      </c>
      <c r="D7256" s="14">
        <v>0.95524699999999996</v>
      </c>
    </row>
    <row r="7257" spans="1:4" x14ac:dyDescent="0.35">
      <c r="A7257" s="8" t="str">
        <f t="shared" si="3738"/>
        <v>Malaysia</v>
      </c>
      <c r="B7257" s="3" t="str">
        <f t="shared" ref="B7257:B7258" si="3747">CHOOSE(2, "1395000000669", "12mth Agency Retention Ratio")</f>
        <v>12mth Agency Retention Ratio</v>
      </c>
      <c r="C7257" s="4" t="str">
        <f>CHOOSE(2, "5461730030", "Jun 26")</f>
        <v>Jun 26</v>
      </c>
      <c r="D7257" s="14">
        <v>0.86301399999999995</v>
      </c>
    </row>
    <row r="7258" spans="1:4" x14ac:dyDescent="0.35">
      <c r="A7258" s="8" t="str">
        <f t="shared" si="3738"/>
        <v>Malaysia</v>
      </c>
      <c r="B7258" s="6" t="str">
        <f t="shared" si="3747"/>
        <v>12mth Agency Retention Ratio</v>
      </c>
      <c r="C7258" s="4" t="str">
        <f>CHOOSE(2, "5462030031", "Jul 26")</f>
        <v>Jul 26</v>
      </c>
      <c r="D7258" s="14">
        <v>0.85975599999999996</v>
      </c>
    </row>
    <row r="7259" spans="1:4" x14ac:dyDescent="0.35">
      <c r="A7259" s="8" t="str">
        <f t="shared" si="3738"/>
        <v>Malaysia</v>
      </c>
      <c r="B7259" s="3" t="str">
        <f t="shared" ref="B7259:B7260" si="3748">CHOOSE(2, "1395000000668", "24mth Agency Retention Ratio")</f>
        <v>24mth Agency Retention Ratio</v>
      </c>
      <c r="C7259" s="4" t="str">
        <f>CHOOSE(2, "5461730030", "Jun 26")</f>
        <v>Jun 26</v>
      </c>
      <c r="D7259" s="14">
        <v>0.42532500000000001</v>
      </c>
    </row>
    <row r="7260" spans="1:4" x14ac:dyDescent="0.35">
      <c r="A7260" s="8" t="str">
        <f t="shared" si="3738"/>
        <v>Malaysia</v>
      </c>
      <c r="B7260" s="6" t="str">
        <f t="shared" si="3748"/>
        <v>24mth Agency Retention Ratio</v>
      </c>
      <c r="C7260" s="4" t="str">
        <f>CHOOSE(2, "5462030031", "Jul 26")</f>
        <v>Jul 26</v>
      </c>
      <c r="D7260" s="14">
        <v>0.43525599999999998</v>
      </c>
    </row>
    <row r="7261" spans="1:4" x14ac:dyDescent="0.35">
      <c r="A7261" s="8" t="str">
        <f t="shared" si="3738"/>
        <v>Malaysia</v>
      </c>
      <c r="B7261" s="3" t="str">
        <f t="shared" ref="B7261:B7262" si="3749">CHOOSE(2, "1395000000667", "Total # of Leaders (end of period)")</f>
        <v>Total # of Leaders (end of period)</v>
      </c>
      <c r="C7261" s="4" t="str">
        <f>CHOOSE(2, "5461730030", "Jun 26")</f>
        <v>Jun 26</v>
      </c>
      <c r="D7261" s="14">
        <v>378</v>
      </c>
    </row>
    <row r="7262" spans="1:4" x14ac:dyDescent="0.35">
      <c r="A7262" s="8" t="str">
        <f t="shared" si="3738"/>
        <v>Malaysia</v>
      </c>
      <c r="B7262" s="6" t="str">
        <f t="shared" si="3749"/>
        <v>Total # of Leaders (end of period)</v>
      </c>
      <c r="C7262" s="4" t="str">
        <f>CHOOSE(2, "5462030031", "Jul 26")</f>
        <v>Jul 26</v>
      </c>
      <c r="D7262" s="14">
        <v>373</v>
      </c>
    </row>
    <row r="7263" spans="1:4" x14ac:dyDescent="0.35">
      <c r="A7263" s="8" t="str">
        <f t="shared" si="3738"/>
        <v>Malaysia</v>
      </c>
      <c r="B7263" s="3" t="str">
        <f t="shared" ref="B7263:B7264" si="3750">CHOOSE(2, "1395000000666", "Total # of Unit Managers")</f>
        <v>Total # of Unit Managers</v>
      </c>
      <c r="C7263" s="4" t="str">
        <f>CHOOSE(2, "5461730030", "Jun 26")</f>
        <v>Jun 26</v>
      </c>
      <c r="D7263" s="14">
        <v>315</v>
      </c>
    </row>
    <row r="7264" spans="1:4" x14ac:dyDescent="0.35">
      <c r="A7264" s="8" t="str">
        <f t="shared" si="3738"/>
        <v>Malaysia</v>
      </c>
      <c r="B7264" s="6" t="str">
        <f t="shared" si="3750"/>
        <v>Total # of Unit Managers</v>
      </c>
      <c r="C7264" s="4" t="str">
        <f>CHOOSE(2, "5462030031", "Jul 26")</f>
        <v>Jul 26</v>
      </c>
      <c r="D7264" s="14">
        <v>311</v>
      </c>
    </row>
    <row r="7265" spans="1:4" x14ac:dyDescent="0.35">
      <c r="A7265" s="8" t="str">
        <f t="shared" si="3738"/>
        <v>Malaysia</v>
      </c>
      <c r="B7265" s="3" t="str">
        <f t="shared" ref="B7265:B7266" si="3751">CHOOSE(2, "1395000000665", "Total # of Leaders above Unit Manager level")</f>
        <v>Total # of Leaders above Unit Manager level</v>
      </c>
      <c r="C7265" s="4" t="str">
        <f>CHOOSE(2, "5461730030", "Jun 26")</f>
        <v>Jun 26</v>
      </c>
      <c r="D7265" s="14">
        <v>63</v>
      </c>
    </row>
    <row r="7266" spans="1:4" x14ac:dyDescent="0.35">
      <c r="A7266" s="8" t="str">
        <f t="shared" si="3738"/>
        <v>Malaysia</v>
      </c>
      <c r="B7266" s="6" t="str">
        <f t="shared" si="3751"/>
        <v>Total # of Leaders above Unit Manager level</v>
      </c>
      <c r="C7266" s="4" t="str">
        <f>CHOOSE(2, "5462030031", "Jul 26")</f>
        <v>Jul 26</v>
      </c>
      <c r="D7266" s="14">
        <v>62</v>
      </c>
    </row>
    <row r="7267" spans="1:4" x14ac:dyDescent="0.35">
      <c r="A7267" s="8" t="str">
        <f t="shared" si="3738"/>
        <v>Malaysia</v>
      </c>
      <c r="B7267" s="3" t="str">
        <f t="shared" ref="B7267:B7268" si="3752">CHOOSE(2, "1395000000664", "Total # of Agents below Unit Manager level (end of period)")</f>
        <v>Total # of Agents below Unit Manager level (end of period)</v>
      </c>
      <c r="C7267" s="4" t="str">
        <f>CHOOSE(2, "5461730030", "Jun 26")</f>
        <v>Jun 26</v>
      </c>
      <c r="D7267" s="14">
        <v>1815</v>
      </c>
    </row>
    <row r="7268" spans="1:4" x14ac:dyDescent="0.35">
      <c r="A7268" s="8" t="str">
        <f t="shared" si="3738"/>
        <v>Malaysia</v>
      </c>
      <c r="B7268" s="6" t="str">
        <f t="shared" si="3752"/>
        <v>Total # of Agents below Unit Manager level (end of period)</v>
      </c>
      <c r="C7268" s="4" t="str">
        <f>CHOOSE(2, "5462030031", "Jul 26")</f>
        <v>Jul 26</v>
      </c>
      <c r="D7268" s="14">
        <v>1846</v>
      </c>
    </row>
    <row r="7269" spans="1:4" x14ac:dyDescent="0.35">
      <c r="A7269" s="8" t="str">
        <f t="shared" si="3738"/>
        <v>Malaysia</v>
      </c>
      <c r="B7269" s="3" t="str">
        <f t="shared" ref="B7269:B7270" si="3753">CHOOSE(2, "1395000000663", "# of Active Recruiting Leaders")</f>
        <v># of Active Recruiting Leaders</v>
      </c>
      <c r="C7269" s="4" t="str">
        <f>CHOOSE(2, "5461730030", "Jun 26")</f>
        <v>Jun 26</v>
      </c>
      <c r="D7269" s="14">
        <v>22</v>
      </c>
    </row>
    <row r="7270" spans="1:4" x14ac:dyDescent="0.35">
      <c r="A7270" s="8" t="str">
        <f t="shared" si="3738"/>
        <v>Malaysia</v>
      </c>
      <c r="B7270" s="6" t="str">
        <f t="shared" si="3753"/>
        <v># of Active Recruiting Leaders</v>
      </c>
      <c r="C7270" s="4" t="str">
        <f>CHOOSE(2, "5462030031", "Jul 26")</f>
        <v>Jul 26</v>
      </c>
      <c r="D7270" s="14">
        <v>22</v>
      </c>
    </row>
    <row r="7271" spans="1:4" x14ac:dyDescent="0.35">
      <c r="A7271" s="8" t="str">
        <f t="shared" si="3738"/>
        <v>Malaysia</v>
      </c>
      <c r="B7271" s="3" t="str">
        <f t="shared" ref="B7271:B7272" si="3754">CHOOSE(2, "1395000000662", "# of leaders with &gt;1 YTD recruit")</f>
        <v># of leaders with &gt;1 YTD recruit</v>
      </c>
      <c r="C7271" s="4" t="str">
        <f>CHOOSE(2, "5461730030", "Jun 26")</f>
        <v>Jun 26</v>
      </c>
      <c r="D7271" s="14">
        <v>110</v>
      </c>
    </row>
    <row r="7272" spans="1:4" x14ac:dyDescent="0.35">
      <c r="A7272" s="8" t="str">
        <f t="shared" si="3738"/>
        <v>Malaysia</v>
      </c>
      <c r="B7272" s="6" t="str">
        <f t="shared" si="3754"/>
        <v># of leaders with &gt;1 YTD recruit</v>
      </c>
      <c r="C7272" s="4" t="str">
        <f>CHOOSE(2, "5462030031", "Jul 26")</f>
        <v>Jul 26</v>
      </c>
      <c r="D7272" s="14">
        <v>120</v>
      </c>
    </row>
    <row r="7273" spans="1:4" x14ac:dyDescent="0.35">
      <c r="A7273" s="8" t="str">
        <f t="shared" si="3738"/>
        <v>Malaysia</v>
      </c>
      <c r="B7273" s="3" t="str">
        <f t="shared" ref="B7273:B7274" si="3755">CHOOSE(2, "1395000000661", "Income ratio from personal sales (UM)")</f>
        <v>Income ratio from personal sales (UM)</v>
      </c>
      <c r="C7273" s="4" t="str">
        <f>CHOOSE(2, "5461730030", "Jun 26")</f>
        <v>Jun 26</v>
      </c>
      <c r="D7273" s="14">
        <v>0.57343532306217315</v>
      </c>
    </row>
    <row r="7274" spans="1:4" x14ac:dyDescent="0.35">
      <c r="A7274" s="8" t="str">
        <f t="shared" si="3738"/>
        <v>Malaysia</v>
      </c>
      <c r="B7274" s="6" t="str">
        <f t="shared" si="3755"/>
        <v>Income ratio from personal sales (UM)</v>
      </c>
      <c r="C7274" s="4" t="str">
        <f>CHOOSE(2, "5462030031", "Jul 26")</f>
        <v>Jul 26</v>
      </c>
      <c r="D7274" s="14">
        <v>0.17346229973750943</v>
      </c>
    </row>
    <row r="7275" spans="1:4" x14ac:dyDescent="0.35">
      <c r="A7275" s="8" t="str">
        <f t="shared" si="3738"/>
        <v>Malaysia</v>
      </c>
      <c r="B7275" s="3" t="str">
        <f t="shared" ref="B7275:B7276" si="3756">CHOOSE(2, "1395000000660", "Income ratio from personal sales (UM) (numerator)")</f>
        <v>Income ratio from personal sales (UM) (numerator)</v>
      </c>
      <c r="C7275" s="4" t="str">
        <f>CHOOSE(2, "5461730030", "Jun 26")</f>
        <v>Jun 26</v>
      </c>
      <c r="D7275" s="14">
        <v>100775.693101</v>
      </c>
    </row>
    <row r="7276" spans="1:4" x14ac:dyDescent="0.35">
      <c r="A7276" s="8" t="str">
        <f t="shared" si="3738"/>
        <v>Malaysia</v>
      </c>
      <c r="B7276" s="6" t="str">
        <f t="shared" si="3756"/>
        <v>Income ratio from personal sales (UM) (numerator)</v>
      </c>
      <c r="C7276" s="4" t="str">
        <f>CHOOSE(2, "5462030031", "Jul 26")</f>
        <v>Jul 26</v>
      </c>
      <c r="D7276" s="14">
        <v>26725.819403000001</v>
      </c>
    </row>
    <row r="7277" spans="1:4" x14ac:dyDescent="0.35">
      <c r="A7277" s="8" t="str">
        <f t="shared" si="3738"/>
        <v>Malaysia</v>
      </c>
      <c r="B7277" s="3" t="str">
        <f t="shared" ref="B7277:B7278" si="3757">CHOOSE(2, "1395000000659", "Income ratio from personal sales (UM) (denominator)")</f>
        <v>Income ratio from personal sales (UM) (denominator)</v>
      </c>
      <c r="C7277" s="4" t="str">
        <f>CHOOSE(2, "5461730030", "Jun 26")</f>
        <v>Jun 26</v>
      </c>
      <c r="D7277" s="14">
        <v>175740.29545800001</v>
      </c>
    </row>
    <row r="7278" spans="1:4" x14ac:dyDescent="0.35">
      <c r="A7278" s="8" t="str">
        <f t="shared" si="3738"/>
        <v>Malaysia</v>
      </c>
      <c r="B7278" s="6" t="str">
        <f t="shared" si="3757"/>
        <v>Income ratio from personal sales (UM) (denominator)</v>
      </c>
      <c r="C7278" s="4" t="str">
        <f>CHOOSE(2, "5462030031", "Jul 26")</f>
        <v>Jul 26</v>
      </c>
      <c r="D7278" s="14">
        <v>154072.78378900001</v>
      </c>
    </row>
    <row r="7279" spans="1:4" x14ac:dyDescent="0.35">
      <c r="A7279" s="8" t="str">
        <f t="shared" si="3738"/>
        <v>Malaysia</v>
      </c>
      <c r="B7279" s="3" t="str">
        <f t="shared" ref="B7279:B7280" si="3758">CHOOSE(2, "1395000000658", "Income ratio from personal sales (Leader above UM)")</f>
        <v>Income ratio from personal sales (Leader above UM)</v>
      </c>
      <c r="C7279" s="4" t="str">
        <f>CHOOSE(2, "5461730030", "Jun 26")</f>
        <v>Jun 26</v>
      </c>
      <c r="D7279" s="14">
        <v>0.19827178140451313</v>
      </c>
    </row>
    <row r="7280" spans="1:4" x14ac:dyDescent="0.35">
      <c r="A7280" s="8" t="str">
        <f t="shared" si="3738"/>
        <v>Malaysia</v>
      </c>
      <c r="B7280" s="6" t="str">
        <f t="shared" si="3758"/>
        <v>Income ratio from personal sales (Leader above UM)</v>
      </c>
      <c r="C7280" s="4" t="str">
        <f>CHOOSE(2, "5462030031", "Jul 26")</f>
        <v>Jul 26</v>
      </c>
      <c r="D7280" s="14">
        <v>5.1132768315277119E-2</v>
      </c>
    </row>
    <row r="7281" spans="1:4" x14ac:dyDescent="0.35">
      <c r="A7281" s="8" t="str">
        <f t="shared" si="3738"/>
        <v>Malaysia</v>
      </c>
      <c r="B7281" s="3" t="str">
        <f t="shared" ref="B7281:B7282" si="3759">CHOOSE(2, "1395000000657", "Income ratio from personal sales (Leader above UM) (num)")</f>
        <v>Income ratio from personal sales (Leader above UM) (num)</v>
      </c>
      <c r="C7281" s="4" t="str">
        <f>CHOOSE(2, "5461730030", "Jun 26")</f>
        <v>Jun 26</v>
      </c>
      <c r="D7281" s="14">
        <v>39998.439993</v>
      </c>
    </row>
    <row r="7282" spans="1:4" x14ac:dyDescent="0.35">
      <c r="A7282" s="8" t="str">
        <f t="shared" si="3738"/>
        <v>Malaysia</v>
      </c>
      <c r="B7282" s="6" t="str">
        <f t="shared" si="3759"/>
        <v>Income ratio from personal sales (Leader above UM) (num)</v>
      </c>
      <c r="C7282" s="4" t="str">
        <f>CHOOSE(2, "5462030031", "Jul 26")</f>
        <v>Jul 26</v>
      </c>
      <c r="D7282" s="14">
        <v>11048.171693</v>
      </c>
    </row>
    <row r="7283" spans="1:4" x14ac:dyDescent="0.35">
      <c r="A7283" s="8" t="str">
        <f t="shared" si="3738"/>
        <v>Malaysia</v>
      </c>
      <c r="B7283" s="3" t="str">
        <f t="shared" ref="B7283:B7284" si="3760">CHOOSE(2, "1395000000656", "Income ratio from personal sales (Leader above UM) (den)")</f>
        <v>Income ratio from personal sales (Leader above UM) (den)</v>
      </c>
      <c r="C7283" s="4" t="str">
        <f>CHOOSE(2, "5461730030", "Jun 26")</f>
        <v>Jun 26</v>
      </c>
      <c r="D7283" s="14">
        <v>201735.41443800001</v>
      </c>
    </row>
    <row r="7284" spans="1:4" x14ac:dyDescent="0.35">
      <c r="A7284" s="8" t="str">
        <f t="shared" si="3738"/>
        <v>Malaysia</v>
      </c>
      <c r="B7284" s="6" t="str">
        <f t="shared" si="3760"/>
        <v>Income ratio from personal sales (Leader above UM) (den)</v>
      </c>
      <c r="C7284" s="4" t="str">
        <f>CHOOSE(2, "5462030031", "Jul 26")</f>
        <v>Jul 26</v>
      </c>
      <c r="D7284" s="14">
        <v>216068.32677000001</v>
      </c>
    </row>
    <row r="7285" spans="1:4" x14ac:dyDescent="0.35">
      <c r="A7285" s="8" t="str">
        <f t="shared" si="3738"/>
        <v>Malaysia</v>
      </c>
      <c r="B7285" s="3" t="str">
        <f t="shared" ref="B7285:B7286" si="3761">CHOOSE(2, "1395000000655", "Total agent earnings")</f>
        <v>Total agent earnings</v>
      </c>
      <c r="C7285" s="4" t="str">
        <f>CHOOSE(2, "5461730030", "Jun 26")</f>
        <v>Jun 26</v>
      </c>
      <c r="D7285" s="14">
        <v>320620.96495222987</v>
      </c>
    </row>
    <row r="7286" spans="1:4" x14ac:dyDescent="0.35">
      <c r="A7286" s="8" t="str">
        <f t="shared" si="3738"/>
        <v>Malaysia</v>
      </c>
      <c r="B7286" s="6" t="str">
        <f t="shared" si="3761"/>
        <v>Total agent earnings</v>
      </c>
      <c r="C7286" s="4" t="str">
        <f>CHOOSE(2, "5462030031", "Jul 26")</f>
        <v>Jul 26</v>
      </c>
      <c r="D7286" s="14">
        <v>194286.27553099353</v>
      </c>
    </row>
    <row r="7287" spans="1:4" x14ac:dyDescent="0.35">
      <c r="A7287" s="8" t="str">
        <f t="shared" si="3738"/>
        <v>Malaysia</v>
      </c>
      <c r="B7287" s="3" t="str">
        <f t="shared" ref="B7287:B7288" si="3762">CHOOSE(2, "1395000000654", "Total agent earnings in FA or equivalent")</f>
        <v>Total agent earnings in FA or equivalent</v>
      </c>
      <c r="C7287" s="4" t="str">
        <f>CHOOSE(2, "5461730030", "Jun 26")</f>
        <v>Jun 26</v>
      </c>
      <c r="D7287" s="14">
        <v>226251.66000251999</v>
      </c>
    </row>
    <row r="7288" spans="1:4" x14ac:dyDescent="0.35">
      <c r="A7288" s="8" t="str">
        <f t="shared" si="3738"/>
        <v>Malaysia</v>
      </c>
      <c r="B7288" s="6" t="str">
        <f t="shared" si="3762"/>
        <v>Total agent earnings in FA or equivalent</v>
      </c>
      <c r="C7288" s="4" t="str">
        <f>CHOOSE(2, "5462030031", "Jul 26")</f>
        <v>Jul 26</v>
      </c>
      <c r="D7288" s="14">
        <v>101750.62775013299</v>
      </c>
    </row>
    <row r="7289" spans="1:4" x14ac:dyDescent="0.35">
      <c r="A7289" s="8" t="str">
        <f t="shared" si="3738"/>
        <v>Malaysia</v>
      </c>
      <c r="B7289" s="3" t="str">
        <f t="shared" ref="B7289:B7290" si="3763">CHOOSE(2, "1395000000653", "Total agent earnings in UM")</f>
        <v>Total agent earnings in UM</v>
      </c>
      <c r="C7289" s="4" t="str">
        <f>CHOOSE(2, "5461730030", "Jun 26")</f>
        <v>Jun 26</v>
      </c>
      <c r="D7289" s="14">
        <v>43935.249604795456</v>
      </c>
    </row>
    <row r="7290" spans="1:4" x14ac:dyDescent="0.35">
      <c r="A7290" s="8" t="str">
        <f t="shared" si="3738"/>
        <v>Malaysia</v>
      </c>
      <c r="B7290" s="6" t="str">
        <f t="shared" si="3763"/>
        <v>Total agent earnings in UM</v>
      </c>
      <c r="C7290" s="4" t="str">
        <f>CHOOSE(2, "5462030031", "Jul 26")</f>
        <v>Jul 26</v>
      </c>
      <c r="D7290" s="14">
        <v>38518.350020033788</v>
      </c>
    </row>
    <row r="7291" spans="1:4" x14ac:dyDescent="0.35">
      <c r="A7291" s="8" t="str">
        <f t="shared" si="3738"/>
        <v>Malaysia</v>
      </c>
      <c r="B7291" s="3" t="str">
        <f t="shared" ref="B7291:B7292" si="3764">CHOOSE(2, "1395000000652", "Total agent earnings in Leaders above UM")</f>
        <v>Total agent earnings in Leaders above UM</v>
      </c>
      <c r="C7291" s="4" t="str">
        <f>CHOOSE(2, "5461730030", "Jun 26")</f>
        <v>Jun 26</v>
      </c>
      <c r="D7291" s="14">
        <v>50434.055344914435</v>
      </c>
    </row>
    <row r="7292" spans="1:4" x14ac:dyDescent="0.35">
      <c r="A7292" s="8" t="str">
        <f t="shared" si="3738"/>
        <v>Malaysia</v>
      </c>
      <c r="B7292" s="6" t="str">
        <f t="shared" si="3764"/>
        <v>Total agent earnings in Leaders above UM</v>
      </c>
      <c r="C7292" s="4" t="str">
        <f>CHOOSE(2, "5462030031", "Jul 26")</f>
        <v>Jul 26</v>
      </c>
      <c r="D7292" s="14">
        <v>54017.297760826768</v>
      </c>
    </row>
    <row r="7293" spans="1:4" x14ac:dyDescent="0.35">
      <c r="A7293" s="8" t="str">
        <f t="shared" si="3738"/>
        <v>Malaysia</v>
      </c>
      <c r="B7293" s="3" t="str">
        <f t="shared" ref="B7293:B7294" si="3765">CHOOSE(2, "1395000000651", "# of Newly Promoted UM")</f>
        <v># of Newly Promoted UM</v>
      </c>
      <c r="C7293" s="4" t="str">
        <f>CHOOSE(2, "5461730030", "Jun 26")</f>
        <v>Jun 26</v>
      </c>
      <c r="D7293" s="14">
        <v>1</v>
      </c>
    </row>
    <row r="7294" spans="1:4" x14ac:dyDescent="0.35">
      <c r="A7294" s="8" t="str">
        <f t="shared" si="3738"/>
        <v>Malaysia</v>
      </c>
      <c r="B7294" s="6" t="str">
        <f t="shared" si="3765"/>
        <v># of Newly Promoted UM</v>
      </c>
      <c r="C7294" s="4" t="str">
        <f>CHOOSE(2, "5462030031", "Jul 26")</f>
        <v>Jul 26</v>
      </c>
      <c r="D7294" s="14">
        <v>11</v>
      </c>
    </row>
    <row r="7295" spans="1:4" x14ac:dyDescent="0.35">
      <c r="A7295" s="8" t="str">
        <f t="shared" si="3738"/>
        <v>Malaysia</v>
      </c>
      <c r="B7295" s="3" t="str">
        <f t="shared" ref="B7295:B7296" si="3766">CHOOSE(2, "1395000000650", "# of Newly Promoted Leaders above UM")</f>
        <v># of Newly Promoted Leaders above UM</v>
      </c>
      <c r="C7295" s="4" t="str">
        <f>CHOOSE(2, "5461730030", "Jun 26")</f>
        <v>Jun 26</v>
      </c>
      <c r="D7295" s="14">
        <v>0</v>
      </c>
    </row>
    <row r="7296" spans="1:4" x14ac:dyDescent="0.35">
      <c r="A7296" s="8" t="str">
        <f t="shared" si="3738"/>
        <v>Malaysia</v>
      </c>
      <c r="B7296" s="6" t="str">
        <f t="shared" si="3766"/>
        <v># of Newly Promoted Leaders above UM</v>
      </c>
      <c r="C7296" s="4" t="str">
        <f>CHOOSE(2, "5462030031", "Jul 26")</f>
        <v>Jul 26</v>
      </c>
      <c r="D7296" s="14">
        <v>1</v>
      </c>
    </row>
    <row r="7297" spans="1:4" x14ac:dyDescent="0.35">
      <c r="A7297" s="8" t="str">
        <f t="shared" si="3738"/>
        <v>Malaysia</v>
      </c>
      <c r="B7297" s="3" t="str">
        <f t="shared" ref="B7297:B7298" si="3767">CHOOSE(2, "1395000000649", "# of Total Leader Promotions")</f>
        <v># of Total Leader Promotions</v>
      </c>
      <c r="C7297" s="4" t="str">
        <f>CHOOSE(2, "5461730030", "Jun 26")</f>
        <v>Jun 26</v>
      </c>
      <c r="D7297" s="14">
        <v>1</v>
      </c>
    </row>
    <row r="7298" spans="1:4" x14ac:dyDescent="0.35">
      <c r="A7298" s="8" t="str">
        <f t="shared" si="3738"/>
        <v>Malaysia</v>
      </c>
      <c r="B7298" s="6" t="str">
        <f t="shared" si="3767"/>
        <v># of Total Leader Promotions</v>
      </c>
      <c r="C7298" s="4" t="str">
        <f>CHOOSE(2, "5462030031", "Jul 26")</f>
        <v>Jul 26</v>
      </c>
      <c r="D7298" s="14">
        <v>12</v>
      </c>
    </row>
    <row r="7299" spans="1:4" x14ac:dyDescent="0.35">
      <c r="A7299" s="8" t="str">
        <f t="shared" si="3738"/>
        <v>Malaysia</v>
      </c>
      <c r="B7299" s="3" t="str">
        <f t="shared" ref="B7299:B7300" si="3768">CHOOSE(2, "1395000000648", "# of Newly Demoted UM")</f>
        <v># of Newly Demoted UM</v>
      </c>
      <c r="C7299" s="4" t="str">
        <f>CHOOSE(2, "5461730030", "Jun 26")</f>
        <v>Jun 26</v>
      </c>
      <c r="D7299" s="14">
        <v>0</v>
      </c>
    </row>
    <row r="7300" spans="1:4" x14ac:dyDescent="0.35">
      <c r="A7300" s="8" t="str">
        <f t="shared" si="3738"/>
        <v>Malaysia</v>
      </c>
      <c r="B7300" s="6" t="str">
        <f t="shared" si="3768"/>
        <v># of Newly Demoted UM</v>
      </c>
      <c r="C7300" s="4" t="str">
        <f>CHOOSE(2, "5462030031", "Jul 26")</f>
        <v>Jul 26</v>
      </c>
      <c r="D7300" s="14">
        <v>3</v>
      </c>
    </row>
    <row r="7301" spans="1:4" x14ac:dyDescent="0.35">
      <c r="A7301" s="8" t="str">
        <f t="shared" si="3738"/>
        <v>Malaysia</v>
      </c>
      <c r="B7301" s="3" t="str">
        <f t="shared" ref="B7301:B7302" si="3769">CHOOSE(2, "1395000000647", "# of Newly Demoted Leaders above UM")</f>
        <v># of Newly Demoted Leaders above UM</v>
      </c>
      <c r="C7301" s="4" t="str">
        <f>CHOOSE(2, "5461730030", "Jun 26")</f>
        <v>Jun 26</v>
      </c>
      <c r="D7301" s="14">
        <v>0</v>
      </c>
    </row>
    <row r="7302" spans="1:4" x14ac:dyDescent="0.35">
      <c r="A7302" s="8" t="str">
        <f t="shared" si="3738"/>
        <v>Malaysia</v>
      </c>
      <c r="B7302" s="6" t="str">
        <f t="shared" si="3769"/>
        <v># of Newly Demoted Leaders above UM</v>
      </c>
      <c r="C7302" s="4" t="str">
        <f>CHOOSE(2, "5462030031", "Jul 26")</f>
        <v>Jul 26</v>
      </c>
      <c r="D7302" s="14">
        <v>0</v>
      </c>
    </row>
    <row r="7303" spans="1:4" x14ac:dyDescent="0.35">
      <c r="A7303" s="8" t="str">
        <f t="shared" si="3738"/>
        <v>Malaysia</v>
      </c>
      <c r="B7303" s="3" t="str">
        <f t="shared" ref="B7303:B7304" si="3770">CHOOSE(2, "1395000000646", "# of Total Leader Demotions")</f>
        <v># of Total Leader Demotions</v>
      </c>
      <c r="C7303" s="4" t="str">
        <f>CHOOSE(2, "5461730030", "Jun 26")</f>
        <v>Jun 26</v>
      </c>
      <c r="D7303" s="14">
        <v>0</v>
      </c>
    </row>
    <row r="7304" spans="1:4" x14ac:dyDescent="0.35">
      <c r="A7304" s="8" t="str">
        <f t="shared" si="3738"/>
        <v>Malaysia</v>
      </c>
      <c r="B7304" s="6" t="str">
        <f t="shared" si="3770"/>
        <v># of Total Leader Demotions</v>
      </c>
      <c r="C7304" s="4" t="str">
        <f>CHOOSE(2, "5462030031", "Jul 26")</f>
        <v>Jul 26</v>
      </c>
      <c r="D7304" s="14">
        <v>3</v>
      </c>
    </row>
    <row r="7305" spans="1:4" x14ac:dyDescent="0.35">
      <c r="A7305" s="8" t="str">
        <f t="shared" ref="A7305:A7368" si="3771">CHOOSE(2, "204000000008", "Malaysia")</f>
        <v>Malaysia</v>
      </c>
      <c r="B7305" s="3" t="str">
        <f t="shared" ref="B7305:B7306" si="3772">CHOOSE(2, "1395000000645", "# of agents meeting MOC")</f>
        <v># of agents meeting MOC</v>
      </c>
      <c r="C7305" s="4" t="str">
        <f>CHOOSE(2, "5461730030", "Jun 26")</f>
        <v>Jun 26</v>
      </c>
      <c r="D7305" s="14">
        <v>2134</v>
      </c>
    </row>
    <row r="7306" spans="1:4" x14ac:dyDescent="0.35">
      <c r="A7306" s="8" t="str">
        <f t="shared" si="3771"/>
        <v>Malaysia</v>
      </c>
      <c r="B7306" s="6" t="str">
        <f t="shared" si="3772"/>
        <v># of agents meeting MOC</v>
      </c>
      <c r="C7306" s="4" t="str">
        <f>CHOOSE(2, "5462030031", "Jul 26")</f>
        <v>Jul 26</v>
      </c>
      <c r="D7306" s="14">
        <v>2172</v>
      </c>
    </row>
    <row r="7307" spans="1:4" x14ac:dyDescent="0.35">
      <c r="A7307" s="8" t="str">
        <f t="shared" si="3771"/>
        <v>Malaysia</v>
      </c>
      <c r="B7307" s="3" t="str">
        <f t="shared" ref="B7307:B7308" si="3773">CHOOSE(2, "1395000000644", "# of agents meeting MOC in FA or equivalent")</f>
        <v># of agents meeting MOC in FA or equivalent</v>
      </c>
      <c r="C7307" s="4" t="str">
        <f>CHOOSE(2, "5461730030", "Jun 26")</f>
        <v>Jun 26</v>
      </c>
      <c r="D7307" s="14">
        <v>1758</v>
      </c>
    </row>
    <row r="7308" spans="1:4" x14ac:dyDescent="0.35">
      <c r="A7308" s="8" t="str">
        <f t="shared" si="3771"/>
        <v>Malaysia</v>
      </c>
      <c r="B7308" s="6" t="str">
        <f t="shared" si="3773"/>
        <v># of agents meeting MOC in FA or equivalent</v>
      </c>
      <c r="C7308" s="4" t="str">
        <f>CHOOSE(2, "5462030031", "Jul 26")</f>
        <v>Jul 26</v>
      </c>
      <c r="D7308" s="14">
        <v>1802</v>
      </c>
    </row>
    <row r="7309" spans="1:4" x14ac:dyDescent="0.35">
      <c r="A7309" s="8" t="str">
        <f t="shared" si="3771"/>
        <v>Malaysia</v>
      </c>
      <c r="B7309" s="3" t="str">
        <f t="shared" ref="B7309:B7310" si="3774">CHOOSE(2, "1395000000643", "# of agents meeting MOC in UM")</f>
        <v># of agents meeting MOC in UM</v>
      </c>
      <c r="C7309" s="4" t="str">
        <f>CHOOSE(2, "5461730030", "Jun 26")</f>
        <v>Jun 26</v>
      </c>
      <c r="D7309" s="14">
        <v>314</v>
      </c>
    </row>
    <row r="7310" spans="1:4" x14ac:dyDescent="0.35">
      <c r="A7310" s="8" t="str">
        <f t="shared" si="3771"/>
        <v>Malaysia</v>
      </c>
      <c r="B7310" s="6" t="str">
        <f t="shared" si="3774"/>
        <v># of agents meeting MOC in UM</v>
      </c>
      <c r="C7310" s="4" t="str">
        <f>CHOOSE(2, "5462030031", "Jul 26")</f>
        <v>Jul 26</v>
      </c>
      <c r="D7310" s="14">
        <v>310</v>
      </c>
    </row>
    <row r="7311" spans="1:4" x14ac:dyDescent="0.35">
      <c r="A7311" s="8" t="str">
        <f t="shared" si="3771"/>
        <v>Malaysia</v>
      </c>
      <c r="B7311" s="3" t="str">
        <f t="shared" ref="B7311:B7312" si="3775">CHOOSE(2, "1395000000642", "# of agents meeting MOC in Leaders above UM")</f>
        <v># of agents meeting MOC in Leaders above UM</v>
      </c>
      <c r="C7311" s="4" t="str">
        <f>CHOOSE(2, "5461730030", "Jun 26")</f>
        <v>Jun 26</v>
      </c>
      <c r="D7311" s="14">
        <v>62</v>
      </c>
    </row>
    <row r="7312" spans="1:4" x14ac:dyDescent="0.35">
      <c r="A7312" s="8" t="str">
        <f t="shared" si="3771"/>
        <v>Malaysia</v>
      </c>
      <c r="B7312" s="6" t="str">
        <f t="shared" si="3775"/>
        <v># of agents meeting MOC in Leaders above UM</v>
      </c>
      <c r="C7312" s="4" t="str">
        <f>CHOOSE(2, "5462030031", "Jul 26")</f>
        <v>Jul 26</v>
      </c>
      <c r="D7312" s="14">
        <v>60</v>
      </c>
    </row>
    <row r="7313" spans="1:4" x14ac:dyDescent="0.35">
      <c r="A7313" s="8" t="str">
        <f t="shared" si="3771"/>
        <v>Malaysia</v>
      </c>
      <c r="B7313" s="3" t="str">
        <f t="shared" ref="B7313:B7314" si="3776">CHOOSE(2, "1395000000641", "New Leaders 3M Activation Rate (by cohort)")</f>
        <v>New Leaders 3M Activation Rate (by cohort)</v>
      </c>
      <c r="C7313" s="4" t="str">
        <f>CHOOSE(2, "5461730030", "Jun 26")</f>
        <v>Jun 26</v>
      </c>
      <c r="D7313" s="14">
        <v>0.33333333333333331</v>
      </c>
    </row>
    <row r="7314" spans="1:4" x14ac:dyDescent="0.35">
      <c r="A7314" s="8" t="str">
        <f t="shared" si="3771"/>
        <v>Malaysia</v>
      </c>
      <c r="B7314" s="6" t="str">
        <f t="shared" si="3776"/>
        <v>New Leaders 3M Activation Rate (by cohort)</v>
      </c>
      <c r="C7314" s="4" t="str">
        <f>CHOOSE(2, "5462030031", "Jul 26")</f>
        <v>Jul 26</v>
      </c>
      <c r="D7314" s="14">
        <v>0</v>
      </c>
    </row>
    <row r="7315" spans="1:4" x14ac:dyDescent="0.35">
      <c r="A7315" s="8" t="str">
        <f t="shared" si="3771"/>
        <v>Malaysia</v>
      </c>
      <c r="B7315" s="3" t="str">
        <f t="shared" ref="B7315:B7316" si="3777">CHOOSE(2, "1395000000640", "New Leaders 3M Activation Rate (by cohort) (numerator)")</f>
        <v>New Leaders 3M Activation Rate (by cohort) (numerator)</v>
      </c>
      <c r="C7315" s="4" t="str">
        <f>CHOOSE(2, "5461730030", "Jun 26")</f>
        <v>Jun 26</v>
      </c>
      <c r="D7315" s="14">
        <v>1</v>
      </c>
    </row>
    <row r="7316" spans="1:4" x14ac:dyDescent="0.35">
      <c r="A7316" s="8" t="str">
        <f t="shared" si="3771"/>
        <v>Malaysia</v>
      </c>
      <c r="B7316" s="6" t="str">
        <f t="shared" si="3777"/>
        <v>New Leaders 3M Activation Rate (by cohort) (numerator)</v>
      </c>
      <c r="C7316" s="4" t="str">
        <f>CHOOSE(2, "5462030031", "Jul 26")</f>
        <v>Jul 26</v>
      </c>
      <c r="D7316" s="14">
        <v>0</v>
      </c>
    </row>
    <row r="7317" spans="1:4" x14ac:dyDescent="0.35">
      <c r="A7317" s="8" t="str">
        <f t="shared" si="3771"/>
        <v>Malaysia</v>
      </c>
      <c r="B7317" s="3" t="str">
        <f t="shared" ref="B7317:B7318" si="3778">CHOOSE(2, "1395000000639", "New Leaders 3M Activation Rate (by cohort) (denominator)")</f>
        <v>New Leaders 3M Activation Rate (by cohort) (denominator)</v>
      </c>
      <c r="C7317" s="4" t="str">
        <f>CHOOSE(2, "5461730030", "Jun 26")</f>
        <v>Jun 26</v>
      </c>
      <c r="D7317" s="14">
        <v>3</v>
      </c>
    </row>
    <row r="7318" spans="1:4" x14ac:dyDescent="0.35">
      <c r="A7318" s="8" t="str">
        <f t="shared" si="3771"/>
        <v>Malaysia</v>
      </c>
      <c r="B7318" s="6" t="str">
        <f t="shared" si="3778"/>
        <v>New Leaders 3M Activation Rate (by cohort) (denominator)</v>
      </c>
      <c r="C7318" s="4" t="str">
        <f>CHOOSE(2, "5462030031", "Jul 26")</f>
        <v>Jul 26</v>
      </c>
      <c r="D7318" s="14">
        <v>2</v>
      </c>
    </row>
    <row r="7319" spans="1:4" x14ac:dyDescent="0.35">
      <c r="A7319" s="8" t="str">
        <f t="shared" si="3771"/>
        <v>Malaysia</v>
      </c>
      <c r="B7319" s="3" t="str">
        <f t="shared" ref="B7319:B7320" si="3779">CHOOSE(2, "1395000000638", "# of pro-rated MDRT agents (100%)")</f>
        <v># of pro-rated MDRT agents (100%)</v>
      </c>
      <c r="C7319" s="4" t="str">
        <f>CHOOSE(2, "5461730030", "Jun 26")</f>
        <v>Jun 26</v>
      </c>
      <c r="D7319" s="14">
        <v>21</v>
      </c>
    </row>
    <row r="7320" spans="1:4" x14ac:dyDescent="0.35">
      <c r="A7320" s="8" t="str">
        <f t="shared" si="3771"/>
        <v>Malaysia</v>
      </c>
      <c r="B7320" s="6" t="str">
        <f t="shared" si="3779"/>
        <v># of pro-rated MDRT agents (100%)</v>
      </c>
      <c r="C7320" s="4" t="str">
        <f>CHOOSE(2, "5462030031", "Jul 26")</f>
        <v>Jul 26</v>
      </c>
      <c r="D7320" s="14">
        <v>22</v>
      </c>
    </row>
    <row r="7321" spans="1:4" x14ac:dyDescent="0.35">
      <c r="A7321" s="8" t="str">
        <f t="shared" si="3771"/>
        <v>Malaysia</v>
      </c>
      <c r="B7321" s="3" t="str">
        <f t="shared" ref="B7321:B7322" si="3780">CHOOSE(2, "1395000000637", "# of pro-rated MDRT agents (90%-99%)")</f>
        <v># of pro-rated MDRT agents (90%-99%)</v>
      </c>
      <c r="C7321" s="4" t="str">
        <f>CHOOSE(2, "5461730030", "Jun 26")</f>
        <v>Jun 26</v>
      </c>
      <c r="D7321" s="2" t="s">
        <v>5</v>
      </c>
    </row>
    <row r="7322" spans="1:4" x14ac:dyDescent="0.35">
      <c r="A7322" s="8" t="str">
        <f t="shared" si="3771"/>
        <v>Malaysia</v>
      </c>
      <c r="B7322" s="6" t="str">
        <f t="shared" si="3780"/>
        <v># of pro-rated MDRT agents (90%-99%)</v>
      </c>
      <c r="C7322" s="4" t="str">
        <f>CHOOSE(2, "5462030031", "Jul 26")</f>
        <v>Jul 26</v>
      </c>
      <c r="D7322" s="2" t="s">
        <v>5</v>
      </c>
    </row>
    <row r="7323" spans="1:4" x14ac:dyDescent="0.35">
      <c r="A7323" s="8" t="str">
        <f t="shared" si="3771"/>
        <v>Malaysia</v>
      </c>
      <c r="B7323" s="3" t="str">
        <f t="shared" ref="B7323:B7324" si="3781">CHOOSE(2, "1395000000636", "# of pro-rated MDRT agents (70%-90%)")</f>
        <v># of pro-rated MDRT agents (70%-90%)</v>
      </c>
      <c r="C7323" s="4" t="str">
        <f>CHOOSE(2, "5461730030", "Jun 26")</f>
        <v>Jun 26</v>
      </c>
      <c r="D7323" s="2" t="s">
        <v>5</v>
      </c>
    </row>
    <row r="7324" spans="1:4" x14ac:dyDescent="0.35">
      <c r="A7324" s="8" t="str">
        <f t="shared" si="3771"/>
        <v>Malaysia</v>
      </c>
      <c r="B7324" s="6" t="str">
        <f t="shared" si="3781"/>
        <v># of pro-rated MDRT agents (70%-90%)</v>
      </c>
      <c r="C7324" s="4" t="str">
        <f>CHOOSE(2, "5462030031", "Jul 26")</f>
        <v>Jul 26</v>
      </c>
      <c r="D7324" s="2" t="s">
        <v>5</v>
      </c>
    </row>
    <row r="7325" spans="1:4" x14ac:dyDescent="0.35">
      <c r="A7325" s="8" t="str">
        <f t="shared" si="3771"/>
        <v>Malaysia</v>
      </c>
      <c r="B7325" s="3" t="str">
        <f t="shared" ref="B7325:B7326" si="3782">CHOOSE(2, "1395000000635", "# of pro-rated MDRT agents (&lt;70%)")</f>
        <v># of pro-rated MDRT agents (&lt;70%)</v>
      </c>
      <c r="C7325" s="4" t="str">
        <f>CHOOSE(2, "5461730030", "Jun 26")</f>
        <v>Jun 26</v>
      </c>
      <c r="D7325" s="2" t="s">
        <v>5</v>
      </c>
    </row>
    <row r="7326" spans="1:4" x14ac:dyDescent="0.35">
      <c r="A7326" s="8" t="str">
        <f t="shared" si="3771"/>
        <v>Malaysia</v>
      </c>
      <c r="B7326" s="6" t="str">
        <f t="shared" si="3782"/>
        <v># of pro-rated MDRT agents (&lt;70%)</v>
      </c>
      <c r="C7326" s="4" t="str">
        <f>CHOOSE(2, "5462030031", "Jul 26")</f>
        <v>Jul 26</v>
      </c>
      <c r="D7326" s="2" t="s">
        <v>5</v>
      </c>
    </row>
    <row r="7327" spans="1:4" x14ac:dyDescent="0.35">
      <c r="A7327" s="8" t="str">
        <f t="shared" si="3771"/>
        <v>Malaysia</v>
      </c>
      <c r="B7327" s="3" t="str">
        <f t="shared" ref="B7327:B7328" si="3783">CHOOSE(2, "1395000000634", "# of pro-rated MDRT agents (50%-70%)")</f>
        <v># of pro-rated MDRT agents (50%-70%)</v>
      </c>
      <c r="C7327" s="4" t="str">
        <f>CHOOSE(2, "5461730030", "Jun 26")</f>
        <v>Jun 26</v>
      </c>
      <c r="D7327" s="2" t="s">
        <v>5</v>
      </c>
    </row>
    <row r="7328" spans="1:4" x14ac:dyDescent="0.35">
      <c r="A7328" s="8" t="str">
        <f t="shared" si="3771"/>
        <v>Malaysia</v>
      </c>
      <c r="B7328" s="6" t="str">
        <f t="shared" si="3783"/>
        <v># of pro-rated MDRT agents (50%-70%)</v>
      </c>
      <c r="C7328" s="4" t="str">
        <f>CHOOSE(2, "5462030031", "Jul 26")</f>
        <v>Jul 26</v>
      </c>
      <c r="D7328" s="2" t="s">
        <v>5</v>
      </c>
    </row>
    <row r="7329" spans="1:4" x14ac:dyDescent="0.35">
      <c r="A7329" s="8" t="str">
        <f t="shared" si="3771"/>
        <v>Malaysia</v>
      </c>
      <c r="B7329" s="3" t="str">
        <f t="shared" ref="B7329:B7330" si="3784">CHOOSE(2, "1395000000633", "# of pro-rated MDRT agents (&lt;50%)")</f>
        <v># of pro-rated MDRT agents (&lt;50%)</v>
      </c>
      <c r="C7329" s="4" t="str">
        <f>CHOOSE(2, "5461730030", "Jun 26")</f>
        <v>Jun 26</v>
      </c>
      <c r="D7329" s="2" t="s">
        <v>5</v>
      </c>
    </row>
    <row r="7330" spans="1:4" x14ac:dyDescent="0.35">
      <c r="A7330" s="8" t="str">
        <f t="shared" si="3771"/>
        <v>Malaysia</v>
      </c>
      <c r="B7330" s="6" t="str">
        <f t="shared" si="3784"/>
        <v># of pro-rated MDRT agents (&lt;50%)</v>
      </c>
      <c r="C7330" s="4" t="str">
        <f>CHOOSE(2, "5462030031", "Jul 26")</f>
        <v>Jul 26</v>
      </c>
      <c r="D7330" s="2" t="s">
        <v>5</v>
      </c>
    </row>
    <row r="7331" spans="1:4" x14ac:dyDescent="0.35">
      <c r="A7331" s="8" t="str">
        <f t="shared" si="3771"/>
        <v>Malaysia</v>
      </c>
      <c r="B7331" s="3" t="str">
        <f t="shared" ref="B7331:B7332" si="3785">CHOOSE(2, "1395000000632", "# of pro-rated MDRT agents (70-99%)")</f>
        <v># of pro-rated MDRT agents (70-99%)</v>
      </c>
      <c r="C7331" s="4" t="str">
        <f>CHOOSE(2, "5461730030", "Jun 26")</f>
        <v>Jun 26</v>
      </c>
      <c r="D7331" s="14">
        <v>32</v>
      </c>
    </row>
    <row r="7332" spans="1:4" x14ac:dyDescent="0.35">
      <c r="A7332" s="8" t="str">
        <f t="shared" si="3771"/>
        <v>Malaysia</v>
      </c>
      <c r="B7332" s="6" t="str">
        <f t="shared" si="3785"/>
        <v># of pro-rated MDRT agents (70-99%)</v>
      </c>
      <c r="C7332" s="4" t="str">
        <f>CHOOSE(2, "5462030031", "Jul 26")</f>
        <v>Jul 26</v>
      </c>
      <c r="D7332" s="14">
        <v>35</v>
      </c>
    </row>
    <row r="7333" spans="1:4" x14ac:dyDescent="0.35">
      <c r="A7333" s="8" t="str">
        <f t="shared" si="3771"/>
        <v>Malaysia</v>
      </c>
      <c r="B7333" s="3" t="str">
        <f t="shared" ref="B7333:B7334" si="3786">CHOOSE(2, "1395000000631", "# of pro-rated MDRT agents (50-69%)")</f>
        <v># of pro-rated MDRT agents (50-69%)</v>
      </c>
      <c r="C7333" s="4" t="str">
        <f>CHOOSE(2, "5461730030", "Jun 26")</f>
        <v>Jun 26</v>
      </c>
      <c r="D7333" s="14">
        <v>55</v>
      </c>
    </row>
    <row r="7334" spans="1:4" x14ac:dyDescent="0.35">
      <c r="A7334" s="8" t="str">
        <f t="shared" si="3771"/>
        <v>Malaysia</v>
      </c>
      <c r="B7334" s="6" t="str">
        <f t="shared" si="3786"/>
        <v># of pro-rated MDRT agents (50-69%)</v>
      </c>
      <c r="C7334" s="4" t="str">
        <f>CHOOSE(2, "5462030031", "Jul 26")</f>
        <v>Jul 26</v>
      </c>
      <c r="D7334" s="14">
        <v>51</v>
      </c>
    </row>
    <row r="7335" spans="1:4" x14ac:dyDescent="0.35">
      <c r="A7335" s="8" t="str">
        <f t="shared" si="3771"/>
        <v>Malaysia</v>
      </c>
      <c r="B7335" s="3" t="str">
        <f t="shared" ref="B7335:B7336" si="3787">CHOOSE(2, "1395000000630", "# of Top-tier agents")</f>
        <v># of Top-tier agents</v>
      </c>
      <c r="C7335" s="4" t="str">
        <f>CHOOSE(2, "5461730030", "Jun 26")</f>
        <v>Jun 26</v>
      </c>
      <c r="D7335" s="14">
        <v>108</v>
      </c>
    </row>
    <row r="7336" spans="1:4" x14ac:dyDescent="0.35">
      <c r="A7336" s="8" t="str">
        <f t="shared" si="3771"/>
        <v>Malaysia</v>
      </c>
      <c r="B7336" s="6" t="str">
        <f t="shared" si="3787"/>
        <v># of Top-tier agents</v>
      </c>
      <c r="C7336" s="4" t="str">
        <f>CHOOSE(2, "5462030031", "Jul 26")</f>
        <v>Jul 26</v>
      </c>
      <c r="D7336" s="14">
        <v>108</v>
      </c>
    </row>
    <row r="7337" spans="1:4" x14ac:dyDescent="0.35">
      <c r="A7337" s="8" t="str">
        <f t="shared" si="3771"/>
        <v>Malaysia</v>
      </c>
      <c r="B7337" s="3" t="str">
        <f t="shared" ref="B7337:B7338" si="3788">CHOOSE(2, "1395000000629", "$ APE from pro-rated MDRT agents (100%)")</f>
        <v>$ APE from pro-rated MDRT agents (100%)</v>
      </c>
      <c r="C7337" s="4" t="str">
        <f>CHOOSE(2, "5461730030", "Jun 26")</f>
        <v>Jun 26</v>
      </c>
      <c r="D7337" s="14">
        <v>240853.313509</v>
      </c>
    </row>
    <row r="7338" spans="1:4" x14ac:dyDescent="0.35">
      <c r="A7338" s="8" t="str">
        <f t="shared" si="3771"/>
        <v>Malaysia</v>
      </c>
      <c r="B7338" s="6" t="str">
        <f t="shared" si="3788"/>
        <v>$ APE from pro-rated MDRT agents (100%)</v>
      </c>
      <c r="C7338" s="4" t="str">
        <f>CHOOSE(2, "5462030031", "Jul 26")</f>
        <v>Jul 26</v>
      </c>
      <c r="D7338" s="14">
        <v>162538.275651</v>
      </c>
    </row>
    <row r="7339" spans="1:4" x14ac:dyDescent="0.35">
      <c r="A7339" s="8" t="str">
        <f t="shared" si="3771"/>
        <v>Malaysia</v>
      </c>
      <c r="B7339" s="3" t="str">
        <f t="shared" ref="B7339:B7340" si="3789">CHOOSE(2, "1395000000628", "$ APE from pro-rated MDRT agents (70-99%)")</f>
        <v>$ APE from pro-rated MDRT agents (70-99%)</v>
      </c>
      <c r="C7339" s="4" t="str">
        <f>CHOOSE(2, "5461730030", "Jun 26")</f>
        <v>Jun 26</v>
      </c>
      <c r="D7339" s="14">
        <v>184133.25208000001</v>
      </c>
    </row>
    <row r="7340" spans="1:4" x14ac:dyDescent="0.35">
      <c r="A7340" s="8" t="str">
        <f t="shared" si="3771"/>
        <v>Malaysia</v>
      </c>
      <c r="B7340" s="6" t="str">
        <f t="shared" si="3789"/>
        <v>$ APE from pro-rated MDRT agents (70-99%)</v>
      </c>
      <c r="C7340" s="4" t="str">
        <f>CHOOSE(2, "5462030031", "Jul 26")</f>
        <v>Jul 26</v>
      </c>
      <c r="D7340" s="14">
        <v>245897.81123699999</v>
      </c>
    </row>
    <row r="7341" spans="1:4" x14ac:dyDescent="0.35">
      <c r="A7341" s="8" t="str">
        <f t="shared" si="3771"/>
        <v>Malaysia</v>
      </c>
      <c r="B7341" s="3" t="str">
        <f t="shared" ref="B7341:B7342" si="3790">CHOOSE(2, "1395000000627", "$ APE from pro-rated MDRT agents (50-69%)")</f>
        <v>$ APE from pro-rated MDRT agents (50-69%)</v>
      </c>
      <c r="C7341" s="4" t="str">
        <f>CHOOSE(2, "5461730030", "Jun 26")</f>
        <v>Jun 26</v>
      </c>
      <c r="D7341" s="14">
        <v>251736.94554399999</v>
      </c>
    </row>
    <row r="7342" spans="1:4" x14ac:dyDescent="0.35">
      <c r="A7342" s="8" t="str">
        <f t="shared" si="3771"/>
        <v>Malaysia</v>
      </c>
      <c r="B7342" s="6" t="str">
        <f t="shared" si="3790"/>
        <v>$ APE from pro-rated MDRT agents (50-69%)</v>
      </c>
      <c r="C7342" s="4" t="str">
        <f>CHOOSE(2, "5462030031", "Jul 26")</f>
        <v>Jul 26</v>
      </c>
      <c r="D7342" s="14">
        <v>316637.339294</v>
      </c>
    </row>
    <row r="7343" spans="1:4" x14ac:dyDescent="0.35">
      <c r="A7343" s="8" t="str">
        <f t="shared" si="3771"/>
        <v>Malaysia</v>
      </c>
      <c r="B7343" s="3" t="str">
        <f t="shared" ref="B7343:B7344" si="3791">CHOOSE(2, "1395000000626", "$ APE from Top-tier agents")</f>
        <v>$ APE from Top-tier agents</v>
      </c>
      <c r="C7343" s="4" t="str">
        <f>CHOOSE(2, "5461730030", "Jun 26")</f>
        <v>Jun 26</v>
      </c>
      <c r="D7343" s="14">
        <v>676723.51113300002</v>
      </c>
    </row>
    <row r="7344" spans="1:4" x14ac:dyDescent="0.35">
      <c r="A7344" s="8" t="str">
        <f t="shared" si="3771"/>
        <v>Malaysia</v>
      </c>
      <c r="B7344" s="6" t="str">
        <f t="shared" si="3791"/>
        <v>$ APE from Top-tier agents</v>
      </c>
      <c r="C7344" s="4" t="str">
        <f>CHOOSE(2, "5462030031", "Jul 26")</f>
        <v>Jul 26</v>
      </c>
      <c r="D7344" s="14">
        <v>725073.42618199997</v>
      </c>
    </row>
    <row r="7345" spans="1:4" x14ac:dyDescent="0.35">
      <c r="A7345" s="8" t="str">
        <f t="shared" si="3771"/>
        <v>Malaysia</v>
      </c>
      <c r="B7345" s="3" t="str">
        <f t="shared" ref="B7345:B7346" si="3792">CHOOSE(2, "1395000000625", "# of MDRT qualifiers - YTD")</f>
        <v># of MDRT qualifiers - YTD</v>
      </c>
      <c r="C7345" s="4" t="str">
        <f>CHOOSE(2, "5461730030", "Jun 26")</f>
        <v>Jun 26</v>
      </c>
      <c r="D7345" s="14">
        <v>4</v>
      </c>
    </row>
    <row r="7346" spans="1:4" x14ac:dyDescent="0.35">
      <c r="A7346" s="8" t="str">
        <f t="shared" si="3771"/>
        <v>Malaysia</v>
      </c>
      <c r="B7346" s="6" t="str">
        <f t="shared" si="3792"/>
        <v># of MDRT qualifiers - YTD</v>
      </c>
      <c r="C7346" s="4" t="str">
        <f>CHOOSE(2, "5462030031", "Jul 26")</f>
        <v>Jul 26</v>
      </c>
      <c r="D7346" s="14">
        <v>5</v>
      </c>
    </row>
    <row r="7347" spans="1:4" x14ac:dyDescent="0.35">
      <c r="A7347" s="8" t="str">
        <f t="shared" si="3771"/>
        <v>Malaysia</v>
      </c>
      <c r="B7347" s="3" t="str">
        <f t="shared" ref="B7347:B7348" si="3793">CHOOSE(2, "1395000000624", "# of MDRT COT qualifiers - YTD")</f>
        <v># of MDRT COT qualifiers - YTD</v>
      </c>
      <c r="C7347" s="4" t="str">
        <f>CHOOSE(2, "5461730030", "Jun 26")</f>
        <v>Jun 26</v>
      </c>
      <c r="D7347" s="14">
        <v>0</v>
      </c>
    </row>
    <row r="7348" spans="1:4" x14ac:dyDescent="0.35">
      <c r="A7348" s="8" t="str">
        <f t="shared" si="3771"/>
        <v>Malaysia</v>
      </c>
      <c r="B7348" s="6" t="str">
        <f t="shared" si="3793"/>
        <v># of MDRT COT qualifiers - YTD</v>
      </c>
      <c r="C7348" s="4" t="str">
        <f>CHOOSE(2, "5462030031", "Jul 26")</f>
        <v>Jul 26</v>
      </c>
      <c r="D7348" s="14">
        <v>0</v>
      </c>
    </row>
    <row r="7349" spans="1:4" x14ac:dyDescent="0.35">
      <c r="A7349" s="8" t="str">
        <f t="shared" si="3771"/>
        <v>Malaysia</v>
      </c>
      <c r="B7349" s="3" t="str">
        <f t="shared" ref="B7349:B7350" si="3794">CHOOSE(2, "1395000000623", "# of MDRT TOT qualifiers - YTD")</f>
        <v># of MDRT TOT qualifiers - YTD</v>
      </c>
      <c r="C7349" s="4" t="str">
        <f>CHOOSE(2, "5461730030", "Jun 26")</f>
        <v>Jun 26</v>
      </c>
      <c r="D7349" s="14">
        <v>0</v>
      </c>
    </row>
    <row r="7350" spans="1:4" x14ac:dyDescent="0.35">
      <c r="A7350" s="8" t="str">
        <f t="shared" si="3771"/>
        <v>Malaysia</v>
      </c>
      <c r="B7350" s="6" t="str">
        <f t="shared" si="3794"/>
        <v># of MDRT TOT qualifiers - YTD</v>
      </c>
      <c r="C7350" s="4" t="str">
        <f>CHOOSE(2, "5462030031", "Jul 26")</f>
        <v>Jul 26</v>
      </c>
      <c r="D7350" s="14">
        <v>0</v>
      </c>
    </row>
    <row r="7351" spans="1:4" x14ac:dyDescent="0.35">
      <c r="A7351" s="8" t="str">
        <f t="shared" si="3771"/>
        <v>Malaysia</v>
      </c>
      <c r="B7351" s="3" t="str">
        <f t="shared" ref="B7351:B7352" si="3795">CHOOSE(2, "1395000000622", "Manulife Pro Qualifiers - Total")</f>
        <v>Manulife Pro Qualifiers - Total</v>
      </c>
      <c r="C7351" s="4" t="str">
        <f>CHOOSE(2, "5461730030", "Jun 26")</f>
        <v>Jun 26</v>
      </c>
      <c r="D7351" s="2" t="s">
        <v>5</v>
      </c>
    </row>
    <row r="7352" spans="1:4" x14ac:dyDescent="0.35">
      <c r="A7352" s="8" t="str">
        <f t="shared" si="3771"/>
        <v>Malaysia</v>
      </c>
      <c r="B7352" s="6" t="str">
        <f t="shared" si="3795"/>
        <v>Manulife Pro Qualifiers - Total</v>
      </c>
      <c r="C7352" s="4" t="str">
        <f>CHOOSE(2, "5462030031", "Jul 26")</f>
        <v>Jul 26</v>
      </c>
      <c r="D7352" s="2" t="s">
        <v>5</v>
      </c>
    </row>
    <row r="7353" spans="1:4" x14ac:dyDescent="0.35">
      <c r="A7353" s="8" t="str">
        <f t="shared" si="3771"/>
        <v>Malaysia</v>
      </c>
      <c r="B7353" s="3" t="str">
        <f t="shared" ref="B7353:B7354" si="3796">CHOOSE(2, "1395000000621", "Manulife Pro Qualifiers - Silver")</f>
        <v>Manulife Pro Qualifiers - Silver</v>
      </c>
      <c r="C7353" s="4" t="str">
        <f>CHOOSE(2, "5461730030", "Jun 26")</f>
        <v>Jun 26</v>
      </c>
      <c r="D7353" s="2" t="s">
        <v>5</v>
      </c>
    </row>
    <row r="7354" spans="1:4" x14ac:dyDescent="0.35">
      <c r="A7354" s="8" t="str">
        <f t="shared" si="3771"/>
        <v>Malaysia</v>
      </c>
      <c r="B7354" s="6" t="str">
        <f t="shared" si="3796"/>
        <v>Manulife Pro Qualifiers - Silver</v>
      </c>
      <c r="C7354" s="4" t="str">
        <f>CHOOSE(2, "5462030031", "Jul 26")</f>
        <v>Jul 26</v>
      </c>
      <c r="D7354" s="2" t="s">
        <v>5</v>
      </c>
    </row>
    <row r="7355" spans="1:4" x14ac:dyDescent="0.35">
      <c r="A7355" s="8" t="str">
        <f t="shared" si="3771"/>
        <v>Malaysia</v>
      </c>
      <c r="B7355" s="3" t="str">
        <f t="shared" ref="B7355:B7356" si="3797">CHOOSE(2, "1395000000620", "Manulife Pro Qualifiers - Gold")</f>
        <v>Manulife Pro Qualifiers - Gold</v>
      </c>
      <c r="C7355" s="4" t="str">
        <f>CHOOSE(2, "5461730030", "Jun 26")</f>
        <v>Jun 26</v>
      </c>
      <c r="D7355" s="2" t="s">
        <v>5</v>
      </c>
    </row>
    <row r="7356" spans="1:4" x14ac:dyDescent="0.35">
      <c r="A7356" s="8" t="str">
        <f t="shared" si="3771"/>
        <v>Malaysia</v>
      </c>
      <c r="B7356" s="6" t="str">
        <f t="shared" si="3797"/>
        <v>Manulife Pro Qualifiers - Gold</v>
      </c>
      <c r="C7356" s="4" t="str">
        <f>CHOOSE(2, "5462030031", "Jul 26")</f>
        <v>Jul 26</v>
      </c>
      <c r="D7356" s="2" t="s">
        <v>5</v>
      </c>
    </row>
    <row r="7357" spans="1:4" x14ac:dyDescent="0.35">
      <c r="A7357" s="8" t="str">
        <f t="shared" si="3771"/>
        <v>Malaysia</v>
      </c>
      <c r="B7357" s="3" t="str">
        <f t="shared" ref="B7357:B7358" si="3798">CHOOSE(2, "1395000000619", "Manulife Pro Qualifiers  - Platinum")</f>
        <v>Manulife Pro Qualifiers  - Platinum</v>
      </c>
      <c r="C7357" s="4" t="str">
        <f>CHOOSE(2, "5461730030", "Jun 26")</f>
        <v>Jun 26</v>
      </c>
      <c r="D7357" s="2" t="s">
        <v>5</v>
      </c>
    </row>
    <row r="7358" spans="1:4" x14ac:dyDescent="0.35">
      <c r="A7358" s="8" t="str">
        <f t="shared" si="3771"/>
        <v>Malaysia</v>
      </c>
      <c r="B7358" s="6" t="str">
        <f t="shared" si="3798"/>
        <v>Manulife Pro Qualifiers  - Platinum</v>
      </c>
      <c r="C7358" s="4" t="str">
        <f>CHOOSE(2, "5462030031", "Jul 26")</f>
        <v>Jul 26</v>
      </c>
      <c r="D7358" s="2" t="s">
        <v>5</v>
      </c>
    </row>
    <row r="7359" spans="1:4" x14ac:dyDescent="0.35">
      <c r="A7359" s="8" t="str">
        <f t="shared" si="3771"/>
        <v>Malaysia</v>
      </c>
      <c r="B7359" s="3" t="str">
        <f t="shared" ref="B7359:B7360" si="3799">CHOOSE(2, "1395000000618", "$ APE from Manulife Pro - Total")</f>
        <v>$ APE from Manulife Pro - Total</v>
      </c>
      <c r="C7359" s="4" t="str">
        <f>CHOOSE(2, "5461730030", "Jun 26")</f>
        <v>Jun 26</v>
      </c>
      <c r="D7359" s="2" t="s">
        <v>5</v>
      </c>
    </row>
    <row r="7360" spans="1:4" x14ac:dyDescent="0.35">
      <c r="A7360" s="8" t="str">
        <f t="shared" si="3771"/>
        <v>Malaysia</v>
      </c>
      <c r="B7360" s="6" t="str">
        <f t="shared" si="3799"/>
        <v>$ APE from Manulife Pro - Total</v>
      </c>
      <c r="C7360" s="4" t="str">
        <f>CHOOSE(2, "5462030031", "Jul 26")</f>
        <v>Jul 26</v>
      </c>
      <c r="D7360" s="2" t="s">
        <v>5</v>
      </c>
    </row>
    <row r="7361" spans="1:4" x14ac:dyDescent="0.35">
      <c r="A7361" s="8" t="str">
        <f t="shared" si="3771"/>
        <v>Malaysia</v>
      </c>
      <c r="B7361" s="3" t="str">
        <f t="shared" ref="B7361:B7362" si="3800">CHOOSE(2, "1395000000617", "$ APE from Manulife Pro - Silver")</f>
        <v>$ APE from Manulife Pro - Silver</v>
      </c>
      <c r="C7361" s="4" t="str">
        <f>CHOOSE(2, "5461730030", "Jun 26")</f>
        <v>Jun 26</v>
      </c>
      <c r="D7361" s="2" t="s">
        <v>5</v>
      </c>
    </row>
    <row r="7362" spans="1:4" x14ac:dyDescent="0.35">
      <c r="A7362" s="8" t="str">
        <f t="shared" si="3771"/>
        <v>Malaysia</v>
      </c>
      <c r="B7362" s="6" t="str">
        <f t="shared" si="3800"/>
        <v>$ APE from Manulife Pro - Silver</v>
      </c>
      <c r="C7362" s="4" t="str">
        <f>CHOOSE(2, "5462030031", "Jul 26")</f>
        <v>Jul 26</v>
      </c>
      <c r="D7362" s="2" t="s">
        <v>5</v>
      </c>
    </row>
    <row r="7363" spans="1:4" x14ac:dyDescent="0.35">
      <c r="A7363" s="8" t="str">
        <f t="shared" si="3771"/>
        <v>Malaysia</v>
      </c>
      <c r="B7363" s="3" t="str">
        <f t="shared" ref="B7363:B7364" si="3801">CHOOSE(2, "1395000000616", "$ APE from Manulife Pro - Gold")</f>
        <v>$ APE from Manulife Pro - Gold</v>
      </c>
      <c r="C7363" s="4" t="str">
        <f>CHOOSE(2, "5461730030", "Jun 26")</f>
        <v>Jun 26</v>
      </c>
      <c r="D7363" s="2" t="s">
        <v>5</v>
      </c>
    </row>
    <row r="7364" spans="1:4" x14ac:dyDescent="0.35">
      <c r="A7364" s="8" t="str">
        <f t="shared" si="3771"/>
        <v>Malaysia</v>
      </c>
      <c r="B7364" s="6" t="str">
        <f t="shared" si="3801"/>
        <v>$ APE from Manulife Pro - Gold</v>
      </c>
      <c r="C7364" s="4" t="str">
        <f>CHOOSE(2, "5462030031", "Jul 26")</f>
        <v>Jul 26</v>
      </c>
      <c r="D7364" s="2" t="s">
        <v>5</v>
      </c>
    </row>
    <row r="7365" spans="1:4" x14ac:dyDescent="0.35">
      <c r="A7365" s="8" t="str">
        <f t="shared" si="3771"/>
        <v>Malaysia</v>
      </c>
      <c r="B7365" s="3" t="str">
        <f t="shared" ref="B7365:B7366" si="3802">CHOOSE(2, "1395000000615", "$ APE from Manulife Pro  - Platinum")</f>
        <v>$ APE from Manulife Pro  - Platinum</v>
      </c>
      <c r="C7365" s="4" t="str">
        <f>CHOOSE(2, "5461730030", "Jun 26")</f>
        <v>Jun 26</v>
      </c>
      <c r="D7365" s="2" t="s">
        <v>5</v>
      </c>
    </row>
    <row r="7366" spans="1:4" x14ac:dyDescent="0.35">
      <c r="A7366" s="8" t="str">
        <f t="shared" si="3771"/>
        <v>Malaysia</v>
      </c>
      <c r="B7366" s="6" t="str">
        <f t="shared" si="3802"/>
        <v>$ APE from Manulife Pro  - Platinum</v>
      </c>
      <c r="C7366" s="4" t="str">
        <f>CHOOSE(2, "5462030031", "Jul 26")</f>
        <v>Jul 26</v>
      </c>
      <c r="D7366" s="2" t="s">
        <v>5</v>
      </c>
    </row>
    <row r="7367" spans="1:4" x14ac:dyDescent="0.35">
      <c r="A7367" s="8" t="str">
        <f t="shared" si="3771"/>
        <v>Malaysia</v>
      </c>
      <c r="B7367" s="3" t="str">
        <f t="shared" ref="B7367:B7368" si="3803">CHOOSE(2, "1395000000614", "Issued APE")</f>
        <v>Issued APE</v>
      </c>
      <c r="C7367" s="4" t="str">
        <f>CHOOSE(2, "5461730030", "Jun 26")</f>
        <v>Jun 26</v>
      </c>
      <c r="D7367" s="14">
        <v>1989012.8510195799</v>
      </c>
    </row>
    <row r="7368" spans="1:4" x14ac:dyDescent="0.35">
      <c r="A7368" s="8" t="str">
        <f t="shared" si="3771"/>
        <v>Malaysia</v>
      </c>
      <c r="B7368" s="6" t="str">
        <f t="shared" si="3803"/>
        <v>Issued APE</v>
      </c>
      <c r="C7368" s="4" t="str">
        <f>CHOOSE(2, "5462030031", "Jul 26")</f>
        <v>Jul 26</v>
      </c>
      <c r="D7368" s="14">
        <v>2026112.8594190197</v>
      </c>
    </row>
    <row r="7369" spans="1:4" x14ac:dyDescent="0.35">
      <c r="A7369" s="8" t="str">
        <f t="shared" ref="A7369:A7432" si="3804">CHOOSE(2, "204000000008", "Malaysia")</f>
        <v>Malaysia</v>
      </c>
      <c r="B7369" s="3" t="str">
        <f t="shared" ref="B7369:B7370" si="3805">CHOOSE(2, "1395000000613", "Post-MI APE")</f>
        <v>Post-MI APE</v>
      </c>
      <c r="C7369" s="4" t="str">
        <f>CHOOSE(2, "5461730030", "Jun 26")</f>
        <v>Jun 26</v>
      </c>
      <c r="D7369" s="14">
        <v>1259244.0369559999</v>
      </c>
    </row>
    <row r="7370" spans="1:4" x14ac:dyDescent="0.35">
      <c r="A7370" s="8" t="str">
        <f t="shared" si="3804"/>
        <v>Malaysia</v>
      </c>
      <c r="B7370" s="6" t="str">
        <f t="shared" si="3805"/>
        <v>Post-MI APE</v>
      </c>
      <c r="C7370" s="4" t="str">
        <f>CHOOSE(2, "5462030031", "Jul 26")</f>
        <v>Jul 26</v>
      </c>
      <c r="D7370" s="14">
        <v>1296307.0077072899</v>
      </c>
    </row>
    <row r="7371" spans="1:4" x14ac:dyDescent="0.35">
      <c r="A7371" s="8" t="str">
        <f t="shared" si="3804"/>
        <v>Malaysia</v>
      </c>
      <c r="B7371" s="3" t="str">
        <f t="shared" ref="B7371:B7372" si="3806">CHOOSE(2, "1395000000610", "Pre-gap NBV")</f>
        <v>Pre-gap NBV</v>
      </c>
      <c r="C7371" s="4" t="str">
        <f>CHOOSE(2, "5461730030", "Jun 26")</f>
        <v>Jun 26</v>
      </c>
      <c r="D7371" s="14">
        <v>357062.37574378995</v>
      </c>
    </row>
    <row r="7372" spans="1:4" x14ac:dyDescent="0.35">
      <c r="A7372" s="8" t="str">
        <f t="shared" si="3804"/>
        <v>Malaysia</v>
      </c>
      <c r="B7372" s="6" t="str">
        <f t="shared" si="3806"/>
        <v>Pre-gap NBV</v>
      </c>
      <c r="C7372" s="4" t="str">
        <f>CHOOSE(2, "5462030031", "Jul 26")</f>
        <v>Jul 26</v>
      </c>
      <c r="D7372" s="14">
        <v>345362.37644397997</v>
      </c>
    </row>
    <row r="7373" spans="1:4" x14ac:dyDescent="0.35">
      <c r="A7373" s="8" t="str">
        <f t="shared" si="3804"/>
        <v>Malaysia</v>
      </c>
      <c r="B7373" s="3" t="str">
        <f t="shared" ref="B7373:B7374" si="3807">CHOOSE(2, "1395000000609", "Pre-gap NBV Margin %")</f>
        <v>Pre-gap NBV Margin %</v>
      </c>
      <c r="C7373" s="4" t="str">
        <f>CHOOSE(2, "5461730030", "Jun 26")</f>
        <v>Jun 26</v>
      </c>
      <c r="D7373" s="14">
        <v>0.28355296135205466</v>
      </c>
    </row>
    <row r="7374" spans="1:4" x14ac:dyDescent="0.35">
      <c r="A7374" s="8" t="str">
        <f t="shared" si="3804"/>
        <v>Malaysia</v>
      </c>
      <c r="B7374" s="6" t="str">
        <f t="shared" si="3807"/>
        <v>Pre-gap NBV Margin %</v>
      </c>
      <c r="C7374" s="4" t="str">
        <f>CHOOSE(2, "5462030031", "Jul 26")</f>
        <v>Jul 26</v>
      </c>
      <c r="D7374" s="14">
        <v>0.26642020323164362</v>
      </c>
    </row>
    <row r="7375" spans="1:4" x14ac:dyDescent="0.35">
      <c r="A7375" s="8" t="str">
        <f t="shared" si="3804"/>
        <v>Malaysia</v>
      </c>
      <c r="B7375" s="3" t="str">
        <f t="shared" ref="B7375:B7376" si="3808">CHOOSE(2, "1395000000608", "Post-gap NBV")</f>
        <v>Post-gap NBV</v>
      </c>
      <c r="C7375" s="4" t="str">
        <f>CHOOSE(2, "5461730030", "Jun 26")</f>
        <v>Jun 26</v>
      </c>
      <c r="D7375" s="14">
        <v>357062.37574378995</v>
      </c>
    </row>
    <row r="7376" spans="1:4" x14ac:dyDescent="0.35">
      <c r="A7376" s="8" t="str">
        <f t="shared" si="3804"/>
        <v>Malaysia</v>
      </c>
      <c r="B7376" s="6" t="str">
        <f t="shared" si="3808"/>
        <v>Post-gap NBV</v>
      </c>
      <c r="C7376" s="4" t="str">
        <f>CHOOSE(2, "5462030031", "Jul 26")</f>
        <v>Jul 26</v>
      </c>
      <c r="D7376" s="14">
        <v>345362.37644397997</v>
      </c>
    </row>
    <row r="7377" spans="1:4" x14ac:dyDescent="0.35">
      <c r="A7377" s="8" t="str">
        <f t="shared" si="3804"/>
        <v>Malaysia</v>
      </c>
      <c r="B7377" s="3" t="str">
        <f t="shared" ref="B7377:B7378" si="3809">CHOOSE(2, "1395000000607", "Post-gap NBV Margin %")</f>
        <v>Post-gap NBV Margin %</v>
      </c>
      <c r="C7377" s="4" t="str">
        <f>CHOOSE(2, "5461730030", "Jun 26")</f>
        <v>Jun 26</v>
      </c>
      <c r="D7377" s="14">
        <v>0.28355296135205466</v>
      </c>
    </row>
    <row r="7378" spans="1:4" x14ac:dyDescent="0.35">
      <c r="A7378" s="8" t="str">
        <f t="shared" si="3804"/>
        <v>Malaysia</v>
      </c>
      <c r="B7378" s="6" t="str">
        <f t="shared" si="3809"/>
        <v>Post-gap NBV Margin %</v>
      </c>
      <c r="C7378" s="4" t="str">
        <f>CHOOSE(2, "5462030031", "Jul 26")</f>
        <v>Jul 26</v>
      </c>
      <c r="D7378" s="14">
        <v>0.26642020323164362</v>
      </c>
    </row>
    <row r="7379" spans="1:4" x14ac:dyDescent="0.35">
      <c r="A7379" s="8" t="str">
        <f t="shared" si="3804"/>
        <v>Malaysia</v>
      </c>
      <c r="B7379" s="3" t="str">
        <f t="shared" ref="B7379:B7380" si="3810">CHOOSE(2, "1395000000606", "NB CSM")</f>
        <v>NB CSM</v>
      </c>
      <c r="C7379" s="4" t="str">
        <f>CHOOSE(2, "5461730030", "Jun 26")</f>
        <v>Jun 26</v>
      </c>
      <c r="D7379" s="14">
        <v>176738.96695303998</v>
      </c>
    </row>
    <row r="7380" spans="1:4" x14ac:dyDescent="0.35">
      <c r="A7380" s="8" t="str">
        <f t="shared" si="3804"/>
        <v>Malaysia</v>
      </c>
      <c r="B7380" s="6" t="str">
        <f t="shared" si="3810"/>
        <v>NB CSM</v>
      </c>
      <c r="C7380" s="4" t="str">
        <f>CHOOSE(2, "5462030031", "Jul 26")</f>
        <v>Jul 26</v>
      </c>
      <c r="D7380" s="14">
        <v>192728.93841266999</v>
      </c>
    </row>
    <row r="7381" spans="1:4" x14ac:dyDescent="0.35">
      <c r="A7381" s="8" t="str">
        <f t="shared" si="3804"/>
        <v>Malaysia</v>
      </c>
      <c r="B7381" s="3" t="str">
        <f t="shared" ref="B7381:B7382" si="3811">CHOOSE(2, "1395000000605", "NB CSM Margin %")</f>
        <v>NB CSM Margin %</v>
      </c>
      <c r="C7381" s="4" t="str">
        <f>CHOOSE(2, "5461730030", "Jun 26")</f>
        <v>Jun 26</v>
      </c>
      <c r="D7381" s="14">
        <v>0.14035322921224644</v>
      </c>
    </row>
    <row r="7382" spans="1:4" x14ac:dyDescent="0.35">
      <c r="A7382" s="8" t="str">
        <f t="shared" si="3804"/>
        <v>Malaysia</v>
      </c>
      <c r="B7382" s="6" t="str">
        <f t="shared" si="3811"/>
        <v>NB CSM Margin %</v>
      </c>
      <c r="C7382" s="4" t="str">
        <f>CHOOSE(2, "5462030031", "Jul 26")</f>
        <v>Jul 26</v>
      </c>
      <c r="D7382" s="14">
        <v>0.14867538111480208</v>
      </c>
    </row>
    <row r="7383" spans="1:4" x14ac:dyDescent="0.35">
      <c r="A7383" s="8" t="str">
        <f t="shared" si="3804"/>
        <v>Malaysia</v>
      </c>
      <c r="B7383" s="3" t="str">
        <f t="shared" ref="B7383:B7384" si="3812">CHOOSE(2, "1395000000604", "PRE")</f>
        <v>PRE</v>
      </c>
      <c r="C7383" s="4" t="str">
        <f>CHOOSE(2, "5461730030", "Jun 26")</f>
        <v>Jun 26</v>
      </c>
      <c r="D7383" s="14">
        <v>382207.19086111017</v>
      </c>
    </row>
    <row r="7384" spans="1:4" x14ac:dyDescent="0.35">
      <c r="A7384" s="8" t="str">
        <f t="shared" si="3804"/>
        <v>Malaysia</v>
      </c>
      <c r="B7384" s="6" t="str">
        <f t="shared" si="3812"/>
        <v>PRE</v>
      </c>
      <c r="C7384" s="4" t="str">
        <f>CHOOSE(2, "5462030031", "Jul 26")</f>
        <v>Jul 26</v>
      </c>
      <c r="D7384" s="14">
        <v>379643.08990360174</v>
      </c>
    </row>
    <row r="7385" spans="1:4" x14ac:dyDescent="0.35">
      <c r="A7385" s="8" t="str">
        <f t="shared" si="3804"/>
        <v>Malaysia</v>
      </c>
      <c r="B7385" s="3" t="str">
        <f t="shared" ref="B7385:B7386" si="3813">CHOOSE(2, "1395000000603", "ContEx")</f>
        <v>ContEx</v>
      </c>
      <c r="C7385" s="4" t="str">
        <f>CHOOSE(2, "5461730030", "Jun 26")</f>
        <v>Jun 26</v>
      </c>
      <c r="D7385" s="14">
        <v>0</v>
      </c>
    </row>
    <row r="7386" spans="1:4" x14ac:dyDescent="0.35">
      <c r="A7386" s="8" t="str">
        <f t="shared" si="3804"/>
        <v>Malaysia</v>
      </c>
      <c r="B7386" s="6" t="str">
        <f t="shared" si="3813"/>
        <v>ContEx</v>
      </c>
      <c r="C7386" s="4" t="str">
        <f>CHOOSE(2, "5462030031", "Jul 26")</f>
        <v>Jul 26</v>
      </c>
      <c r="D7386" s="14">
        <v>0</v>
      </c>
    </row>
    <row r="7387" spans="1:4" x14ac:dyDescent="0.35">
      <c r="A7387" s="8" t="str">
        <f t="shared" si="3804"/>
        <v>Malaysia</v>
      </c>
      <c r="B7387" s="3" t="str">
        <f t="shared" ref="B7387:B7388" si="3814">CHOOSE(2, "1395000000602", "% of 6-90 agents")</f>
        <v>% of 6-90 agents</v>
      </c>
      <c r="C7387" s="4" t="str">
        <f>CHOOSE(2, "5461730030", "Jun 26")</f>
        <v>Jun 26</v>
      </c>
      <c r="D7387" s="14">
        <v>7.4468085106382975E-2</v>
      </c>
    </row>
    <row r="7388" spans="1:4" x14ac:dyDescent="0.35">
      <c r="A7388" s="8" t="str">
        <f t="shared" si="3804"/>
        <v>Malaysia</v>
      </c>
      <c r="B7388" s="6" t="str">
        <f t="shared" si="3814"/>
        <v>% of 6-90 agents</v>
      </c>
      <c r="C7388" s="4" t="str">
        <f>CHOOSE(2, "5462030031", "Jul 26")</f>
        <v>Jul 26</v>
      </c>
      <c r="D7388" s="14">
        <v>6.9364161849710976E-2</v>
      </c>
    </row>
    <row r="7389" spans="1:4" x14ac:dyDescent="0.35">
      <c r="A7389" s="8" t="str">
        <f t="shared" si="3804"/>
        <v>Malaysia</v>
      </c>
      <c r="B7389" s="3" t="str">
        <f t="shared" ref="B7389:B7390" si="3815">CHOOSE(2, "1395000000601", "New Recruits 3M Activation Rate")</f>
        <v>New Recruits 3M Activation Rate</v>
      </c>
      <c r="C7389" s="4" t="str">
        <f>CHOOSE(2, "5461730030", "Jun 26")</f>
        <v>Jun 26</v>
      </c>
      <c r="D7389" s="14">
        <v>0.30769230769230771</v>
      </c>
    </row>
    <row r="7390" spans="1:4" x14ac:dyDescent="0.35">
      <c r="A7390" s="8" t="str">
        <f t="shared" si="3804"/>
        <v>Malaysia</v>
      </c>
      <c r="B7390" s="6" t="str">
        <f t="shared" si="3815"/>
        <v>New Recruits 3M Activation Rate</v>
      </c>
      <c r="C7390" s="4" t="str">
        <f>CHOOSE(2, "5462030031", "Jul 26")</f>
        <v>Jul 26</v>
      </c>
      <c r="D7390" s="14">
        <v>0.4098360655737705</v>
      </c>
    </row>
    <row r="7391" spans="1:4" x14ac:dyDescent="0.35">
      <c r="A7391" s="8" t="str">
        <f t="shared" si="3804"/>
        <v>Malaysia</v>
      </c>
      <c r="B7391" s="3" t="str">
        <f t="shared" ref="B7391:B7392" si="3816">CHOOSE(2, "1395000000600", "No. of Recruits from leaders")</f>
        <v>No. of Recruits from leaders</v>
      </c>
      <c r="C7391" s="4" t="str">
        <f>CHOOSE(2, "5461730030", "Jun 26")</f>
        <v>Jun 26</v>
      </c>
      <c r="D7391" s="2" t="s">
        <v>5</v>
      </c>
    </row>
    <row r="7392" spans="1:4" x14ac:dyDescent="0.35">
      <c r="A7392" s="8" t="str">
        <f t="shared" si="3804"/>
        <v>Malaysia</v>
      </c>
      <c r="B7392" s="6" t="str">
        <f t="shared" si="3816"/>
        <v>No. of Recruits from leaders</v>
      </c>
      <c r="C7392" s="4" t="str">
        <f>CHOOSE(2, "5462030031", "Jul 26")</f>
        <v>Jul 26</v>
      </c>
      <c r="D7392" s="2" t="s">
        <v>5</v>
      </c>
    </row>
    <row r="7393" spans="1:4" x14ac:dyDescent="0.35">
      <c r="A7393" s="8" t="str">
        <f t="shared" si="3804"/>
        <v>Malaysia</v>
      </c>
      <c r="B7393" s="3" t="str">
        <f t="shared" ref="B7393:B7394" si="3817">CHOOSE(2, "1395000000599", "No. of Recruits per Active Recruiting Leader per month")</f>
        <v>No. of Recruits per Active Recruiting Leader per month</v>
      </c>
      <c r="C7393" s="4" t="str">
        <f>CHOOSE(2, "5461730030", "Jun 26")</f>
        <v>Jun 26</v>
      </c>
      <c r="D7393" s="14">
        <v>0</v>
      </c>
    </row>
    <row r="7394" spans="1:4" x14ac:dyDescent="0.35">
      <c r="A7394" s="8" t="str">
        <f t="shared" si="3804"/>
        <v>Malaysia</v>
      </c>
      <c r="B7394" s="6" t="str">
        <f t="shared" si="3817"/>
        <v>No. of Recruits per Active Recruiting Leader per month</v>
      </c>
      <c r="C7394" s="4" t="str">
        <f>CHOOSE(2, "5462030031", "Jul 26")</f>
        <v>Jul 26</v>
      </c>
      <c r="D7394" s="14">
        <v>0</v>
      </c>
    </row>
    <row r="7395" spans="1:4" x14ac:dyDescent="0.35">
      <c r="A7395" s="8" t="str">
        <f t="shared" si="3804"/>
        <v>Malaysia</v>
      </c>
      <c r="B7395" s="3" t="str">
        <f t="shared" ref="B7395:B7396" si="3818">CHOOSE(2, "1395000000598", "PRE as % of APE")</f>
        <v>PRE as % of APE</v>
      </c>
      <c r="C7395" s="4" t="str">
        <f>CHOOSE(2, "5461730030", "Jun 26")</f>
        <v>Jun 26</v>
      </c>
      <c r="D7395" s="14">
        <v>0.19215923651030634</v>
      </c>
    </row>
    <row r="7396" spans="1:4" x14ac:dyDescent="0.35">
      <c r="A7396" s="8" t="str">
        <f t="shared" si="3804"/>
        <v>Malaysia</v>
      </c>
      <c r="B7396" s="6" t="str">
        <f t="shared" si="3818"/>
        <v>PRE as % of APE</v>
      </c>
      <c r="C7396" s="4" t="str">
        <f>CHOOSE(2, "5462030031", "Jul 26")</f>
        <v>Jul 26</v>
      </c>
      <c r="D7396" s="14">
        <v>0.18737509519211235</v>
      </c>
    </row>
    <row r="7397" spans="1:4" x14ac:dyDescent="0.35">
      <c r="A7397" s="8" t="str">
        <f t="shared" si="3804"/>
        <v>Malaysia</v>
      </c>
      <c r="B7397" s="3" t="str">
        <f t="shared" ref="B7397:B7398" si="3819">CHOOSE(2, "1395000000597", "ContEx as % of APE")</f>
        <v>ContEx as % of APE</v>
      </c>
      <c r="C7397" s="4" t="str">
        <f>CHOOSE(2, "5461730030", "Jun 26")</f>
        <v>Jun 26</v>
      </c>
      <c r="D7397" s="14">
        <v>0</v>
      </c>
    </row>
    <row r="7398" spans="1:4" x14ac:dyDescent="0.35">
      <c r="A7398" s="8" t="str">
        <f t="shared" si="3804"/>
        <v>Malaysia</v>
      </c>
      <c r="B7398" s="6" t="str">
        <f t="shared" si="3819"/>
        <v>ContEx as % of APE</v>
      </c>
      <c r="C7398" s="4" t="str">
        <f>CHOOSE(2, "5462030031", "Jul 26")</f>
        <v>Jul 26</v>
      </c>
      <c r="D7398" s="14">
        <v>0</v>
      </c>
    </row>
    <row r="7399" spans="1:4" x14ac:dyDescent="0.35">
      <c r="A7399" s="8" t="str">
        <f t="shared" si="3804"/>
        <v>Malaysia</v>
      </c>
      <c r="B7399" s="3" t="str">
        <f t="shared" ref="B7399:B7400" si="3820">CHOOSE(2, "1395000000596", "% of 1-Month Active Agents")</f>
        <v>% of 1-Month Active Agents</v>
      </c>
      <c r="C7399" s="4" t="str">
        <f>CHOOSE(2, "5461730030", "Jun 26")</f>
        <v>Jun 26</v>
      </c>
      <c r="D7399" s="14">
        <v>0.29457364341085274</v>
      </c>
    </row>
    <row r="7400" spans="1:4" x14ac:dyDescent="0.35">
      <c r="A7400" s="8" t="str">
        <f t="shared" si="3804"/>
        <v>Malaysia</v>
      </c>
      <c r="B7400" s="6" t="str">
        <f t="shared" si="3820"/>
        <v>% of 1-Month Active Agents</v>
      </c>
      <c r="C7400" s="4" t="str">
        <f>CHOOSE(2, "5462030031", "Jul 26")</f>
        <v>Jul 26</v>
      </c>
      <c r="D7400" s="14">
        <v>0.27940513744930151</v>
      </c>
    </row>
    <row r="7401" spans="1:4" x14ac:dyDescent="0.35">
      <c r="A7401" s="8" t="str">
        <f t="shared" si="3804"/>
        <v>Malaysia</v>
      </c>
      <c r="B7401" s="3" t="str">
        <f t="shared" ref="B7401:B7402" si="3821">CHOOSE(2, "1395000000595", "% of 3-Month Active Agents")</f>
        <v>% of 3-Month Active Agents</v>
      </c>
      <c r="C7401" s="4" t="str">
        <f>CHOOSE(2, "5461730030", "Jun 26")</f>
        <v>Jun 26</v>
      </c>
      <c r="D7401" s="14">
        <v>0.16153496132261488</v>
      </c>
    </row>
    <row r="7402" spans="1:4" x14ac:dyDescent="0.35">
      <c r="A7402" s="8" t="str">
        <f t="shared" si="3804"/>
        <v>Malaysia</v>
      </c>
      <c r="B7402" s="6" t="str">
        <f t="shared" si="3821"/>
        <v>% of 3-Month Active Agents</v>
      </c>
      <c r="C7402" s="4" t="str">
        <f>CHOOSE(2, "5462030031", "Jul 26")</f>
        <v>Jul 26</v>
      </c>
      <c r="D7402" s="14">
        <v>0.16136882129277566</v>
      </c>
    </row>
    <row r="7403" spans="1:4" x14ac:dyDescent="0.35">
      <c r="A7403" s="8" t="str">
        <f t="shared" si="3804"/>
        <v>Malaysia</v>
      </c>
      <c r="B7403" s="3" t="str">
        <f t="shared" ref="B7403:B7404" si="3822">CHOOSE(2, "1395000000594", "Active agents per active leader")</f>
        <v>Active agents per active leader</v>
      </c>
      <c r="C7403" s="4" t="str">
        <f>CHOOSE(2, "5461730030", "Jun 26")</f>
        <v>Jun 26</v>
      </c>
      <c r="D7403" s="14">
        <v>29.363636363636363</v>
      </c>
    </row>
    <row r="7404" spans="1:4" x14ac:dyDescent="0.35">
      <c r="A7404" s="8" t="str">
        <f t="shared" si="3804"/>
        <v>Malaysia</v>
      </c>
      <c r="B7404" s="6" t="str">
        <f t="shared" si="3822"/>
        <v>Active agents per active leader</v>
      </c>
      <c r="C7404" s="4" t="str">
        <f>CHOOSE(2, "5462030031", "Jul 26")</f>
        <v>Jul 26</v>
      </c>
      <c r="D7404" s="14">
        <v>28.181818181818183</v>
      </c>
    </row>
    <row r="7405" spans="1:4" x14ac:dyDescent="0.35">
      <c r="A7405" s="8" t="str">
        <f t="shared" si="3804"/>
        <v>Malaysia</v>
      </c>
      <c r="B7405" s="3" t="str">
        <f t="shared" ref="B7405:B7406" si="3823">CHOOSE(2, "1395000000593", "Avg. Case count per 1-Month Active Agent")</f>
        <v>Avg. Case count per 1-Month Active Agent</v>
      </c>
      <c r="C7405" s="4" t="str">
        <f>CHOOSE(2, "5461730030", "Jun 26")</f>
        <v>Jun 26</v>
      </c>
      <c r="D7405" s="14">
        <v>2.3907120743034058</v>
      </c>
    </row>
    <row r="7406" spans="1:4" x14ac:dyDescent="0.35">
      <c r="A7406" s="8" t="str">
        <f t="shared" si="3804"/>
        <v>Malaysia</v>
      </c>
      <c r="B7406" s="6" t="str">
        <f t="shared" si="3823"/>
        <v>Avg. Case count per 1-Month Active Agent</v>
      </c>
      <c r="C7406" s="4" t="str">
        <f>CHOOSE(2, "5462030031", "Jul 26")</f>
        <v>Jul 26</v>
      </c>
      <c r="D7406" s="14">
        <v>2.4374193548387098</v>
      </c>
    </row>
    <row r="7407" spans="1:4" x14ac:dyDescent="0.35">
      <c r="A7407" s="8" t="str">
        <f t="shared" si="3804"/>
        <v>Malaysia</v>
      </c>
      <c r="B7407" s="3" t="str">
        <f t="shared" ref="B7407:B7408" si="3824">CHOOSE(2, "1395000000592", "Avg. Case size")</f>
        <v>Avg. Case size</v>
      </c>
      <c r="C7407" s="4" t="str">
        <f>CHOOSE(2, "5461730030", "Jun 26")</f>
        <v>Jun 26</v>
      </c>
      <c r="D7407" s="14">
        <v>1287.8871089222869</v>
      </c>
    </row>
    <row r="7408" spans="1:4" x14ac:dyDescent="0.35">
      <c r="A7408" s="8" t="str">
        <f t="shared" si="3804"/>
        <v>Malaysia</v>
      </c>
      <c r="B7408" s="6" t="str">
        <f t="shared" si="3824"/>
        <v>Avg. Case size</v>
      </c>
      <c r="C7408" s="4" t="str">
        <f>CHOOSE(2, "5462030031", "Jul 26")</f>
        <v>Jul 26</v>
      </c>
      <c r="D7408" s="14">
        <v>1340.7311139617652</v>
      </c>
    </row>
    <row r="7409" spans="1:4" x14ac:dyDescent="0.35">
      <c r="A7409" s="8" t="str">
        <f t="shared" si="3804"/>
        <v>Malaysia</v>
      </c>
      <c r="B7409" s="3" t="str">
        <f t="shared" ref="B7409:B7410" si="3825">CHOOSE(2, "1395000000591", "APE per 1-Month Active Agent")</f>
        <v>APE per 1-Month Active Agent</v>
      </c>
      <c r="C7409" s="4" t="str">
        <f>CHOOSE(2, "5461730030", "Jun 26")</f>
        <v>Jun 26</v>
      </c>
      <c r="D7409" s="14">
        <v>3078.9672616402167</v>
      </c>
    </row>
    <row r="7410" spans="1:4" x14ac:dyDescent="0.35">
      <c r="A7410" s="8" t="str">
        <f t="shared" si="3804"/>
        <v>Malaysia</v>
      </c>
      <c r="B7410" s="6" t="str">
        <f t="shared" si="3825"/>
        <v>APE per 1-Month Active Agent</v>
      </c>
      <c r="C7410" s="4" t="str">
        <f>CHOOSE(2, "5462030031", "Jul 26")</f>
        <v>Jul 26</v>
      </c>
      <c r="D7410" s="14">
        <v>3267.9239668048704</v>
      </c>
    </row>
    <row r="7411" spans="1:4" x14ac:dyDescent="0.35">
      <c r="A7411" s="8" t="str">
        <f t="shared" si="3804"/>
        <v>Malaysia</v>
      </c>
      <c r="B7411" s="3" t="str">
        <f t="shared" ref="B7411:B7412" si="3826">CHOOSE(2, "1395000000590", "% Conversion of Proposals to cases")</f>
        <v>% Conversion of Proposals to cases</v>
      </c>
      <c r="C7411" s="4" t="str">
        <f>CHOOSE(2, "5461730030", "Jun 26")</f>
        <v>Jun 26</v>
      </c>
      <c r="D7411" s="14">
        <v>0.47755102040816327</v>
      </c>
    </row>
    <row r="7412" spans="1:4" x14ac:dyDescent="0.35">
      <c r="A7412" s="8" t="str">
        <f t="shared" si="3804"/>
        <v>Malaysia</v>
      </c>
      <c r="B7412" s="6" t="str">
        <f t="shared" si="3826"/>
        <v>% Conversion of Proposals to cases</v>
      </c>
      <c r="C7412" s="4" t="str">
        <f>CHOOSE(2, "5462030031", "Jul 26")</f>
        <v>Jul 26</v>
      </c>
      <c r="D7412" s="14">
        <v>0.49144715447154474</v>
      </c>
    </row>
    <row r="7413" spans="1:4" x14ac:dyDescent="0.35">
      <c r="A7413" s="8" t="str">
        <f t="shared" si="3804"/>
        <v>Malaysia</v>
      </c>
      <c r="B7413" s="3" t="str">
        <f t="shared" ref="B7413:B7414" si="3827">CHOOSE(2, "1395000000588", "% APE from Agents in X tenure")</f>
        <v>% APE from Agents in X tenure</v>
      </c>
      <c r="C7413" s="4" t="str">
        <f>CHOOSE(2, "5461730030", "Jun 26")</f>
        <v>Jun 26</v>
      </c>
      <c r="D7413" s="14">
        <v>1</v>
      </c>
    </row>
    <row r="7414" spans="1:4" x14ac:dyDescent="0.35">
      <c r="A7414" s="8" t="str">
        <f t="shared" si="3804"/>
        <v>Malaysia</v>
      </c>
      <c r="B7414" s="6" t="str">
        <f t="shared" si="3827"/>
        <v>% APE from Agents in X tenure</v>
      </c>
      <c r="C7414" s="4" t="str">
        <f>CHOOSE(2, "5462030031", "Jul 26")</f>
        <v>Jul 26</v>
      </c>
      <c r="D7414" s="14">
        <v>1</v>
      </c>
    </row>
    <row r="7415" spans="1:4" x14ac:dyDescent="0.35">
      <c r="A7415" s="8" t="str">
        <f t="shared" si="3804"/>
        <v>Malaysia</v>
      </c>
      <c r="B7415" s="3" t="str">
        <f t="shared" ref="B7415:B7416" si="3828">CHOOSE(2, "1395000000587", "% APE from Agents in X tenure in 0-1M")</f>
        <v>% APE from Agents in X tenure in 0-1M</v>
      </c>
      <c r="C7415" s="4" t="str">
        <f>CHOOSE(2, "5461730030", "Jun 26")</f>
        <v>Jun 26</v>
      </c>
      <c r="D7415" s="14">
        <v>0.1</v>
      </c>
    </row>
    <row r="7416" spans="1:4" x14ac:dyDescent="0.35">
      <c r="A7416" s="8" t="str">
        <f t="shared" si="3804"/>
        <v>Malaysia</v>
      </c>
      <c r="B7416" s="6" t="str">
        <f t="shared" si="3828"/>
        <v>% APE from Agents in X tenure in 0-1M</v>
      </c>
      <c r="C7416" s="4" t="str">
        <f>CHOOSE(2, "5462030031", "Jul 26")</f>
        <v>Jul 26</v>
      </c>
      <c r="D7416" s="14">
        <v>0.1</v>
      </c>
    </row>
    <row r="7417" spans="1:4" x14ac:dyDescent="0.35">
      <c r="A7417" s="8" t="str">
        <f t="shared" si="3804"/>
        <v>Malaysia</v>
      </c>
      <c r="B7417" s="3" t="str">
        <f t="shared" ref="B7417:B7418" si="3829">CHOOSE(2, "1395000000586", "% APE from Agents in X tenure in 2-3M")</f>
        <v>% APE from Agents in X tenure in 2-3M</v>
      </c>
      <c r="C7417" s="4" t="str">
        <f>CHOOSE(2, "5461730030", "Jun 26")</f>
        <v>Jun 26</v>
      </c>
      <c r="D7417" s="14">
        <v>0.2</v>
      </c>
    </row>
    <row r="7418" spans="1:4" x14ac:dyDescent="0.35">
      <c r="A7418" s="8" t="str">
        <f t="shared" si="3804"/>
        <v>Malaysia</v>
      </c>
      <c r="B7418" s="6" t="str">
        <f t="shared" si="3829"/>
        <v>% APE from Agents in X tenure in 2-3M</v>
      </c>
      <c r="C7418" s="4" t="str">
        <f>CHOOSE(2, "5462030031", "Jul 26")</f>
        <v>Jul 26</v>
      </c>
      <c r="D7418" s="14">
        <v>0.2</v>
      </c>
    </row>
    <row r="7419" spans="1:4" x14ac:dyDescent="0.35">
      <c r="A7419" s="8" t="str">
        <f t="shared" si="3804"/>
        <v>Malaysia</v>
      </c>
      <c r="B7419" s="3" t="str">
        <f t="shared" ref="B7419:B7420" si="3830">CHOOSE(2, "1395000000585", "% APE from Agents in X tenure in 4-12M")</f>
        <v>% APE from Agents in X tenure in 4-12M</v>
      </c>
      <c r="C7419" s="4" t="str">
        <f>CHOOSE(2, "5461730030", "Jun 26")</f>
        <v>Jun 26</v>
      </c>
      <c r="D7419" s="14">
        <v>0.3</v>
      </c>
    </row>
    <row r="7420" spans="1:4" x14ac:dyDescent="0.35">
      <c r="A7420" s="8" t="str">
        <f t="shared" si="3804"/>
        <v>Malaysia</v>
      </c>
      <c r="B7420" s="6" t="str">
        <f t="shared" si="3830"/>
        <v>% APE from Agents in X tenure in 4-12M</v>
      </c>
      <c r="C7420" s="4" t="str">
        <f>CHOOSE(2, "5462030031", "Jul 26")</f>
        <v>Jul 26</v>
      </c>
      <c r="D7420" s="14">
        <v>0.3</v>
      </c>
    </row>
    <row r="7421" spans="1:4" x14ac:dyDescent="0.35">
      <c r="A7421" s="8" t="str">
        <f t="shared" si="3804"/>
        <v>Malaysia</v>
      </c>
      <c r="B7421" s="3" t="str">
        <f t="shared" ref="B7421:B7422" si="3831">CHOOSE(2, "1395000000584", "% APE from Agents in X tenure 13+M")</f>
        <v>% APE from Agents in X tenure 13+M</v>
      </c>
      <c r="C7421" s="4" t="str">
        <f>CHOOSE(2, "5461730030", "Jun 26")</f>
        <v>Jun 26</v>
      </c>
      <c r="D7421" s="14">
        <v>0.4</v>
      </c>
    </row>
    <row r="7422" spans="1:4" x14ac:dyDescent="0.35">
      <c r="A7422" s="8" t="str">
        <f t="shared" si="3804"/>
        <v>Malaysia</v>
      </c>
      <c r="B7422" s="6" t="str">
        <f t="shared" si="3831"/>
        <v>% APE from Agents in X tenure 13+M</v>
      </c>
      <c r="C7422" s="4" t="str">
        <f>CHOOSE(2, "5462030031", "Jul 26")</f>
        <v>Jul 26</v>
      </c>
      <c r="D7422" s="14">
        <v>0.4</v>
      </c>
    </row>
    <row r="7423" spans="1:4" x14ac:dyDescent="0.35">
      <c r="A7423" s="8" t="str">
        <f t="shared" si="3804"/>
        <v>Malaysia</v>
      </c>
      <c r="B7423" s="3" t="str">
        <f t="shared" ref="B7423:B7424" si="3832">CHOOSE(2, "1395000000583", "% APE from pro-rated MDRT agents (100%)")</f>
        <v>% APE from pro-rated MDRT agents (100%)</v>
      </c>
      <c r="C7423" s="4" t="str">
        <f>CHOOSE(2, "5461730030", "Jun 26")</f>
        <v>Jun 26</v>
      </c>
      <c r="D7423" s="14">
        <v>0.12109188403963159</v>
      </c>
    </row>
    <row r="7424" spans="1:4" x14ac:dyDescent="0.35">
      <c r="A7424" s="8" t="str">
        <f t="shared" si="3804"/>
        <v>Malaysia</v>
      </c>
      <c r="B7424" s="6" t="str">
        <f t="shared" si="3832"/>
        <v>% APE from pro-rated MDRT agents (100%)</v>
      </c>
      <c r="C7424" s="4" t="str">
        <f>CHOOSE(2, "5462030031", "Jul 26")</f>
        <v>Jul 26</v>
      </c>
      <c r="D7424" s="14">
        <v>8.0221728466600445E-2</v>
      </c>
    </row>
    <row r="7425" spans="1:4" x14ac:dyDescent="0.35">
      <c r="A7425" s="8" t="str">
        <f t="shared" si="3804"/>
        <v>Malaysia</v>
      </c>
      <c r="B7425" s="3" t="str">
        <f t="shared" ref="B7425:B7426" si="3833">CHOOSE(2, "1395000000582", "% APE from pro-rated MDRT agents (70-99%)")</f>
        <v>% APE from pro-rated MDRT agents (70-99%)</v>
      </c>
      <c r="C7425" s="4" t="str">
        <f>CHOOSE(2, "5461730030", "Jun 26")</f>
        <v>Jun 26</v>
      </c>
      <c r="D7425" s="14">
        <v>9.257519476840595E-2</v>
      </c>
    </row>
    <row r="7426" spans="1:4" x14ac:dyDescent="0.35">
      <c r="A7426" s="8" t="str">
        <f t="shared" si="3804"/>
        <v>Malaysia</v>
      </c>
      <c r="B7426" s="6" t="str">
        <f t="shared" si="3833"/>
        <v>% APE from pro-rated MDRT agents (70-99%)</v>
      </c>
      <c r="C7426" s="4" t="str">
        <f>CHOOSE(2, "5462030031", "Jul 26")</f>
        <v>Jul 26</v>
      </c>
      <c r="D7426" s="14">
        <v>0.12136432089351147</v>
      </c>
    </row>
    <row r="7427" spans="1:4" x14ac:dyDescent="0.35">
      <c r="A7427" s="8" t="str">
        <f t="shared" si="3804"/>
        <v>Malaysia</v>
      </c>
      <c r="B7427" s="3" t="str">
        <f t="shared" ref="B7427:B7428" si="3834">CHOOSE(2, "1395000000581", "% APE from pro-rated MDRT agents (50-69%)")</f>
        <v>% APE from pro-rated MDRT agents (50-69%)</v>
      </c>
      <c r="C7427" s="4" t="str">
        <f>CHOOSE(2, "5461730030", "Jun 26")</f>
        <v>Jun 26</v>
      </c>
      <c r="D7427" s="14">
        <v>0.12656376021651047</v>
      </c>
    </row>
    <row r="7428" spans="1:4" x14ac:dyDescent="0.35">
      <c r="A7428" s="8" t="str">
        <f t="shared" si="3804"/>
        <v>Malaysia</v>
      </c>
      <c r="B7428" s="6" t="str">
        <f t="shared" si="3834"/>
        <v>% APE from pro-rated MDRT agents (50-69%)</v>
      </c>
      <c r="C7428" s="4" t="str">
        <f>CHOOSE(2, "5462030031", "Jul 26")</f>
        <v>Jul 26</v>
      </c>
      <c r="D7428" s="14">
        <v>0.15627823387133261</v>
      </c>
    </row>
    <row r="7429" spans="1:4" x14ac:dyDescent="0.35">
      <c r="A7429" s="8" t="str">
        <f t="shared" si="3804"/>
        <v>Malaysia</v>
      </c>
      <c r="B7429" s="3" t="str">
        <f t="shared" ref="B7429:B7430" si="3835">CHOOSE(2, "1395000000580", "% APE from Top-tier agents")</f>
        <v>% APE from Top-tier agents</v>
      </c>
      <c r="C7429" s="4" t="str">
        <f>CHOOSE(2, "5461730030", "Jun 26")</f>
        <v>Jun 26</v>
      </c>
      <c r="D7429" s="14">
        <v>0.34023083902454804</v>
      </c>
    </row>
    <row r="7430" spans="1:4" x14ac:dyDescent="0.35">
      <c r="A7430" s="8" t="str">
        <f t="shared" si="3804"/>
        <v>Malaysia</v>
      </c>
      <c r="B7430" s="6" t="str">
        <f t="shared" si="3835"/>
        <v>% APE from Top-tier agents</v>
      </c>
      <c r="C7430" s="4" t="str">
        <f>CHOOSE(2, "5462030031", "Jul 26")</f>
        <v>Jul 26</v>
      </c>
      <c r="D7430" s="14">
        <v>0.35786428323144454</v>
      </c>
    </row>
    <row r="7431" spans="1:4" x14ac:dyDescent="0.35">
      <c r="A7431" s="8" t="str">
        <f t="shared" si="3804"/>
        <v>Malaysia</v>
      </c>
      <c r="B7431" s="3" t="str">
        <f t="shared" ref="B7431:B7432" si="3836">CHOOSE(2, "1395000000579", "% of Active Recruiting Leaders")</f>
        <v>% of Active Recruiting Leaders</v>
      </c>
      <c r="C7431" s="4" t="str">
        <f>CHOOSE(2, "5461730030", "Jun 26")</f>
        <v>Jun 26</v>
      </c>
      <c r="D7431" s="14">
        <v>5.8201058201058198E-2</v>
      </c>
    </row>
    <row r="7432" spans="1:4" x14ac:dyDescent="0.35">
      <c r="A7432" s="8" t="str">
        <f t="shared" si="3804"/>
        <v>Malaysia</v>
      </c>
      <c r="B7432" s="6" t="str">
        <f t="shared" si="3836"/>
        <v>% of Active Recruiting Leaders</v>
      </c>
      <c r="C7432" s="4" t="str">
        <f>CHOOSE(2, "5462030031", "Jul 26")</f>
        <v>Jul 26</v>
      </c>
      <c r="D7432" s="14">
        <v>5.8981233243967826E-2</v>
      </c>
    </row>
    <row r="7433" spans="1:4" x14ac:dyDescent="0.35">
      <c r="A7433" s="8" t="str">
        <f t="shared" ref="A7433:A7496" si="3837">CHOOSE(2, "204000000008", "Malaysia")</f>
        <v>Malaysia</v>
      </c>
      <c r="B7433" s="3" t="str">
        <f t="shared" ref="B7433:B7434" si="3838">CHOOSE(2, "1395000000578", "% of leaders with &gt;1 YTD recruit")</f>
        <v>% of leaders with &gt;1 YTD recruit</v>
      </c>
      <c r="C7433" s="4" t="str">
        <f>CHOOSE(2, "5461730030", "Jun 26")</f>
        <v>Jun 26</v>
      </c>
      <c r="D7433" s="14">
        <v>0.29100529100529099</v>
      </c>
    </row>
    <row r="7434" spans="1:4" x14ac:dyDescent="0.35">
      <c r="A7434" s="8" t="str">
        <f t="shared" si="3837"/>
        <v>Malaysia</v>
      </c>
      <c r="B7434" s="6" t="str">
        <f t="shared" si="3838"/>
        <v>% of leaders with &gt;1 YTD recruit</v>
      </c>
      <c r="C7434" s="4" t="str">
        <f>CHOOSE(2, "5462030031", "Jul 26")</f>
        <v>Jul 26</v>
      </c>
      <c r="D7434" s="14">
        <v>0.32171581769436997</v>
      </c>
    </row>
    <row r="7435" spans="1:4" x14ac:dyDescent="0.35">
      <c r="A7435" s="8" t="str">
        <f t="shared" si="3837"/>
        <v>Malaysia</v>
      </c>
      <c r="B7435" s="3" t="str">
        <f t="shared" ref="B7435:B7436" si="3839">CHOOSE(2, "1395000000577", "% of 1-Month Active Top-tier agents")</f>
        <v>% of 1-Month Active Top-tier agents</v>
      </c>
      <c r="C7435" s="4" t="str">
        <f>CHOOSE(2, "5461730030", "Jun 26")</f>
        <v>Jun 26</v>
      </c>
      <c r="D7435" s="14">
        <v>0.93518518518518523</v>
      </c>
    </row>
    <row r="7436" spans="1:4" x14ac:dyDescent="0.35">
      <c r="A7436" s="8" t="str">
        <f t="shared" si="3837"/>
        <v>Malaysia</v>
      </c>
      <c r="B7436" s="6" t="str">
        <f t="shared" si="3839"/>
        <v>% of 1-Month Active Top-tier agents</v>
      </c>
      <c r="C7436" s="4" t="str">
        <f>CHOOSE(2, "5462030031", "Jul 26")</f>
        <v>Jul 26</v>
      </c>
      <c r="D7436" s="14">
        <v>0.88888888888888884</v>
      </c>
    </row>
    <row r="7437" spans="1:4" x14ac:dyDescent="0.35">
      <c r="A7437" s="8" t="str">
        <f t="shared" si="3837"/>
        <v>Malaysia</v>
      </c>
      <c r="B7437" s="3" t="str">
        <f t="shared" ref="B7437:B7438" si="3840">CHOOSE(2, "1395000000576", "% APE from Manulife Pro - Total")</f>
        <v>% APE from Manulife Pro - Total</v>
      </c>
      <c r="C7437" s="4" t="str">
        <f>CHOOSE(2, "5461730030", "Jun 26")</f>
        <v>Jun 26</v>
      </c>
      <c r="D7437" s="14">
        <v>0</v>
      </c>
    </row>
    <row r="7438" spans="1:4" x14ac:dyDescent="0.35">
      <c r="A7438" s="8" t="str">
        <f t="shared" si="3837"/>
        <v>Malaysia</v>
      </c>
      <c r="B7438" s="6" t="str">
        <f t="shared" si="3840"/>
        <v>% APE from Manulife Pro - Total</v>
      </c>
      <c r="C7438" s="4" t="str">
        <f>CHOOSE(2, "5462030031", "Jul 26")</f>
        <v>Jul 26</v>
      </c>
      <c r="D7438" s="14">
        <v>0</v>
      </c>
    </row>
    <row r="7439" spans="1:4" x14ac:dyDescent="0.35">
      <c r="A7439" s="8" t="str">
        <f t="shared" si="3837"/>
        <v>Malaysia</v>
      </c>
      <c r="B7439" s="3" t="str">
        <f t="shared" ref="B7439:B7440" si="3841">CHOOSE(2, "1395000000575", "% of 1-Month Active Agents Manulife Pro Qualifiers - Total")</f>
        <v>% of 1-Month Active Agents Manulife Pro Qualifiers - Total</v>
      </c>
      <c r="C7439" s="4" t="str">
        <f>CHOOSE(2, "5461730030", "Jun 26")</f>
        <v>Jun 26</v>
      </c>
      <c r="D7439" s="14">
        <v>0</v>
      </c>
    </row>
    <row r="7440" spans="1:4" x14ac:dyDescent="0.35">
      <c r="A7440" s="8" t="str">
        <f t="shared" si="3837"/>
        <v>Malaysia</v>
      </c>
      <c r="B7440" s="6" t="str">
        <f t="shared" si="3841"/>
        <v>% of 1-Month Active Agents Manulife Pro Qualifiers - Total</v>
      </c>
      <c r="C7440" s="4" t="str">
        <f>CHOOSE(2, "5462030031", "Jul 26")</f>
        <v>Jul 26</v>
      </c>
      <c r="D7440" s="14">
        <v>0</v>
      </c>
    </row>
    <row r="7441" spans="1:4" x14ac:dyDescent="0.35">
      <c r="A7441" s="8" t="str">
        <f t="shared" si="3837"/>
        <v>Malaysia</v>
      </c>
      <c r="B7441" s="3" t="str">
        <f t="shared" ref="B7441:B7442" si="3842">CHOOSE(2, "1395000000574", "% of Newly Demoted UM")</f>
        <v>% of Newly Demoted UM</v>
      </c>
      <c r="C7441" s="4" t="str">
        <f>CHOOSE(2, "5461730030", "Jun 26")</f>
        <v>Jun 26</v>
      </c>
      <c r="D7441" s="14">
        <v>0</v>
      </c>
    </row>
    <row r="7442" spans="1:4" x14ac:dyDescent="0.35">
      <c r="A7442" s="8" t="str">
        <f t="shared" si="3837"/>
        <v>Malaysia</v>
      </c>
      <c r="B7442" s="6" t="str">
        <f t="shared" si="3842"/>
        <v>% of Newly Demoted UM</v>
      </c>
      <c r="C7442" s="4" t="str">
        <f>CHOOSE(2, "5462030031", "Jul 26")</f>
        <v>Jul 26</v>
      </c>
      <c r="D7442" s="14">
        <v>9.6463022508038593E-3</v>
      </c>
    </row>
    <row r="7443" spans="1:4" x14ac:dyDescent="0.35">
      <c r="A7443" s="8" t="str">
        <f t="shared" si="3837"/>
        <v>Malaysia</v>
      </c>
      <c r="B7443" s="3" t="str">
        <f t="shared" ref="B7443:B7444" si="3843">CHOOSE(2, "1395000000573", "% of Newly Demoted Leaders above UM")</f>
        <v>% of Newly Demoted Leaders above UM</v>
      </c>
      <c r="C7443" s="4" t="str">
        <f>CHOOSE(2, "5461730030", "Jun 26")</f>
        <v>Jun 26</v>
      </c>
      <c r="D7443" s="14">
        <v>0</v>
      </c>
    </row>
    <row r="7444" spans="1:4" x14ac:dyDescent="0.35">
      <c r="A7444" s="8" t="str">
        <f t="shared" si="3837"/>
        <v>Malaysia</v>
      </c>
      <c r="B7444" s="6" t="str">
        <f t="shared" si="3843"/>
        <v>% of Newly Demoted Leaders above UM</v>
      </c>
      <c r="C7444" s="4" t="str">
        <f>CHOOSE(2, "5462030031", "Jul 26")</f>
        <v>Jul 26</v>
      </c>
      <c r="D7444" s="14">
        <v>0</v>
      </c>
    </row>
    <row r="7445" spans="1:4" x14ac:dyDescent="0.35">
      <c r="A7445" s="8" t="str">
        <f t="shared" si="3837"/>
        <v>Malaysia</v>
      </c>
      <c r="B7445" s="3" t="str">
        <f t="shared" ref="B7445:B7446" si="3844">CHOOSE(2, "1395000000572", "Avg. Earning per agent")</f>
        <v>Avg. Earning per agent</v>
      </c>
      <c r="C7445" s="4" t="str">
        <f>CHOOSE(2, "5461730030", "Jun 26")</f>
        <v>Jun 26</v>
      </c>
      <c r="D7445" s="14">
        <v>146.2019904022936</v>
      </c>
    </row>
    <row r="7446" spans="1:4" x14ac:dyDescent="0.35">
      <c r="A7446" s="8" t="str">
        <f t="shared" si="3837"/>
        <v>Malaysia</v>
      </c>
      <c r="B7446" s="6" t="str">
        <f t="shared" si="3844"/>
        <v>Avg. Earning per agent</v>
      </c>
      <c r="C7446" s="4" t="str">
        <f>CHOOSE(2, "5462030031", "Jul 26")</f>
        <v>Jul 26</v>
      </c>
      <c r="D7446" s="14">
        <v>87.55577986975824</v>
      </c>
    </row>
    <row r="7447" spans="1:4" x14ac:dyDescent="0.35">
      <c r="A7447" s="8" t="str">
        <f t="shared" si="3837"/>
        <v>Malaysia</v>
      </c>
      <c r="B7447" s="3" t="str">
        <f t="shared" ref="B7447:B7448" si="3845">CHOOSE(2, "1395000000571", "Avg. Earning per agent in FA or equivalent")</f>
        <v>Avg. Earning per agent in FA or equivalent</v>
      </c>
      <c r="C7447" s="4" t="str">
        <f>CHOOSE(2, "5461730030", "Jun 26")</f>
        <v>Jun 26</v>
      </c>
      <c r="D7447" s="14">
        <v>124.65656198485949</v>
      </c>
    </row>
    <row r="7448" spans="1:4" x14ac:dyDescent="0.35">
      <c r="A7448" s="8" t="str">
        <f t="shared" si="3837"/>
        <v>Malaysia</v>
      </c>
      <c r="B7448" s="6" t="str">
        <f t="shared" si="3845"/>
        <v>Avg. Earning per agent in FA or equivalent</v>
      </c>
      <c r="C7448" s="4" t="str">
        <f>CHOOSE(2, "5462030031", "Jul 26")</f>
        <v>Jul 26</v>
      </c>
      <c r="D7448" s="14">
        <v>55.119516657710179</v>
      </c>
    </row>
    <row r="7449" spans="1:4" x14ac:dyDescent="0.35">
      <c r="A7449" s="8" t="str">
        <f t="shared" si="3837"/>
        <v>Malaysia</v>
      </c>
      <c r="B7449" s="3" t="str">
        <f t="shared" ref="B7449:B7450" si="3846">CHOOSE(2, "1395000000570", "Avg. Earning per agent in UM")</f>
        <v>Avg. Earning per agent in UM</v>
      </c>
      <c r="C7449" s="4" t="str">
        <f>CHOOSE(2, "5461730030", "Jun 26")</f>
        <v>Jun 26</v>
      </c>
      <c r="D7449" s="14">
        <v>139.47698287236653</v>
      </c>
    </row>
    <row r="7450" spans="1:4" x14ac:dyDescent="0.35">
      <c r="A7450" s="8" t="str">
        <f t="shared" si="3837"/>
        <v>Malaysia</v>
      </c>
      <c r="B7450" s="6" t="str">
        <f t="shared" si="3846"/>
        <v>Avg. Earning per agent in UM</v>
      </c>
      <c r="C7450" s="4" t="str">
        <f>CHOOSE(2, "5462030031", "Jul 26")</f>
        <v>Jul 26</v>
      </c>
      <c r="D7450" s="14">
        <v>123.85321549850093</v>
      </c>
    </row>
    <row r="7451" spans="1:4" x14ac:dyDescent="0.35">
      <c r="A7451" s="8" t="str">
        <f t="shared" si="3837"/>
        <v>Malaysia</v>
      </c>
      <c r="B7451" s="3" t="str">
        <f t="shared" ref="B7451:B7452" si="3847">CHOOSE(2, "1395000000569", "Avg. Earning per agent in Leaders above UM")</f>
        <v>Avg. Earning per agent in Leaders above UM</v>
      </c>
      <c r="C7451" s="4" t="str">
        <f>CHOOSE(2, "5461730030", "Jun 26")</f>
        <v>Jun 26</v>
      </c>
      <c r="D7451" s="14">
        <v>800.54056103038783</v>
      </c>
    </row>
    <row r="7452" spans="1:4" x14ac:dyDescent="0.35">
      <c r="A7452" s="8" t="str">
        <f t="shared" si="3837"/>
        <v>Malaysia</v>
      </c>
      <c r="B7452" s="6" t="str">
        <f t="shared" si="3847"/>
        <v>Avg. Earning per agent in Leaders above UM</v>
      </c>
      <c r="C7452" s="4" t="str">
        <f>CHOOSE(2, "5462030031", "Jul 26")</f>
        <v>Jul 26</v>
      </c>
      <c r="D7452" s="14">
        <v>871.24673807785109</v>
      </c>
    </row>
    <row r="7453" spans="1:4" x14ac:dyDescent="0.35">
      <c r="A7453" s="8" t="str">
        <f t="shared" si="3837"/>
        <v>Malaysia</v>
      </c>
      <c r="B7453" s="3" t="str">
        <f t="shared" ref="B7453:B7454" si="3848">CHOOSE(2, "1395000000568", "% of 1-Month Active Agents 0-1M")</f>
        <v>% of 1-Month Active Agents 0-1M</v>
      </c>
      <c r="C7453" s="4" t="str">
        <f>CHOOSE(2, "5461730030", "Jun 26")</f>
        <v>Jun 26</v>
      </c>
      <c r="D7453" s="14">
        <v>0.13793103448275862</v>
      </c>
    </row>
    <row r="7454" spans="1:4" x14ac:dyDescent="0.35">
      <c r="A7454" s="8" t="str">
        <f t="shared" si="3837"/>
        <v>Malaysia</v>
      </c>
      <c r="B7454" s="6" t="str">
        <f t="shared" si="3848"/>
        <v>% of 1-Month Active Agents 0-1M</v>
      </c>
      <c r="C7454" s="4" t="str">
        <f>CHOOSE(2, "5462030031", "Jul 26")</f>
        <v>Jul 26</v>
      </c>
      <c r="D7454" s="14">
        <v>0.15217391304347827</v>
      </c>
    </row>
    <row r="7455" spans="1:4" x14ac:dyDescent="0.35">
      <c r="A7455" s="8" t="str">
        <f t="shared" si="3837"/>
        <v>Malaysia</v>
      </c>
      <c r="B7455" s="3" t="str">
        <f t="shared" ref="B7455:B7456" si="3849">CHOOSE(2, "1395000000567", "% of 1-Month Active Agents in 2-3M")</f>
        <v>% of 1-Month Active Agents in 2-3M</v>
      </c>
      <c r="C7455" s="4" t="str">
        <f>CHOOSE(2, "5461730030", "Jun 26")</f>
        <v>Jun 26</v>
      </c>
      <c r="D7455" s="14">
        <v>0.29457364341085274</v>
      </c>
    </row>
    <row r="7456" spans="1:4" x14ac:dyDescent="0.35">
      <c r="A7456" s="8" t="str">
        <f t="shared" si="3837"/>
        <v>Malaysia</v>
      </c>
      <c r="B7456" s="6" t="str">
        <f t="shared" si="3849"/>
        <v>% of 1-Month Active Agents in 2-3M</v>
      </c>
      <c r="C7456" s="4" t="str">
        <f>CHOOSE(2, "5462030031", "Jul 26")</f>
        <v>Jul 26</v>
      </c>
      <c r="D7456" s="14">
        <v>0.27777777777777779</v>
      </c>
    </row>
    <row r="7457" spans="1:4" x14ac:dyDescent="0.35">
      <c r="A7457" s="8" t="str">
        <f t="shared" si="3837"/>
        <v>Malaysia</v>
      </c>
      <c r="B7457" s="3" t="str">
        <f t="shared" ref="B7457:B7458" si="3850">CHOOSE(2, "1395000000566", "% of 1-Month Active Agents 4-12M")</f>
        <v>% of 1-Month Active Agents 4-12M</v>
      </c>
      <c r="C7457" s="4" t="str">
        <f>CHOOSE(2, "5461730030", "Jun 26")</f>
        <v>Jun 26</v>
      </c>
      <c r="D7457" s="14">
        <v>0.17351598173515981</v>
      </c>
    </row>
    <row r="7458" spans="1:4" x14ac:dyDescent="0.35">
      <c r="A7458" s="8" t="str">
        <f t="shared" si="3837"/>
        <v>Malaysia</v>
      </c>
      <c r="B7458" s="6" t="str">
        <f t="shared" si="3850"/>
        <v>% of 1-Month Active Agents 4-12M</v>
      </c>
      <c r="C7458" s="4" t="str">
        <f>CHOOSE(2, "5462030031", "Jul 26")</f>
        <v>Jul 26</v>
      </c>
      <c r="D7458" s="14">
        <v>0.2160919540229885</v>
      </c>
    </row>
    <row r="7459" spans="1:4" x14ac:dyDescent="0.35">
      <c r="A7459" s="8" t="str">
        <f t="shared" si="3837"/>
        <v>Malaysia</v>
      </c>
      <c r="B7459" s="3" t="str">
        <f t="shared" ref="B7459:B7460" si="3851">CHOOSE(2, "1395000000565", "% of 1-Month Active Agents 13+M")</f>
        <v>% of 1-Month Active Agents 13+M</v>
      </c>
      <c r="C7459" s="4" t="str">
        <f>CHOOSE(2, "5461730030", "Jun 26")</f>
        <v>Jun 26</v>
      </c>
      <c r="D7459" s="14">
        <v>0.33418367346938777</v>
      </c>
    </row>
    <row r="7460" spans="1:4" x14ac:dyDescent="0.35">
      <c r="A7460" s="8" t="str">
        <f t="shared" si="3837"/>
        <v>Malaysia</v>
      </c>
      <c r="B7460" s="6" t="str">
        <f t="shared" si="3851"/>
        <v>% of 1-Month Active Agents 13+M</v>
      </c>
      <c r="C7460" s="4" t="str">
        <f>CHOOSE(2, "5462030031", "Jul 26")</f>
        <v>Jul 26</v>
      </c>
      <c r="D7460" s="14">
        <v>0.30024813895781638</v>
      </c>
    </row>
    <row r="7461" spans="1:4" x14ac:dyDescent="0.35">
      <c r="A7461" s="8" t="str">
        <f t="shared" si="3837"/>
        <v>Malaysia</v>
      </c>
      <c r="B7461" s="3" t="str">
        <f t="shared" ref="B7461:B7462" si="3852">CHOOSE(2, "1395000000564", "% of 3-Month Active Agents 0-1M")</f>
        <v>% of 3-Month Active Agents 0-1M</v>
      </c>
      <c r="C7461" s="4" t="str">
        <f>CHOOSE(2, "5461730030", "Jun 26")</f>
        <v>Jun 26</v>
      </c>
      <c r="D7461" s="14">
        <v>0.13793103448275862</v>
      </c>
    </row>
    <row r="7462" spans="1:4" x14ac:dyDescent="0.35">
      <c r="A7462" s="8" t="str">
        <f t="shared" si="3837"/>
        <v>Malaysia</v>
      </c>
      <c r="B7462" s="6" t="str">
        <f t="shared" si="3852"/>
        <v>% of 3-Month Active Agents 0-1M</v>
      </c>
      <c r="C7462" s="4" t="str">
        <f>CHOOSE(2, "5462030031", "Jul 26")</f>
        <v>Jul 26</v>
      </c>
      <c r="D7462" s="14">
        <v>0.15217391304347827</v>
      </c>
    </row>
    <row r="7463" spans="1:4" x14ac:dyDescent="0.35">
      <c r="A7463" s="8" t="str">
        <f t="shared" si="3837"/>
        <v>Malaysia</v>
      </c>
      <c r="B7463" s="3" t="str">
        <f t="shared" ref="B7463:B7464" si="3853">CHOOSE(2, "1395000000563", "% of 3-Month Active Agents in 2-3M")</f>
        <v>% of 3-Month Active Agents in 2-3M</v>
      </c>
      <c r="C7463" s="4" t="str">
        <f>CHOOSE(2, "5461730030", "Jun 26")</f>
        <v>Jun 26</v>
      </c>
      <c r="D7463" s="14">
        <v>0.37984496124031009</v>
      </c>
    </row>
    <row r="7464" spans="1:4" x14ac:dyDescent="0.35">
      <c r="A7464" s="8" t="str">
        <f t="shared" si="3837"/>
        <v>Malaysia</v>
      </c>
      <c r="B7464" s="6" t="str">
        <f t="shared" si="3853"/>
        <v>% of 3-Month Active Agents in 2-3M</v>
      </c>
      <c r="C7464" s="4" t="str">
        <f>CHOOSE(2, "5462030031", "Jul 26")</f>
        <v>Jul 26</v>
      </c>
      <c r="D7464" s="14">
        <v>0.3968253968253968</v>
      </c>
    </row>
    <row r="7465" spans="1:4" x14ac:dyDescent="0.35">
      <c r="A7465" s="8" t="str">
        <f t="shared" si="3837"/>
        <v>Malaysia</v>
      </c>
      <c r="B7465" s="3" t="str">
        <f t="shared" ref="B7465:B7466" si="3854">CHOOSE(2, "1395000000562", "% of 3-Month Active Agents 4-12M")</f>
        <v>% of 3-Month Active Agents 4-12M</v>
      </c>
      <c r="C7465" s="4" t="str">
        <f>CHOOSE(2, "5461730030", "Jun 26")</f>
        <v>Jun 26</v>
      </c>
      <c r="D7465" s="14">
        <v>0.31963470319634701</v>
      </c>
    </row>
    <row r="7466" spans="1:4" x14ac:dyDescent="0.35">
      <c r="A7466" s="8" t="str">
        <f t="shared" si="3837"/>
        <v>Malaysia</v>
      </c>
      <c r="B7466" s="6" t="str">
        <f t="shared" si="3854"/>
        <v>% of 3-Month Active Agents 4-12M</v>
      </c>
      <c r="C7466" s="4" t="str">
        <f>CHOOSE(2, "5462030031", "Jul 26")</f>
        <v>Jul 26</v>
      </c>
      <c r="D7466" s="14">
        <v>0.33103448275862069</v>
      </c>
    </row>
    <row r="7467" spans="1:4" x14ac:dyDescent="0.35">
      <c r="A7467" s="8" t="str">
        <f t="shared" si="3837"/>
        <v>Malaysia</v>
      </c>
      <c r="B7467" s="3" t="str">
        <f t="shared" ref="B7467:B7468" si="3855">CHOOSE(2, "1395000000561", "% of 3-Month Active Agents 13+M")</f>
        <v>% of 3-Month Active Agents 13+M</v>
      </c>
      <c r="C7467" s="4" t="str">
        <f>CHOOSE(2, "5461730030", "Jun 26")</f>
        <v>Jun 26</v>
      </c>
      <c r="D7467" s="14">
        <v>0.5535714285714286</v>
      </c>
    </row>
    <row r="7468" spans="1:4" x14ac:dyDescent="0.35">
      <c r="A7468" s="8" t="str">
        <f t="shared" si="3837"/>
        <v>Malaysia</v>
      </c>
      <c r="B7468" s="6" t="str">
        <f t="shared" si="3855"/>
        <v>% of 3-Month Active Agents 13+M</v>
      </c>
      <c r="C7468" s="4" t="str">
        <f>CHOOSE(2, "5462030031", "Jul 26")</f>
        <v>Jul 26</v>
      </c>
      <c r="D7468" s="14">
        <v>0.53349875930521096</v>
      </c>
    </row>
    <row r="7469" spans="1:4" x14ac:dyDescent="0.35">
      <c r="A7469" s="8" t="str">
        <f t="shared" si="3837"/>
        <v>Malaysia</v>
      </c>
      <c r="B7469" s="3" t="str">
        <f t="shared" ref="B7469:B7470" si="3856">CHOOSE(2, "1395000000560", "Avg. Case count per 1-Month Active Agent 0-1M")</f>
        <v>Avg. Case count per 1-Month Active Agent 0-1M</v>
      </c>
      <c r="C7469" s="4" t="str">
        <f>CHOOSE(2, "5461730030", "Jun 26")</f>
        <v>Jun 26</v>
      </c>
      <c r="D7469" s="14">
        <v>2.5</v>
      </c>
    </row>
    <row r="7470" spans="1:4" x14ac:dyDescent="0.35">
      <c r="A7470" s="8" t="str">
        <f t="shared" si="3837"/>
        <v>Malaysia</v>
      </c>
      <c r="B7470" s="6" t="str">
        <f t="shared" si="3856"/>
        <v>Avg. Case count per 1-Month Active Agent 0-1M</v>
      </c>
      <c r="C7470" s="4" t="str">
        <f>CHOOSE(2, "5462030031", "Jul 26")</f>
        <v>Jul 26</v>
      </c>
      <c r="D7470" s="14">
        <v>1.2428571428571427</v>
      </c>
    </row>
    <row r="7471" spans="1:4" x14ac:dyDescent="0.35">
      <c r="A7471" s="8" t="str">
        <f t="shared" si="3837"/>
        <v>Malaysia</v>
      </c>
      <c r="B7471" s="3" t="str">
        <f t="shared" ref="B7471:B7472" si="3857">CHOOSE(2, "1395000000559", "Avg. Case count per 1-Month Active Agent in 2-3M")</f>
        <v>Avg. Case count per 1-Month Active Agent in 2-3M</v>
      </c>
      <c r="C7471" s="4" t="str">
        <f>CHOOSE(2, "5461730030", "Jun 26")</f>
        <v>Jun 26</v>
      </c>
      <c r="D7471" s="14">
        <v>2.263157894736842</v>
      </c>
    </row>
    <row r="7472" spans="1:4" x14ac:dyDescent="0.35">
      <c r="A7472" s="8" t="str">
        <f t="shared" si="3837"/>
        <v>Malaysia</v>
      </c>
      <c r="B7472" s="6" t="str">
        <f t="shared" si="3857"/>
        <v>Avg. Case count per 1-Month Active Agent in 2-3M</v>
      </c>
      <c r="C7472" s="4" t="str">
        <f>CHOOSE(2, "5462030031", "Jul 26")</f>
        <v>Jul 26</v>
      </c>
      <c r="D7472" s="14">
        <v>1.7428571428571429</v>
      </c>
    </row>
    <row r="7473" spans="1:4" x14ac:dyDescent="0.35">
      <c r="A7473" s="8" t="str">
        <f t="shared" si="3837"/>
        <v>Malaysia</v>
      </c>
      <c r="B7473" s="3" t="str">
        <f t="shared" ref="B7473:B7474" si="3858">CHOOSE(2, "1395000000558", "Avg. Case count per 1-Month Active Agent 4-12M")</f>
        <v>Avg. Case count per 1-Month Active Agent 4-12M</v>
      </c>
      <c r="C7473" s="4" t="str">
        <f>CHOOSE(2, "5461730030", "Jun 26")</f>
        <v>Jun 26</v>
      </c>
      <c r="D7473" s="14">
        <v>2.1921052631578948</v>
      </c>
    </row>
    <row r="7474" spans="1:4" x14ac:dyDescent="0.35">
      <c r="A7474" s="8" t="str">
        <f t="shared" si="3837"/>
        <v>Malaysia</v>
      </c>
      <c r="B7474" s="6" t="str">
        <f t="shared" si="3858"/>
        <v>Avg. Case count per 1-Month Active Agent 4-12M</v>
      </c>
      <c r="C7474" s="4" t="str">
        <f>CHOOSE(2, "5462030031", "Jul 26")</f>
        <v>Jul 26</v>
      </c>
      <c r="D7474" s="14">
        <v>2.3276595744680852</v>
      </c>
    </row>
    <row r="7475" spans="1:4" x14ac:dyDescent="0.35">
      <c r="A7475" s="8" t="str">
        <f t="shared" si="3837"/>
        <v>Malaysia</v>
      </c>
      <c r="B7475" s="3" t="str">
        <f t="shared" ref="B7475:B7476" si="3859">CHOOSE(2, "1395000000557", "Avg. Case count per 1-Month Active Agent 13+M")</f>
        <v>Avg. Case count per 1-Month Active Agent 13+M</v>
      </c>
      <c r="C7475" s="4" t="str">
        <f>CHOOSE(2, "5461730030", "Jun 26")</f>
        <v>Jun 26</v>
      </c>
      <c r="D7475" s="14">
        <v>2.4270992366412214</v>
      </c>
    </row>
    <row r="7476" spans="1:4" x14ac:dyDescent="0.35">
      <c r="A7476" s="8" t="str">
        <f t="shared" si="3837"/>
        <v>Malaysia</v>
      </c>
      <c r="B7476" s="6" t="str">
        <f t="shared" si="3859"/>
        <v>Avg. Case count per 1-Month Active Agent 13+M</v>
      </c>
      <c r="C7476" s="4" t="str">
        <f>CHOOSE(2, "5462030031", "Jul 26")</f>
        <v>Jul 26</v>
      </c>
      <c r="D7476" s="14">
        <v>2.5262396694214875</v>
      </c>
    </row>
    <row r="7477" spans="1:4" x14ac:dyDescent="0.35">
      <c r="A7477" s="8" t="str">
        <f t="shared" si="3837"/>
        <v>Malaysia</v>
      </c>
      <c r="B7477" s="3" t="str">
        <f t="shared" ref="B7477:B7478" si="3860">CHOOSE(2, "1395000000556", "Avg. Case size 0-1M")</f>
        <v>Avg. Case size 0-1M</v>
      </c>
      <c r="C7477" s="4" t="str">
        <f>CHOOSE(2, "5461730030", "Jun 26")</f>
        <v>Jun 26</v>
      </c>
      <c r="D7477" s="14">
        <v>9945.0642550978991</v>
      </c>
    </row>
    <row r="7478" spans="1:4" x14ac:dyDescent="0.35">
      <c r="A7478" s="8" t="str">
        <f t="shared" si="3837"/>
        <v>Malaysia</v>
      </c>
      <c r="B7478" s="6" t="str">
        <f t="shared" si="3860"/>
        <v>Avg. Case size 0-1M</v>
      </c>
      <c r="C7478" s="4" t="str">
        <f>CHOOSE(2, "5462030031", "Jul 26")</f>
        <v>Jul 26</v>
      </c>
      <c r="D7478" s="14">
        <v>23288.653556540459</v>
      </c>
    </row>
    <row r="7479" spans="1:4" x14ac:dyDescent="0.35">
      <c r="A7479" s="8" t="str">
        <f t="shared" si="3837"/>
        <v>Malaysia</v>
      </c>
      <c r="B7479" s="3" t="str">
        <f t="shared" ref="B7479:B7480" si="3861">CHOOSE(2, "1395000000555", "Avg. Case size in 2-3M")</f>
        <v>Avg. Case size in 2-3M</v>
      </c>
      <c r="C7479" s="4" t="str">
        <f>CHOOSE(2, "5461730030", "Jun 26")</f>
        <v>Jun 26</v>
      </c>
      <c r="D7479" s="14">
        <v>4625.6112814408834</v>
      </c>
    </row>
    <row r="7480" spans="1:4" x14ac:dyDescent="0.35">
      <c r="A7480" s="8" t="str">
        <f t="shared" si="3837"/>
        <v>Malaysia</v>
      </c>
      <c r="B7480" s="6" t="str">
        <f t="shared" si="3861"/>
        <v>Avg. Case size in 2-3M</v>
      </c>
      <c r="C7480" s="4" t="str">
        <f>CHOOSE(2, "5462030031", "Jul 26")</f>
        <v>Jul 26</v>
      </c>
      <c r="D7480" s="14">
        <v>6642.9929817017037</v>
      </c>
    </row>
    <row r="7481" spans="1:4" x14ac:dyDescent="0.35">
      <c r="A7481" s="8" t="str">
        <f t="shared" si="3837"/>
        <v>Malaysia</v>
      </c>
      <c r="B7481" s="3" t="str">
        <f t="shared" ref="B7481:B7482" si="3862">CHOOSE(2, "1395000000554", "Avg. Case size 4-12M")</f>
        <v>Avg. Case size 4-12M</v>
      </c>
      <c r="C7481" s="4" t="str">
        <f>CHOOSE(2, "5461730030", "Jun 26")</f>
        <v>Jun 26</v>
      </c>
      <c r="D7481" s="14">
        <v>3581.6557941529045</v>
      </c>
    </row>
    <row r="7482" spans="1:4" x14ac:dyDescent="0.35">
      <c r="A7482" s="8" t="str">
        <f t="shared" si="3837"/>
        <v>Malaysia</v>
      </c>
      <c r="B7482" s="6" t="str">
        <f t="shared" si="3862"/>
        <v>Avg. Case size 4-12M</v>
      </c>
      <c r="C7482" s="4" t="str">
        <f>CHOOSE(2, "5462030031", "Jul 26")</f>
        <v>Jul 26</v>
      </c>
      <c r="D7482" s="14">
        <v>2778.0340851266265</v>
      </c>
    </row>
    <row r="7483" spans="1:4" x14ac:dyDescent="0.35">
      <c r="A7483" s="8" t="str">
        <f t="shared" si="3837"/>
        <v>Malaysia</v>
      </c>
      <c r="B7483" s="3" t="str">
        <f t="shared" ref="B7483:B7484" si="3863">CHOOSE(2, "1395000000553", "Avg. Case size 13+M")</f>
        <v>Avg. Case size 13+M</v>
      </c>
      <c r="C7483" s="4" t="str">
        <f>CHOOSE(2, "5461730030", "Jun 26")</f>
        <v>Jun 26</v>
      </c>
      <c r="D7483" s="14">
        <v>625.57410002188396</v>
      </c>
    </row>
    <row r="7484" spans="1:4" x14ac:dyDescent="0.35">
      <c r="A7484" s="8" t="str">
        <f t="shared" si="3837"/>
        <v>Malaysia</v>
      </c>
      <c r="B7484" s="6" t="str">
        <f t="shared" si="3863"/>
        <v>Avg. Case size 13+M</v>
      </c>
      <c r="C7484" s="4" t="str">
        <f>CHOOSE(2, "5462030031", "Jul 26")</f>
        <v>Jul 26</v>
      </c>
      <c r="D7484" s="14">
        <v>662.83237406363605</v>
      </c>
    </row>
    <row r="7485" spans="1:4" x14ac:dyDescent="0.35">
      <c r="A7485" s="8" t="str">
        <f t="shared" si="3837"/>
        <v>Malaysia</v>
      </c>
      <c r="B7485" s="3" t="str">
        <f t="shared" ref="B7485:B7486" si="3864">CHOOSE(2, "1395000000552", "Avg. Case size UM")</f>
        <v>Avg. Case size UM</v>
      </c>
      <c r="C7485" s="4" t="str">
        <f>CHOOSE(2, "5461730030", "Jun 26")</f>
        <v>Jun 26</v>
      </c>
      <c r="D7485" s="14">
        <v>0</v>
      </c>
    </row>
    <row r="7486" spans="1:4" x14ac:dyDescent="0.35">
      <c r="A7486" s="8" t="str">
        <f t="shared" si="3837"/>
        <v>Malaysia</v>
      </c>
      <c r="B7486" s="6" t="str">
        <f t="shared" si="3864"/>
        <v>Avg. Case size UM</v>
      </c>
      <c r="C7486" s="4" t="str">
        <f>CHOOSE(2, "5462030031", "Jul 26")</f>
        <v>Jul 26</v>
      </c>
      <c r="D7486" s="14">
        <v>0</v>
      </c>
    </row>
    <row r="7487" spans="1:4" x14ac:dyDescent="0.35">
      <c r="A7487" s="8" t="str">
        <f t="shared" si="3837"/>
        <v>Malaysia</v>
      </c>
      <c r="B7487" s="3" t="str">
        <f t="shared" ref="B7487:B7488" si="3865">CHOOSE(2, "1395000000551", "Avg. Case size Leaders above UM")</f>
        <v>Avg. Case size Leaders above UM</v>
      </c>
      <c r="C7487" s="4" t="str">
        <f>CHOOSE(2, "5461730030", "Jun 26")</f>
        <v>Jun 26</v>
      </c>
      <c r="D7487" s="14">
        <v>0</v>
      </c>
    </row>
    <row r="7488" spans="1:4" x14ac:dyDescent="0.35">
      <c r="A7488" s="8" t="str">
        <f t="shared" si="3837"/>
        <v>Malaysia</v>
      </c>
      <c r="B7488" s="6" t="str">
        <f t="shared" si="3865"/>
        <v>Avg. Case size Leaders above UM</v>
      </c>
      <c r="C7488" s="4" t="str">
        <f>CHOOSE(2, "5462030031", "Jul 26")</f>
        <v>Jul 26</v>
      </c>
      <c r="D7488" s="14">
        <v>0</v>
      </c>
    </row>
    <row r="7489" spans="1:4" x14ac:dyDescent="0.35">
      <c r="A7489" s="8" t="str">
        <f t="shared" si="3837"/>
        <v>Malaysia</v>
      </c>
      <c r="B7489" s="3" t="str">
        <f t="shared" ref="B7489:B7490" si="3866">CHOOSE(2, "1395000000550", "Avg. Case size Top-tier agents")</f>
        <v>Avg. Case size Top-tier agents</v>
      </c>
      <c r="C7489" s="4" t="str">
        <f>CHOOSE(2, "5461730030", "Jun 26")</f>
        <v>Jun 26</v>
      </c>
      <c r="D7489" s="14">
        <v>1399.924516203972</v>
      </c>
    </row>
    <row r="7490" spans="1:4" x14ac:dyDescent="0.35">
      <c r="A7490" s="8" t="str">
        <f t="shared" si="3837"/>
        <v>Malaysia</v>
      </c>
      <c r="B7490" s="6" t="str">
        <f t="shared" si="3866"/>
        <v>Avg. Case size Top-tier agents</v>
      </c>
      <c r="C7490" s="4" t="str">
        <f>CHOOSE(2, "5462030031", "Jul 26")</f>
        <v>Jul 26</v>
      </c>
      <c r="D7490" s="14">
        <v>1437.2119448602575</v>
      </c>
    </row>
    <row r="7491" spans="1:4" x14ac:dyDescent="0.35">
      <c r="A7491" s="8" t="str">
        <f t="shared" si="3837"/>
        <v>Malaysia</v>
      </c>
      <c r="B7491" s="3" t="str">
        <f t="shared" ref="B7491:B7492" si="3867">CHOOSE(2, "1395000000549", "Avg. Case size Manulife Pro Qualifiers - Total")</f>
        <v>Avg. Case size Manulife Pro Qualifiers - Total</v>
      </c>
      <c r="C7491" s="4" t="str">
        <f>CHOOSE(2, "5461730030", "Jun 26")</f>
        <v>Jun 26</v>
      </c>
      <c r="D7491" s="14">
        <v>0</v>
      </c>
    </row>
    <row r="7492" spans="1:4" x14ac:dyDescent="0.35">
      <c r="A7492" s="8" t="str">
        <f t="shared" si="3837"/>
        <v>Malaysia</v>
      </c>
      <c r="B7492" s="6" t="str">
        <f t="shared" si="3867"/>
        <v>Avg. Case size Manulife Pro Qualifiers - Total</v>
      </c>
      <c r="C7492" s="4" t="str">
        <f>CHOOSE(2, "5462030031", "Jul 26")</f>
        <v>Jul 26</v>
      </c>
      <c r="D7492" s="14">
        <v>0</v>
      </c>
    </row>
    <row r="7493" spans="1:4" x14ac:dyDescent="0.35">
      <c r="A7493" s="8" t="str">
        <f t="shared" si="3837"/>
        <v>Malaysia</v>
      </c>
      <c r="B7493" s="3" t="str">
        <f t="shared" ref="B7493:B7494" si="3868">CHOOSE(2, "1395000000548", "Avg. Case size FA or equivalent")</f>
        <v>Avg. Case size FA or equivalent</v>
      </c>
      <c r="C7493" s="4" t="str">
        <f>CHOOSE(2, "5461730030", "Jun 26")</f>
        <v>Jun 26</v>
      </c>
      <c r="D7493" s="14">
        <v>0</v>
      </c>
    </row>
    <row r="7494" spans="1:4" x14ac:dyDescent="0.35">
      <c r="A7494" s="8" t="str">
        <f t="shared" si="3837"/>
        <v>Malaysia</v>
      </c>
      <c r="B7494" s="6" t="str">
        <f t="shared" si="3868"/>
        <v>Avg. Case size FA or equivalent</v>
      </c>
      <c r="C7494" s="4" t="str">
        <f>CHOOSE(2, "5462030031", "Jul 26")</f>
        <v>Jul 26</v>
      </c>
      <c r="D7494" s="14">
        <v>0</v>
      </c>
    </row>
    <row r="7495" spans="1:4" x14ac:dyDescent="0.35">
      <c r="A7495" s="8" t="str">
        <f t="shared" si="3837"/>
        <v>Malaysia</v>
      </c>
      <c r="B7495" s="3" t="str">
        <f t="shared" ref="B7495:B7496" si="3869">CHOOSE(2, "1395000000547", "Avg. Case size pro-rated MDRT agents (&gt;100%)")</f>
        <v>Avg. Case size pro-rated MDRT agents (&gt;100%)</v>
      </c>
      <c r="C7495" s="4" t="str">
        <f>CHOOSE(2, "5461730030", "Jun 26")</f>
        <v>Jun 26</v>
      </c>
      <c r="D7495" s="14">
        <v>1899.4740813012618</v>
      </c>
    </row>
    <row r="7496" spans="1:4" x14ac:dyDescent="0.35">
      <c r="A7496" s="8" t="str">
        <f t="shared" si="3837"/>
        <v>Malaysia</v>
      </c>
      <c r="B7496" s="6" t="str">
        <f t="shared" si="3869"/>
        <v>Avg. Case size pro-rated MDRT agents (&gt;100%)</v>
      </c>
      <c r="C7496" s="4" t="str">
        <f>CHOOSE(2, "5462030031", "Jul 26")</f>
        <v>Jul 26</v>
      </c>
      <c r="D7496" s="14">
        <v>2073.1922914668367</v>
      </c>
    </row>
    <row r="7497" spans="1:4" x14ac:dyDescent="0.35">
      <c r="A7497" s="8" t="str">
        <f t="shared" ref="A7497:A7530" si="3870">CHOOSE(2, "204000000008", "Malaysia")</f>
        <v>Malaysia</v>
      </c>
      <c r="B7497" s="3" t="str">
        <f t="shared" ref="B7497:B7498" si="3871">CHOOSE(2, "1395000000546", "Avg. Case size pro-rated MDRT agents (70-99%)")</f>
        <v>Avg. Case size pro-rated MDRT agents (70-99%)</v>
      </c>
      <c r="C7497" s="4" t="str">
        <f>CHOOSE(2, "5461730030", "Jun 26")</f>
        <v>Jun 26</v>
      </c>
      <c r="D7497" s="14">
        <v>1105.9054178978979</v>
      </c>
    </row>
    <row r="7498" spans="1:4" x14ac:dyDescent="0.35">
      <c r="A7498" s="8" t="str">
        <f t="shared" si="3870"/>
        <v>Malaysia</v>
      </c>
      <c r="B7498" s="6" t="str">
        <f t="shared" si="3871"/>
        <v>Avg. Case size pro-rated MDRT agents (70-99%)</v>
      </c>
      <c r="C7498" s="4" t="str">
        <f>CHOOSE(2, "5462030031", "Jul 26")</f>
        <v>Jul 26</v>
      </c>
      <c r="D7498" s="14">
        <v>1089.4896377359325</v>
      </c>
    </row>
    <row r="7499" spans="1:4" x14ac:dyDescent="0.35">
      <c r="A7499" s="8" t="str">
        <f t="shared" si="3870"/>
        <v>Malaysia</v>
      </c>
      <c r="B7499" s="3" t="str">
        <f t="shared" ref="B7499:B7500" si="3872">CHOOSE(2, "1395000000545", "Avg. Case size pro-rated MDRT agents (50-69%)")</f>
        <v>Avg. Case size pro-rated MDRT agents (50-69%)</v>
      </c>
      <c r="C7499" s="4" t="str">
        <f>CHOOSE(2, "5461730030", "Jun 26")</f>
        <v>Jun 26</v>
      </c>
      <c r="D7499" s="14">
        <v>1324.2343269016308</v>
      </c>
    </row>
    <row r="7500" spans="1:4" x14ac:dyDescent="0.35">
      <c r="A7500" s="8" t="str">
        <f t="shared" si="3870"/>
        <v>Malaysia</v>
      </c>
      <c r="B7500" s="6" t="str">
        <f t="shared" si="3872"/>
        <v>Avg. Case size pro-rated MDRT agents (50-69%)</v>
      </c>
      <c r="C7500" s="4" t="str">
        <f>CHOOSE(2, "5462030031", "Jul 26")</f>
        <v>Jul 26</v>
      </c>
      <c r="D7500" s="14">
        <v>1580.0266431836328</v>
      </c>
    </row>
    <row r="7501" spans="1:4" x14ac:dyDescent="0.35">
      <c r="A7501" s="8" t="str">
        <f t="shared" si="3870"/>
        <v>Malaysia</v>
      </c>
      <c r="B7501" s="3" t="str">
        <f t="shared" ref="B7501:B7502" si="3873">CHOOSE(2, "1395000000544", "% of 1-Month Active Agents UM")</f>
        <v>% of 1-Month Active Agents UM</v>
      </c>
      <c r="C7501" s="4" t="str">
        <f>CHOOSE(2, "5461730030", "Jun 26")</f>
        <v>Jun 26</v>
      </c>
      <c r="D7501" s="14">
        <v>0.56507936507936507</v>
      </c>
    </row>
    <row r="7502" spans="1:4" x14ac:dyDescent="0.35">
      <c r="A7502" s="8" t="str">
        <f t="shared" si="3870"/>
        <v>Malaysia</v>
      </c>
      <c r="B7502" s="6" t="str">
        <f t="shared" si="3873"/>
        <v>% of 1-Month Active Agents UM</v>
      </c>
      <c r="C7502" s="4" t="str">
        <f>CHOOSE(2, "5462030031", "Jul 26")</f>
        <v>Jul 26</v>
      </c>
      <c r="D7502" s="14">
        <v>0.55948553054662375</v>
      </c>
    </row>
    <row r="7503" spans="1:4" x14ac:dyDescent="0.35">
      <c r="A7503" s="8" t="str">
        <f t="shared" si="3870"/>
        <v>Malaysia</v>
      </c>
      <c r="B7503" s="3" t="str">
        <f t="shared" ref="B7503:B7504" si="3874">CHOOSE(2, "1395000000543", "% of 1-Month Active Agents Leaders above UM")</f>
        <v>% of 1-Month Active Agents Leaders above UM</v>
      </c>
      <c r="C7503" s="4" t="str">
        <f>CHOOSE(2, "5461730030", "Jun 26")</f>
        <v>Jun 26</v>
      </c>
      <c r="D7503" s="14">
        <v>0.2857142857142857</v>
      </c>
    </row>
    <row r="7504" spans="1:4" x14ac:dyDescent="0.35">
      <c r="A7504" s="8" t="str">
        <f t="shared" si="3870"/>
        <v>Malaysia</v>
      </c>
      <c r="B7504" s="6" t="str">
        <f t="shared" si="3874"/>
        <v>% of 1-Month Active Agents Leaders above UM</v>
      </c>
      <c r="C7504" s="4" t="str">
        <f>CHOOSE(2, "5462030031", "Jul 26")</f>
        <v>Jul 26</v>
      </c>
      <c r="D7504" s="14">
        <v>0.32258064516129031</v>
      </c>
    </row>
    <row r="7505" spans="1:4" x14ac:dyDescent="0.35">
      <c r="A7505" s="8" t="str">
        <f t="shared" si="3870"/>
        <v>Malaysia</v>
      </c>
      <c r="B7505" s="3" t="str">
        <f t="shared" ref="B7505:B7506" si="3875">CHOOSE(2, "1395000000542", "% of 1-Month Active Agents Top-tier agents")</f>
        <v>% of 1-Month Active Agents Top-tier agents</v>
      </c>
      <c r="C7505" s="4" t="str">
        <f>CHOOSE(2, "5461730030", "Jun 26")</f>
        <v>Jun 26</v>
      </c>
      <c r="D7505" s="14">
        <v>0.93518518518518523</v>
      </c>
    </row>
    <row r="7506" spans="1:4" x14ac:dyDescent="0.35">
      <c r="A7506" s="8" t="str">
        <f t="shared" si="3870"/>
        <v>Malaysia</v>
      </c>
      <c r="B7506" s="6" t="str">
        <f t="shared" si="3875"/>
        <v>% of 1-Month Active Agents Top-tier agents</v>
      </c>
      <c r="C7506" s="4" t="str">
        <f>CHOOSE(2, "5462030031", "Jul 26")</f>
        <v>Jul 26</v>
      </c>
      <c r="D7506" s="14">
        <v>0.88888888888888884</v>
      </c>
    </row>
    <row r="7507" spans="1:4" x14ac:dyDescent="0.35">
      <c r="A7507" s="8" t="str">
        <f t="shared" si="3870"/>
        <v>Malaysia</v>
      </c>
      <c r="B7507" s="3" t="str">
        <f t="shared" ref="B7507:B7508" si="3876">CHOOSE(2, "1395000000541", "% of 1-Month Active Agents FA or equivalent")</f>
        <v>% of 1-Month Active Agents FA or equivalent</v>
      </c>
      <c r="C7507" s="4" t="str">
        <f>CHOOSE(2, "5461730030", "Jun 26")</f>
        <v>Jun 26</v>
      </c>
      <c r="D7507" s="14">
        <v>0.24793388429752067</v>
      </c>
    </row>
    <row r="7508" spans="1:4" x14ac:dyDescent="0.35">
      <c r="A7508" s="8" t="str">
        <f t="shared" si="3870"/>
        <v>Malaysia</v>
      </c>
      <c r="B7508" s="6" t="str">
        <f t="shared" si="3876"/>
        <v>% of 1-Month Active Agents FA or equivalent</v>
      </c>
      <c r="C7508" s="4" t="str">
        <f>CHOOSE(2, "5462030031", "Jul 26")</f>
        <v>Jul 26</v>
      </c>
      <c r="D7508" s="14">
        <v>0.23076923076923078</v>
      </c>
    </row>
    <row r="7509" spans="1:4" x14ac:dyDescent="0.35">
      <c r="A7509" s="8" t="str">
        <f t="shared" si="3870"/>
        <v>Malaysia</v>
      </c>
      <c r="B7509" s="3" t="str">
        <f t="shared" ref="B7509:B7510" si="3877">CHOOSE(2, "1395000000540", "% of 1-Month Active Agents pro-rated MDRT agents (&gt;100%)")</f>
        <v>% of 1-Month Active Agents pro-rated MDRT agents (&gt;100%)</v>
      </c>
      <c r="C7509" s="4" t="str">
        <f>CHOOSE(2, "5461730030", "Jun 26")</f>
        <v>Jun 26</v>
      </c>
      <c r="D7509" s="14">
        <v>0.90476190476190477</v>
      </c>
    </row>
    <row r="7510" spans="1:4" x14ac:dyDescent="0.35">
      <c r="A7510" s="8" t="str">
        <f t="shared" si="3870"/>
        <v>Malaysia</v>
      </c>
      <c r="B7510" s="6" t="str">
        <f t="shared" si="3877"/>
        <v>% of 1-Month Active Agents pro-rated MDRT agents (&gt;100%)</v>
      </c>
      <c r="C7510" s="4" t="str">
        <f>CHOOSE(2, "5462030031", "Jul 26")</f>
        <v>Jul 26</v>
      </c>
      <c r="D7510" s="14">
        <v>0.86363636363636365</v>
      </c>
    </row>
    <row r="7511" spans="1:4" x14ac:dyDescent="0.35">
      <c r="A7511" s="8" t="str">
        <f t="shared" si="3870"/>
        <v>Malaysia</v>
      </c>
      <c r="B7511" s="3" t="str">
        <f t="shared" ref="B7511:B7512" si="3878">CHOOSE(2, "1395000000539", "% of 1-Month Active Agents pro-rated MDRT agents (70-99%)")</f>
        <v>% of 1-Month Active Agents pro-rated MDRT agents (70-99%)</v>
      </c>
      <c r="C7511" s="4" t="str">
        <f>CHOOSE(2, "5461730030", "Jun 26")</f>
        <v>Jun 26</v>
      </c>
      <c r="D7511" s="14">
        <v>0.96875</v>
      </c>
    </row>
    <row r="7512" spans="1:4" x14ac:dyDescent="0.35">
      <c r="A7512" s="8" t="str">
        <f t="shared" si="3870"/>
        <v>Malaysia</v>
      </c>
      <c r="B7512" s="6" t="str">
        <f t="shared" si="3878"/>
        <v>% of 1-Month Active Agents pro-rated MDRT agents (70-99%)</v>
      </c>
      <c r="C7512" s="4" t="str">
        <f>CHOOSE(2, "5462030031", "Jul 26")</f>
        <v>Jul 26</v>
      </c>
      <c r="D7512" s="14">
        <v>0.91428571428571426</v>
      </c>
    </row>
    <row r="7513" spans="1:4" x14ac:dyDescent="0.35">
      <c r="A7513" s="8" t="str">
        <f t="shared" si="3870"/>
        <v>Malaysia</v>
      </c>
      <c r="B7513" s="3" t="str">
        <f t="shared" ref="B7513:B7514" si="3879">CHOOSE(2, "1395000000538", "% of 1-Month Active Agents pro-rated MDRT agents (50-69%)")</f>
        <v>% of 1-Month Active Agents pro-rated MDRT agents (50-69%)</v>
      </c>
      <c r="C7513" s="4" t="str">
        <f>CHOOSE(2, "5461730030", "Jun 26")</f>
        <v>Jun 26</v>
      </c>
      <c r="D7513" s="14">
        <v>0.92727272727272725</v>
      </c>
    </row>
    <row r="7514" spans="1:4" x14ac:dyDescent="0.35">
      <c r="A7514" s="8" t="str">
        <f t="shared" si="3870"/>
        <v>Malaysia</v>
      </c>
      <c r="B7514" s="6" t="str">
        <f t="shared" si="3879"/>
        <v>% of 1-Month Active Agents pro-rated MDRT agents (50-69%)</v>
      </c>
      <c r="C7514" s="4" t="str">
        <f>CHOOSE(2, "5462030031", "Jul 26")</f>
        <v>Jul 26</v>
      </c>
      <c r="D7514" s="14">
        <v>0.88235294117647056</v>
      </c>
    </row>
    <row r="7515" spans="1:4" x14ac:dyDescent="0.35">
      <c r="A7515" s="8" t="str">
        <f t="shared" si="3870"/>
        <v>Malaysia</v>
      </c>
      <c r="B7515" s="3" t="str">
        <f t="shared" ref="B7515:B7516" si="3880">CHOOSE(2, "1395000000537", "Avg. Case count per 1-Month Active Agent UM")</f>
        <v>Avg. Case count per 1-Month Active Agent UM</v>
      </c>
      <c r="C7515" s="4" t="str">
        <f>CHOOSE(2, "5461730030", "Jun 26")</f>
        <v>Jun 26</v>
      </c>
      <c r="D7515" s="14">
        <v>3.0943820224719101</v>
      </c>
    </row>
    <row r="7516" spans="1:4" x14ac:dyDescent="0.35">
      <c r="A7516" s="8" t="str">
        <f t="shared" si="3870"/>
        <v>Malaysia</v>
      </c>
      <c r="B7516" s="6" t="str">
        <f t="shared" si="3880"/>
        <v>Avg. Case count per 1-Month Active Agent UM</v>
      </c>
      <c r="C7516" s="4" t="str">
        <f>CHOOSE(2, "5462030031", "Jul 26")</f>
        <v>Jul 26</v>
      </c>
      <c r="D7516" s="14">
        <v>3.2327586206896552</v>
      </c>
    </row>
    <row r="7517" spans="1:4" x14ac:dyDescent="0.35">
      <c r="A7517" s="8" t="str">
        <f t="shared" si="3870"/>
        <v>Malaysia</v>
      </c>
      <c r="B7517" s="3" t="str">
        <f t="shared" ref="B7517:B7518" si="3881">CHOOSE(2, "1395000000536", "Avg. Case count per 1-Month Active Agent Leaders above UM")</f>
        <v>Avg. Case count per 1-Month Active Agent Leaders above UM</v>
      </c>
      <c r="C7517" s="4" t="str">
        <f>CHOOSE(2, "5461730030", "Jun 26")</f>
        <v>Jun 26</v>
      </c>
      <c r="D7517" s="14">
        <v>1.7055555555555555</v>
      </c>
    </row>
    <row r="7518" spans="1:4" x14ac:dyDescent="0.35">
      <c r="A7518" s="8" t="str">
        <f t="shared" si="3870"/>
        <v>Malaysia</v>
      </c>
      <c r="B7518" s="6" t="str">
        <f t="shared" si="3881"/>
        <v>Avg. Case count per 1-Month Active Agent Leaders above UM</v>
      </c>
      <c r="C7518" s="4" t="str">
        <f>CHOOSE(2, "5462030031", "Jul 26")</f>
        <v>Jul 26</v>
      </c>
      <c r="D7518" s="14">
        <v>1.92</v>
      </c>
    </row>
    <row r="7519" spans="1:4" x14ac:dyDescent="0.35">
      <c r="A7519" s="8" t="str">
        <f t="shared" si="3870"/>
        <v>Malaysia</v>
      </c>
      <c r="B7519" s="3" t="str">
        <f t="shared" ref="B7519:B7520" si="3882">CHOOSE(2, "1395000000535", "Avg. Case count per 1-Month Active Agent Top-tier agents")</f>
        <v>Avg. Case count per 1-Month Active Agent Top-tier agents</v>
      </c>
      <c r="C7519" s="4" t="str">
        <f>CHOOSE(2, "5461730030", "Jun 26")</f>
        <v>Jun 26</v>
      </c>
      <c r="D7519" s="14">
        <v>4.7861386138613859</v>
      </c>
    </row>
    <row r="7520" spans="1:4" x14ac:dyDescent="0.35">
      <c r="A7520" s="8" t="str">
        <f t="shared" si="3870"/>
        <v>Malaysia</v>
      </c>
      <c r="B7520" s="6" t="str">
        <f t="shared" si="3882"/>
        <v>Avg. Case count per 1-Month Active Agent Top-tier agents</v>
      </c>
      <c r="C7520" s="4" t="str">
        <f>CHOOSE(2, "5462030031", "Jul 26")</f>
        <v>Jul 26</v>
      </c>
      <c r="D7520" s="14">
        <v>5.255208333333333</v>
      </c>
    </row>
    <row r="7521" spans="1:4" x14ac:dyDescent="0.35">
      <c r="A7521" s="8" t="str">
        <f t="shared" si="3870"/>
        <v>Malaysia</v>
      </c>
      <c r="B7521" s="3" t="str">
        <f t="shared" ref="B7521:B7522" si="3883">CHOOSE(2, "1395000000534", "Avg. Case count per 1-Month Manulife Pro Qualifiers - Total")</f>
        <v>Avg. Case count per 1-Month Manulife Pro Qualifiers - Total</v>
      </c>
      <c r="C7521" s="4" t="str">
        <f>CHOOSE(2, "5461730030", "Jun 26")</f>
        <v>Jun 26</v>
      </c>
      <c r="D7521" s="14">
        <v>0</v>
      </c>
    </row>
    <row r="7522" spans="1:4" x14ac:dyDescent="0.35">
      <c r="A7522" s="8" t="str">
        <f t="shared" si="3870"/>
        <v>Malaysia</v>
      </c>
      <c r="B7522" s="6" t="str">
        <f t="shared" si="3883"/>
        <v>Avg. Case count per 1-Month Manulife Pro Qualifiers - Total</v>
      </c>
      <c r="C7522" s="4" t="str">
        <f>CHOOSE(2, "5462030031", "Jul 26")</f>
        <v>Jul 26</v>
      </c>
      <c r="D7522" s="14">
        <v>0</v>
      </c>
    </row>
    <row r="7523" spans="1:4" x14ac:dyDescent="0.35">
      <c r="A7523" s="8" t="str">
        <f t="shared" si="3870"/>
        <v>Malaysia</v>
      </c>
      <c r="B7523" s="3" t="str">
        <f t="shared" ref="B7523:B7524" si="3884">CHOOSE(2, "1395000000533", "Avg. Case count per 1-Month Active Agent FA or equivalent")</f>
        <v>Avg. Case count per 1-Month Active Agent FA or equivalent</v>
      </c>
      <c r="C7523" s="4" t="str">
        <f>CHOOSE(2, "5461730030", "Jun 26")</f>
        <v>Jun 26</v>
      </c>
      <c r="D7523" s="14">
        <v>2.1397777777777778</v>
      </c>
    </row>
    <row r="7524" spans="1:4" x14ac:dyDescent="0.35">
      <c r="A7524" s="8" t="str">
        <f t="shared" si="3870"/>
        <v>Malaysia</v>
      </c>
      <c r="B7524" s="6" t="str">
        <f t="shared" si="3884"/>
        <v>Avg. Case count per 1-Month Active Agent FA or equivalent</v>
      </c>
      <c r="C7524" s="4" t="str">
        <f>CHOOSE(2, "5462030031", "Jul 26")</f>
        <v>Jul 26</v>
      </c>
      <c r="D7524" s="14">
        <v>2.1368544600938968</v>
      </c>
    </row>
    <row r="7525" spans="1:4" x14ac:dyDescent="0.35">
      <c r="A7525" s="8" t="str">
        <f t="shared" si="3870"/>
        <v>Malaysia</v>
      </c>
      <c r="B7525" s="3" t="str">
        <f t="shared" ref="B7525:B7526" si="3885">CHOOSE(2, "1395000000532", "Avg. Case count per 1-Month pro-rated MDRT agents (&gt;100%)")</f>
        <v>Avg. Case count per 1-Month pro-rated MDRT agents (&gt;100%)</v>
      </c>
      <c r="C7525" s="4" t="str">
        <f>CHOOSE(2, "5461730030", "Jun 26")</f>
        <v>Jun 26</v>
      </c>
      <c r="D7525" s="14">
        <v>6.6736842105263152</v>
      </c>
    </row>
    <row r="7526" spans="1:4" x14ac:dyDescent="0.35">
      <c r="A7526" s="8" t="str">
        <f t="shared" si="3870"/>
        <v>Malaysia</v>
      </c>
      <c r="B7526" s="6" t="str">
        <f t="shared" si="3885"/>
        <v>Avg. Case count per 1-Month pro-rated MDRT agents (&gt;100%)</v>
      </c>
      <c r="C7526" s="4" t="str">
        <f>CHOOSE(2, "5462030031", "Jul 26")</f>
        <v>Jul 26</v>
      </c>
      <c r="D7526" s="14">
        <v>4.1263157894736846</v>
      </c>
    </row>
    <row r="7527" spans="1:4" x14ac:dyDescent="0.35">
      <c r="A7527" s="8" t="str">
        <f t="shared" si="3870"/>
        <v>Malaysia</v>
      </c>
      <c r="B7527" s="3" t="str">
        <f t="shared" ref="B7527:B7528" si="3886">CHOOSE(2, "1395000000531", "Avg. Case count per 1-Month pro-rated MDRT agents (70-99%)")</f>
        <v>Avg. Case count per 1-Month pro-rated MDRT agents (70-99%)</v>
      </c>
      <c r="C7527" s="4" t="str">
        <f>CHOOSE(2, "5461730030", "Jun 26")</f>
        <v>Jun 26</v>
      </c>
      <c r="D7527" s="14">
        <v>5.370967741935484</v>
      </c>
    </row>
    <row r="7528" spans="1:4" x14ac:dyDescent="0.35">
      <c r="A7528" s="8" t="str">
        <f t="shared" si="3870"/>
        <v>Malaysia</v>
      </c>
      <c r="B7528" s="6" t="str">
        <f t="shared" si="3886"/>
        <v>Avg. Case count per 1-Month pro-rated MDRT agents (70-99%)</v>
      </c>
      <c r="C7528" s="4" t="str">
        <f>CHOOSE(2, "5462030031", "Jul 26")</f>
        <v>Jul 26</v>
      </c>
      <c r="D7528" s="14">
        <v>7.0531249999999996</v>
      </c>
    </row>
    <row r="7529" spans="1:4" x14ac:dyDescent="0.35">
      <c r="A7529" s="8" t="str">
        <f t="shared" si="3870"/>
        <v>Malaysia</v>
      </c>
      <c r="B7529" s="3" t="str">
        <f t="shared" ref="B7529:B7530" si="3887">CHOOSE(2, "1395000000530", "Avg. Case count per 1-Month pro-rated MDRT agents (50-69%)")</f>
        <v>Avg. Case count per 1-Month pro-rated MDRT agents (50-69%)</v>
      </c>
      <c r="C7529" s="4" t="str">
        <f>CHOOSE(2, "5461730030", "Jun 26")</f>
        <v>Jun 26</v>
      </c>
      <c r="D7529" s="14">
        <v>3.7274509803921569</v>
      </c>
    </row>
    <row r="7530" spans="1:4" x14ac:dyDescent="0.35">
      <c r="A7530" s="9" t="str">
        <f t="shared" si="3870"/>
        <v>Malaysia</v>
      </c>
      <c r="B7530" s="6" t="str">
        <f t="shared" si="3887"/>
        <v>Avg. Case count per 1-Month pro-rated MDRT agents (50-69%)</v>
      </c>
      <c r="C7530" s="4" t="str">
        <f>CHOOSE(2, "5462030031", "Jul 26")</f>
        <v>Jul 26</v>
      </c>
      <c r="D7530" s="14">
        <v>4.4533333333333331</v>
      </c>
    </row>
    <row r="7531" spans="1:4" x14ac:dyDescent="0.35">
      <c r="A7531" s="3" t="str">
        <f t="shared" ref="A7531:A7594" si="3888">CHOOSE(2, "1260000000012", "Agency")</f>
        <v>Agency</v>
      </c>
      <c r="B7531" s="3" t="str">
        <f t="shared" ref="B7531:B7532" si="3889">CHOOSE(2, "1395000000741", "Submitted APE")</f>
        <v>Submitted APE</v>
      </c>
      <c r="C7531" s="4" t="str">
        <f>CHOOSE(2, "5461730030", "Jun 26")</f>
        <v>Jun 26</v>
      </c>
      <c r="D7531" s="14">
        <v>115349</v>
      </c>
    </row>
    <row r="7532" spans="1:4" x14ac:dyDescent="0.35">
      <c r="A7532" s="5" t="str">
        <f t="shared" si="3888"/>
        <v>Agency</v>
      </c>
      <c r="B7532" s="6" t="str">
        <f t="shared" si="3889"/>
        <v>Submitted APE</v>
      </c>
      <c r="C7532" s="4" t="str">
        <f>CHOOSE(2, "5462030031", "Jul 26")</f>
        <v>Jul 26</v>
      </c>
      <c r="D7532" s="14">
        <v>156123</v>
      </c>
    </row>
    <row r="7533" spans="1:4" x14ac:dyDescent="0.35">
      <c r="A7533" s="5" t="str">
        <f t="shared" si="3888"/>
        <v>Agency</v>
      </c>
      <c r="B7533" s="3" t="str">
        <f t="shared" ref="B7533:B7534" si="3890">CHOOSE(2, "1395000000740", "# of 1-Month Active Agents")</f>
        <v># of 1-Month Active Agents</v>
      </c>
      <c r="C7533" s="4" t="str">
        <f>CHOOSE(2, "5461730030", "Jun 26")</f>
        <v>Jun 26</v>
      </c>
      <c r="D7533" s="14">
        <v>80</v>
      </c>
    </row>
    <row r="7534" spans="1:4" x14ac:dyDescent="0.35">
      <c r="A7534" s="5" t="str">
        <f t="shared" si="3888"/>
        <v>Agency</v>
      </c>
      <c r="B7534" s="6" t="str">
        <f t="shared" si="3890"/>
        <v># of 1-Month Active Agents</v>
      </c>
      <c r="C7534" s="4" t="str">
        <f>CHOOSE(2, "5462030031", "Jul 26")</f>
        <v>Jul 26</v>
      </c>
      <c r="D7534" s="14">
        <v>72</v>
      </c>
    </row>
    <row r="7535" spans="1:4" x14ac:dyDescent="0.35">
      <c r="A7535" s="5" t="str">
        <f t="shared" si="3888"/>
        <v>Agency</v>
      </c>
      <c r="B7535" s="3" t="str">
        <f t="shared" ref="B7535:B7536" si="3891">CHOOSE(2, "1395000000739", "# of 1-Month Active Agents in 0-1M")</f>
        <v># of 1-Month Active Agents in 0-1M</v>
      </c>
      <c r="C7535" s="4" t="str">
        <f>CHOOSE(2, "5461730030", "Jun 26")</f>
        <v>Jun 26</v>
      </c>
      <c r="D7535" s="14">
        <v>3</v>
      </c>
    </row>
    <row r="7536" spans="1:4" x14ac:dyDescent="0.35">
      <c r="A7536" s="5" t="str">
        <f t="shared" si="3888"/>
        <v>Agency</v>
      </c>
      <c r="B7536" s="6" t="str">
        <f t="shared" si="3891"/>
        <v># of 1-Month Active Agents in 0-1M</v>
      </c>
      <c r="C7536" s="4" t="str">
        <f>CHOOSE(2, "5462030031", "Jul 26")</f>
        <v>Jul 26</v>
      </c>
      <c r="D7536" s="14">
        <v>7</v>
      </c>
    </row>
    <row r="7537" spans="1:4" x14ac:dyDescent="0.35">
      <c r="A7537" s="5" t="str">
        <f t="shared" si="3888"/>
        <v>Agency</v>
      </c>
      <c r="B7537" s="3" t="str">
        <f t="shared" ref="B7537:B7538" si="3892">CHOOSE(2, "1395000000738", "# of 1-Month Active Agents in 2-3M")</f>
        <v># of 1-Month Active Agents in 2-3M</v>
      </c>
      <c r="C7537" s="4" t="str">
        <f>CHOOSE(2, "5461730030", "Jun 26")</f>
        <v>Jun 26</v>
      </c>
      <c r="D7537" s="14">
        <v>5</v>
      </c>
    </row>
    <row r="7538" spans="1:4" x14ac:dyDescent="0.35">
      <c r="A7538" s="5" t="str">
        <f t="shared" si="3888"/>
        <v>Agency</v>
      </c>
      <c r="B7538" s="6" t="str">
        <f t="shared" si="3892"/>
        <v># of 1-Month Active Agents in 2-3M</v>
      </c>
      <c r="C7538" s="4" t="str">
        <f>CHOOSE(2, "5462030031", "Jul 26")</f>
        <v>Jul 26</v>
      </c>
      <c r="D7538" s="14">
        <v>9</v>
      </c>
    </row>
    <row r="7539" spans="1:4" x14ac:dyDescent="0.35">
      <c r="A7539" s="5" t="str">
        <f t="shared" si="3888"/>
        <v>Agency</v>
      </c>
      <c r="B7539" s="3" t="str">
        <f t="shared" ref="B7539:B7540" si="3893">CHOOSE(2, "1395000000737", "# of 1-Month Active Agents in 4-12M")</f>
        <v># of 1-Month Active Agents in 4-12M</v>
      </c>
      <c r="C7539" s="4" t="str">
        <f>CHOOSE(2, "5461730030", "Jun 26")</f>
        <v>Jun 26</v>
      </c>
      <c r="D7539" s="14">
        <v>23</v>
      </c>
    </row>
    <row r="7540" spans="1:4" x14ac:dyDescent="0.35">
      <c r="A7540" s="5" t="str">
        <f t="shared" si="3888"/>
        <v>Agency</v>
      </c>
      <c r="B7540" s="6" t="str">
        <f t="shared" si="3893"/>
        <v># of 1-Month Active Agents in 4-12M</v>
      </c>
      <c r="C7540" s="4" t="str">
        <f>CHOOSE(2, "5462030031", "Jul 26")</f>
        <v>Jul 26</v>
      </c>
      <c r="D7540" s="14">
        <v>11</v>
      </c>
    </row>
    <row r="7541" spans="1:4" x14ac:dyDescent="0.35">
      <c r="A7541" s="5" t="str">
        <f t="shared" si="3888"/>
        <v>Agency</v>
      </c>
      <c r="B7541" s="3" t="str">
        <f t="shared" ref="B7541:B7542" si="3894">CHOOSE(2, "1395000000736", "# of 1-Month Active Agents 13+M")</f>
        <v># of 1-Month Active Agents 13+M</v>
      </c>
      <c r="C7541" s="4" t="str">
        <f>CHOOSE(2, "5461730030", "Jun 26")</f>
        <v>Jun 26</v>
      </c>
      <c r="D7541" s="14">
        <v>49</v>
      </c>
    </row>
    <row r="7542" spans="1:4" x14ac:dyDescent="0.35">
      <c r="A7542" s="5" t="str">
        <f t="shared" si="3888"/>
        <v>Agency</v>
      </c>
      <c r="B7542" s="6" t="str">
        <f t="shared" si="3894"/>
        <v># of 1-Month Active Agents 13+M</v>
      </c>
      <c r="C7542" s="4" t="str">
        <f>CHOOSE(2, "5462030031", "Jul 26")</f>
        <v>Jul 26</v>
      </c>
      <c r="D7542" s="14">
        <v>45</v>
      </c>
    </row>
    <row r="7543" spans="1:4" x14ac:dyDescent="0.35">
      <c r="A7543" s="5" t="str">
        <f t="shared" si="3888"/>
        <v>Agency</v>
      </c>
      <c r="B7543" s="3" t="str">
        <f t="shared" ref="B7543:B7544" si="3895">CHOOSE(2, "1395000000735", "# of 1-Month Active Agents in FA or equivalent")</f>
        <v># of 1-Month Active Agents in FA or equivalent</v>
      </c>
      <c r="C7543" s="4" t="str">
        <f>CHOOSE(2, "5461730030", "Jun 26")</f>
        <v>Jun 26</v>
      </c>
      <c r="D7543" s="14">
        <v>67</v>
      </c>
    </row>
    <row r="7544" spans="1:4" x14ac:dyDescent="0.35">
      <c r="A7544" s="5" t="str">
        <f t="shared" si="3888"/>
        <v>Agency</v>
      </c>
      <c r="B7544" s="6" t="str">
        <f t="shared" si="3895"/>
        <v># of 1-Month Active Agents in FA or equivalent</v>
      </c>
      <c r="C7544" s="4" t="str">
        <f>CHOOSE(2, "5462030031", "Jul 26")</f>
        <v>Jul 26</v>
      </c>
      <c r="D7544" s="14">
        <v>54</v>
      </c>
    </row>
    <row r="7545" spans="1:4" x14ac:dyDescent="0.35">
      <c r="A7545" s="5" t="str">
        <f t="shared" si="3888"/>
        <v>Agency</v>
      </c>
      <c r="B7545" s="3" t="str">
        <f t="shared" ref="B7545:B7546" si="3896">CHOOSE(2, "1395000000734", "# of 1-Month Active Agents in UM")</f>
        <v># of 1-Month Active Agents in UM</v>
      </c>
      <c r="C7545" s="4" t="str">
        <f>CHOOSE(2, "5461730030", "Jun 26")</f>
        <v>Jun 26</v>
      </c>
      <c r="D7545" s="14">
        <v>8</v>
      </c>
    </row>
    <row r="7546" spans="1:4" x14ac:dyDescent="0.35">
      <c r="A7546" s="5" t="str">
        <f t="shared" si="3888"/>
        <v>Agency</v>
      </c>
      <c r="B7546" s="6" t="str">
        <f t="shared" si="3896"/>
        <v># of 1-Month Active Agents in UM</v>
      </c>
      <c r="C7546" s="4" t="str">
        <f>CHOOSE(2, "5462030031", "Jul 26")</f>
        <v>Jul 26</v>
      </c>
      <c r="D7546" s="14">
        <v>13</v>
      </c>
    </row>
    <row r="7547" spans="1:4" x14ac:dyDescent="0.35">
      <c r="A7547" s="5" t="str">
        <f t="shared" si="3888"/>
        <v>Agency</v>
      </c>
      <c r="B7547" s="3" t="str">
        <f t="shared" ref="B7547:B7548" si="3897">CHOOSE(2, "1395000000733", "# of 1-Month Active Agents in Leaders above UM")</f>
        <v># of 1-Month Active Agents in Leaders above UM</v>
      </c>
      <c r="C7547" s="4" t="str">
        <f>CHOOSE(2, "5461730030", "Jun 26")</f>
        <v>Jun 26</v>
      </c>
      <c r="D7547" s="14">
        <v>2</v>
      </c>
    </row>
    <row r="7548" spans="1:4" x14ac:dyDescent="0.35">
      <c r="A7548" s="5" t="str">
        <f t="shared" si="3888"/>
        <v>Agency</v>
      </c>
      <c r="B7548" s="6" t="str">
        <f t="shared" si="3897"/>
        <v># of 1-Month Active Agents in Leaders above UM</v>
      </c>
      <c r="C7548" s="4" t="str">
        <f>CHOOSE(2, "5462030031", "Jul 26")</f>
        <v>Jul 26</v>
      </c>
      <c r="D7548" s="14">
        <v>2</v>
      </c>
    </row>
    <row r="7549" spans="1:4" x14ac:dyDescent="0.35">
      <c r="A7549" s="5" t="str">
        <f t="shared" si="3888"/>
        <v>Agency</v>
      </c>
      <c r="B7549" s="3" t="str">
        <f t="shared" ref="B7549:B7550" si="3898">CHOOSE(2, "1395000000732", "# of 1-Month Active Top-tier Agents")</f>
        <v># of 1-Month Active Top-tier Agents</v>
      </c>
      <c r="C7549" s="4" t="str">
        <f>CHOOSE(2, "5461730030", "Jun 26")</f>
        <v>Jun 26</v>
      </c>
      <c r="D7549" s="14">
        <v>3</v>
      </c>
    </row>
    <row r="7550" spans="1:4" x14ac:dyDescent="0.35">
      <c r="A7550" s="5" t="str">
        <f t="shared" si="3888"/>
        <v>Agency</v>
      </c>
      <c r="B7550" s="6" t="str">
        <f t="shared" si="3898"/>
        <v># of 1-Month Active Top-tier Agents</v>
      </c>
      <c r="C7550" s="4" t="str">
        <f>CHOOSE(2, "5462030031", "Jul 26")</f>
        <v>Jul 26</v>
      </c>
      <c r="D7550" s="14">
        <v>3</v>
      </c>
    </row>
    <row r="7551" spans="1:4" x14ac:dyDescent="0.35">
      <c r="A7551" s="5" t="str">
        <f t="shared" si="3888"/>
        <v>Agency</v>
      </c>
      <c r="B7551" s="3" t="str">
        <f t="shared" ref="B7551:B7552" si="3899">CHOOSE(2, "1395000000731", "# of 1-Month Active Agents in pro-rated MDRT agents (&gt;100%)")</f>
        <v># of 1-Month Active Agents in pro-rated MDRT agents (&gt;100%)</v>
      </c>
      <c r="C7551" s="4" t="str">
        <f>CHOOSE(2, "5461730030", "Jun 26")</f>
        <v>Jun 26</v>
      </c>
      <c r="D7551" s="14">
        <v>0</v>
      </c>
    </row>
    <row r="7552" spans="1:4" x14ac:dyDescent="0.35">
      <c r="A7552" s="5" t="str">
        <f t="shared" si="3888"/>
        <v>Agency</v>
      </c>
      <c r="B7552" s="6" t="str">
        <f t="shared" si="3899"/>
        <v># of 1-Month Active Agents in pro-rated MDRT agents (&gt;100%)</v>
      </c>
      <c r="C7552" s="4" t="str">
        <f>CHOOSE(2, "5462030031", "Jul 26")</f>
        <v>Jul 26</v>
      </c>
      <c r="D7552" s="14">
        <v>1</v>
      </c>
    </row>
    <row r="7553" spans="1:4" x14ac:dyDescent="0.35">
      <c r="A7553" s="5" t="str">
        <f t="shared" si="3888"/>
        <v>Agency</v>
      </c>
      <c r="B7553" s="3" t="str">
        <f t="shared" ref="B7553:B7554" si="3900">CHOOSE(2, "1395000000730", "# of 1-Month Active Agents in pro-rated MDRT agents (70-99%)")</f>
        <v># of 1-Month Active Agents in pro-rated MDRT agents (70-99%)</v>
      </c>
      <c r="C7553" s="4" t="str">
        <f>CHOOSE(2, "5461730030", "Jun 26")</f>
        <v>Jun 26</v>
      </c>
      <c r="D7553" s="14">
        <v>2</v>
      </c>
    </row>
    <row r="7554" spans="1:4" x14ac:dyDescent="0.35">
      <c r="A7554" s="5" t="str">
        <f t="shared" si="3888"/>
        <v>Agency</v>
      </c>
      <c r="B7554" s="6" t="str">
        <f t="shared" si="3900"/>
        <v># of 1-Month Active Agents in pro-rated MDRT agents (70-99%)</v>
      </c>
      <c r="C7554" s="4" t="str">
        <f>CHOOSE(2, "5462030031", "Jul 26")</f>
        <v>Jul 26</v>
      </c>
      <c r="D7554" s="14">
        <v>1</v>
      </c>
    </row>
    <row r="7555" spans="1:4" x14ac:dyDescent="0.35">
      <c r="A7555" s="5" t="str">
        <f t="shared" si="3888"/>
        <v>Agency</v>
      </c>
      <c r="B7555" s="3" t="str">
        <f t="shared" ref="B7555:B7556" si="3901">CHOOSE(2, "1395000000729", "# of 1-Month Active Agents in pro-rated MDRT agents (50-69%)")</f>
        <v># of 1-Month Active Agents in pro-rated MDRT agents (50-69%)</v>
      </c>
      <c r="C7555" s="4" t="str">
        <f>CHOOSE(2, "5461730030", "Jun 26")</f>
        <v>Jun 26</v>
      </c>
      <c r="D7555" s="14">
        <v>1</v>
      </c>
    </row>
    <row r="7556" spans="1:4" x14ac:dyDescent="0.35">
      <c r="A7556" s="5" t="str">
        <f t="shared" si="3888"/>
        <v>Agency</v>
      </c>
      <c r="B7556" s="6" t="str">
        <f t="shared" si="3901"/>
        <v># of 1-Month Active Agents in pro-rated MDRT agents (50-69%)</v>
      </c>
      <c r="C7556" s="4" t="str">
        <f>CHOOSE(2, "5462030031", "Jul 26")</f>
        <v>Jul 26</v>
      </c>
      <c r="D7556" s="14">
        <v>1</v>
      </c>
    </row>
    <row r="7557" spans="1:4" x14ac:dyDescent="0.35">
      <c r="A7557" s="5" t="str">
        <f t="shared" si="3888"/>
        <v>Agency</v>
      </c>
      <c r="B7557" s="3" t="str">
        <f t="shared" ref="B7557:B7558" si="3902">CHOOSE(2, "1395000000728", "# of 1-Month Active Agents in Manulife Pro Qualifiers -Total")</f>
        <v># of 1-Month Active Agents in Manulife Pro Qualifiers -Total</v>
      </c>
      <c r="C7557" s="4" t="str">
        <f>CHOOSE(2, "5461730030", "Jun 26")</f>
        <v>Jun 26</v>
      </c>
      <c r="D7557" s="14">
        <v>0</v>
      </c>
    </row>
    <row r="7558" spans="1:4" x14ac:dyDescent="0.35">
      <c r="A7558" s="5" t="str">
        <f t="shared" si="3888"/>
        <v>Agency</v>
      </c>
      <c r="B7558" s="6" t="str">
        <f t="shared" si="3902"/>
        <v># of 1-Month Active Agents in Manulife Pro Qualifiers -Total</v>
      </c>
      <c r="C7558" s="4" t="str">
        <f>CHOOSE(2, "5462030031", "Jul 26")</f>
        <v>Jul 26</v>
      </c>
      <c r="D7558" s="14">
        <v>0</v>
      </c>
    </row>
    <row r="7559" spans="1:4" x14ac:dyDescent="0.35">
      <c r="A7559" s="5" t="str">
        <f t="shared" si="3888"/>
        <v>Agency</v>
      </c>
      <c r="B7559" s="3" t="str">
        <f t="shared" ref="B7559:B7560" si="3903">CHOOSE(2, "1395000000727", "# of 3-Month Active Agents")</f>
        <v># of 3-Month Active Agents</v>
      </c>
      <c r="C7559" s="4" t="str">
        <f>CHOOSE(2, "5461730030", "Jun 26")</f>
        <v>Jun 26</v>
      </c>
      <c r="D7559" s="14">
        <v>120</v>
      </c>
    </row>
    <row r="7560" spans="1:4" x14ac:dyDescent="0.35">
      <c r="A7560" s="5" t="str">
        <f t="shared" si="3888"/>
        <v>Agency</v>
      </c>
      <c r="B7560" s="6" t="str">
        <f t="shared" si="3903"/>
        <v># of 3-Month Active Agents</v>
      </c>
      <c r="C7560" s="4" t="str">
        <f>CHOOSE(2, "5462030031", "Jul 26")</f>
        <v>Jul 26</v>
      </c>
      <c r="D7560" s="14">
        <v>135</v>
      </c>
    </row>
    <row r="7561" spans="1:4" x14ac:dyDescent="0.35">
      <c r="A7561" s="5" t="str">
        <f t="shared" si="3888"/>
        <v>Agency</v>
      </c>
      <c r="B7561" s="3" t="str">
        <f t="shared" ref="B7561:B7562" si="3904">CHOOSE(2, "1395000000726", "# of 3-Month Active Agents in 0-1M")</f>
        <v># of 3-Month Active Agents in 0-1M</v>
      </c>
      <c r="C7561" s="4" t="str">
        <f>CHOOSE(2, "5461730030", "Jun 26")</f>
        <v>Jun 26</v>
      </c>
      <c r="D7561" s="14">
        <v>3</v>
      </c>
    </row>
    <row r="7562" spans="1:4" x14ac:dyDescent="0.35">
      <c r="A7562" s="5" t="str">
        <f t="shared" si="3888"/>
        <v>Agency</v>
      </c>
      <c r="B7562" s="6" t="str">
        <f t="shared" si="3904"/>
        <v># of 3-Month Active Agents in 0-1M</v>
      </c>
      <c r="C7562" s="4" t="str">
        <f>CHOOSE(2, "5462030031", "Jul 26")</f>
        <v>Jul 26</v>
      </c>
      <c r="D7562" s="14">
        <v>7</v>
      </c>
    </row>
    <row r="7563" spans="1:4" x14ac:dyDescent="0.35">
      <c r="A7563" s="5" t="str">
        <f t="shared" si="3888"/>
        <v>Agency</v>
      </c>
      <c r="B7563" s="3" t="str">
        <f t="shared" ref="B7563:B7564" si="3905">CHOOSE(2, "1395000000725", "# of 3-Month Active Agents in 2-3M")</f>
        <v># of 3-Month Active Agents in 2-3M</v>
      </c>
      <c r="C7563" s="4" t="str">
        <f>CHOOSE(2, "5461730030", "Jun 26")</f>
        <v>Jun 26</v>
      </c>
      <c r="D7563" s="14">
        <v>8</v>
      </c>
    </row>
    <row r="7564" spans="1:4" x14ac:dyDescent="0.35">
      <c r="A7564" s="5" t="str">
        <f t="shared" si="3888"/>
        <v>Agency</v>
      </c>
      <c r="B7564" s="6" t="str">
        <f t="shared" si="3905"/>
        <v># of 3-Month Active Agents in 2-3M</v>
      </c>
      <c r="C7564" s="4" t="str">
        <f>CHOOSE(2, "5462030031", "Jul 26")</f>
        <v>Jul 26</v>
      </c>
      <c r="D7564" s="14">
        <v>13</v>
      </c>
    </row>
    <row r="7565" spans="1:4" x14ac:dyDescent="0.35">
      <c r="A7565" s="5" t="str">
        <f t="shared" si="3888"/>
        <v>Agency</v>
      </c>
      <c r="B7565" s="3" t="str">
        <f t="shared" ref="B7565:B7566" si="3906">CHOOSE(2, "1395000000724", "# of 3-Month Active Agents in 4-12M")</f>
        <v># of 3-Month Active Agents in 4-12M</v>
      </c>
      <c r="C7565" s="4" t="str">
        <f>CHOOSE(2, "5461730030", "Jun 26")</f>
        <v>Jun 26</v>
      </c>
      <c r="D7565" s="14">
        <v>39</v>
      </c>
    </row>
    <row r="7566" spans="1:4" x14ac:dyDescent="0.35">
      <c r="A7566" s="5" t="str">
        <f t="shared" si="3888"/>
        <v>Agency</v>
      </c>
      <c r="B7566" s="6" t="str">
        <f t="shared" si="3906"/>
        <v># of 3-Month Active Agents in 4-12M</v>
      </c>
      <c r="C7566" s="4" t="str">
        <f>CHOOSE(2, "5462030031", "Jul 26")</f>
        <v>Jul 26</v>
      </c>
      <c r="D7566" s="14">
        <v>39</v>
      </c>
    </row>
    <row r="7567" spans="1:4" x14ac:dyDescent="0.35">
      <c r="A7567" s="5" t="str">
        <f t="shared" si="3888"/>
        <v>Agency</v>
      </c>
      <c r="B7567" s="3" t="str">
        <f t="shared" ref="B7567:B7568" si="3907">CHOOSE(2, "1395000000723", "# of 3-Month Active Agents 13+M")</f>
        <v># of 3-Month Active Agents 13+M</v>
      </c>
      <c r="C7567" s="4" t="str">
        <f>CHOOSE(2, "5461730030", "Jun 26")</f>
        <v>Jun 26</v>
      </c>
      <c r="D7567" s="14">
        <v>70</v>
      </c>
    </row>
    <row r="7568" spans="1:4" x14ac:dyDescent="0.35">
      <c r="A7568" s="5" t="str">
        <f t="shared" si="3888"/>
        <v>Agency</v>
      </c>
      <c r="B7568" s="6" t="str">
        <f t="shared" si="3907"/>
        <v># of 3-Month Active Agents 13+M</v>
      </c>
      <c r="C7568" s="4" t="str">
        <f>CHOOSE(2, "5462030031", "Jul 26")</f>
        <v>Jul 26</v>
      </c>
      <c r="D7568" s="14">
        <v>76</v>
      </c>
    </row>
    <row r="7569" spans="1:4" x14ac:dyDescent="0.35">
      <c r="A7569" s="5" t="str">
        <f t="shared" si="3888"/>
        <v>Agency</v>
      </c>
      <c r="B7569" s="3" t="str">
        <f t="shared" ref="B7569:B7570" si="3908">CHOOSE(2, "1395000000722", "# of 3-Month Active Agents in UM")</f>
        <v># of 3-Month Active Agents in UM</v>
      </c>
      <c r="C7569" s="4" t="str">
        <f>CHOOSE(2, "5461730030", "Jun 26")</f>
        <v>Jun 26</v>
      </c>
      <c r="D7569" s="14">
        <v>9</v>
      </c>
    </row>
    <row r="7570" spans="1:4" x14ac:dyDescent="0.35">
      <c r="A7570" s="5" t="str">
        <f t="shared" si="3888"/>
        <v>Agency</v>
      </c>
      <c r="B7570" s="6" t="str">
        <f t="shared" si="3908"/>
        <v># of 3-Month Active Agents in UM</v>
      </c>
      <c r="C7570" s="4" t="str">
        <f>CHOOSE(2, "5462030031", "Jul 26")</f>
        <v>Jul 26</v>
      </c>
      <c r="D7570" s="14">
        <v>16</v>
      </c>
    </row>
    <row r="7571" spans="1:4" x14ac:dyDescent="0.35">
      <c r="A7571" s="5" t="str">
        <f t="shared" si="3888"/>
        <v>Agency</v>
      </c>
      <c r="B7571" s="3" t="str">
        <f t="shared" ref="B7571:B7572" si="3909">CHOOSE(2, "1395000000721", "# of 3-Month Active Agents in Leaders above UM")</f>
        <v># of 3-Month Active Agents in Leaders above UM</v>
      </c>
      <c r="C7571" s="4" t="str">
        <f>CHOOSE(2, "5461730030", "Jun 26")</f>
        <v>Jun 26</v>
      </c>
      <c r="D7571" s="14">
        <v>2</v>
      </c>
    </row>
    <row r="7572" spans="1:4" x14ac:dyDescent="0.35">
      <c r="A7572" s="5" t="str">
        <f t="shared" si="3888"/>
        <v>Agency</v>
      </c>
      <c r="B7572" s="6" t="str">
        <f t="shared" si="3909"/>
        <v># of 3-Month Active Agents in Leaders above UM</v>
      </c>
      <c r="C7572" s="4" t="str">
        <f>CHOOSE(2, "5462030031", "Jul 26")</f>
        <v>Jul 26</v>
      </c>
      <c r="D7572" s="14">
        <v>3</v>
      </c>
    </row>
    <row r="7573" spans="1:4" x14ac:dyDescent="0.35">
      <c r="A7573" s="5" t="str">
        <f t="shared" si="3888"/>
        <v>Agency</v>
      </c>
      <c r="B7573" s="3" t="str">
        <f t="shared" ref="B7573:B7574" si="3910">CHOOSE(2, "1395000000720", "# of 3-Month Active Agents in FA or equivalent")</f>
        <v># of 3-Month Active Agents in FA or equivalent</v>
      </c>
      <c r="C7573" s="4" t="str">
        <f>CHOOSE(2, "5461730030", "Jun 26")</f>
        <v>Jun 26</v>
      </c>
      <c r="D7573" s="14">
        <v>103</v>
      </c>
    </row>
    <row r="7574" spans="1:4" x14ac:dyDescent="0.35">
      <c r="A7574" s="5" t="str">
        <f t="shared" si="3888"/>
        <v>Agency</v>
      </c>
      <c r="B7574" s="6" t="str">
        <f t="shared" si="3910"/>
        <v># of 3-Month Active Agents in FA or equivalent</v>
      </c>
      <c r="C7574" s="4" t="str">
        <f>CHOOSE(2, "5462030031", "Jul 26")</f>
        <v>Jul 26</v>
      </c>
      <c r="D7574" s="14">
        <v>111</v>
      </c>
    </row>
    <row r="7575" spans="1:4" x14ac:dyDescent="0.35">
      <c r="A7575" s="5" t="str">
        <f t="shared" si="3888"/>
        <v>Agency</v>
      </c>
      <c r="B7575" s="3" t="str">
        <f t="shared" ref="B7575:B7576" si="3911">CHOOSE(2, "1395000000719", "Net Case Count - Agency")</f>
        <v>Net Case Count - Agency</v>
      </c>
      <c r="C7575" s="4" t="str">
        <f>CHOOSE(2, "5461730030", "Jun 26")</f>
        <v>Jun 26</v>
      </c>
      <c r="D7575" s="14">
        <v>102</v>
      </c>
    </row>
    <row r="7576" spans="1:4" x14ac:dyDescent="0.35">
      <c r="A7576" s="5" t="str">
        <f t="shared" si="3888"/>
        <v>Agency</v>
      </c>
      <c r="B7576" s="6" t="str">
        <f t="shared" si="3911"/>
        <v>Net Case Count - Agency</v>
      </c>
      <c r="C7576" s="4" t="str">
        <f>CHOOSE(2, "5462030031", "Jul 26")</f>
        <v>Jul 26</v>
      </c>
      <c r="D7576" s="14">
        <v>136</v>
      </c>
    </row>
    <row r="7577" spans="1:4" x14ac:dyDescent="0.35">
      <c r="A7577" s="5" t="str">
        <f t="shared" si="3888"/>
        <v>Agency</v>
      </c>
      <c r="B7577" s="3" t="str">
        <f t="shared" ref="B7577:B7578" si="3912">CHOOSE(2, "1395000000718", "Net Case Count - Agency in 0-1M")</f>
        <v>Net Case Count - Agency in 0-1M</v>
      </c>
      <c r="C7577" s="4" t="str">
        <f>CHOOSE(2, "5461730030", "Jun 26")</f>
        <v>Jun 26</v>
      </c>
      <c r="D7577" s="14">
        <v>4</v>
      </c>
    </row>
    <row r="7578" spans="1:4" x14ac:dyDescent="0.35">
      <c r="A7578" s="5" t="str">
        <f t="shared" si="3888"/>
        <v>Agency</v>
      </c>
      <c r="B7578" s="6" t="str">
        <f t="shared" si="3912"/>
        <v>Net Case Count - Agency in 0-1M</v>
      </c>
      <c r="C7578" s="4" t="str">
        <f>CHOOSE(2, "5462030031", "Jul 26")</f>
        <v>Jul 26</v>
      </c>
      <c r="D7578" s="14">
        <v>9</v>
      </c>
    </row>
    <row r="7579" spans="1:4" x14ac:dyDescent="0.35">
      <c r="A7579" s="5" t="str">
        <f t="shared" si="3888"/>
        <v>Agency</v>
      </c>
      <c r="B7579" s="3" t="str">
        <f t="shared" ref="B7579:B7580" si="3913">CHOOSE(2, "1395000000717", "Net Case Count - Agency in 2-3M")</f>
        <v>Net Case Count - Agency in 2-3M</v>
      </c>
      <c r="C7579" s="4" t="str">
        <f>CHOOSE(2, "5461730030", "Jun 26")</f>
        <v>Jun 26</v>
      </c>
      <c r="D7579" s="14">
        <v>11</v>
      </c>
    </row>
    <row r="7580" spans="1:4" x14ac:dyDescent="0.35">
      <c r="A7580" s="5" t="str">
        <f t="shared" si="3888"/>
        <v>Agency</v>
      </c>
      <c r="B7580" s="6" t="str">
        <f t="shared" si="3913"/>
        <v>Net Case Count - Agency in 2-3M</v>
      </c>
      <c r="C7580" s="4" t="str">
        <f>CHOOSE(2, "5462030031", "Jul 26")</f>
        <v>Jul 26</v>
      </c>
      <c r="D7580" s="14">
        <v>31</v>
      </c>
    </row>
    <row r="7581" spans="1:4" x14ac:dyDescent="0.35">
      <c r="A7581" s="5" t="str">
        <f t="shared" si="3888"/>
        <v>Agency</v>
      </c>
      <c r="B7581" s="3" t="str">
        <f t="shared" ref="B7581:B7582" si="3914">CHOOSE(2, "1395000000716", "Net Case Count - Agency in 4-12M")</f>
        <v>Net Case Count - Agency in 4-12M</v>
      </c>
      <c r="C7581" s="4" t="str">
        <f>CHOOSE(2, "5461730030", "Jun 26")</f>
        <v>Jun 26</v>
      </c>
      <c r="D7581" s="14">
        <v>28</v>
      </c>
    </row>
    <row r="7582" spans="1:4" x14ac:dyDescent="0.35">
      <c r="A7582" s="5" t="str">
        <f t="shared" si="3888"/>
        <v>Agency</v>
      </c>
      <c r="B7582" s="6" t="str">
        <f t="shared" si="3914"/>
        <v>Net Case Count - Agency in 4-12M</v>
      </c>
      <c r="C7582" s="4" t="str">
        <f>CHOOSE(2, "5462030031", "Jul 26")</f>
        <v>Jul 26</v>
      </c>
      <c r="D7582" s="14">
        <v>12</v>
      </c>
    </row>
    <row r="7583" spans="1:4" x14ac:dyDescent="0.35">
      <c r="A7583" s="5" t="str">
        <f t="shared" si="3888"/>
        <v>Agency</v>
      </c>
      <c r="B7583" s="3" t="str">
        <f t="shared" ref="B7583:B7584" si="3915">CHOOSE(2, "1395000000715", "Net Case Count - Agency 13+M")</f>
        <v>Net Case Count - Agency 13+M</v>
      </c>
      <c r="C7583" s="4" t="str">
        <f>CHOOSE(2, "5461730030", "Jun 26")</f>
        <v>Jun 26</v>
      </c>
      <c r="D7583" s="14">
        <v>59</v>
      </c>
    </row>
    <row r="7584" spans="1:4" x14ac:dyDescent="0.35">
      <c r="A7584" s="5" t="str">
        <f t="shared" si="3888"/>
        <v>Agency</v>
      </c>
      <c r="B7584" s="6" t="str">
        <f t="shared" si="3915"/>
        <v>Net Case Count - Agency 13+M</v>
      </c>
      <c r="C7584" s="4" t="str">
        <f>CHOOSE(2, "5462030031", "Jul 26")</f>
        <v>Jul 26</v>
      </c>
      <c r="D7584" s="14">
        <v>84</v>
      </c>
    </row>
    <row r="7585" spans="1:4" x14ac:dyDescent="0.35">
      <c r="A7585" s="5" t="str">
        <f t="shared" si="3888"/>
        <v>Agency</v>
      </c>
      <c r="B7585" s="3" t="str">
        <f t="shared" ref="B7585:B7586" si="3916">CHOOSE(2, "1395000000714", "Net Case Count - Agency in FA or equivalent")</f>
        <v>Net Case Count - Agency in FA or equivalent</v>
      </c>
      <c r="C7585" s="4" t="str">
        <f>CHOOSE(2, "5461730030", "Jun 26")</f>
        <v>Jun 26</v>
      </c>
      <c r="D7585" s="14">
        <v>82</v>
      </c>
    </row>
    <row r="7586" spans="1:4" x14ac:dyDescent="0.35">
      <c r="A7586" s="5" t="str">
        <f t="shared" si="3888"/>
        <v>Agency</v>
      </c>
      <c r="B7586" s="6" t="str">
        <f t="shared" si="3916"/>
        <v>Net Case Count - Agency in FA or equivalent</v>
      </c>
      <c r="C7586" s="4" t="str">
        <f>CHOOSE(2, "5462030031", "Jul 26")</f>
        <v>Jul 26</v>
      </c>
      <c r="D7586" s="14">
        <v>87</v>
      </c>
    </row>
    <row r="7587" spans="1:4" x14ac:dyDescent="0.35">
      <c r="A7587" s="5" t="str">
        <f t="shared" si="3888"/>
        <v>Agency</v>
      </c>
      <c r="B7587" s="3" t="str">
        <f t="shared" ref="B7587:B7588" si="3917">CHOOSE(2, "1395000000713", "Net Case Count - Agency in UM")</f>
        <v>Net Case Count - Agency in UM</v>
      </c>
      <c r="C7587" s="4" t="str">
        <f>CHOOSE(2, "5461730030", "Jun 26")</f>
        <v>Jun 26</v>
      </c>
      <c r="D7587" s="14">
        <v>10</v>
      </c>
    </row>
    <row r="7588" spans="1:4" x14ac:dyDescent="0.35">
      <c r="A7588" s="5" t="str">
        <f t="shared" si="3888"/>
        <v>Agency</v>
      </c>
      <c r="B7588" s="6" t="str">
        <f t="shared" si="3917"/>
        <v>Net Case Count - Agency in UM</v>
      </c>
      <c r="C7588" s="4" t="str">
        <f>CHOOSE(2, "5462030031", "Jul 26")</f>
        <v>Jul 26</v>
      </c>
      <c r="D7588" s="14">
        <v>21</v>
      </c>
    </row>
    <row r="7589" spans="1:4" x14ac:dyDescent="0.35">
      <c r="A7589" s="5" t="str">
        <f t="shared" si="3888"/>
        <v>Agency</v>
      </c>
      <c r="B7589" s="3" t="str">
        <f t="shared" ref="B7589:B7590" si="3918">CHOOSE(2, "1395000000712", "Net Case Count - Agency in Leaders above UM")</f>
        <v>Net Case Count - Agency in Leaders above UM</v>
      </c>
      <c r="C7589" s="4" t="str">
        <f>CHOOSE(2, "5461730030", "Jun 26")</f>
        <v>Jun 26</v>
      </c>
      <c r="D7589" s="14">
        <v>2</v>
      </c>
    </row>
    <row r="7590" spans="1:4" x14ac:dyDescent="0.35">
      <c r="A7590" s="5" t="str">
        <f t="shared" si="3888"/>
        <v>Agency</v>
      </c>
      <c r="B7590" s="6" t="str">
        <f t="shared" si="3918"/>
        <v>Net Case Count - Agency in Leaders above UM</v>
      </c>
      <c r="C7590" s="4" t="str">
        <f>CHOOSE(2, "5462030031", "Jul 26")</f>
        <v>Jul 26</v>
      </c>
      <c r="D7590" s="14">
        <v>2</v>
      </c>
    </row>
    <row r="7591" spans="1:4" x14ac:dyDescent="0.35">
      <c r="A7591" s="5" t="str">
        <f t="shared" si="3888"/>
        <v>Agency</v>
      </c>
      <c r="B7591" s="3" t="str">
        <f t="shared" ref="B7591:B7592" si="3919">CHOOSE(2, "1395000000711", "Net Case Count - Agency in Top-tier Agents")</f>
        <v>Net Case Count - Agency in Top-tier Agents</v>
      </c>
      <c r="C7591" s="4" t="str">
        <f>CHOOSE(2, "5461730030", "Jun 26")</f>
        <v>Jun 26</v>
      </c>
      <c r="D7591" s="14">
        <v>7</v>
      </c>
    </row>
    <row r="7592" spans="1:4" x14ac:dyDescent="0.35">
      <c r="A7592" s="5" t="str">
        <f t="shared" si="3888"/>
        <v>Agency</v>
      </c>
      <c r="B7592" s="6" t="str">
        <f t="shared" si="3919"/>
        <v>Net Case Count - Agency in Top-tier Agents</v>
      </c>
      <c r="C7592" s="4" t="str">
        <f>CHOOSE(2, "5462030031", "Jul 26")</f>
        <v>Jul 26</v>
      </c>
      <c r="D7592" s="14">
        <v>14</v>
      </c>
    </row>
    <row r="7593" spans="1:4" x14ac:dyDescent="0.35">
      <c r="A7593" s="5" t="str">
        <f t="shared" si="3888"/>
        <v>Agency</v>
      </c>
      <c r="B7593" s="3" t="str">
        <f t="shared" ref="B7593:B7594" si="3920">CHOOSE(2, "1395000000710", "Net Case Count - Agency in pro-rated MDRT agents (&gt;100%)")</f>
        <v>Net Case Count - Agency in pro-rated MDRT agents (&gt;100%)</v>
      </c>
      <c r="C7593" s="4" t="str">
        <f>CHOOSE(2, "5461730030", "Jun 26")</f>
        <v>Jun 26</v>
      </c>
      <c r="D7593" s="14">
        <v>0</v>
      </c>
    </row>
    <row r="7594" spans="1:4" x14ac:dyDescent="0.35">
      <c r="A7594" s="5" t="str">
        <f t="shared" si="3888"/>
        <v>Agency</v>
      </c>
      <c r="B7594" s="6" t="str">
        <f t="shared" si="3920"/>
        <v>Net Case Count - Agency in pro-rated MDRT agents (&gt;100%)</v>
      </c>
      <c r="C7594" s="4" t="str">
        <f>CHOOSE(2, "5462030031", "Jul 26")</f>
        <v>Jul 26</v>
      </c>
      <c r="D7594" s="14">
        <v>7</v>
      </c>
    </row>
    <row r="7595" spans="1:4" x14ac:dyDescent="0.35">
      <c r="A7595" s="5" t="str">
        <f t="shared" ref="A7595:A7658" si="3921">CHOOSE(2, "1260000000012", "Agency")</f>
        <v>Agency</v>
      </c>
      <c r="B7595" s="3" t="str">
        <f t="shared" ref="B7595:B7596" si="3922">CHOOSE(2, "1395000000709", "Net Case Count - Agency in pro-rated MDRT agents (70-99%)")</f>
        <v>Net Case Count - Agency in pro-rated MDRT agents (70-99%)</v>
      </c>
      <c r="C7595" s="4" t="str">
        <f>CHOOSE(2, "5461730030", "Jun 26")</f>
        <v>Jun 26</v>
      </c>
      <c r="D7595" s="14">
        <v>4</v>
      </c>
    </row>
    <row r="7596" spans="1:4" x14ac:dyDescent="0.35">
      <c r="A7596" s="5" t="str">
        <f t="shared" si="3921"/>
        <v>Agency</v>
      </c>
      <c r="B7596" s="6" t="str">
        <f t="shared" si="3922"/>
        <v>Net Case Count - Agency in pro-rated MDRT agents (70-99%)</v>
      </c>
      <c r="C7596" s="4" t="str">
        <f>CHOOSE(2, "5462030031", "Jul 26")</f>
        <v>Jul 26</v>
      </c>
      <c r="D7596" s="14">
        <v>6</v>
      </c>
    </row>
    <row r="7597" spans="1:4" x14ac:dyDescent="0.35">
      <c r="A7597" s="5" t="str">
        <f t="shared" si="3921"/>
        <v>Agency</v>
      </c>
      <c r="B7597" s="3" t="str">
        <f t="shared" ref="B7597:B7598" si="3923">CHOOSE(2, "1395000000708", "Net Case Count - Agency in pro-rated MDRT agents (50-69%)")</f>
        <v>Net Case Count - Agency in pro-rated MDRT agents (50-69%)</v>
      </c>
      <c r="C7597" s="4" t="str">
        <f>CHOOSE(2, "5461730030", "Jun 26")</f>
        <v>Jun 26</v>
      </c>
      <c r="D7597" s="14">
        <v>3</v>
      </c>
    </row>
    <row r="7598" spans="1:4" x14ac:dyDescent="0.35">
      <c r="A7598" s="5" t="str">
        <f t="shared" si="3921"/>
        <v>Agency</v>
      </c>
      <c r="B7598" s="6" t="str">
        <f t="shared" si="3923"/>
        <v>Net Case Count - Agency in pro-rated MDRT agents (50-69%)</v>
      </c>
      <c r="C7598" s="4" t="str">
        <f>CHOOSE(2, "5462030031", "Jul 26")</f>
        <v>Jul 26</v>
      </c>
      <c r="D7598" s="14">
        <v>1</v>
      </c>
    </row>
    <row r="7599" spans="1:4" x14ac:dyDescent="0.35">
      <c r="A7599" s="5" t="str">
        <f t="shared" si="3921"/>
        <v>Agency</v>
      </c>
      <c r="B7599" s="3" t="str">
        <f t="shared" ref="B7599:B7600" si="3924">CHOOSE(2, "1395000000707", "Net Case Count - Agency in Manulife Pro Qualifiers - Total")</f>
        <v>Net Case Count - Agency in Manulife Pro Qualifiers - Total</v>
      </c>
      <c r="C7599" s="4" t="str">
        <f>CHOOSE(2, "5461730030", "Jun 26")</f>
        <v>Jun 26</v>
      </c>
      <c r="D7599" s="14">
        <v>0</v>
      </c>
    </row>
    <row r="7600" spans="1:4" x14ac:dyDescent="0.35">
      <c r="A7600" s="5" t="str">
        <f t="shared" si="3921"/>
        <v>Agency</v>
      </c>
      <c r="B7600" s="6" t="str">
        <f t="shared" si="3924"/>
        <v>Net Case Count - Agency in Manulife Pro Qualifiers - Total</v>
      </c>
      <c r="C7600" s="4" t="str">
        <f>CHOOSE(2, "5462030031", "Jul 26")</f>
        <v>Jul 26</v>
      </c>
      <c r="D7600" s="14">
        <v>0</v>
      </c>
    </row>
    <row r="7601" spans="1:4" x14ac:dyDescent="0.35">
      <c r="A7601" s="5" t="str">
        <f t="shared" si="3921"/>
        <v>Agency</v>
      </c>
      <c r="B7601" s="3" t="str">
        <f t="shared" ref="B7601:B7602" si="3925">CHOOSE(2, "1395000000706", "No. of Sales Proposal Generated")</f>
        <v>No. of Sales Proposal Generated</v>
      </c>
      <c r="C7601" s="4" t="str">
        <f>CHOOSE(2, "5461730030", "Jun 26")</f>
        <v>Jun 26</v>
      </c>
      <c r="D7601" s="2" t="s">
        <v>5</v>
      </c>
    </row>
    <row r="7602" spans="1:4" x14ac:dyDescent="0.35">
      <c r="A7602" s="5" t="str">
        <f t="shared" si="3921"/>
        <v>Agency</v>
      </c>
      <c r="B7602" s="6" t="str">
        <f t="shared" si="3925"/>
        <v>No. of Sales Proposal Generated</v>
      </c>
      <c r="C7602" s="4" t="str">
        <f>CHOOSE(2, "5462030031", "Jul 26")</f>
        <v>Jul 26</v>
      </c>
      <c r="D7602" s="2" t="s">
        <v>5</v>
      </c>
    </row>
    <row r="7603" spans="1:4" x14ac:dyDescent="0.35">
      <c r="A7603" s="5" t="str">
        <f t="shared" si="3921"/>
        <v>Agency</v>
      </c>
      <c r="B7603" s="3" t="str">
        <f t="shared" ref="B7603:B7604" si="3926">CHOOSE(2, "1395000000705", "$ APE from Agents in X tenure")</f>
        <v>$ APE from Agents in X tenure</v>
      </c>
      <c r="C7603" s="4" t="str">
        <f>CHOOSE(2, "5461730030", "Jun 26")</f>
        <v>Jun 26</v>
      </c>
      <c r="D7603" s="14">
        <v>133907.66</v>
      </c>
    </row>
    <row r="7604" spans="1:4" x14ac:dyDescent="0.35">
      <c r="A7604" s="5" t="str">
        <f t="shared" si="3921"/>
        <v>Agency</v>
      </c>
      <c r="B7604" s="6" t="str">
        <f t="shared" si="3926"/>
        <v>$ APE from Agents in X tenure</v>
      </c>
      <c r="C7604" s="4" t="str">
        <f>CHOOSE(2, "5462030031", "Jul 26")</f>
        <v>Jul 26</v>
      </c>
      <c r="D7604" s="14">
        <v>145456.20000000001</v>
      </c>
    </row>
    <row r="7605" spans="1:4" x14ac:dyDescent="0.35">
      <c r="A7605" s="5" t="str">
        <f t="shared" si="3921"/>
        <v>Agency</v>
      </c>
      <c r="B7605" s="3" t="str">
        <f t="shared" ref="B7605:B7606" si="3927">CHOOSE(2, "1395000000704", "$ APE from Agents in X tenure in 0-1M")</f>
        <v>$ APE from Agents in X tenure in 0-1M</v>
      </c>
      <c r="C7605" s="4" t="str">
        <f>CHOOSE(2, "5461730030", "Jun 26")</f>
        <v>Jun 26</v>
      </c>
      <c r="D7605" s="14">
        <v>13390.766000000001</v>
      </c>
    </row>
    <row r="7606" spans="1:4" x14ac:dyDescent="0.35">
      <c r="A7606" s="5" t="str">
        <f t="shared" si="3921"/>
        <v>Agency</v>
      </c>
      <c r="B7606" s="6" t="str">
        <f t="shared" si="3927"/>
        <v>$ APE from Agents in X tenure in 0-1M</v>
      </c>
      <c r="C7606" s="4" t="str">
        <f>CHOOSE(2, "5462030031", "Jul 26")</f>
        <v>Jul 26</v>
      </c>
      <c r="D7606" s="14">
        <v>14545.620000000003</v>
      </c>
    </row>
    <row r="7607" spans="1:4" x14ac:dyDescent="0.35">
      <c r="A7607" s="5" t="str">
        <f t="shared" si="3921"/>
        <v>Agency</v>
      </c>
      <c r="B7607" s="3" t="str">
        <f t="shared" ref="B7607:B7608" si="3928">CHOOSE(2, "1395000000703", "$ APE from Agents in X tenure in 2-3M")</f>
        <v>$ APE from Agents in X tenure in 2-3M</v>
      </c>
      <c r="C7607" s="4" t="str">
        <f>CHOOSE(2, "5461730030", "Jun 26")</f>
        <v>Jun 26</v>
      </c>
      <c r="D7607" s="14">
        <v>26781.532000000003</v>
      </c>
    </row>
    <row r="7608" spans="1:4" x14ac:dyDescent="0.35">
      <c r="A7608" s="5" t="str">
        <f t="shared" si="3921"/>
        <v>Agency</v>
      </c>
      <c r="B7608" s="6" t="str">
        <f t="shared" si="3928"/>
        <v>$ APE from Agents in X tenure in 2-3M</v>
      </c>
      <c r="C7608" s="4" t="str">
        <f>CHOOSE(2, "5462030031", "Jul 26")</f>
        <v>Jul 26</v>
      </c>
      <c r="D7608" s="14">
        <v>29091.240000000005</v>
      </c>
    </row>
    <row r="7609" spans="1:4" x14ac:dyDescent="0.35">
      <c r="A7609" s="5" t="str">
        <f t="shared" si="3921"/>
        <v>Agency</v>
      </c>
      <c r="B7609" s="3" t="str">
        <f t="shared" ref="B7609:B7610" si="3929">CHOOSE(2, "1395000000702", "$ APE from Agents in X tenure in 4-12M")</f>
        <v>$ APE from Agents in X tenure in 4-12M</v>
      </c>
      <c r="C7609" s="4" t="str">
        <f>CHOOSE(2, "5461730030", "Jun 26")</f>
        <v>Jun 26</v>
      </c>
      <c r="D7609" s="14">
        <v>40172.298000000003</v>
      </c>
    </row>
    <row r="7610" spans="1:4" x14ac:dyDescent="0.35">
      <c r="A7610" s="5" t="str">
        <f t="shared" si="3921"/>
        <v>Agency</v>
      </c>
      <c r="B7610" s="6" t="str">
        <f t="shared" si="3929"/>
        <v>$ APE from Agents in X tenure in 4-12M</v>
      </c>
      <c r="C7610" s="4" t="str">
        <f>CHOOSE(2, "5462030031", "Jul 26")</f>
        <v>Jul 26</v>
      </c>
      <c r="D7610" s="14">
        <v>43636.86</v>
      </c>
    </row>
    <row r="7611" spans="1:4" x14ac:dyDescent="0.35">
      <c r="A7611" s="5" t="str">
        <f t="shared" si="3921"/>
        <v>Agency</v>
      </c>
      <c r="B7611" s="3" t="str">
        <f t="shared" ref="B7611:B7612" si="3930">CHOOSE(2, "1395000000701", "$ APE from Agents in X tenure 13+M")</f>
        <v>$ APE from Agents in X tenure 13+M</v>
      </c>
      <c r="C7611" s="4" t="str">
        <f>CHOOSE(2, "5461730030", "Jun 26")</f>
        <v>Jun 26</v>
      </c>
      <c r="D7611" s="14">
        <v>53563.064000000006</v>
      </c>
    </row>
    <row r="7612" spans="1:4" x14ac:dyDescent="0.35">
      <c r="A7612" s="5" t="str">
        <f t="shared" si="3921"/>
        <v>Agency</v>
      </c>
      <c r="B7612" s="6" t="str">
        <f t="shared" si="3930"/>
        <v>$ APE from Agents in X tenure 13+M</v>
      </c>
      <c r="C7612" s="4" t="str">
        <f>CHOOSE(2, "5462030031", "Jul 26")</f>
        <v>Jul 26</v>
      </c>
      <c r="D7612" s="14">
        <v>58182.48000000001</v>
      </c>
    </row>
    <row r="7613" spans="1:4" x14ac:dyDescent="0.35">
      <c r="A7613" s="5" t="str">
        <f t="shared" si="3921"/>
        <v>Agency</v>
      </c>
      <c r="B7613" s="3" t="str">
        <f t="shared" ref="B7613:B7614" si="3931">CHOOSE(2, "1395000000700", "Total agent headcount (end of period)")</f>
        <v>Total agent headcount (end of period)</v>
      </c>
      <c r="C7613" s="4" t="str">
        <f>CHOOSE(2, "5461730030", "Jun 26")</f>
        <v>Jun 26</v>
      </c>
      <c r="D7613" s="14">
        <v>1083</v>
      </c>
    </row>
    <row r="7614" spans="1:4" x14ac:dyDescent="0.35">
      <c r="A7614" s="5" t="str">
        <f t="shared" si="3921"/>
        <v>Agency</v>
      </c>
      <c r="B7614" s="6" t="str">
        <f t="shared" si="3931"/>
        <v>Total agent headcount (end of period)</v>
      </c>
      <c r="C7614" s="4" t="str">
        <f>CHOOSE(2, "5462030031", "Jul 26")</f>
        <v>Jul 26</v>
      </c>
      <c r="D7614" s="14">
        <v>1130</v>
      </c>
    </row>
    <row r="7615" spans="1:4" x14ac:dyDescent="0.35">
      <c r="A7615" s="5" t="str">
        <f t="shared" si="3921"/>
        <v>Agency</v>
      </c>
      <c r="B7615" s="3" t="str">
        <f t="shared" ref="B7615:B7616" si="3932">CHOOSE(2, "1395000000699", "Total agent headcount (end of period) in 0-1M")</f>
        <v>Total agent headcount (end of period) in 0-1M</v>
      </c>
      <c r="C7615" s="4" t="str">
        <f>CHOOSE(2, "5461730030", "Jun 26")</f>
        <v>Jun 26</v>
      </c>
      <c r="D7615" s="14">
        <v>43</v>
      </c>
    </row>
    <row r="7616" spans="1:4" x14ac:dyDescent="0.35">
      <c r="A7616" s="5" t="str">
        <f t="shared" si="3921"/>
        <v>Agency</v>
      </c>
      <c r="B7616" s="6" t="str">
        <f t="shared" si="3932"/>
        <v>Total agent headcount (end of period) in 0-1M</v>
      </c>
      <c r="C7616" s="4" t="str">
        <f>CHOOSE(2, "5462030031", "Jul 26")</f>
        <v>Jul 26</v>
      </c>
      <c r="D7616" s="14">
        <v>47</v>
      </c>
    </row>
    <row r="7617" spans="1:4" x14ac:dyDescent="0.35">
      <c r="A7617" s="5" t="str">
        <f t="shared" si="3921"/>
        <v>Agency</v>
      </c>
      <c r="B7617" s="3" t="str">
        <f t="shared" ref="B7617:B7618" si="3933">CHOOSE(2, "1395000000698", "Total agent headcount (end of period) in 2-3M")</f>
        <v>Total agent headcount (end of period) in 2-3M</v>
      </c>
      <c r="C7617" s="4" t="str">
        <f>CHOOSE(2, "5461730030", "Jun 26")</f>
        <v>Jun 26</v>
      </c>
      <c r="D7617" s="14">
        <v>80</v>
      </c>
    </row>
    <row r="7618" spans="1:4" x14ac:dyDescent="0.35">
      <c r="A7618" s="5" t="str">
        <f t="shared" si="3921"/>
        <v>Agency</v>
      </c>
      <c r="B7618" s="6" t="str">
        <f t="shared" si="3933"/>
        <v>Total agent headcount (end of period) in 2-3M</v>
      </c>
      <c r="C7618" s="4" t="str">
        <f>CHOOSE(2, "5462030031", "Jul 26")</f>
        <v>Jul 26</v>
      </c>
      <c r="D7618" s="14">
        <v>95</v>
      </c>
    </row>
    <row r="7619" spans="1:4" x14ac:dyDescent="0.35">
      <c r="A7619" s="5" t="str">
        <f t="shared" si="3921"/>
        <v>Agency</v>
      </c>
      <c r="B7619" s="3" t="str">
        <f t="shared" ref="B7619:B7620" si="3934">CHOOSE(2, "1395000000697", "Total agent headcount (end of period) in 4-12M")</f>
        <v>Total agent headcount (end of period) in 4-12M</v>
      </c>
      <c r="C7619" s="4" t="str">
        <f>CHOOSE(2, "5461730030", "Jun 26")</f>
        <v>Jun 26</v>
      </c>
      <c r="D7619" s="14">
        <v>446</v>
      </c>
    </row>
    <row r="7620" spans="1:4" x14ac:dyDescent="0.35">
      <c r="A7620" s="5" t="str">
        <f t="shared" si="3921"/>
        <v>Agency</v>
      </c>
      <c r="B7620" s="6" t="str">
        <f t="shared" si="3934"/>
        <v>Total agent headcount (end of period) in 4-12M</v>
      </c>
      <c r="C7620" s="4" t="str">
        <f>CHOOSE(2, "5462030031", "Jul 26")</f>
        <v>Jul 26</v>
      </c>
      <c r="D7620" s="14">
        <v>433</v>
      </c>
    </row>
    <row r="7621" spans="1:4" x14ac:dyDescent="0.35">
      <c r="A7621" s="5" t="str">
        <f t="shared" si="3921"/>
        <v>Agency</v>
      </c>
      <c r="B7621" s="3" t="str">
        <f t="shared" ref="B7621:B7622" si="3935">CHOOSE(2, "1395000000696", "Total agent headcount (end of period) 13+M")</f>
        <v>Total agent headcount (end of period) 13+M</v>
      </c>
      <c r="C7621" s="4" t="str">
        <f>CHOOSE(2, "5461730030", "Jun 26")</f>
        <v>Jun 26</v>
      </c>
      <c r="D7621" s="14">
        <v>514</v>
      </c>
    </row>
    <row r="7622" spans="1:4" x14ac:dyDescent="0.35">
      <c r="A7622" s="5" t="str">
        <f t="shared" si="3921"/>
        <v>Agency</v>
      </c>
      <c r="B7622" s="6" t="str">
        <f t="shared" si="3935"/>
        <v>Total agent headcount (end of period) 13+M</v>
      </c>
      <c r="C7622" s="4" t="str">
        <f>CHOOSE(2, "5462030031", "Jul 26")</f>
        <v>Jul 26</v>
      </c>
      <c r="D7622" s="14">
        <v>555</v>
      </c>
    </row>
    <row r="7623" spans="1:4" x14ac:dyDescent="0.35">
      <c r="A7623" s="5" t="str">
        <f t="shared" si="3921"/>
        <v>Agency</v>
      </c>
      <c r="B7623" s="3" t="str">
        <f t="shared" ref="B7623:B7624" si="3936">CHOOSE(2, "1395000000695", "Total agent headcount (end of period) in FA or equivalent")</f>
        <v>Total agent headcount (end of period) in FA or equivalent</v>
      </c>
      <c r="C7623" s="4" t="str">
        <f>CHOOSE(2, "5461730030", "Jun 26")</f>
        <v>Jun 26</v>
      </c>
      <c r="D7623" s="14">
        <v>918</v>
      </c>
    </row>
    <row r="7624" spans="1:4" x14ac:dyDescent="0.35">
      <c r="A7624" s="5" t="str">
        <f t="shared" si="3921"/>
        <v>Agency</v>
      </c>
      <c r="B7624" s="6" t="str">
        <f t="shared" si="3936"/>
        <v>Total agent headcount (end of period) in FA or equivalent</v>
      </c>
      <c r="C7624" s="4" t="str">
        <f>CHOOSE(2, "5462030031", "Jul 26")</f>
        <v>Jul 26</v>
      </c>
      <c r="D7624" s="14">
        <v>943</v>
      </c>
    </row>
    <row r="7625" spans="1:4" x14ac:dyDescent="0.35">
      <c r="A7625" s="5" t="str">
        <f t="shared" si="3921"/>
        <v>Agency</v>
      </c>
      <c r="B7625" s="3" t="str">
        <f t="shared" ref="B7625:B7626" si="3937">CHOOSE(2, "1395000000694", "Total agent headcount (end of period) in UM")</f>
        <v>Total agent headcount (end of period) in UM</v>
      </c>
      <c r="C7625" s="4" t="str">
        <f>CHOOSE(2, "5461730030", "Jun 26")</f>
        <v>Jun 26</v>
      </c>
      <c r="D7625" s="14">
        <v>102</v>
      </c>
    </row>
    <row r="7626" spans="1:4" x14ac:dyDescent="0.35">
      <c r="A7626" s="5" t="str">
        <f t="shared" si="3921"/>
        <v>Agency</v>
      </c>
      <c r="B7626" s="6" t="str">
        <f t="shared" si="3937"/>
        <v>Total agent headcount (end of period) in UM</v>
      </c>
      <c r="C7626" s="4" t="str">
        <f>CHOOSE(2, "5462030031", "Jul 26")</f>
        <v>Jul 26</v>
      </c>
      <c r="D7626" s="14">
        <v>117</v>
      </c>
    </row>
    <row r="7627" spans="1:4" x14ac:dyDescent="0.35">
      <c r="A7627" s="5" t="str">
        <f t="shared" si="3921"/>
        <v>Agency</v>
      </c>
      <c r="B7627" s="3" t="str">
        <f t="shared" ref="B7627:B7628" si="3938">CHOOSE(2, "1395000000693", "Total agent headcount (end of period) in Leaders above UM")</f>
        <v>Total agent headcount (end of period) in Leaders above UM</v>
      </c>
      <c r="C7627" s="4" t="str">
        <f>CHOOSE(2, "5461730030", "Jun 26")</f>
        <v>Jun 26</v>
      </c>
      <c r="D7627" s="14">
        <v>34</v>
      </c>
    </row>
    <row r="7628" spans="1:4" x14ac:dyDescent="0.35">
      <c r="A7628" s="5" t="str">
        <f t="shared" si="3921"/>
        <v>Agency</v>
      </c>
      <c r="B7628" s="6" t="str">
        <f t="shared" si="3938"/>
        <v>Total agent headcount (end of period) in Leaders above UM</v>
      </c>
      <c r="C7628" s="4" t="str">
        <f>CHOOSE(2, "5462030031", "Jul 26")</f>
        <v>Jul 26</v>
      </c>
      <c r="D7628" s="14">
        <v>37</v>
      </c>
    </row>
    <row r="7629" spans="1:4" x14ac:dyDescent="0.35">
      <c r="A7629" s="5" t="str">
        <f t="shared" si="3921"/>
        <v>Agency</v>
      </c>
      <c r="B7629" s="3" t="str">
        <f t="shared" ref="B7629:B7630" si="3939">CHOOSE(2, "1395000000692", "Total agent headcount (end of period) in Top-tier agents")</f>
        <v>Total agent headcount (end of period) in Top-tier agents</v>
      </c>
      <c r="C7629" s="4" t="str">
        <f>CHOOSE(2, "5461730030", "Jun 26")</f>
        <v>Jun 26</v>
      </c>
      <c r="D7629" s="14">
        <v>3</v>
      </c>
    </row>
    <row r="7630" spans="1:4" x14ac:dyDescent="0.35">
      <c r="A7630" s="5" t="str">
        <f t="shared" si="3921"/>
        <v>Agency</v>
      </c>
      <c r="B7630" s="6" t="str">
        <f t="shared" si="3939"/>
        <v>Total agent headcount (end of period) in Top-tier agents</v>
      </c>
      <c r="C7630" s="4" t="str">
        <f>CHOOSE(2, "5462030031", "Jul 26")</f>
        <v>Jul 26</v>
      </c>
      <c r="D7630" s="14">
        <v>3</v>
      </c>
    </row>
    <row r="7631" spans="1:4" x14ac:dyDescent="0.35">
      <c r="A7631" s="5" t="str">
        <f t="shared" si="3921"/>
        <v>Agency</v>
      </c>
      <c r="B7631" s="3" t="str">
        <f t="shared" ref="B7631:B7632" si="3940">CHOOSE(2, "1395000000691", "Total agent headcount  in pro-rated MDRT agents (&gt;100%)")</f>
        <v>Total agent headcount  in pro-rated MDRT agents (&gt;100%)</v>
      </c>
      <c r="C7631" s="4" t="str">
        <f>CHOOSE(2, "5461730030", "Jun 26")</f>
        <v>Jun 26</v>
      </c>
      <c r="D7631" s="14">
        <v>0</v>
      </c>
    </row>
    <row r="7632" spans="1:4" x14ac:dyDescent="0.35">
      <c r="A7632" s="5" t="str">
        <f t="shared" si="3921"/>
        <v>Agency</v>
      </c>
      <c r="B7632" s="6" t="str">
        <f t="shared" si="3940"/>
        <v>Total agent headcount  in pro-rated MDRT agents (&gt;100%)</v>
      </c>
      <c r="C7632" s="4" t="str">
        <f>CHOOSE(2, "5462030031", "Jul 26")</f>
        <v>Jul 26</v>
      </c>
      <c r="D7632" s="14">
        <v>1</v>
      </c>
    </row>
    <row r="7633" spans="1:4" x14ac:dyDescent="0.35">
      <c r="A7633" s="5" t="str">
        <f t="shared" si="3921"/>
        <v>Agency</v>
      </c>
      <c r="B7633" s="3" t="str">
        <f t="shared" ref="B7633:B7634" si="3941">CHOOSE(2, "1395000000690", "Total agent headcount  in pro-rated MDRT agents (70-99%)")</f>
        <v>Total agent headcount  in pro-rated MDRT agents (70-99%)</v>
      </c>
      <c r="C7633" s="4" t="str">
        <f>CHOOSE(2, "5461730030", "Jun 26")</f>
        <v>Jun 26</v>
      </c>
      <c r="D7633" s="14">
        <v>2</v>
      </c>
    </row>
    <row r="7634" spans="1:4" x14ac:dyDescent="0.35">
      <c r="A7634" s="5" t="str">
        <f t="shared" si="3921"/>
        <v>Agency</v>
      </c>
      <c r="B7634" s="6" t="str">
        <f t="shared" si="3941"/>
        <v>Total agent headcount  in pro-rated MDRT agents (70-99%)</v>
      </c>
      <c r="C7634" s="4" t="str">
        <f>CHOOSE(2, "5462030031", "Jul 26")</f>
        <v>Jul 26</v>
      </c>
      <c r="D7634" s="14">
        <v>1</v>
      </c>
    </row>
    <row r="7635" spans="1:4" x14ac:dyDescent="0.35">
      <c r="A7635" s="5" t="str">
        <f t="shared" si="3921"/>
        <v>Agency</v>
      </c>
      <c r="B7635" s="3" t="str">
        <f t="shared" ref="B7635:B7636" si="3942">CHOOSE(2, "1395000000689", "Total agent headcount  in pro-rated MDRT agents (50-69%)")</f>
        <v>Total agent headcount  in pro-rated MDRT agents (50-69%)</v>
      </c>
      <c r="C7635" s="4" t="str">
        <f>CHOOSE(2, "5461730030", "Jun 26")</f>
        <v>Jun 26</v>
      </c>
      <c r="D7635" s="14">
        <v>1</v>
      </c>
    </row>
    <row r="7636" spans="1:4" x14ac:dyDescent="0.35">
      <c r="A7636" s="5" t="str">
        <f t="shared" si="3921"/>
        <v>Agency</v>
      </c>
      <c r="B7636" s="6" t="str">
        <f t="shared" si="3942"/>
        <v>Total agent headcount  in pro-rated MDRT agents (50-69%)</v>
      </c>
      <c r="C7636" s="4" t="str">
        <f>CHOOSE(2, "5462030031", "Jul 26")</f>
        <v>Jul 26</v>
      </c>
      <c r="D7636" s="14">
        <v>1</v>
      </c>
    </row>
    <row r="7637" spans="1:4" x14ac:dyDescent="0.35">
      <c r="A7637" s="5" t="str">
        <f t="shared" si="3921"/>
        <v>Agency</v>
      </c>
      <c r="B7637" s="3" t="str">
        <f t="shared" ref="B7637:B7638" si="3943">CHOOSE(2, "1395000000688", "Total agent headcount  in Manulife Pro Qualifiers - Total")</f>
        <v>Total agent headcount  in Manulife Pro Qualifiers - Total</v>
      </c>
      <c r="C7637" s="4" t="str">
        <f>CHOOSE(2, "5461730030", "Jun 26")</f>
        <v>Jun 26</v>
      </c>
      <c r="D7637" s="14">
        <v>0</v>
      </c>
    </row>
    <row r="7638" spans="1:4" x14ac:dyDescent="0.35">
      <c r="A7638" s="5" t="str">
        <f t="shared" si="3921"/>
        <v>Agency</v>
      </c>
      <c r="B7638" s="6" t="str">
        <f t="shared" si="3943"/>
        <v>Total agent headcount  in Manulife Pro Qualifiers - Total</v>
      </c>
      <c r="C7638" s="4" t="str">
        <f>CHOOSE(2, "5462030031", "Jul 26")</f>
        <v>Jul 26</v>
      </c>
      <c r="D7638" s="14">
        <v>0</v>
      </c>
    </row>
    <row r="7639" spans="1:4" x14ac:dyDescent="0.35">
      <c r="A7639" s="5" t="str">
        <f t="shared" si="3921"/>
        <v>Agency</v>
      </c>
      <c r="B7639" s="3" t="str">
        <f t="shared" ref="B7639:B7640" si="3944">CHOOSE(2, "1395000000687", "New recruits")</f>
        <v>New recruits</v>
      </c>
      <c r="C7639" s="4" t="str">
        <f>CHOOSE(2, "5461730030", "Jun 26")</f>
        <v>Jun 26</v>
      </c>
      <c r="D7639" s="14">
        <v>43</v>
      </c>
    </row>
    <row r="7640" spans="1:4" x14ac:dyDescent="0.35">
      <c r="A7640" s="5" t="str">
        <f t="shared" si="3921"/>
        <v>Agency</v>
      </c>
      <c r="B7640" s="6" t="str">
        <f t="shared" si="3944"/>
        <v>New recruits</v>
      </c>
      <c r="C7640" s="4" t="str">
        <f>CHOOSE(2, "5462030031", "Jul 26")</f>
        <v>Jul 26</v>
      </c>
      <c r="D7640" s="14">
        <v>47</v>
      </c>
    </row>
    <row r="7641" spans="1:4" x14ac:dyDescent="0.35">
      <c r="A7641" s="5" t="str">
        <f t="shared" si="3921"/>
        <v>Agency</v>
      </c>
      <c r="B7641" s="3" t="str">
        <f t="shared" ref="B7641:B7642" si="3945">CHOOSE(2, "1395000000686", "New recruits - Leader level")</f>
        <v>New recruits - Leader level</v>
      </c>
      <c r="C7641" s="4" t="str">
        <f>CHOOSE(2, "5461730030", "Jun 26")</f>
        <v>Jun 26</v>
      </c>
      <c r="D7641" s="2" t="s">
        <v>5</v>
      </c>
    </row>
    <row r="7642" spans="1:4" x14ac:dyDescent="0.35">
      <c r="A7642" s="5" t="str">
        <f t="shared" si="3921"/>
        <v>Agency</v>
      </c>
      <c r="B7642" s="6" t="str">
        <f t="shared" si="3945"/>
        <v>New recruits - Leader level</v>
      </c>
      <c r="C7642" s="4" t="str">
        <f>CHOOSE(2, "5462030031", "Jul 26")</f>
        <v>Jul 26</v>
      </c>
      <c r="D7642" s="2" t="s">
        <v>5</v>
      </c>
    </row>
    <row r="7643" spans="1:4" x14ac:dyDescent="0.35">
      <c r="A7643" s="5" t="str">
        <f t="shared" si="3921"/>
        <v>Agency</v>
      </c>
      <c r="B7643" s="3" t="str">
        <f t="shared" ref="B7643:B7644" si="3946">CHOOSE(2, "1395000000685", "New recruits - FA or equivalent")</f>
        <v>New recruits - FA or equivalent</v>
      </c>
      <c r="C7643" s="4" t="str">
        <f>CHOOSE(2, "5461730030", "Jun 26")</f>
        <v>Jun 26</v>
      </c>
      <c r="D7643" s="14">
        <v>37</v>
      </c>
    </row>
    <row r="7644" spans="1:4" x14ac:dyDescent="0.35">
      <c r="A7644" s="5" t="str">
        <f t="shared" si="3921"/>
        <v>Agency</v>
      </c>
      <c r="B7644" s="6" t="str">
        <f t="shared" si="3946"/>
        <v>New recruits - FA or equivalent</v>
      </c>
      <c r="C7644" s="4" t="str">
        <f>CHOOSE(2, "5462030031", "Jul 26")</f>
        <v>Jul 26</v>
      </c>
      <c r="D7644" s="14">
        <v>38</v>
      </c>
    </row>
    <row r="7645" spans="1:4" x14ac:dyDescent="0.35">
      <c r="A7645" s="5" t="str">
        <f t="shared" si="3921"/>
        <v>Agency</v>
      </c>
      <c r="B7645" s="3" t="str">
        <f t="shared" ref="B7645:B7646" si="3947">CHOOSE(2, "1395000000684", "New recruits in UM")</f>
        <v>New recruits in UM</v>
      </c>
      <c r="C7645" s="4" t="str">
        <f>CHOOSE(2, "5461730030", "Jun 26")</f>
        <v>Jun 26</v>
      </c>
      <c r="D7645" s="14">
        <v>0</v>
      </c>
    </row>
    <row r="7646" spans="1:4" x14ac:dyDescent="0.35">
      <c r="A7646" s="5" t="str">
        <f t="shared" si="3921"/>
        <v>Agency</v>
      </c>
      <c r="B7646" s="6" t="str">
        <f t="shared" si="3947"/>
        <v>New recruits in UM</v>
      </c>
      <c r="C7646" s="4" t="str">
        <f>CHOOSE(2, "5462030031", "Jul 26")</f>
        <v>Jul 26</v>
      </c>
      <c r="D7646" s="14">
        <v>5</v>
      </c>
    </row>
    <row r="7647" spans="1:4" x14ac:dyDescent="0.35">
      <c r="A7647" s="5" t="str">
        <f t="shared" si="3921"/>
        <v>Agency</v>
      </c>
      <c r="B7647" s="3" t="str">
        <f t="shared" ref="B7647:B7648" si="3948">CHOOSE(2, "1395000000683", "New recruits in Leaders above UM")</f>
        <v>New recruits in Leaders above UM</v>
      </c>
      <c r="C7647" s="4" t="str">
        <f>CHOOSE(2, "5461730030", "Jun 26")</f>
        <v>Jun 26</v>
      </c>
      <c r="D7647" s="14">
        <v>0</v>
      </c>
    </row>
    <row r="7648" spans="1:4" x14ac:dyDescent="0.35">
      <c r="A7648" s="5" t="str">
        <f t="shared" si="3921"/>
        <v>Agency</v>
      </c>
      <c r="B7648" s="6" t="str">
        <f t="shared" si="3948"/>
        <v>New recruits in Leaders above UM</v>
      </c>
      <c r="C7648" s="4" t="str">
        <f>CHOOSE(2, "5462030031", "Jul 26")</f>
        <v>Jul 26</v>
      </c>
      <c r="D7648" s="14">
        <v>2</v>
      </c>
    </row>
    <row r="7649" spans="1:4" x14ac:dyDescent="0.35">
      <c r="A7649" s="5" t="str">
        <f t="shared" si="3921"/>
        <v>Agency</v>
      </c>
      <c r="B7649" s="3" t="str">
        <f t="shared" ref="B7649:B7650" si="3949">CHOOSE(2, "1395000000682", "# of 6-90 agents")</f>
        <v># of 6-90 agents</v>
      </c>
      <c r="C7649" s="4" t="str">
        <f>CHOOSE(2, "5461730030", "Jun 26")</f>
        <v>Jun 26</v>
      </c>
      <c r="D7649" s="14">
        <v>4</v>
      </c>
    </row>
    <row r="7650" spans="1:4" x14ac:dyDescent="0.35">
      <c r="A7650" s="5" t="str">
        <f t="shared" si="3921"/>
        <v>Agency</v>
      </c>
      <c r="B7650" s="6" t="str">
        <f t="shared" si="3949"/>
        <v># of 6-90 agents</v>
      </c>
      <c r="C7650" s="4" t="str">
        <f>CHOOSE(2, "5462030031", "Jul 26")</f>
        <v>Jul 26</v>
      </c>
      <c r="D7650" s="14">
        <v>1</v>
      </c>
    </row>
    <row r="7651" spans="1:4" x14ac:dyDescent="0.35">
      <c r="A7651" s="5" t="str">
        <f t="shared" si="3921"/>
        <v>Agency</v>
      </c>
      <c r="B7651" s="3" t="str">
        <f t="shared" ref="B7651:B7652" si="3950">CHOOSE(2, "1395000000681", "New Recruits 3M Activation #")</f>
        <v>New Recruits 3M Activation #</v>
      </c>
      <c r="C7651" s="4" t="str">
        <f>CHOOSE(2, "5461730030", "Jun 26")</f>
        <v>Jun 26</v>
      </c>
      <c r="D7651" s="14">
        <v>20</v>
      </c>
    </row>
    <row r="7652" spans="1:4" x14ac:dyDescent="0.35">
      <c r="A7652" s="5" t="str">
        <f t="shared" si="3921"/>
        <v>Agency</v>
      </c>
      <c r="B7652" s="6" t="str">
        <f t="shared" si="3950"/>
        <v>New Recruits 3M Activation #</v>
      </c>
      <c r="C7652" s="4" t="str">
        <f>CHOOSE(2, "5462030031", "Jul 26")</f>
        <v>Jul 26</v>
      </c>
      <c r="D7652" s="14">
        <v>2</v>
      </c>
    </row>
    <row r="7653" spans="1:4" x14ac:dyDescent="0.35">
      <c r="A7653" s="5" t="str">
        <f t="shared" si="3921"/>
        <v>Agency</v>
      </c>
      <c r="B7653" s="3" t="str">
        <f t="shared" ref="B7653:B7654" si="3951">CHOOSE(2, "1395000000680", "No of Terminations")</f>
        <v>No of Terminations</v>
      </c>
      <c r="C7653" s="4" t="str">
        <f>CHOOSE(2, "5461730030", "Jun 26")</f>
        <v>Jun 26</v>
      </c>
      <c r="D7653" s="14">
        <v>0</v>
      </c>
    </row>
    <row r="7654" spans="1:4" x14ac:dyDescent="0.35">
      <c r="A7654" s="5" t="str">
        <f t="shared" si="3921"/>
        <v>Agency</v>
      </c>
      <c r="B7654" s="6" t="str">
        <f t="shared" si="3951"/>
        <v>No of Terminations</v>
      </c>
      <c r="C7654" s="4" t="str">
        <f>CHOOSE(2, "5462030031", "Jul 26")</f>
        <v>Jul 26</v>
      </c>
      <c r="D7654" s="14">
        <v>2</v>
      </c>
    </row>
    <row r="7655" spans="1:4" x14ac:dyDescent="0.35">
      <c r="A7655" s="5" t="str">
        <f t="shared" si="3921"/>
        <v>Agency</v>
      </c>
      <c r="B7655" s="3" t="str">
        <f t="shared" ref="B7655:B7656" si="3952">CHOOSE(2, "1395000000679", "No of Terminations in FA or equivalent")</f>
        <v>No of Terminations in FA or equivalent</v>
      </c>
      <c r="C7655" s="4" t="str">
        <f>CHOOSE(2, "5461730030", "Jun 26")</f>
        <v>Jun 26</v>
      </c>
      <c r="D7655" s="14">
        <v>0</v>
      </c>
    </row>
    <row r="7656" spans="1:4" x14ac:dyDescent="0.35">
      <c r="A7656" s="5" t="str">
        <f t="shared" si="3921"/>
        <v>Agency</v>
      </c>
      <c r="B7656" s="6" t="str">
        <f t="shared" si="3952"/>
        <v>No of Terminations in FA or equivalent</v>
      </c>
      <c r="C7656" s="4" t="str">
        <f>CHOOSE(2, "5462030031", "Jul 26")</f>
        <v>Jul 26</v>
      </c>
      <c r="D7656" s="14">
        <v>2</v>
      </c>
    </row>
    <row r="7657" spans="1:4" x14ac:dyDescent="0.35">
      <c r="A7657" s="5" t="str">
        <f t="shared" si="3921"/>
        <v>Agency</v>
      </c>
      <c r="B7657" s="3" t="str">
        <f t="shared" ref="B7657:B7658" si="3953">CHOOSE(2, "1395000000678", "No of Terminations in UM")</f>
        <v>No of Terminations in UM</v>
      </c>
      <c r="C7657" s="4" t="str">
        <f>CHOOSE(2, "5461730030", "Jun 26")</f>
        <v>Jun 26</v>
      </c>
      <c r="D7657" s="14">
        <v>0</v>
      </c>
    </row>
    <row r="7658" spans="1:4" x14ac:dyDescent="0.35">
      <c r="A7658" s="5" t="str">
        <f t="shared" si="3921"/>
        <v>Agency</v>
      </c>
      <c r="B7658" s="6" t="str">
        <f t="shared" si="3953"/>
        <v>No of Terminations in UM</v>
      </c>
      <c r="C7658" s="4" t="str">
        <f>CHOOSE(2, "5462030031", "Jul 26")</f>
        <v>Jul 26</v>
      </c>
      <c r="D7658" s="14">
        <v>0</v>
      </c>
    </row>
    <row r="7659" spans="1:4" x14ac:dyDescent="0.35">
      <c r="A7659" s="5" t="str">
        <f t="shared" ref="A7659:A7722" si="3954">CHOOSE(2, "1260000000012", "Agency")</f>
        <v>Agency</v>
      </c>
      <c r="B7659" s="3" t="str">
        <f t="shared" ref="B7659:B7660" si="3955">CHOOSE(2, "1395000000677", "No of Terminations in Leaders above UM")</f>
        <v>No of Terminations in Leaders above UM</v>
      </c>
      <c r="C7659" s="4" t="str">
        <f>CHOOSE(2, "5461730030", "Jun 26")</f>
        <v>Jun 26</v>
      </c>
      <c r="D7659" s="14">
        <v>0</v>
      </c>
    </row>
    <row r="7660" spans="1:4" x14ac:dyDescent="0.35">
      <c r="A7660" s="5" t="str">
        <f t="shared" si="3954"/>
        <v>Agency</v>
      </c>
      <c r="B7660" s="6" t="str">
        <f t="shared" si="3955"/>
        <v>No of Terminations in Leaders above UM</v>
      </c>
      <c r="C7660" s="4" t="str">
        <f>CHOOSE(2, "5462030031", "Jul 26")</f>
        <v>Jul 26</v>
      </c>
      <c r="D7660" s="14">
        <v>0</v>
      </c>
    </row>
    <row r="7661" spans="1:4" x14ac:dyDescent="0.35">
      <c r="A7661" s="5" t="str">
        <f t="shared" si="3954"/>
        <v>Agency</v>
      </c>
      <c r="B7661" s="3" t="str">
        <f t="shared" ref="B7661:B7662" si="3956">CHOOSE(2, "1395000000676", "No of Terminations in Top-tier Agents")</f>
        <v>No of Terminations in Top-tier Agents</v>
      </c>
      <c r="C7661" s="4" t="str">
        <f>CHOOSE(2, "5461730030", "Jun 26")</f>
        <v>Jun 26</v>
      </c>
      <c r="D7661" s="14">
        <v>0</v>
      </c>
    </row>
    <row r="7662" spans="1:4" x14ac:dyDescent="0.35">
      <c r="A7662" s="5" t="str">
        <f t="shared" si="3954"/>
        <v>Agency</v>
      </c>
      <c r="B7662" s="6" t="str">
        <f t="shared" si="3956"/>
        <v>No of Terminations in Top-tier Agents</v>
      </c>
      <c r="C7662" s="4" t="str">
        <f>CHOOSE(2, "5462030031", "Jul 26")</f>
        <v>Jul 26</v>
      </c>
      <c r="D7662" s="14">
        <v>0</v>
      </c>
    </row>
    <row r="7663" spans="1:4" x14ac:dyDescent="0.35">
      <c r="A7663" s="5" t="str">
        <f t="shared" si="3954"/>
        <v>Agency</v>
      </c>
      <c r="B7663" s="3" t="str">
        <f t="shared" ref="B7663:B7664" si="3957">CHOOSE(2, "1395000000675", "No of Terminations in pro-rated MDRT agents (&gt;100%)")</f>
        <v>No of Terminations in pro-rated MDRT agents (&gt;100%)</v>
      </c>
      <c r="C7663" s="4" t="str">
        <f>CHOOSE(2, "5461730030", "Jun 26")</f>
        <v>Jun 26</v>
      </c>
      <c r="D7663" s="14">
        <v>0</v>
      </c>
    </row>
    <row r="7664" spans="1:4" x14ac:dyDescent="0.35">
      <c r="A7664" s="5" t="str">
        <f t="shared" si="3954"/>
        <v>Agency</v>
      </c>
      <c r="B7664" s="6" t="str">
        <f t="shared" si="3957"/>
        <v>No of Terminations in pro-rated MDRT agents (&gt;100%)</v>
      </c>
      <c r="C7664" s="4" t="str">
        <f>CHOOSE(2, "5462030031", "Jul 26")</f>
        <v>Jul 26</v>
      </c>
      <c r="D7664" s="14">
        <v>0</v>
      </c>
    </row>
    <row r="7665" spans="1:4" x14ac:dyDescent="0.35">
      <c r="A7665" s="5" t="str">
        <f t="shared" si="3954"/>
        <v>Agency</v>
      </c>
      <c r="B7665" s="3" t="str">
        <f t="shared" ref="B7665:B7666" si="3958">CHOOSE(2, "1395000000674", "No of Terminations in pro-rated MDRT agents (70-99%)")</f>
        <v>No of Terminations in pro-rated MDRT agents (70-99%)</v>
      </c>
      <c r="C7665" s="4" t="str">
        <f>CHOOSE(2, "5461730030", "Jun 26")</f>
        <v>Jun 26</v>
      </c>
      <c r="D7665" s="14">
        <v>0</v>
      </c>
    </row>
    <row r="7666" spans="1:4" x14ac:dyDescent="0.35">
      <c r="A7666" s="5" t="str">
        <f t="shared" si="3954"/>
        <v>Agency</v>
      </c>
      <c r="B7666" s="6" t="str">
        <f t="shared" si="3958"/>
        <v>No of Terminations in pro-rated MDRT agents (70-99%)</v>
      </c>
      <c r="C7666" s="4" t="str">
        <f>CHOOSE(2, "5462030031", "Jul 26")</f>
        <v>Jul 26</v>
      </c>
      <c r="D7666" s="14">
        <v>0</v>
      </c>
    </row>
    <row r="7667" spans="1:4" x14ac:dyDescent="0.35">
      <c r="A7667" s="5" t="str">
        <f t="shared" si="3954"/>
        <v>Agency</v>
      </c>
      <c r="B7667" s="3" t="str">
        <f t="shared" ref="B7667:B7668" si="3959">CHOOSE(2, "1395000000673", "No of Terminations in pro-rated MDRT agents (50-69%)")</f>
        <v>No of Terminations in pro-rated MDRT agents (50-69%)</v>
      </c>
      <c r="C7667" s="4" t="str">
        <f>CHOOSE(2, "5461730030", "Jun 26")</f>
        <v>Jun 26</v>
      </c>
      <c r="D7667" s="14">
        <v>0</v>
      </c>
    </row>
    <row r="7668" spans="1:4" x14ac:dyDescent="0.35">
      <c r="A7668" s="5" t="str">
        <f t="shared" si="3954"/>
        <v>Agency</v>
      </c>
      <c r="B7668" s="6" t="str">
        <f t="shared" si="3959"/>
        <v>No of Terminations in pro-rated MDRT agents (50-69%)</v>
      </c>
      <c r="C7668" s="4" t="str">
        <f>CHOOSE(2, "5462030031", "Jul 26")</f>
        <v>Jul 26</v>
      </c>
      <c r="D7668" s="14">
        <v>0</v>
      </c>
    </row>
    <row r="7669" spans="1:4" x14ac:dyDescent="0.35">
      <c r="A7669" s="5" t="str">
        <f t="shared" si="3954"/>
        <v>Agency</v>
      </c>
      <c r="B7669" s="3" t="str">
        <f t="shared" ref="B7669:B7670" si="3960">CHOOSE(2, "1395000000672", "No of Terminations in Manulife Pro Qualifiers - Total")</f>
        <v>No of Terminations in Manulife Pro Qualifiers - Total</v>
      </c>
      <c r="C7669" s="4" t="str">
        <f>CHOOSE(2, "5461730030", "Jun 26")</f>
        <v>Jun 26</v>
      </c>
      <c r="D7669" s="14">
        <v>0</v>
      </c>
    </row>
    <row r="7670" spans="1:4" x14ac:dyDescent="0.35">
      <c r="A7670" s="5" t="str">
        <f t="shared" si="3954"/>
        <v>Agency</v>
      </c>
      <c r="B7670" s="6" t="str">
        <f t="shared" si="3960"/>
        <v>No of Terminations in Manulife Pro Qualifiers - Total</v>
      </c>
      <c r="C7670" s="4" t="str">
        <f>CHOOSE(2, "5462030031", "Jul 26")</f>
        <v>Jul 26</v>
      </c>
      <c r="D7670" s="14">
        <v>0</v>
      </c>
    </row>
    <row r="7671" spans="1:4" x14ac:dyDescent="0.35">
      <c r="A7671" s="5" t="str">
        <f t="shared" si="3954"/>
        <v>Agency</v>
      </c>
      <c r="B7671" s="3" t="str">
        <f t="shared" ref="B7671:B7672" si="3961">CHOOSE(2, "1395000000671", "First Year Agents Terminated without Sales")</f>
        <v>First Year Agents Terminated without Sales</v>
      </c>
      <c r="C7671" s="4" t="str">
        <f>CHOOSE(2, "5461730030", "Jun 26")</f>
        <v>Jun 26</v>
      </c>
      <c r="D7671" s="14">
        <v>0</v>
      </c>
    </row>
    <row r="7672" spans="1:4" x14ac:dyDescent="0.35">
      <c r="A7672" s="5" t="str">
        <f t="shared" si="3954"/>
        <v>Agency</v>
      </c>
      <c r="B7672" s="6" t="str">
        <f t="shared" si="3961"/>
        <v>First Year Agents Terminated without Sales</v>
      </c>
      <c r="C7672" s="4" t="str">
        <f>CHOOSE(2, "5462030031", "Jul 26")</f>
        <v>Jul 26</v>
      </c>
      <c r="D7672" s="14">
        <v>2</v>
      </c>
    </row>
    <row r="7673" spans="1:4" x14ac:dyDescent="0.35">
      <c r="A7673" s="5" t="str">
        <f t="shared" si="3954"/>
        <v>Agency</v>
      </c>
      <c r="B7673" s="3" t="str">
        <f t="shared" ref="B7673:B7674" si="3962">CHOOSE(2, "1395000000670", "6mth Agency Retention Ratio")</f>
        <v>6mth Agency Retention Ratio</v>
      </c>
      <c r="C7673" s="4" t="str">
        <f>CHOOSE(2, "5461730030", "Jun 26")</f>
        <v>Jun 26</v>
      </c>
      <c r="D7673" s="14">
        <v>0.955453</v>
      </c>
    </row>
    <row r="7674" spans="1:4" x14ac:dyDescent="0.35">
      <c r="A7674" s="5" t="str">
        <f t="shared" si="3954"/>
        <v>Agency</v>
      </c>
      <c r="B7674" s="6" t="str">
        <f t="shared" si="3962"/>
        <v>6mth Agency Retention Ratio</v>
      </c>
      <c r="C7674" s="4" t="str">
        <f>CHOOSE(2, "5462030031", "Jul 26")</f>
        <v>Jul 26</v>
      </c>
      <c r="D7674" s="14">
        <v>0.95939799999999997</v>
      </c>
    </row>
    <row r="7675" spans="1:4" x14ac:dyDescent="0.35">
      <c r="A7675" s="5" t="str">
        <f t="shared" si="3954"/>
        <v>Agency</v>
      </c>
      <c r="B7675" s="3" t="str">
        <f t="shared" ref="B7675:B7676" si="3963">CHOOSE(2, "1395000000669", "12mth Agency Retention Ratio")</f>
        <v>12mth Agency Retention Ratio</v>
      </c>
      <c r="C7675" s="4" t="str">
        <f>CHOOSE(2, "5461730030", "Jun 26")</f>
        <v>Jun 26</v>
      </c>
      <c r="D7675" s="14">
        <v>0.80351399999999995</v>
      </c>
    </row>
    <row r="7676" spans="1:4" x14ac:dyDescent="0.35">
      <c r="A7676" s="5" t="str">
        <f t="shared" si="3954"/>
        <v>Agency</v>
      </c>
      <c r="B7676" s="6" t="str">
        <f t="shared" si="3963"/>
        <v>12mth Agency Retention Ratio</v>
      </c>
      <c r="C7676" s="4" t="str">
        <f>CHOOSE(2, "5462030031", "Jul 26")</f>
        <v>Jul 26</v>
      </c>
      <c r="D7676" s="14">
        <v>0.819079</v>
      </c>
    </row>
    <row r="7677" spans="1:4" x14ac:dyDescent="0.35">
      <c r="A7677" s="5" t="str">
        <f t="shared" si="3954"/>
        <v>Agency</v>
      </c>
      <c r="B7677" s="3" t="str">
        <f t="shared" ref="B7677:B7678" si="3964">CHOOSE(2, "1395000000668", "24mth Agency Retention Ratio")</f>
        <v>24mth Agency Retention Ratio</v>
      </c>
      <c r="C7677" s="4" t="str">
        <f>CHOOSE(2, "5461730030", "Jun 26")</f>
        <v>Jun 26</v>
      </c>
      <c r="D7677" s="14">
        <v>0.145952</v>
      </c>
    </row>
    <row r="7678" spans="1:4" x14ac:dyDescent="0.35">
      <c r="A7678" s="5" t="str">
        <f t="shared" si="3954"/>
        <v>Agency</v>
      </c>
      <c r="B7678" s="6" t="str">
        <f t="shared" si="3964"/>
        <v>24mth Agency Retention Ratio</v>
      </c>
      <c r="C7678" s="4" t="str">
        <f>CHOOSE(2, "5462030031", "Jul 26")</f>
        <v>Jul 26</v>
      </c>
      <c r="D7678" s="14">
        <v>0.150421</v>
      </c>
    </row>
    <row r="7679" spans="1:4" x14ac:dyDescent="0.35">
      <c r="A7679" s="5" t="str">
        <f t="shared" si="3954"/>
        <v>Agency</v>
      </c>
      <c r="B7679" s="3" t="str">
        <f t="shared" ref="B7679:B7680" si="3965">CHOOSE(2, "1395000000667", "Total # of Leaders (end of period)")</f>
        <v>Total # of Leaders (end of period)</v>
      </c>
      <c r="C7679" s="4" t="str">
        <f>CHOOSE(2, "5461730030", "Jun 26")</f>
        <v>Jun 26</v>
      </c>
      <c r="D7679" s="14">
        <v>136</v>
      </c>
    </row>
    <row r="7680" spans="1:4" x14ac:dyDescent="0.35">
      <c r="A7680" s="5" t="str">
        <f t="shared" si="3954"/>
        <v>Agency</v>
      </c>
      <c r="B7680" s="6" t="str">
        <f t="shared" si="3965"/>
        <v>Total # of Leaders (end of period)</v>
      </c>
      <c r="C7680" s="4" t="str">
        <f>CHOOSE(2, "5462030031", "Jul 26")</f>
        <v>Jul 26</v>
      </c>
      <c r="D7680" s="14">
        <v>154</v>
      </c>
    </row>
    <row r="7681" spans="1:4" x14ac:dyDescent="0.35">
      <c r="A7681" s="5" t="str">
        <f t="shared" si="3954"/>
        <v>Agency</v>
      </c>
      <c r="B7681" s="3" t="str">
        <f t="shared" ref="B7681:B7682" si="3966">CHOOSE(2, "1395000000666", "Total # of Unit Managers")</f>
        <v>Total # of Unit Managers</v>
      </c>
      <c r="C7681" s="4" t="str">
        <f>CHOOSE(2, "5461730030", "Jun 26")</f>
        <v>Jun 26</v>
      </c>
      <c r="D7681" s="14">
        <v>102</v>
      </c>
    </row>
    <row r="7682" spans="1:4" x14ac:dyDescent="0.35">
      <c r="A7682" s="5" t="str">
        <f t="shared" si="3954"/>
        <v>Agency</v>
      </c>
      <c r="B7682" s="6" t="str">
        <f t="shared" si="3966"/>
        <v>Total # of Unit Managers</v>
      </c>
      <c r="C7682" s="4" t="str">
        <f>CHOOSE(2, "5462030031", "Jul 26")</f>
        <v>Jul 26</v>
      </c>
      <c r="D7682" s="14">
        <v>117</v>
      </c>
    </row>
    <row r="7683" spans="1:4" x14ac:dyDescent="0.35">
      <c r="A7683" s="5" t="str">
        <f t="shared" si="3954"/>
        <v>Agency</v>
      </c>
      <c r="B7683" s="3" t="str">
        <f t="shared" ref="B7683:B7684" si="3967">CHOOSE(2, "1395000000665", "Total # of Leaders above Unit Manager level")</f>
        <v>Total # of Leaders above Unit Manager level</v>
      </c>
      <c r="C7683" s="4" t="str">
        <f>CHOOSE(2, "5461730030", "Jun 26")</f>
        <v>Jun 26</v>
      </c>
      <c r="D7683" s="14">
        <v>34</v>
      </c>
    </row>
    <row r="7684" spans="1:4" x14ac:dyDescent="0.35">
      <c r="A7684" s="5" t="str">
        <f t="shared" si="3954"/>
        <v>Agency</v>
      </c>
      <c r="B7684" s="6" t="str">
        <f t="shared" si="3967"/>
        <v>Total # of Leaders above Unit Manager level</v>
      </c>
      <c r="C7684" s="4" t="str">
        <f>CHOOSE(2, "5462030031", "Jul 26")</f>
        <v>Jul 26</v>
      </c>
      <c r="D7684" s="14">
        <v>37</v>
      </c>
    </row>
    <row r="7685" spans="1:4" x14ac:dyDescent="0.35">
      <c r="A7685" s="5" t="str">
        <f t="shared" si="3954"/>
        <v>Agency</v>
      </c>
      <c r="B7685" s="3" t="str">
        <f t="shared" ref="B7685:B7686" si="3968">CHOOSE(2, "1395000000664", "Total # of Agents below Unit Manager level (end of period)")</f>
        <v>Total # of Agents below Unit Manager level (end of period)</v>
      </c>
      <c r="C7685" s="4" t="str">
        <f>CHOOSE(2, "5461730030", "Jun 26")</f>
        <v>Jun 26</v>
      </c>
      <c r="D7685" s="14">
        <v>918</v>
      </c>
    </row>
    <row r="7686" spans="1:4" x14ac:dyDescent="0.35">
      <c r="A7686" s="5" t="str">
        <f t="shared" si="3954"/>
        <v>Agency</v>
      </c>
      <c r="B7686" s="6" t="str">
        <f t="shared" si="3968"/>
        <v>Total # of Agents below Unit Manager level (end of period)</v>
      </c>
      <c r="C7686" s="4" t="str">
        <f>CHOOSE(2, "5462030031", "Jul 26")</f>
        <v>Jul 26</v>
      </c>
      <c r="D7686" s="14">
        <v>943</v>
      </c>
    </row>
    <row r="7687" spans="1:4" x14ac:dyDescent="0.35">
      <c r="A7687" s="5" t="str">
        <f t="shared" si="3954"/>
        <v>Agency</v>
      </c>
      <c r="B7687" s="3" t="str">
        <f t="shared" ref="B7687:B7688" si="3969">CHOOSE(2, "1395000000663", "# of Active Recruiting Leaders")</f>
        <v># of Active Recruiting Leaders</v>
      </c>
      <c r="C7687" s="4" t="str">
        <f>CHOOSE(2, "5461730030", "Jun 26")</f>
        <v>Jun 26</v>
      </c>
      <c r="D7687" s="14">
        <v>21</v>
      </c>
    </row>
    <row r="7688" spans="1:4" x14ac:dyDescent="0.35">
      <c r="A7688" s="5" t="str">
        <f t="shared" si="3954"/>
        <v>Agency</v>
      </c>
      <c r="B7688" s="6" t="str">
        <f t="shared" si="3969"/>
        <v># of Active Recruiting Leaders</v>
      </c>
      <c r="C7688" s="4" t="str">
        <f>CHOOSE(2, "5462030031", "Jul 26")</f>
        <v>Jul 26</v>
      </c>
      <c r="D7688" s="14">
        <v>26</v>
      </c>
    </row>
    <row r="7689" spans="1:4" x14ac:dyDescent="0.35">
      <c r="A7689" s="5" t="str">
        <f t="shared" si="3954"/>
        <v>Agency</v>
      </c>
      <c r="B7689" s="3" t="str">
        <f t="shared" ref="B7689:B7690" si="3970">CHOOSE(2, "1395000000662", "# of leaders with &gt;1 YTD recruit")</f>
        <v># of leaders with &gt;1 YTD recruit</v>
      </c>
      <c r="C7689" s="4" t="str">
        <f>CHOOSE(2, "5461730030", "Jun 26")</f>
        <v>Jun 26</v>
      </c>
      <c r="D7689" s="14">
        <v>60</v>
      </c>
    </row>
    <row r="7690" spans="1:4" x14ac:dyDescent="0.35">
      <c r="A7690" s="5" t="str">
        <f t="shared" si="3954"/>
        <v>Agency</v>
      </c>
      <c r="B7690" s="6" t="str">
        <f t="shared" si="3970"/>
        <v># of leaders with &gt;1 YTD recruit</v>
      </c>
      <c r="C7690" s="4" t="str">
        <f>CHOOSE(2, "5462030031", "Jul 26")</f>
        <v>Jul 26</v>
      </c>
      <c r="D7690" s="14">
        <v>74</v>
      </c>
    </row>
    <row r="7691" spans="1:4" x14ac:dyDescent="0.35">
      <c r="A7691" s="5" t="str">
        <f t="shared" si="3954"/>
        <v>Agency</v>
      </c>
      <c r="B7691" s="3" t="str">
        <f t="shared" ref="B7691:B7692" si="3971">CHOOSE(2, "1395000000661", "Income ratio from personal sales (UM)")</f>
        <v>Income ratio from personal sales (UM)</v>
      </c>
      <c r="C7691" s="4" t="str">
        <f>CHOOSE(2, "5461730030", "Jun 26")</f>
        <v>Jun 26</v>
      </c>
      <c r="D7691" s="14">
        <v>0.14558607711689722</v>
      </c>
    </row>
    <row r="7692" spans="1:4" x14ac:dyDescent="0.35">
      <c r="A7692" s="5" t="str">
        <f t="shared" si="3954"/>
        <v>Agency</v>
      </c>
      <c r="B7692" s="6" t="str">
        <f t="shared" si="3971"/>
        <v>Income ratio from personal sales (UM)</v>
      </c>
      <c r="C7692" s="4" t="str">
        <f>CHOOSE(2, "5462030031", "Jul 26")</f>
        <v>Jul 26</v>
      </c>
      <c r="D7692" s="14">
        <v>0.16623738325585294</v>
      </c>
    </row>
    <row r="7693" spans="1:4" x14ac:dyDescent="0.35">
      <c r="A7693" s="5" t="str">
        <f t="shared" si="3954"/>
        <v>Agency</v>
      </c>
      <c r="B7693" s="3" t="str">
        <f t="shared" ref="B7693:B7694" si="3972">CHOOSE(2, "1395000000660", "Income ratio from personal sales (UM) (numerator)")</f>
        <v>Income ratio from personal sales (UM) (numerator)</v>
      </c>
      <c r="C7693" s="4" t="str">
        <f>CHOOSE(2, "5461730030", "Jun 26")</f>
        <v>Jun 26</v>
      </c>
      <c r="D7693" s="14">
        <v>6002.76</v>
      </c>
    </row>
    <row r="7694" spans="1:4" x14ac:dyDescent="0.35">
      <c r="A7694" s="5" t="str">
        <f t="shared" si="3954"/>
        <v>Agency</v>
      </c>
      <c r="B7694" s="6" t="str">
        <f t="shared" si="3972"/>
        <v>Income ratio from personal sales (UM) (numerator)</v>
      </c>
      <c r="C7694" s="4" t="str">
        <f>CHOOSE(2, "5462030031", "Jul 26")</f>
        <v>Jul 26</v>
      </c>
      <c r="D7694" s="14">
        <v>6985.88</v>
      </c>
    </row>
    <row r="7695" spans="1:4" x14ac:dyDescent="0.35">
      <c r="A7695" s="5" t="str">
        <f t="shared" si="3954"/>
        <v>Agency</v>
      </c>
      <c r="B7695" s="3" t="str">
        <f t="shared" ref="B7695:B7696" si="3973">CHOOSE(2, "1395000000659", "Income ratio from personal sales (UM) (denominator)")</f>
        <v>Income ratio from personal sales (UM) (denominator)</v>
      </c>
      <c r="C7695" s="4" t="str">
        <f>CHOOSE(2, "5461730030", "Jun 26")</f>
        <v>Jun 26</v>
      </c>
      <c r="D7695" s="14">
        <v>41231.69</v>
      </c>
    </row>
    <row r="7696" spans="1:4" x14ac:dyDescent="0.35">
      <c r="A7696" s="5" t="str">
        <f t="shared" si="3954"/>
        <v>Agency</v>
      </c>
      <c r="B7696" s="6" t="str">
        <f t="shared" si="3973"/>
        <v>Income ratio from personal sales (UM) (denominator)</v>
      </c>
      <c r="C7696" s="4" t="str">
        <f>CHOOSE(2, "5462030031", "Jul 26")</f>
        <v>Jul 26</v>
      </c>
      <c r="D7696" s="14">
        <v>42023.519999999997</v>
      </c>
    </row>
    <row r="7697" spans="1:4" x14ac:dyDescent="0.35">
      <c r="A7697" s="5" t="str">
        <f t="shared" si="3954"/>
        <v>Agency</v>
      </c>
      <c r="B7697" s="3" t="str">
        <f t="shared" ref="B7697:B7698" si="3974">CHOOSE(2, "1395000000658", "Income ratio from personal sales (Leader above UM)")</f>
        <v>Income ratio from personal sales (Leader above UM)</v>
      </c>
      <c r="C7697" s="4" t="str">
        <f>CHOOSE(2, "5461730030", "Jun 26")</f>
        <v>Jun 26</v>
      </c>
      <c r="D7697" s="14">
        <v>2.9456888855592805E-2</v>
      </c>
    </row>
    <row r="7698" spans="1:4" x14ac:dyDescent="0.35">
      <c r="A7698" s="5" t="str">
        <f t="shared" si="3954"/>
        <v>Agency</v>
      </c>
      <c r="B7698" s="6" t="str">
        <f t="shared" si="3974"/>
        <v>Income ratio from personal sales (Leader above UM)</v>
      </c>
      <c r="C7698" s="4" t="str">
        <f>CHOOSE(2, "5462030031", "Jul 26")</f>
        <v>Jul 26</v>
      </c>
      <c r="D7698" s="14">
        <v>3.4293346003223327E-2</v>
      </c>
    </row>
    <row r="7699" spans="1:4" x14ac:dyDescent="0.35">
      <c r="A7699" s="5" t="str">
        <f t="shared" si="3954"/>
        <v>Agency</v>
      </c>
      <c r="B7699" s="3" t="str">
        <f t="shared" ref="B7699:B7700" si="3975">CHOOSE(2, "1395000000657", "Income ratio from personal sales (Leader above UM) (num)")</f>
        <v>Income ratio from personal sales (Leader above UM) (num)</v>
      </c>
      <c r="C7699" s="4" t="str">
        <f>CHOOSE(2, "5461730030", "Jun 26")</f>
        <v>Jun 26</v>
      </c>
      <c r="D7699" s="14">
        <v>1887.35</v>
      </c>
    </row>
    <row r="7700" spans="1:4" x14ac:dyDescent="0.35">
      <c r="A7700" s="5" t="str">
        <f t="shared" si="3954"/>
        <v>Agency</v>
      </c>
      <c r="B7700" s="6" t="str">
        <f t="shared" si="3975"/>
        <v>Income ratio from personal sales (Leader above UM) (num)</v>
      </c>
      <c r="C7700" s="4" t="str">
        <f>CHOOSE(2, "5462030031", "Jul 26")</f>
        <v>Jul 26</v>
      </c>
      <c r="D7700" s="14">
        <v>1592.25</v>
      </c>
    </row>
    <row r="7701" spans="1:4" x14ac:dyDescent="0.35">
      <c r="A7701" s="5" t="str">
        <f t="shared" si="3954"/>
        <v>Agency</v>
      </c>
      <c r="B7701" s="3" t="str">
        <f t="shared" ref="B7701:B7702" si="3976">CHOOSE(2, "1395000000656", "Income ratio from personal sales (Leader above UM) (den)")</f>
        <v>Income ratio from personal sales (Leader above UM) (den)</v>
      </c>
      <c r="C7701" s="4" t="str">
        <f>CHOOSE(2, "5461730030", "Jun 26")</f>
        <v>Jun 26</v>
      </c>
      <c r="D7701" s="14">
        <v>64071.6</v>
      </c>
    </row>
    <row r="7702" spans="1:4" x14ac:dyDescent="0.35">
      <c r="A7702" s="5" t="str">
        <f t="shared" si="3954"/>
        <v>Agency</v>
      </c>
      <c r="B7702" s="6" t="str">
        <f t="shared" si="3976"/>
        <v>Income ratio from personal sales (Leader above UM) (den)</v>
      </c>
      <c r="C7702" s="4" t="str">
        <f>CHOOSE(2, "5462030031", "Jul 26")</f>
        <v>Jul 26</v>
      </c>
      <c r="D7702" s="14">
        <v>46430.29</v>
      </c>
    </row>
    <row r="7703" spans="1:4" x14ac:dyDescent="0.35">
      <c r="A7703" s="5" t="str">
        <f t="shared" si="3954"/>
        <v>Agency</v>
      </c>
      <c r="B7703" s="3" t="str">
        <f t="shared" ref="B7703:B7704" si="3977">CHOOSE(2, "1395000000655", "Total agent earnings")</f>
        <v>Total agent earnings</v>
      </c>
      <c r="C7703" s="4" t="str">
        <f>CHOOSE(2, "5461730030", "Jun 26")</f>
        <v>Jun 26</v>
      </c>
      <c r="D7703" s="14">
        <v>154271.92000000001</v>
      </c>
    </row>
    <row r="7704" spans="1:4" x14ac:dyDescent="0.35">
      <c r="A7704" s="5" t="str">
        <f t="shared" si="3954"/>
        <v>Agency</v>
      </c>
      <c r="B7704" s="6" t="str">
        <f t="shared" si="3977"/>
        <v>Total agent earnings</v>
      </c>
      <c r="C7704" s="4" t="str">
        <f>CHOOSE(2, "5462030031", "Jul 26")</f>
        <v>Jul 26</v>
      </c>
      <c r="D7704" s="14">
        <v>137891.35</v>
      </c>
    </row>
    <row r="7705" spans="1:4" x14ac:dyDescent="0.35">
      <c r="A7705" s="5" t="str">
        <f t="shared" si="3954"/>
        <v>Agency</v>
      </c>
      <c r="B7705" s="3" t="str">
        <f t="shared" ref="B7705:B7706" si="3978">CHOOSE(2, "1395000000654", "Total agent earnings in FA or equivalent")</f>
        <v>Total agent earnings in FA or equivalent</v>
      </c>
      <c r="C7705" s="4" t="str">
        <f>CHOOSE(2, "5461730030", "Jun 26")</f>
        <v>Jun 26</v>
      </c>
      <c r="D7705" s="14">
        <v>48968.63</v>
      </c>
    </row>
    <row r="7706" spans="1:4" x14ac:dyDescent="0.35">
      <c r="A7706" s="5" t="str">
        <f t="shared" si="3954"/>
        <v>Agency</v>
      </c>
      <c r="B7706" s="6" t="str">
        <f t="shared" si="3978"/>
        <v>Total agent earnings in FA or equivalent</v>
      </c>
      <c r="C7706" s="4" t="str">
        <f>CHOOSE(2, "5462030031", "Jul 26")</f>
        <v>Jul 26</v>
      </c>
      <c r="D7706" s="14">
        <v>49437.54</v>
      </c>
    </row>
    <row r="7707" spans="1:4" x14ac:dyDescent="0.35">
      <c r="A7707" s="5" t="str">
        <f t="shared" si="3954"/>
        <v>Agency</v>
      </c>
      <c r="B7707" s="3" t="str">
        <f t="shared" ref="B7707:B7708" si="3979">CHOOSE(2, "1395000000653", "Total agent earnings in UM")</f>
        <v>Total agent earnings in UM</v>
      </c>
      <c r="C7707" s="4" t="str">
        <f>CHOOSE(2, "5461730030", "Jun 26")</f>
        <v>Jun 26</v>
      </c>
      <c r="D7707" s="14">
        <v>41231.69</v>
      </c>
    </row>
    <row r="7708" spans="1:4" x14ac:dyDescent="0.35">
      <c r="A7708" s="5" t="str">
        <f t="shared" si="3954"/>
        <v>Agency</v>
      </c>
      <c r="B7708" s="6" t="str">
        <f t="shared" si="3979"/>
        <v>Total agent earnings in UM</v>
      </c>
      <c r="C7708" s="4" t="str">
        <f>CHOOSE(2, "5462030031", "Jul 26")</f>
        <v>Jul 26</v>
      </c>
      <c r="D7708" s="14">
        <v>42023.519999999997</v>
      </c>
    </row>
    <row r="7709" spans="1:4" x14ac:dyDescent="0.35">
      <c r="A7709" s="5" t="str">
        <f t="shared" si="3954"/>
        <v>Agency</v>
      </c>
      <c r="B7709" s="3" t="str">
        <f t="shared" ref="B7709:B7710" si="3980">CHOOSE(2, "1395000000652", "Total agent earnings in Leaders above UM")</f>
        <v>Total agent earnings in Leaders above UM</v>
      </c>
      <c r="C7709" s="4" t="str">
        <f>CHOOSE(2, "5461730030", "Jun 26")</f>
        <v>Jun 26</v>
      </c>
      <c r="D7709" s="14">
        <v>64071.6</v>
      </c>
    </row>
    <row r="7710" spans="1:4" x14ac:dyDescent="0.35">
      <c r="A7710" s="5" t="str">
        <f t="shared" si="3954"/>
        <v>Agency</v>
      </c>
      <c r="B7710" s="6" t="str">
        <f t="shared" si="3980"/>
        <v>Total agent earnings in Leaders above UM</v>
      </c>
      <c r="C7710" s="4" t="str">
        <f>CHOOSE(2, "5462030031", "Jul 26")</f>
        <v>Jul 26</v>
      </c>
      <c r="D7710" s="14">
        <v>46430.29</v>
      </c>
    </row>
    <row r="7711" spans="1:4" x14ac:dyDescent="0.35">
      <c r="A7711" s="5" t="str">
        <f t="shared" si="3954"/>
        <v>Agency</v>
      </c>
      <c r="B7711" s="3" t="str">
        <f t="shared" ref="B7711:B7712" si="3981">CHOOSE(2, "1395000000651", "# of Newly Promoted UM")</f>
        <v># of Newly Promoted UM</v>
      </c>
      <c r="C7711" s="4" t="str">
        <f>CHOOSE(2, "5461730030", "Jun 26")</f>
        <v>Jun 26</v>
      </c>
      <c r="D7711" s="14">
        <v>0</v>
      </c>
    </row>
    <row r="7712" spans="1:4" x14ac:dyDescent="0.35">
      <c r="A7712" s="5" t="str">
        <f t="shared" si="3954"/>
        <v>Agency</v>
      </c>
      <c r="B7712" s="6" t="str">
        <f t="shared" si="3981"/>
        <v># of Newly Promoted UM</v>
      </c>
      <c r="C7712" s="4" t="str">
        <f>CHOOSE(2, "5462030031", "Jul 26")</f>
        <v>Jul 26</v>
      </c>
      <c r="D7712" s="14">
        <v>9</v>
      </c>
    </row>
    <row r="7713" spans="1:4" x14ac:dyDescent="0.35">
      <c r="A7713" s="5" t="str">
        <f t="shared" si="3954"/>
        <v>Agency</v>
      </c>
      <c r="B7713" s="3" t="str">
        <f t="shared" ref="B7713:B7714" si="3982">CHOOSE(2, "1395000000650", "# of Newly Promoted Leaders above UM")</f>
        <v># of Newly Promoted Leaders above UM</v>
      </c>
      <c r="C7713" s="4" t="str">
        <f>CHOOSE(2, "5461730030", "Jun 26")</f>
        <v>Jun 26</v>
      </c>
      <c r="D7713" s="14">
        <v>0</v>
      </c>
    </row>
    <row r="7714" spans="1:4" x14ac:dyDescent="0.35">
      <c r="A7714" s="5" t="str">
        <f t="shared" si="3954"/>
        <v>Agency</v>
      </c>
      <c r="B7714" s="6" t="str">
        <f t="shared" si="3982"/>
        <v># of Newly Promoted Leaders above UM</v>
      </c>
      <c r="C7714" s="4" t="str">
        <f>CHOOSE(2, "5462030031", "Jul 26")</f>
        <v>Jul 26</v>
      </c>
      <c r="D7714" s="14">
        <v>4</v>
      </c>
    </row>
    <row r="7715" spans="1:4" x14ac:dyDescent="0.35">
      <c r="A7715" s="5" t="str">
        <f t="shared" si="3954"/>
        <v>Agency</v>
      </c>
      <c r="B7715" s="3" t="str">
        <f t="shared" ref="B7715:B7716" si="3983">CHOOSE(2, "1395000000649", "# of Total Leader Promotions")</f>
        <v># of Total Leader Promotions</v>
      </c>
      <c r="C7715" s="4" t="str">
        <f>CHOOSE(2, "5461730030", "Jun 26")</f>
        <v>Jun 26</v>
      </c>
      <c r="D7715" s="14">
        <v>0</v>
      </c>
    </row>
    <row r="7716" spans="1:4" x14ac:dyDescent="0.35">
      <c r="A7716" s="5" t="str">
        <f t="shared" si="3954"/>
        <v>Agency</v>
      </c>
      <c r="B7716" s="6" t="str">
        <f t="shared" si="3983"/>
        <v># of Total Leader Promotions</v>
      </c>
      <c r="C7716" s="4" t="str">
        <f>CHOOSE(2, "5462030031", "Jul 26")</f>
        <v>Jul 26</v>
      </c>
      <c r="D7716" s="14">
        <v>13</v>
      </c>
    </row>
    <row r="7717" spans="1:4" x14ac:dyDescent="0.35">
      <c r="A7717" s="5" t="str">
        <f t="shared" si="3954"/>
        <v>Agency</v>
      </c>
      <c r="B7717" s="3" t="str">
        <f t="shared" ref="B7717:B7718" si="3984">CHOOSE(2, "1395000000648", "# of Newly Demoted UM")</f>
        <v># of Newly Demoted UM</v>
      </c>
      <c r="C7717" s="4" t="str">
        <f>CHOOSE(2, "5461730030", "Jun 26")</f>
        <v>Jun 26</v>
      </c>
      <c r="D7717" s="14">
        <v>2</v>
      </c>
    </row>
    <row r="7718" spans="1:4" x14ac:dyDescent="0.35">
      <c r="A7718" s="5" t="str">
        <f t="shared" si="3954"/>
        <v>Agency</v>
      </c>
      <c r="B7718" s="6" t="str">
        <f t="shared" si="3984"/>
        <v># of Newly Demoted UM</v>
      </c>
      <c r="C7718" s="4" t="str">
        <f>CHOOSE(2, "5462030031", "Jul 26")</f>
        <v>Jul 26</v>
      </c>
      <c r="D7718" s="14">
        <v>0</v>
      </c>
    </row>
    <row r="7719" spans="1:4" x14ac:dyDescent="0.35">
      <c r="A7719" s="5" t="str">
        <f t="shared" si="3954"/>
        <v>Agency</v>
      </c>
      <c r="B7719" s="3" t="str">
        <f t="shared" ref="B7719:B7720" si="3985">CHOOSE(2, "1395000000647", "# of Newly Demoted Leaders above UM")</f>
        <v># of Newly Demoted Leaders above UM</v>
      </c>
      <c r="C7719" s="4" t="str">
        <f>CHOOSE(2, "5461730030", "Jun 26")</f>
        <v>Jun 26</v>
      </c>
      <c r="D7719" s="14">
        <v>0</v>
      </c>
    </row>
    <row r="7720" spans="1:4" x14ac:dyDescent="0.35">
      <c r="A7720" s="5" t="str">
        <f t="shared" si="3954"/>
        <v>Agency</v>
      </c>
      <c r="B7720" s="6" t="str">
        <f t="shared" si="3985"/>
        <v># of Newly Demoted Leaders above UM</v>
      </c>
      <c r="C7720" s="4" t="str">
        <f>CHOOSE(2, "5462030031", "Jul 26")</f>
        <v>Jul 26</v>
      </c>
      <c r="D7720" s="14">
        <v>1</v>
      </c>
    </row>
    <row r="7721" spans="1:4" x14ac:dyDescent="0.35">
      <c r="A7721" s="5" t="str">
        <f t="shared" si="3954"/>
        <v>Agency</v>
      </c>
      <c r="B7721" s="3" t="str">
        <f t="shared" ref="B7721:B7722" si="3986">CHOOSE(2, "1395000000646", "# of Total Leader Demotions")</f>
        <v># of Total Leader Demotions</v>
      </c>
      <c r="C7721" s="4" t="str">
        <f>CHOOSE(2, "5461730030", "Jun 26")</f>
        <v>Jun 26</v>
      </c>
      <c r="D7721" s="14">
        <v>2</v>
      </c>
    </row>
    <row r="7722" spans="1:4" x14ac:dyDescent="0.35">
      <c r="A7722" s="5" t="str">
        <f t="shared" si="3954"/>
        <v>Agency</v>
      </c>
      <c r="B7722" s="6" t="str">
        <f t="shared" si="3986"/>
        <v># of Total Leader Demotions</v>
      </c>
      <c r="C7722" s="4" t="str">
        <f>CHOOSE(2, "5462030031", "Jul 26")</f>
        <v>Jul 26</v>
      </c>
      <c r="D7722" s="14">
        <v>1</v>
      </c>
    </row>
    <row r="7723" spans="1:4" x14ac:dyDescent="0.35">
      <c r="A7723" s="5" t="str">
        <f t="shared" ref="A7723:A7786" si="3987">CHOOSE(2, "1260000000012", "Agency")</f>
        <v>Agency</v>
      </c>
      <c r="B7723" s="3" t="str">
        <f t="shared" ref="B7723:B7724" si="3988">CHOOSE(2, "1395000000645", "# of agents meeting MOC")</f>
        <v># of agents meeting MOC</v>
      </c>
      <c r="C7723" s="4" t="str">
        <f>CHOOSE(2, "5461730030", "Jun 26")</f>
        <v>Jun 26</v>
      </c>
      <c r="D7723" s="14">
        <v>1012</v>
      </c>
    </row>
    <row r="7724" spans="1:4" x14ac:dyDescent="0.35">
      <c r="A7724" s="5" t="str">
        <f t="shared" si="3987"/>
        <v>Agency</v>
      </c>
      <c r="B7724" s="6" t="str">
        <f t="shared" si="3988"/>
        <v># of agents meeting MOC</v>
      </c>
      <c r="C7724" s="4" t="str">
        <f>CHOOSE(2, "5462030031", "Jul 26")</f>
        <v>Jul 26</v>
      </c>
      <c r="D7724" s="14">
        <v>1039</v>
      </c>
    </row>
    <row r="7725" spans="1:4" x14ac:dyDescent="0.35">
      <c r="A7725" s="5" t="str">
        <f t="shared" si="3987"/>
        <v>Agency</v>
      </c>
      <c r="B7725" s="3" t="str">
        <f t="shared" ref="B7725:B7726" si="3989">CHOOSE(2, "1395000000644", "# of agents meeting MOC in FA or equivalent")</f>
        <v># of agents meeting MOC in FA or equivalent</v>
      </c>
      <c r="C7725" s="4" t="str">
        <f>CHOOSE(2, "5461730030", "Jun 26")</f>
        <v>Jun 26</v>
      </c>
      <c r="D7725" s="14">
        <v>876</v>
      </c>
    </row>
    <row r="7726" spans="1:4" x14ac:dyDescent="0.35">
      <c r="A7726" s="5" t="str">
        <f t="shared" si="3987"/>
        <v>Agency</v>
      </c>
      <c r="B7726" s="6" t="str">
        <f t="shared" si="3989"/>
        <v># of agents meeting MOC in FA or equivalent</v>
      </c>
      <c r="C7726" s="4" t="str">
        <f>CHOOSE(2, "5462030031", "Jul 26")</f>
        <v>Jul 26</v>
      </c>
      <c r="D7726" s="14">
        <v>904</v>
      </c>
    </row>
    <row r="7727" spans="1:4" x14ac:dyDescent="0.35">
      <c r="A7727" s="5" t="str">
        <f t="shared" si="3987"/>
        <v>Agency</v>
      </c>
      <c r="B7727" s="3" t="str">
        <f t="shared" ref="B7727:B7728" si="3990">CHOOSE(2, "1395000000643", "# of agents meeting MOC in UM")</f>
        <v># of agents meeting MOC in UM</v>
      </c>
      <c r="C7727" s="4" t="str">
        <f>CHOOSE(2, "5461730030", "Jun 26")</f>
        <v>Jun 26</v>
      </c>
      <c r="D7727" s="14">
        <v>102</v>
      </c>
    </row>
    <row r="7728" spans="1:4" x14ac:dyDescent="0.35">
      <c r="A7728" s="5" t="str">
        <f t="shared" si="3987"/>
        <v>Agency</v>
      </c>
      <c r="B7728" s="6" t="str">
        <f t="shared" si="3990"/>
        <v># of agents meeting MOC in UM</v>
      </c>
      <c r="C7728" s="4" t="str">
        <f>CHOOSE(2, "5462030031", "Jul 26")</f>
        <v>Jul 26</v>
      </c>
      <c r="D7728" s="14">
        <v>103</v>
      </c>
    </row>
    <row r="7729" spans="1:4" x14ac:dyDescent="0.35">
      <c r="A7729" s="5" t="str">
        <f t="shared" si="3987"/>
        <v>Agency</v>
      </c>
      <c r="B7729" s="3" t="str">
        <f t="shared" ref="B7729:B7730" si="3991">CHOOSE(2, "1395000000642", "# of agents meeting MOC in Leaders above UM")</f>
        <v># of agents meeting MOC in Leaders above UM</v>
      </c>
      <c r="C7729" s="4" t="str">
        <f>CHOOSE(2, "5461730030", "Jun 26")</f>
        <v>Jun 26</v>
      </c>
      <c r="D7729" s="14">
        <v>34</v>
      </c>
    </row>
    <row r="7730" spans="1:4" x14ac:dyDescent="0.35">
      <c r="A7730" s="5" t="str">
        <f t="shared" si="3987"/>
        <v>Agency</v>
      </c>
      <c r="B7730" s="6" t="str">
        <f t="shared" si="3991"/>
        <v># of agents meeting MOC in Leaders above UM</v>
      </c>
      <c r="C7730" s="4" t="str">
        <f>CHOOSE(2, "5462030031", "Jul 26")</f>
        <v>Jul 26</v>
      </c>
      <c r="D7730" s="14">
        <v>32</v>
      </c>
    </row>
    <row r="7731" spans="1:4" x14ac:dyDescent="0.35">
      <c r="A7731" s="5" t="str">
        <f t="shared" si="3987"/>
        <v>Agency</v>
      </c>
      <c r="B7731" s="3" t="str">
        <f t="shared" ref="B7731:B7732" si="3992">CHOOSE(2, "1395000000641", "New Leaders 3M Activation Rate (by cohort)")</f>
        <v>New Leaders 3M Activation Rate (by cohort)</v>
      </c>
      <c r="C7731" s="4" t="str">
        <f>CHOOSE(2, "5461730030", "Jun 26")</f>
        <v>Jun 26</v>
      </c>
      <c r="D7731" s="14">
        <v>0.4</v>
      </c>
    </row>
    <row r="7732" spans="1:4" x14ac:dyDescent="0.35">
      <c r="A7732" s="5" t="str">
        <f t="shared" si="3987"/>
        <v>Agency</v>
      </c>
      <c r="B7732" s="6" t="str">
        <f t="shared" si="3992"/>
        <v>New Leaders 3M Activation Rate (by cohort)</v>
      </c>
      <c r="C7732" s="4" t="str">
        <f>CHOOSE(2, "5462030031", "Jul 26")</f>
        <v>Jul 26</v>
      </c>
      <c r="D7732" s="14">
        <v>0</v>
      </c>
    </row>
    <row r="7733" spans="1:4" x14ac:dyDescent="0.35">
      <c r="A7733" s="5" t="str">
        <f t="shared" si="3987"/>
        <v>Agency</v>
      </c>
      <c r="B7733" s="3" t="str">
        <f t="shared" ref="B7733:B7734" si="3993">CHOOSE(2, "1395000000640", "New Leaders 3M Activation Rate (by cohort) (numerator)")</f>
        <v>New Leaders 3M Activation Rate (by cohort) (numerator)</v>
      </c>
      <c r="C7733" s="4" t="str">
        <f>CHOOSE(2, "5461730030", "Jun 26")</f>
        <v>Jun 26</v>
      </c>
      <c r="D7733" s="14">
        <v>2</v>
      </c>
    </row>
    <row r="7734" spans="1:4" x14ac:dyDescent="0.35">
      <c r="A7734" s="5" t="str">
        <f t="shared" si="3987"/>
        <v>Agency</v>
      </c>
      <c r="B7734" s="6" t="str">
        <f t="shared" si="3993"/>
        <v>New Leaders 3M Activation Rate (by cohort) (numerator)</v>
      </c>
      <c r="C7734" s="4" t="str">
        <f>CHOOSE(2, "5462030031", "Jul 26")</f>
        <v>Jul 26</v>
      </c>
      <c r="D7734" s="14">
        <v>0</v>
      </c>
    </row>
    <row r="7735" spans="1:4" x14ac:dyDescent="0.35">
      <c r="A7735" s="5" t="str">
        <f t="shared" si="3987"/>
        <v>Agency</v>
      </c>
      <c r="B7735" s="3" t="str">
        <f t="shared" ref="B7735:B7736" si="3994">CHOOSE(2, "1395000000639", "New Leaders 3M Activation Rate (by cohort) (denominator)")</f>
        <v>New Leaders 3M Activation Rate (by cohort) (denominator)</v>
      </c>
      <c r="C7735" s="4" t="str">
        <f>CHOOSE(2, "5461730030", "Jun 26")</f>
        <v>Jun 26</v>
      </c>
      <c r="D7735" s="14">
        <v>5</v>
      </c>
    </row>
    <row r="7736" spans="1:4" x14ac:dyDescent="0.35">
      <c r="A7736" s="5" t="str">
        <f t="shared" si="3987"/>
        <v>Agency</v>
      </c>
      <c r="B7736" s="6" t="str">
        <f t="shared" si="3994"/>
        <v>New Leaders 3M Activation Rate (by cohort) (denominator)</v>
      </c>
      <c r="C7736" s="4" t="str">
        <f>CHOOSE(2, "5462030031", "Jul 26")</f>
        <v>Jul 26</v>
      </c>
      <c r="D7736" s="14">
        <v>0</v>
      </c>
    </row>
    <row r="7737" spans="1:4" x14ac:dyDescent="0.35">
      <c r="A7737" s="5" t="str">
        <f t="shared" si="3987"/>
        <v>Agency</v>
      </c>
      <c r="B7737" s="3" t="str">
        <f t="shared" ref="B7737:B7738" si="3995">CHOOSE(2, "1395000000638", "# of pro-rated MDRT agents (100%)")</f>
        <v># of pro-rated MDRT agents (100%)</v>
      </c>
      <c r="C7737" s="4" t="str">
        <f>CHOOSE(2, "5461730030", "Jun 26")</f>
        <v>Jun 26</v>
      </c>
      <c r="D7737" s="14">
        <v>2</v>
      </c>
    </row>
    <row r="7738" spans="1:4" x14ac:dyDescent="0.35">
      <c r="A7738" s="5" t="str">
        <f t="shared" si="3987"/>
        <v>Agency</v>
      </c>
      <c r="B7738" s="6" t="str">
        <f t="shared" si="3995"/>
        <v># of pro-rated MDRT agents (100%)</v>
      </c>
      <c r="C7738" s="4" t="str">
        <f>CHOOSE(2, "5462030031", "Jul 26")</f>
        <v>Jul 26</v>
      </c>
      <c r="D7738" s="14">
        <v>1</v>
      </c>
    </row>
    <row r="7739" spans="1:4" x14ac:dyDescent="0.35">
      <c r="A7739" s="5" t="str">
        <f t="shared" si="3987"/>
        <v>Agency</v>
      </c>
      <c r="B7739" s="3" t="str">
        <f t="shared" ref="B7739:B7740" si="3996">CHOOSE(2, "1395000000637", "# of pro-rated MDRT agents (90%-99%)")</f>
        <v># of pro-rated MDRT agents (90%-99%)</v>
      </c>
      <c r="C7739" s="4" t="str">
        <f>CHOOSE(2, "5461730030", "Jun 26")</f>
        <v>Jun 26</v>
      </c>
      <c r="D7739" s="2" t="s">
        <v>5</v>
      </c>
    </row>
    <row r="7740" spans="1:4" x14ac:dyDescent="0.35">
      <c r="A7740" s="5" t="str">
        <f t="shared" si="3987"/>
        <v>Agency</v>
      </c>
      <c r="B7740" s="6" t="str">
        <f t="shared" si="3996"/>
        <v># of pro-rated MDRT agents (90%-99%)</v>
      </c>
      <c r="C7740" s="4" t="str">
        <f>CHOOSE(2, "5462030031", "Jul 26")</f>
        <v>Jul 26</v>
      </c>
      <c r="D7740" s="2" t="s">
        <v>5</v>
      </c>
    </row>
    <row r="7741" spans="1:4" x14ac:dyDescent="0.35">
      <c r="A7741" s="5" t="str">
        <f t="shared" si="3987"/>
        <v>Agency</v>
      </c>
      <c r="B7741" s="3" t="str">
        <f t="shared" ref="B7741:B7742" si="3997">CHOOSE(2, "1395000000636", "# of pro-rated MDRT agents (70%-90%)")</f>
        <v># of pro-rated MDRT agents (70%-90%)</v>
      </c>
      <c r="C7741" s="4" t="str">
        <f>CHOOSE(2, "5461730030", "Jun 26")</f>
        <v>Jun 26</v>
      </c>
      <c r="D7741" s="2" t="s">
        <v>5</v>
      </c>
    </row>
    <row r="7742" spans="1:4" x14ac:dyDescent="0.35">
      <c r="A7742" s="5" t="str">
        <f t="shared" si="3987"/>
        <v>Agency</v>
      </c>
      <c r="B7742" s="6" t="str">
        <f t="shared" si="3997"/>
        <v># of pro-rated MDRT agents (70%-90%)</v>
      </c>
      <c r="C7742" s="4" t="str">
        <f>CHOOSE(2, "5462030031", "Jul 26")</f>
        <v>Jul 26</v>
      </c>
      <c r="D7742" s="2" t="s">
        <v>5</v>
      </c>
    </row>
    <row r="7743" spans="1:4" x14ac:dyDescent="0.35">
      <c r="A7743" s="5" t="str">
        <f t="shared" si="3987"/>
        <v>Agency</v>
      </c>
      <c r="B7743" s="3" t="str">
        <f t="shared" ref="B7743:B7744" si="3998">CHOOSE(2, "1395000000635", "# of pro-rated MDRT agents (&lt;70%)")</f>
        <v># of pro-rated MDRT agents (&lt;70%)</v>
      </c>
      <c r="C7743" s="4" t="str">
        <f>CHOOSE(2, "5461730030", "Jun 26")</f>
        <v>Jun 26</v>
      </c>
      <c r="D7743" s="2" t="s">
        <v>5</v>
      </c>
    </row>
    <row r="7744" spans="1:4" x14ac:dyDescent="0.35">
      <c r="A7744" s="5" t="str">
        <f t="shared" si="3987"/>
        <v>Agency</v>
      </c>
      <c r="B7744" s="6" t="str">
        <f t="shared" si="3998"/>
        <v># of pro-rated MDRT agents (&lt;70%)</v>
      </c>
      <c r="C7744" s="4" t="str">
        <f>CHOOSE(2, "5462030031", "Jul 26")</f>
        <v>Jul 26</v>
      </c>
      <c r="D7744" s="2" t="s">
        <v>5</v>
      </c>
    </row>
    <row r="7745" spans="1:4" x14ac:dyDescent="0.35">
      <c r="A7745" s="5" t="str">
        <f t="shared" si="3987"/>
        <v>Agency</v>
      </c>
      <c r="B7745" s="3" t="str">
        <f t="shared" ref="B7745:B7746" si="3999">CHOOSE(2, "1395000000634", "# of pro-rated MDRT agents (50%-70%)")</f>
        <v># of pro-rated MDRT agents (50%-70%)</v>
      </c>
      <c r="C7745" s="4" t="str">
        <f>CHOOSE(2, "5461730030", "Jun 26")</f>
        <v>Jun 26</v>
      </c>
      <c r="D7745" s="2" t="s">
        <v>5</v>
      </c>
    </row>
    <row r="7746" spans="1:4" x14ac:dyDescent="0.35">
      <c r="A7746" s="5" t="str">
        <f t="shared" si="3987"/>
        <v>Agency</v>
      </c>
      <c r="B7746" s="6" t="str">
        <f t="shared" si="3999"/>
        <v># of pro-rated MDRT agents (50%-70%)</v>
      </c>
      <c r="C7746" s="4" t="str">
        <f>CHOOSE(2, "5462030031", "Jul 26")</f>
        <v>Jul 26</v>
      </c>
      <c r="D7746" s="2" t="s">
        <v>5</v>
      </c>
    </row>
    <row r="7747" spans="1:4" x14ac:dyDescent="0.35">
      <c r="A7747" s="5" t="str">
        <f t="shared" si="3987"/>
        <v>Agency</v>
      </c>
      <c r="B7747" s="3" t="str">
        <f t="shared" ref="B7747:B7748" si="4000">CHOOSE(2, "1395000000633", "# of pro-rated MDRT agents (&lt;50%)")</f>
        <v># of pro-rated MDRT agents (&lt;50%)</v>
      </c>
      <c r="C7747" s="4" t="str">
        <f>CHOOSE(2, "5461730030", "Jun 26")</f>
        <v>Jun 26</v>
      </c>
      <c r="D7747" s="2" t="s">
        <v>5</v>
      </c>
    </row>
    <row r="7748" spans="1:4" x14ac:dyDescent="0.35">
      <c r="A7748" s="5" t="str">
        <f t="shared" si="3987"/>
        <v>Agency</v>
      </c>
      <c r="B7748" s="6" t="str">
        <f t="shared" si="4000"/>
        <v># of pro-rated MDRT agents (&lt;50%)</v>
      </c>
      <c r="C7748" s="4" t="str">
        <f>CHOOSE(2, "5462030031", "Jul 26")</f>
        <v>Jul 26</v>
      </c>
      <c r="D7748" s="2" t="s">
        <v>5</v>
      </c>
    </row>
    <row r="7749" spans="1:4" x14ac:dyDescent="0.35">
      <c r="A7749" s="5" t="str">
        <f t="shared" si="3987"/>
        <v>Agency</v>
      </c>
      <c r="B7749" s="3" t="str">
        <f t="shared" ref="B7749:B7750" si="4001">CHOOSE(2, "1395000000632", "# of pro-rated MDRT agents (70-99%)")</f>
        <v># of pro-rated MDRT agents (70-99%)</v>
      </c>
      <c r="C7749" s="4" t="str">
        <f>CHOOSE(2, "5461730030", "Jun 26")</f>
        <v>Jun 26</v>
      </c>
      <c r="D7749" s="14">
        <v>1</v>
      </c>
    </row>
    <row r="7750" spans="1:4" x14ac:dyDescent="0.35">
      <c r="A7750" s="5" t="str">
        <f t="shared" si="3987"/>
        <v>Agency</v>
      </c>
      <c r="B7750" s="6" t="str">
        <f t="shared" si="4001"/>
        <v># of pro-rated MDRT agents (70-99%)</v>
      </c>
      <c r="C7750" s="4" t="str">
        <f>CHOOSE(2, "5462030031", "Jul 26")</f>
        <v>Jul 26</v>
      </c>
      <c r="D7750" s="14">
        <v>1</v>
      </c>
    </row>
    <row r="7751" spans="1:4" x14ac:dyDescent="0.35">
      <c r="A7751" s="5" t="str">
        <f t="shared" si="3987"/>
        <v>Agency</v>
      </c>
      <c r="B7751" s="3" t="str">
        <f t="shared" ref="B7751:B7752" si="4002">CHOOSE(2, "1395000000631", "# of pro-rated MDRT agents (50-69%)")</f>
        <v># of pro-rated MDRT agents (50-69%)</v>
      </c>
      <c r="C7751" s="4" t="str">
        <f>CHOOSE(2, "5461730030", "Jun 26")</f>
        <v>Jun 26</v>
      </c>
      <c r="D7751" s="14">
        <v>3</v>
      </c>
    </row>
    <row r="7752" spans="1:4" x14ac:dyDescent="0.35">
      <c r="A7752" s="5" t="str">
        <f t="shared" si="3987"/>
        <v>Agency</v>
      </c>
      <c r="B7752" s="6" t="str">
        <f t="shared" si="4002"/>
        <v># of pro-rated MDRT agents (50-69%)</v>
      </c>
      <c r="C7752" s="4" t="str">
        <f>CHOOSE(2, "5462030031", "Jul 26")</f>
        <v>Jul 26</v>
      </c>
      <c r="D7752" s="14">
        <v>1</v>
      </c>
    </row>
    <row r="7753" spans="1:4" x14ac:dyDescent="0.35">
      <c r="A7753" s="5" t="str">
        <f t="shared" si="3987"/>
        <v>Agency</v>
      </c>
      <c r="B7753" s="3" t="str">
        <f t="shared" ref="B7753:B7754" si="4003">CHOOSE(2, "1395000000630", "# of Top-tier agents")</f>
        <v># of Top-tier agents</v>
      </c>
      <c r="C7753" s="4" t="str">
        <f>CHOOSE(2, "5461730030", "Jun 26")</f>
        <v>Jun 26</v>
      </c>
      <c r="D7753" s="14">
        <v>3</v>
      </c>
    </row>
    <row r="7754" spans="1:4" x14ac:dyDescent="0.35">
      <c r="A7754" s="5" t="str">
        <f t="shared" si="3987"/>
        <v>Agency</v>
      </c>
      <c r="B7754" s="6" t="str">
        <f t="shared" si="4003"/>
        <v># of Top-tier agents</v>
      </c>
      <c r="C7754" s="4" t="str">
        <f>CHOOSE(2, "5462030031", "Jul 26")</f>
        <v>Jul 26</v>
      </c>
      <c r="D7754" s="14">
        <v>3</v>
      </c>
    </row>
    <row r="7755" spans="1:4" x14ac:dyDescent="0.35">
      <c r="A7755" s="5" t="str">
        <f t="shared" si="3987"/>
        <v>Agency</v>
      </c>
      <c r="B7755" s="3" t="str">
        <f t="shared" ref="B7755:B7756" si="4004">CHOOSE(2, "1395000000629", "$ APE from pro-rated MDRT agents (100%)")</f>
        <v>$ APE from pro-rated MDRT agents (100%)</v>
      </c>
      <c r="C7755" s="4" t="str">
        <f>CHOOSE(2, "5461730030", "Jun 26")</f>
        <v>Jun 26</v>
      </c>
      <c r="D7755" s="14">
        <v>0</v>
      </c>
    </row>
    <row r="7756" spans="1:4" x14ac:dyDescent="0.35">
      <c r="A7756" s="5" t="str">
        <f t="shared" si="3987"/>
        <v>Agency</v>
      </c>
      <c r="B7756" s="6" t="str">
        <f t="shared" si="4004"/>
        <v>$ APE from pro-rated MDRT agents (100%)</v>
      </c>
      <c r="C7756" s="4" t="str">
        <f>CHOOSE(2, "5462030031", "Jul 26")</f>
        <v>Jul 26</v>
      </c>
      <c r="D7756" s="14">
        <v>15303</v>
      </c>
    </row>
    <row r="7757" spans="1:4" x14ac:dyDescent="0.35">
      <c r="A7757" s="5" t="str">
        <f t="shared" si="3987"/>
        <v>Agency</v>
      </c>
      <c r="B7757" s="3" t="str">
        <f t="shared" ref="B7757:B7758" si="4005">CHOOSE(2, "1395000000628", "$ APE from pro-rated MDRT agents (70-99%)")</f>
        <v>$ APE from pro-rated MDRT agents (70-99%)</v>
      </c>
      <c r="C7757" s="4" t="str">
        <f>CHOOSE(2, "5461730030", "Jun 26")</f>
        <v>Jun 26</v>
      </c>
      <c r="D7757" s="14">
        <v>16147</v>
      </c>
    </row>
    <row r="7758" spans="1:4" x14ac:dyDescent="0.35">
      <c r="A7758" s="5" t="str">
        <f t="shared" si="3987"/>
        <v>Agency</v>
      </c>
      <c r="B7758" s="6" t="str">
        <f t="shared" si="4005"/>
        <v>$ APE from pro-rated MDRT agents (70-99%)</v>
      </c>
      <c r="C7758" s="4" t="str">
        <f>CHOOSE(2, "5462030031", "Jul 26")</f>
        <v>Jul 26</v>
      </c>
      <c r="D7758" s="14">
        <v>5567</v>
      </c>
    </row>
    <row r="7759" spans="1:4" x14ac:dyDescent="0.35">
      <c r="A7759" s="5" t="str">
        <f t="shared" si="3987"/>
        <v>Agency</v>
      </c>
      <c r="B7759" s="3" t="str">
        <f t="shared" ref="B7759:B7760" si="4006">CHOOSE(2, "1395000000627", "$ APE from pro-rated MDRT agents (50-69%)")</f>
        <v>$ APE from pro-rated MDRT agents (50-69%)</v>
      </c>
      <c r="C7759" s="4" t="str">
        <f>CHOOSE(2, "5461730030", "Jun 26")</f>
        <v>Jun 26</v>
      </c>
      <c r="D7759" s="14">
        <v>5704</v>
      </c>
    </row>
    <row r="7760" spans="1:4" x14ac:dyDescent="0.35">
      <c r="A7760" s="5" t="str">
        <f t="shared" si="3987"/>
        <v>Agency</v>
      </c>
      <c r="B7760" s="6" t="str">
        <f t="shared" si="4006"/>
        <v>$ APE from pro-rated MDRT agents (50-69%)</v>
      </c>
      <c r="C7760" s="4" t="str">
        <f>CHOOSE(2, "5462030031", "Jul 26")</f>
        <v>Jul 26</v>
      </c>
      <c r="D7760" s="14">
        <v>1651</v>
      </c>
    </row>
    <row r="7761" spans="1:4" x14ac:dyDescent="0.35">
      <c r="A7761" s="5" t="str">
        <f t="shared" si="3987"/>
        <v>Agency</v>
      </c>
      <c r="B7761" s="3" t="str">
        <f t="shared" ref="B7761:B7762" si="4007">CHOOSE(2, "1395000000626", "$ APE from Top-tier agents")</f>
        <v>$ APE from Top-tier agents</v>
      </c>
      <c r="C7761" s="4" t="str">
        <f>CHOOSE(2, "5461730030", "Jun 26")</f>
        <v>Jun 26</v>
      </c>
      <c r="D7761" s="14">
        <v>21851</v>
      </c>
    </row>
    <row r="7762" spans="1:4" x14ac:dyDescent="0.35">
      <c r="A7762" s="5" t="str">
        <f t="shared" si="3987"/>
        <v>Agency</v>
      </c>
      <c r="B7762" s="6" t="str">
        <f t="shared" si="4007"/>
        <v>$ APE from Top-tier agents</v>
      </c>
      <c r="C7762" s="4" t="str">
        <f>CHOOSE(2, "5462030031", "Jul 26")</f>
        <v>Jul 26</v>
      </c>
      <c r="D7762" s="14">
        <v>22521</v>
      </c>
    </row>
    <row r="7763" spans="1:4" x14ac:dyDescent="0.35">
      <c r="A7763" s="5" t="str">
        <f t="shared" si="3987"/>
        <v>Agency</v>
      </c>
      <c r="B7763" s="3" t="str">
        <f t="shared" ref="B7763:B7764" si="4008">CHOOSE(2, "1395000000625", "# of MDRT qualifiers - YTD")</f>
        <v># of MDRT qualifiers - YTD</v>
      </c>
      <c r="C7763" s="4" t="str">
        <f>CHOOSE(2, "5461730030", "Jun 26")</f>
        <v>Jun 26</v>
      </c>
      <c r="D7763" s="14">
        <v>0</v>
      </c>
    </row>
    <row r="7764" spans="1:4" x14ac:dyDescent="0.35">
      <c r="A7764" s="5" t="str">
        <f t="shared" si="3987"/>
        <v>Agency</v>
      </c>
      <c r="B7764" s="6" t="str">
        <f t="shared" si="4008"/>
        <v># of MDRT qualifiers - YTD</v>
      </c>
      <c r="C7764" s="4" t="str">
        <f>CHOOSE(2, "5462030031", "Jul 26")</f>
        <v>Jul 26</v>
      </c>
      <c r="D7764" s="14">
        <v>0</v>
      </c>
    </row>
    <row r="7765" spans="1:4" x14ac:dyDescent="0.35">
      <c r="A7765" s="5" t="str">
        <f t="shared" si="3987"/>
        <v>Agency</v>
      </c>
      <c r="B7765" s="3" t="str">
        <f t="shared" ref="B7765:B7766" si="4009">CHOOSE(2, "1395000000624", "# of MDRT COT qualifiers - YTD")</f>
        <v># of MDRT COT qualifiers - YTD</v>
      </c>
      <c r="C7765" s="4" t="str">
        <f>CHOOSE(2, "5461730030", "Jun 26")</f>
        <v>Jun 26</v>
      </c>
      <c r="D7765" s="14">
        <v>0</v>
      </c>
    </row>
    <row r="7766" spans="1:4" x14ac:dyDescent="0.35">
      <c r="A7766" s="5" t="str">
        <f t="shared" si="3987"/>
        <v>Agency</v>
      </c>
      <c r="B7766" s="6" t="str">
        <f t="shared" si="4009"/>
        <v># of MDRT COT qualifiers - YTD</v>
      </c>
      <c r="C7766" s="4" t="str">
        <f>CHOOSE(2, "5462030031", "Jul 26")</f>
        <v>Jul 26</v>
      </c>
      <c r="D7766" s="14">
        <v>0</v>
      </c>
    </row>
    <row r="7767" spans="1:4" x14ac:dyDescent="0.35">
      <c r="A7767" s="5" t="str">
        <f t="shared" si="3987"/>
        <v>Agency</v>
      </c>
      <c r="B7767" s="3" t="str">
        <f t="shared" ref="B7767:B7768" si="4010">CHOOSE(2, "1395000000623", "# of MDRT TOT qualifiers - YTD")</f>
        <v># of MDRT TOT qualifiers - YTD</v>
      </c>
      <c r="C7767" s="4" t="str">
        <f>CHOOSE(2, "5461730030", "Jun 26")</f>
        <v>Jun 26</v>
      </c>
      <c r="D7767" s="14">
        <v>0</v>
      </c>
    </row>
    <row r="7768" spans="1:4" x14ac:dyDescent="0.35">
      <c r="A7768" s="5" t="str">
        <f t="shared" si="3987"/>
        <v>Agency</v>
      </c>
      <c r="B7768" s="6" t="str">
        <f t="shared" si="4010"/>
        <v># of MDRT TOT qualifiers - YTD</v>
      </c>
      <c r="C7768" s="4" t="str">
        <f>CHOOSE(2, "5462030031", "Jul 26")</f>
        <v>Jul 26</v>
      </c>
      <c r="D7768" s="14">
        <v>0</v>
      </c>
    </row>
    <row r="7769" spans="1:4" x14ac:dyDescent="0.35">
      <c r="A7769" s="5" t="str">
        <f t="shared" si="3987"/>
        <v>Agency</v>
      </c>
      <c r="B7769" s="3" t="str">
        <f t="shared" ref="B7769:B7770" si="4011">CHOOSE(2, "1395000000622", "Manulife Pro Qualifiers - Total")</f>
        <v>Manulife Pro Qualifiers - Total</v>
      </c>
      <c r="C7769" s="4" t="str">
        <f>CHOOSE(2, "5461730030", "Jun 26")</f>
        <v>Jun 26</v>
      </c>
      <c r="D7769" s="2" t="s">
        <v>5</v>
      </c>
    </row>
    <row r="7770" spans="1:4" x14ac:dyDescent="0.35">
      <c r="A7770" s="5" t="str">
        <f t="shared" si="3987"/>
        <v>Agency</v>
      </c>
      <c r="B7770" s="6" t="str">
        <f t="shared" si="4011"/>
        <v>Manulife Pro Qualifiers - Total</v>
      </c>
      <c r="C7770" s="4" t="str">
        <f>CHOOSE(2, "5462030031", "Jul 26")</f>
        <v>Jul 26</v>
      </c>
      <c r="D7770" s="2" t="s">
        <v>5</v>
      </c>
    </row>
    <row r="7771" spans="1:4" x14ac:dyDescent="0.35">
      <c r="A7771" s="5" t="str">
        <f t="shared" si="3987"/>
        <v>Agency</v>
      </c>
      <c r="B7771" s="3" t="str">
        <f t="shared" ref="B7771:B7772" si="4012">CHOOSE(2, "1395000000621", "Manulife Pro Qualifiers - Silver")</f>
        <v>Manulife Pro Qualifiers - Silver</v>
      </c>
      <c r="C7771" s="4" t="str">
        <f>CHOOSE(2, "5461730030", "Jun 26")</f>
        <v>Jun 26</v>
      </c>
      <c r="D7771" s="2" t="s">
        <v>5</v>
      </c>
    </row>
    <row r="7772" spans="1:4" x14ac:dyDescent="0.35">
      <c r="A7772" s="5" t="str">
        <f t="shared" si="3987"/>
        <v>Agency</v>
      </c>
      <c r="B7772" s="6" t="str">
        <f t="shared" si="4012"/>
        <v>Manulife Pro Qualifiers - Silver</v>
      </c>
      <c r="C7772" s="4" t="str">
        <f>CHOOSE(2, "5462030031", "Jul 26")</f>
        <v>Jul 26</v>
      </c>
      <c r="D7772" s="2" t="s">
        <v>5</v>
      </c>
    </row>
    <row r="7773" spans="1:4" x14ac:dyDescent="0.35">
      <c r="A7773" s="5" t="str">
        <f t="shared" si="3987"/>
        <v>Agency</v>
      </c>
      <c r="B7773" s="3" t="str">
        <f t="shared" ref="B7773:B7774" si="4013">CHOOSE(2, "1395000000620", "Manulife Pro Qualifiers - Gold")</f>
        <v>Manulife Pro Qualifiers - Gold</v>
      </c>
      <c r="C7773" s="4" t="str">
        <f>CHOOSE(2, "5461730030", "Jun 26")</f>
        <v>Jun 26</v>
      </c>
      <c r="D7773" s="2" t="s">
        <v>5</v>
      </c>
    </row>
    <row r="7774" spans="1:4" x14ac:dyDescent="0.35">
      <c r="A7774" s="5" t="str">
        <f t="shared" si="3987"/>
        <v>Agency</v>
      </c>
      <c r="B7774" s="6" t="str">
        <f t="shared" si="4013"/>
        <v>Manulife Pro Qualifiers - Gold</v>
      </c>
      <c r="C7774" s="4" t="str">
        <f>CHOOSE(2, "5462030031", "Jul 26")</f>
        <v>Jul 26</v>
      </c>
      <c r="D7774" s="2" t="s">
        <v>5</v>
      </c>
    </row>
    <row r="7775" spans="1:4" x14ac:dyDescent="0.35">
      <c r="A7775" s="5" t="str">
        <f t="shared" si="3987"/>
        <v>Agency</v>
      </c>
      <c r="B7775" s="3" t="str">
        <f t="shared" ref="B7775:B7776" si="4014">CHOOSE(2, "1395000000619", "Manulife Pro Qualifiers  - Platinum")</f>
        <v>Manulife Pro Qualifiers  - Platinum</v>
      </c>
      <c r="C7775" s="4" t="str">
        <f>CHOOSE(2, "5461730030", "Jun 26")</f>
        <v>Jun 26</v>
      </c>
      <c r="D7775" s="2" t="s">
        <v>5</v>
      </c>
    </row>
    <row r="7776" spans="1:4" x14ac:dyDescent="0.35">
      <c r="A7776" s="5" t="str">
        <f t="shared" si="3987"/>
        <v>Agency</v>
      </c>
      <c r="B7776" s="6" t="str">
        <f t="shared" si="4014"/>
        <v>Manulife Pro Qualifiers  - Platinum</v>
      </c>
      <c r="C7776" s="4" t="str">
        <f>CHOOSE(2, "5462030031", "Jul 26")</f>
        <v>Jul 26</v>
      </c>
      <c r="D7776" s="2" t="s">
        <v>5</v>
      </c>
    </row>
    <row r="7777" spans="1:4" x14ac:dyDescent="0.35">
      <c r="A7777" s="5" t="str">
        <f t="shared" si="3987"/>
        <v>Agency</v>
      </c>
      <c r="B7777" s="3" t="str">
        <f t="shared" ref="B7777:B7778" si="4015">CHOOSE(2, "1395000000618", "$ APE from Manulife Pro - Total")</f>
        <v>$ APE from Manulife Pro - Total</v>
      </c>
      <c r="C7777" s="4" t="str">
        <f>CHOOSE(2, "5461730030", "Jun 26")</f>
        <v>Jun 26</v>
      </c>
      <c r="D7777" s="2" t="s">
        <v>5</v>
      </c>
    </row>
    <row r="7778" spans="1:4" x14ac:dyDescent="0.35">
      <c r="A7778" s="5" t="str">
        <f t="shared" si="3987"/>
        <v>Agency</v>
      </c>
      <c r="B7778" s="6" t="str">
        <f t="shared" si="4015"/>
        <v>$ APE from Manulife Pro - Total</v>
      </c>
      <c r="C7778" s="4" t="str">
        <f>CHOOSE(2, "5462030031", "Jul 26")</f>
        <v>Jul 26</v>
      </c>
      <c r="D7778" s="2" t="s">
        <v>5</v>
      </c>
    </row>
    <row r="7779" spans="1:4" x14ac:dyDescent="0.35">
      <c r="A7779" s="5" t="str">
        <f t="shared" si="3987"/>
        <v>Agency</v>
      </c>
      <c r="B7779" s="3" t="str">
        <f t="shared" ref="B7779:B7780" si="4016">CHOOSE(2, "1395000000617", "$ APE from Manulife Pro - Silver")</f>
        <v>$ APE from Manulife Pro - Silver</v>
      </c>
      <c r="C7779" s="4" t="str">
        <f>CHOOSE(2, "5461730030", "Jun 26")</f>
        <v>Jun 26</v>
      </c>
      <c r="D7779" s="2" t="s">
        <v>5</v>
      </c>
    </row>
    <row r="7780" spans="1:4" x14ac:dyDescent="0.35">
      <c r="A7780" s="5" t="str">
        <f t="shared" si="3987"/>
        <v>Agency</v>
      </c>
      <c r="B7780" s="6" t="str">
        <f t="shared" si="4016"/>
        <v>$ APE from Manulife Pro - Silver</v>
      </c>
      <c r="C7780" s="4" t="str">
        <f>CHOOSE(2, "5462030031", "Jul 26")</f>
        <v>Jul 26</v>
      </c>
      <c r="D7780" s="2" t="s">
        <v>5</v>
      </c>
    </row>
    <row r="7781" spans="1:4" x14ac:dyDescent="0.35">
      <c r="A7781" s="5" t="str">
        <f t="shared" si="3987"/>
        <v>Agency</v>
      </c>
      <c r="B7781" s="3" t="str">
        <f t="shared" ref="B7781:B7782" si="4017">CHOOSE(2, "1395000000616", "$ APE from Manulife Pro - Gold")</f>
        <v>$ APE from Manulife Pro - Gold</v>
      </c>
      <c r="C7781" s="4" t="str">
        <f>CHOOSE(2, "5461730030", "Jun 26")</f>
        <v>Jun 26</v>
      </c>
      <c r="D7781" s="2" t="s">
        <v>5</v>
      </c>
    </row>
    <row r="7782" spans="1:4" x14ac:dyDescent="0.35">
      <c r="A7782" s="5" t="str">
        <f t="shared" si="3987"/>
        <v>Agency</v>
      </c>
      <c r="B7782" s="6" t="str">
        <f t="shared" si="4017"/>
        <v>$ APE from Manulife Pro - Gold</v>
      </c>
      <c r="C7782" s="4" t="str">
        <f>CHOOSE(2, "5462030031", "Jul 26")</f>
        <v>Jul 26</v>
      </c>
      <c r="D7782" s="2" t="s">
        <v>5</v>
      </c>
    </row>
    <row r="7783" spans="1:4" x14ac:dyDescent="0.35">
      <c r="A7783" s="5" t="str">
        <f t="shared" si="3987"/>
        <v>Agency</v>
      </c>
      <c r="B7783" s="3" t="str">
        <f t="shared" ref="B7783:B7784" si="4018">CHOOSE(2, "1395000000615", "$ APE from Manulife Pro  - Platinum")</f>
        <v>$ APE from Manulife Pro  - Platinum</v>
      </c>
      <c r="C7783" s="4" t="str">
        <f>CHOOSE(2, "5461730030", "Jun 26")</f>
        <v>Jun 26</v>
      </c>
      <c r="D7783" s="2" t="s">
        <v>5</v>
      </c>
    </row>
    <row r="7784" spans="1:4" x14ac:dyDescent="0.35">
      <c r="A7784" s="5" t="str">
        <f t="shared" si="3987"/>
        <v>Agency</v>
      </c>
      <c r="B7784" s="6" t="str">
        <f t="shared" si="4018"/>
        <v>$ APE from Manulife Pro  - Platinum</v>
      </c>
      <c r="C7784" s="4" t="str">
        <f>CHOOSE(2, "5462030031", "Jul 26")</f>
        <v>Jul 26</v>
      </c>
      <c r="D7784" s="2" t="s">
        <v>5</v>
      </c>
    </row>
    <row r="7785" spans="1:4" x14ac:dyDescent="0.35">
      <c r="A7785" s="5" t="str">
        <f t="shared" si="3987"/>
        <v>Agency</v>
      </c>
      <c r="B7785" s="3" t="str">
        <f t="shared" ref="B7785:B7786" si="4019">CHOOSE(2, "1395000000614", "Issued APE")</f>
        <v>Issued APE</v>
      </c>
      <c r="C7785" s="4" t="str">
        <f>CHOOSE(2, "5461730030", "Jun 26")</f>
        <v>Jun 26</v>
      </c>
      <c r="D7785" s="14">
        <v>133907.66</v>
      </c>
    </row>
    <row r="7786" spans="1:4" x14ac:dyDescent="0.35">
      <c r="A7786" s="5" t="str">
        <f t="shared" si="3987"/>
        <v>Agency</v>
      </c>
      <c r="B7786" s="6" t="str">
        <f t="shared" si="4019"/>
        <v>Issued APE</v>
      </c>
      <c r="C7786" s="4" t="str">
        <f>CHOOSE(2, "5462030031", "Jul 26")</f>
        <v>Jul 26</v>
      </c>
      <c r="D7786" s="14">
        <v>145456.20000000001</v>
      </c>
    </row>
    <row r="7787" spans="1:4" x14ac:dyDescent="0.35">
      <c r="A7787" s="5" t="str">
        <f t="shared" ref="A7787:A7850" si="4020">CHOOSE(2, "1260000000012", "Agency")</f>
        <v>Agency</v>
      </c>
      <c r="B7787" s="3" t="str">
        <f t="shared" ref="B7787:B7788" si="4021">CHOOSE(2, "1395000000613", "Post-MI APE")</f>
        <v>Post-MI APE</v>
      </c>
      <c r="C7787" s="4" t="str">
        <f>CHOOSE(2, "5461730030", "Jun 26")</f>
        <v>Jun 26</v>
      </c>
      <c r="D7787" s="14">
        <v>133907.66</v>
      </c>
    </row>
    <row r="7788" spans="1:4" x14ac:dyDescent="0.35">
      <c r="A7788" s="5" t="str">
        <f t="shared" si="4020"/>
        <v>Agency</v>
      </c>
      <c r="B7788" s="6" t="str">
        <f t="shared" si="4021"/>
        <v>Post-MI APE</v>
      </c>
      <c r="C7788" s="4" t="str">
        <f>CHOOSE(2, "5462030031", "Jul 26")</f>
        <v>Jul 26</v>
      </c>
      <c r="D7788" s="14">
        <v>145456.20000000001</v>
      </c>
    </row>
    <row r="7789" spans="1:4" x14ac:dyDescent="0.35">
      <c r="A7789" s="5" t="str">
        <f t="shared" si="4020"/>
        <v>Agency</v>
      </c>
      <c r="B7789" s="3" t="str">
        <f t="shared" ref="B7789:B7790" si="4022">CHOOSE(2, "1395000000610", "Pre-gap NBV")</f>
        <v>Pre-gap NBV</v>
      </c>
      <c r="C7789" s="4" t="str">
        <f>CHOOSE(2, "5461730030", "Jun 26")</f>
        <v>Jun 26</v>
      </c>
      <c r="D7789" s="14">
        <v>18031.66</v>
      </c>
    </row>
    <row r="7790" spans="1:4" x14ac:dyDescent="0.35">
      <c r="A7790" s="5" t="str">
        <f t="shared" si="4020"/>
        <v>Agency</v>
      </c>
      <c r="B7790" s="6" t="str">
        <f t="shared" si="4022"/>
        <v>Pre-gap NBV</v>
      </c>
      <c r="C7790" s="4" t="str">
        <f>CHOOSE(2, "5462030031", "Jul 26")</f>
        <v>Jul 26</v>
      </c>
      <c r="D7790" s="14">
        <v>41483.79</v>
      </c>
    </row>
    <row r="7791" spans="1:4" x14ac:dyDescent="0.35">
      <c r="A7791" s="5" t="str">
        <f t="shared" si="4020"/>
        <v>Agency</v>
      </c>
      <c r="B7791" s="3" t="str">
        <f t="shared" ref="B7791:B7792" si="4023">CHOOSE(2, "1395000000609", "Pre-gap NBV Margin %")</f>
        <v>Pre-gap NBV Margin %</v>
      </c>
      <c r="C7791" s="4" t="str">
        <f>CHOOSE(2, "5461730030", "Jun 26")</f>
        <v>Jun 26</v>
      </c>
      <c r="D7791" s="14">
        <v>0.1346574198966661</v>
      </c>
    </row>
    <row r="7792" spans="1:4" x14ac:dyDescent="0.35">
      <c r="A7792" s="5" t="str">
        <f t="shared" si="4020"/>
        <v>Agency</v>
      </c>
      <c r="B7792" s="6" t="str">
        <f t="shared" si="4023"/>
        <v>Pre-gap NBV Margin %</v>
      </c>
      <c r="C7792" s="4" t="str">
        <f>CHOOSE(2, "5462030031", "Jul 26")</f>
        <v>Jul 26</v>
      </c>
      <c r="D7792" s="14">
        <v>0.28519781212488704</v>
      </c>
    </row>
    <row r="7793" spans="1:4" x14ac:dyDescent="0.35">
      <c r="A7793" s="5" t="str">
        <f t="shared" si="4020"/>
        <v>Agency</v>
      </c>
      <c r="B7793" s="3" t="str">
        <f t="shared" ref="B7793:B7794" si="4024">CHOOSE(2, "1395000000608", "Post-gap NBV")</f>
        <v>Post-gap NBV</v>
      </c>
      <c r="C7793" s="4" t="str">
        <f>CHOOSE(2, "5461730030", "Jun 26")</f>
        <v>Jun 26</v>
      </c>
      <c r="D7793" s="14">
        <v>18031.66</v>
      </c>
    </row>
    <row r="7794" spans="1:4" x14ac:dyDescent="0.35">
      <c r="A7794" s="5" t="str">
        <f t="shared" si="4020"/>
        <v>Agency</v>
      </c>
      <c r="B7794" s="6" t="str">
        <f t="shared" si="4024"/>
        <v>Post-gap NBV</v>
      </c>
      <c r="C7794" s="4" t="str">
        <f>CHOOSE(2, "5462030031", "Jul 26")</f>
        <v>Jul 26</v>
      </c>
      <c r="D7794" s="14">
        <v>41483.79</v>
      </c>
    </row>
    <row r="7795" spans="1:4" x14ac:dyDescent="0.35">
      <c r="A7795" s="5" t="str">
        <f t="shared" si="4020"/>
        <v>Agency</v>
      </c>
      <c r="B7795" s="3" t="str">
        <f t="shared" ref="B7795:B7796" si="4025">CHOOSE(2, "1395000000607", "Post-gap NBV Margin %")</f>
        <v>Post-gap NBV Margin %</v>
      </c>
      <c r="C7795" s="4" t="str">
        <f>CHOOSE(2, "5461730030", "Jun 26")</f>
        <v>Jun 26</v>
      </c>
      <c r="D7795" s="14">
        <v>0.1346574198966661</v>
      </c>
    </row>
    <row r="7796" spans="1:4" x14ac:dyDescent="0.35">
      <c r="A7796" s="5" t="str">
        <f t="shared" si="4020"/>
        <v>Agency</v>
      </c>
      <c r="B7796" s="6" t="str">
        <f t="shared" si="4025"/>
        <v>Post-gap NBV Margin %</v>
      </c>
      <c r="C7796" s="4" t="str">
        <f>CHOOSE(2, "5462030031", "Jul 26")</f>
        <v>Jul 26</v>
      </c>
      <c r="D7796" s="14">
        <v>0.28519781212488704</v>
      </c>
    </row>
    <row r="7797" spans="1:4" x14ac:dyDescent="0.35">
      <c r="A7797" s="5" t="str">
        <f t="shared" si="4020"/>
        <v>Agency</v>
      </c>
      <c r="B7797" s="3" t="str">
        <f t="shared" ref="B7797:B7798" si="4026">CHOOSE(2, "1395000000606", "NB CSM")</f>
        <v>NB CSM</v>
      </c>
      <c r="C7797" s="4" t="str">
        <f>CHOOSE(2, "5461730030", "Jun 26")</f>
        <v>Jun 26</v>
      </c>
      <c r="D7797" s="14">
        <v>0</v>
      </c>
    </row>
    <row r="7798" spans="1:4" x14ac:dyDescent="0.35">
      <c r="A7798" s="5" t="str">
        <f t="shared" si="4020"/>
        <v>Agency</v>
      </c>
      <c r="B7798" s="6" t="str">
        <f t="shared" si="4026"/>
        <v>NB CSM</v>
      </c>
      <c r="C7798" s="4" t="str">
        <f>CHOOSE(2, "5462030031", "Jul 26")</f>
        <v>Jul 26</v>
      </c>
      <c r="D7798" s="14">
        <v>0</v>
      </c>
    </row>
    <row r="7799" spans="1:4" x14ac:dyDescent="0.35">
      <c r="A7799" s="5" t="str">
        <f t="shared" si="4020"/>
        <v>Agency</v>
      </c>
      <c r="B7799" s="3" t="str">
        <f t="shared" ref="B7799:B7800" si="4027">CHOOSE(2, "1395000000605", "NB CSM Margin %")</f>
        <v>NB CSM Margin %</v>
      </c>
      <c r="C7799" s="4" t="str">
        <f>CHOOSE(2, "5461730030", "Jun 26")</f>
        <v>Jun 26</v>
      </c>
      <c r="D7799" s="14">
        <v>0</v>
      </c>
    </row>
    <row r="7800" spans="1:4" x14ac:dyDescent="0.35">
      <c r="A7800" s="5" t="str">
        <f t="shared" si="4020"/>
        <v>Agency</v>
      </c>
      <c r="B7800" s="6" t="str">
        <f t="shared" si="4027"/>
        <v>NB CSM Margin %</v>
      </c>
      <c r="C7800" s="4" t="str">
        <f>CHOOSE(2, "5462030031", "Jul 26")</f>
        <v>Jul 26</v>
      </c>
      <c r="D7800" s="14">
        <v>0</v>
      </c>
    </row>
    <row r="7801" spans="1:4" x14ac:dyDescent="0.35">
      <c r="A7801" s="5" t="str">
        <f t="shared" si="4020"/>
        <v>Agency</v>
      </c>
      <c r="B7801" s="3" t="str">
        <f t="shared" ref="B7801:B7802" si="4028">CHOOSE(2, "1395000000604", "PRE")</f>
        <v>PRE</v>
      </c>
      <c r="C7801" s="4" t="str">
        <f>CHOOSE(2, "5461730030", "Jun 26")</f>
        <v>Jun 26</v>
      </c>
      <c r="D7801" s="14">
        <v>852000</v>
      </c>
    </row>
    <row r="7802" spans="1:4" x14ac:dyDescent="0.35">
      <c r="A7802" s="5" t="str">
        <f t="shared" si="4020"/>
        <v>Agency</v>
      </c>
      <c r="B7802" s="6" t="str">
        <f t="shared" si="4028"/>
        <v>PRE</v>
      </c>
      <c r="C7802" s="4" t="str">
        <f>CHOOSE(2, "5462030031", "Jul 26")</f>
        <v>Jul 26</v>
      </c>
      <c r="D7802" s="14">
        <v>749000</v>
      </c>
    </row>
    <row r="7803" spans="1:4" x14ac:dyDescent="0.35">
      <c r="A7803" s="5" t="str">
        <f t="shared" si="4020"/>
        <v>Agency</v>
      </c>
      <c r="B7803" s="3" t="str">
        <f t="shared" ref="B7803:B7804" si="4029">CHOOSE(2, "1395000000603", "ContEx")</f>
        <v>ContEx</v>
      </c>
      <c r="C7803" s="4" t="str">
        <f>CHOOSE(2, "5461730030", "Jun 26")</f>
        <v>Jun 26</v>
      </c>
      <c r="D7803" s="14">
        <v>0</v>
      </c>
    </row>
    <row r="7804" spans="1:4" x14ac:dyDescent="0.35">
      <c r="A7804" s="5" t="str">
        <f t="shared" si="4020"/>
        <v>Agency</v>
      </c>
      <c r="B7804" s="6" t="str">
        <f t="shared" si="4029"/>
        <v>ContEx</v>
      </c>
      <c r="C7804" s="4" t="str">
        <f>CHOOSE(2, "5462030031", "Jul 26")</f>
        <v>Jul 26</v>
      </c>
      <c r="D7804" s="14">
        <v>0</v>
      </c>
    </row>
    <row r="7805" spans="1:4" x14ac:dyDescent="0.35">
      <c r="A7805" s="5" t="str">
        <f t="shared" si="4020"/>
        <v>Agency</v>
      </c>
      <c r="B7805" s="3" t="str">
        <f t="shared" ref="B7805:B7806" si="4030">CHOOSE(2, "1395000000602", "% of 6-90 agents")</f>
        <v>% of 6-90 agents</v>
      </c>
      <c r="C7805" s="4" t="str">
        <f>CHOOSE(2, "5461730030", "Jun 26")</f>
        <v>Jun 26</v>
      </c>
      <c r="D7805" s="14">
        <v>3.2520325203252036E-2</v>
      </c>
    </row>
    <row r="7806" spans="1:4" x14ac:dyDescent="0.35">
      <c r="A7806" s="5" t="str">
        <f t="shared" si="4020"/>
        <v>Agency</v>
      </c>
      <c r="B7806" s="6" t="str">
        <f t="shared" si="4030"/>
        <v>% of 6-90 agents</v>
      </c>
      <c r="C7806" s="4" t="str">
        <f>CHOOSE(2, "5462030031", "Jul 26")</f>
        <v>Jul 26</v>
      </c>
      <c r="D7806" s="14">
        <v>7.0422535211267607E-3</v>
      </c>
    </row>
    <row r="7807" spans="1:4" x14ac:dyDescent="0.35">
      <c r="A7807" s="5" t="str">
        <f t="shared" si="4020"/>
        <v>Agency</v>
      </c>
      <c r="B7807" s="3" t="str">
        <f t="shared" ref="B7807:B7808" si="4031">CHOOSE(2, "1395000000601", "New Recruits 3M Activation Rate")</f>
        <v>New Recruits 3M Activation Rate</v>
      </c>
      <c r="C7807" s="4" t="str">
        <f>CHOOSE(2, "5461730030", "Jun 26")</f>
        <v>Jun 26</v>
      </c>
      <c r="D7807" s="14">
        <v>0.2247191011235955</v>
      </c>
    </row>
    <row r="7808" spans="1:4" x14ac:dyDescent="0.35">
      <c r="A7808" s="5" t="str">
        <f t="shared" si="4020"/>
        <v>Agency</v>
      </c>
      <c r="B7808" s="6" t="str">
        <f t="shared" si="4031"/>
        <v>New Recruits 3M Activation Rate</v>
      </c>
      <c r="C7808" s="4" t="str">
        <f>CHOOSE(2, "5462030031", "Jul 26")</f>
        <v>Jul 26</v>
      </c>
      <c r="D7808" s="14">
        <v>7.1428571428571425E-2</v>
      </c>
    </row>
    <row r="7809" spans="1:4" x14ac:dyDescent="0.35">
      <c r="A7809" s="5" t="str">
        <f t="shared" si="4020"/>
        <v>Agency</v>
      </c>
      <c r="B7809" s="3" t="str">
        <f t="shared" ref="B7809:B7810" si="4032">CHOOSE(2, "1395000000600", "No. of Recruits from leaders")</f>
        <v>No. of Recruits from leaders</v>
      </c>
      <c r="C7809" s="4" t="str">
        <f>CHOOSE(2, "5461730030", "Jun 26")</f>
        <v>Jun 26</v>
      </c>
      <c r="D7809" s="2" t="s">
        <v>5</v>
      </c>
    </row>
    <row r="7810" spans="1:4" x14ac:dyDescent="0.35">
      <c r="A7810" s="5" t="str">
        <f t="shared" si="4020"/>
        <v>Agency</v>
      </c>
      <c r="B7810" s="6" t="str">
        <f t="shared" si="4032"/>
        <v>No. of Recruits from leaders</v>
      </c>
      <c r="C7810" s="4" t="str">
        <f>CHOOSE(2, "5462030031", "Jul 26")</f>
        <v>Jul 26</v>
      </c>
      <c r="D7810" s="2" t="s">
        <v>5</v>
      </c>
    </row>
    <row r="7811" spans="1:4" x14ac:dyDescent="0.35">
      <c r="A7811" s="5" t="str">
        <f t="shared" si="4020"/>
        <v>Agency</v>
      </c>
      <c r="B7811" s="3" t="str">
        <f t="shared" ref="B7811:B7812" si="4033">CHOOSE(2, "1395000000599", "No. of Recruits per Active Recruiting Leader per month")</f>
        <v>No. of Recruits per Active Recruiting Leader per month</v>
      </c>
      <c r="C7811" s="4" t="str">
        <f>CHOOSE(2, "5461730030", "Jun 26")</f>
        <v>Jun 26</v>
      </c>
      <c r="D7811" s="14">
        <v>0</v>
      </c>
    </row>
    <row r="7812" spans="1:4" x14ac:dyDescent="0.35">
      <c r="A7812" s="5" t="str">
        <f t="shared" si="4020"/>
        <v>Agency</v>
      </c>
      <c r="B7812" s="6" t="str">
        <f t="shared" si="4033"/>
        <v>No. of Recruits per Active Recruiting Leader per month</v>
      </c>
      <c r="C7812" s="4" t="str">
        <f>CHOOSE(2, "5462030031", "Jul 26")</f>
        <v>Jul 26</v>
      </c>
      <c r="D7812" s="14">
        <v>0</v>
      </c>
    </row>
    <row r="7813" spans="1:4" x14ac:dyDescent="0.35">
      <c r="A7813" s="5" t="str">
        <f t="shared" si="4020"/>
        <v>Agency</v>
      </c>
      <c r="B7813" s="3" t="str">
        <f t="shared" ref="B7813:B7814" si="4034">CHOOSE(2, "1395000000598", "PRE as % of APE")</f>
        <v>PRE as % of APE</v>
      </c>
      <c r="C7813" s="4" t="str">
        <f>CHOOSE(2, "5461730030", "Jun 26")</f>
        <v>Jun 26</v>
      </c>
      <c r="D7813" s="14">
        <v>6.3625934468573346</v>
      </c>
    </row>
    <row r="7814" spans="1:4" x14ac:dyDescent="0.35">
      <c r="A7814" s="5" t="str">
        <f t="shared" si="4020"/>
        <v>Agency</v>
      </c>
      <c r="B7814" s="6" t="str">
        <f t="shared" si="4034"/>
        <v>PRE as % of APE</v>
      </c>
      <c r="C7814" s="4" t="str">
        <f>CHOOSE(2, "5462030031", "Jul 26")</f>
        <v>Jul 26</v>
      </c>
      <c r="D7814" s="14">
        <v>5.1493164265256475</v>
      </c>
    </row>
    <row r="7815" spans="1:4" x14ac:dyDescent="0.35">
      <c r="A7815" s="5" t="str">
        <f t="shared" si="4020"/>
        <v>Agency</v>
      </c>
      <c r="B7815" s="3" t="str">
        <f t="shared" ref="B7815:B7816" si="4035">CHOOSE(2, "1395000000597", "ContEx as % of APE")</f>
        <v>ContEx as % of APE</v>
      </c>
      <c r="C7815" s="4" t="str">
        <f>CHOOSE(2, "5461730030", "Jun 26")</f>
        <v>Jun 26</v>
      </c>
      <c r="D7815" s="14">
        <v>0</v>
      </c>
    </row>
    <row r="7816" spans="1:4" x14ac:dyDescent="0.35">
      <c r="A7816" s="5" t="str">
        <f t="shared" si="4020"/>
        <v>Agency</v>
      </c>
      <c r="B7816" s="6" t="str">
        <f t="shared" si="4035"/>
        <v>ContEx as % of APE</v>
      </c>
      <c r="C7816" s="4" t="str">
        <f>CHOOSE(2, "5462030031", "Jul 26")</f>
        <v>Jul 26</v>
      </c>
      <c r="D7816" s="14">
        <v>0</v>
      </c>
    </row>
    <row r="7817" spans="1:4" x14ac:dyDescent="0.35">
      <c r="A7817" s="5" t="str">
        <f t="shared" si="4020"/>
        <v>Agency</v>
      </c>
      <c r="B7817" s="3" t="str">
        <f t="shared" ref="B7817:B7818" si="4036">CHOOSE(2, "1395000000596", "% of 1-Month Active Agents")</f>
        <v>% of 1-Month Active Agents</v>
      </c>
      <c r="C7817" s="4" t="str">
        <f>CHOOSE(2, "5461730030", "Jun 26")</f>
        <v>Jun 26</v>
      </c>
      <c r="D7817" s="14">
        <v>7.3868882733148664E-2</v>
      </c>
    </row>
    <row r="7818" spans="1:4" x14ac:dyDescent="0.35">
      <c r="A7818" s="5" t="str">
        <f t="shared" si="4020"/>
        <v>Agency</v>
      </c>
      <c r="B7818" s="6" t="str">
        <f t="shared" si="4036"/>
        <v>% of 1-Month Active Agents</v>
      </c>
      <c r="C7818" s="4" t="str">
        <f>CHOOSE(2, "5462030031", "Jul 26")</f>
        <v>Jul 26</v>
      </c>
      <c r="D7818" s="14">
        <v>6.3716814159292035E-2</v>
      </c>
    </row>
    <row r="7819" spans="1:4" x14ac:dyDescent="0.35">
      <c r="A7819" s="5" t="str">
        <f t="shared" si="4020"/>
        <v>Agency</v>
      </c>
      <c r="B7819" s="3" t="str">
        <f t="shared" ref="B7819:B7820" si="4037">CHOOSE(2, "1395000000595", "% of 3-Month Active Agents")</f>
        <v>% of 3-Month Active Agents</v>
      </c>
      <c r="C7819" s="4" t="str">
        <f>CHOOSE(2, "5461730030", "Jun 26")</f>
        <v>Jun 26</v>
      </c>
      <c r="D7819" s="14">
        <v>3.7371535347243849E-2</v>
      </c>
    </row>
    <row r="7820" spans="1:4" x14ac:dyDescent="0.35">
      <c r="A7820" s="5" t="str">
        <f t="shared" si="4020"/>
        <v>Agency</v>
      </c>
      <c r="B7820" s="6" t="str">
        <f t="shared" si="4037"/>
        <v>% of 3-Month Active Agents</v>
      </c>
      <c r="C7820" s="4" t="str">
        <f>CHOOSE(2, "5462030031", "Jul 26")</f>
        <v>Jul 26</v>
      </c>
      <c r="D7820" s="14">
        <v>4.1564039408866993E-2</v>
      </c>
    </row>
    <row r="7821" spans="1:4" x14ac:dyDescent="0.35">
      <c r="A7821" s="5" t="str">
        <f t="shared" si="4020"/>
        <v>Agency</v>
      </c>
      <c r="B7821" s="3" t="str">
        <f t="shared" ref="B7821:B7822" si="4038">CHOOSE(2, "1395000000594", "Active agents per active leader")</f>
        <v>Active agents per active leader</v>
      </c>
      <c r="C7821" s="4" t="str">
        <f>CHOOSE(2, "5461730030", "Jun 26")</f>
        <v>Jun 26</v>
      </c>
      <c r="D7821" s="14">
        <v>3.8095238095238093</v>
      </c>
    </row>
    <row r="7822" spans="1:4" x14ac:dyDescent="0.35">
      <c r="A7822" s="5" t="str">
        <f t="shared" si="4020"/>
        <v>Agency</v>
      </c>
      <c r="B7822" s="6" t="str">
        <f t="shared" si="4038"/>
        <v>Active agents per active leader</v>
      </c>
      <c r="C7822" s="4" t="str">
        <f>CHOOSE(2, "5462030031", "Jul 26")</f>
        <v>Jul 26</v>
      </c>
      <c r="D7822" s="14">
        <v>2.7692307692307692</v>
      </c>
    </row>
    <row r="7823" spans="1:4" x14ac:dyDescent="0.35">
      <c r="A7823" s="5" t="str">
        <f t="shared" si="4020"/>
        <v>Agency</v>
      </c>
      <c r="B7823" s="3" t="str">
        <f t="shared" ref="B7823:B7824" si="4039">CHOOSE(2, "1395000000593", "Avg. Case count per 1-Month Active Agent")</f>
        <v>Avg. Case count per 1-Month Active Agent</v>
      </c>
      <c r="C7823" s="4" t="str">
        <f>CHOOSE(2, "5461730030", "Jun 26")</f>
        <v>Jun 26</v>
      </c>
      <c r="D7823" s="14">
        <v>1.2749999999999999</v>
      </c>
    </row>
    <row r="7824" spans="1:4" x14ac:dyDescent="0.35">
      <c r="A7824" s="5" t="str">
        <f t="shared" si="4020"/>
        <v>Agency</v>
      </c>
      <c r="B7824" s="6" t="str">
        <f t="shared" si="4039"/>
        <v>Avg. Case count per 1-Month Active Agent</v>
      </c>
      <c r="C7824" s="4" t="str">
        <f>CHOOSE(2, "5462030031", "Jul 26")</f>
        <v>Jul 26</v>
      </c>
      <c r="D7824" s="14">
        <v>1.8888888888888888</v>
      </c>
    </row>
    <row r="7825" spans="1:4" x14ac:dyDescent="0.35">
      <c r="A7825" s="5" t="str">
        <f t="shared" si="4020"/>
        <v>Agency</v>
      </c>
      <c r="B7825" s="3" t="str">
        <f t="shared" ref="B7825:B7826" si="4040">CHOOSE(2, "1395000000592", "Avg. Case size")</f>
        <v>Avg. Case size</v>
      </c>
      <c r="C7825" s="4" t="str">
        <f>CHOOSE(2, "5461730030", "Jun 26")</f>
        <v>Jun 26</v>
      </c>
      <c r="D7825" s="14">
        <v>1312.8201960784313</v>
      </c>
    </row>
    <row r="7826" spans="1:4" x14ac:dyDescent="0.35">
      <c r="A7826" s="5" t="str">
        <f t="shared" si="4020"/>
        <v>Agency</v>
      </c>
      <c r="B7826" s="6" t="str">
        <f t="shared" si="4040"/>
        <v>Avg. Case size</v>
      </c>
      <c r="C7826" s="4" t="str">
        <f>CHOOSE(2, "5462030031", "Jul 26")</f>
        <v>Jul 26</v>
      </c>
      <c r="D7826" s="14">
        <v>1069.5308823529413</v>
      </c>
    </row>
    <row r="7827" spans="1:4" x14ac:dyDescent="0.35">
      <c r="A7827" s="5" t="str">
        <f t="shared" si="4020"/>
        <v>Agency</v>
      </c>
      <c r="B7827" s="3" t="str">
        <f t="shared" ref="B7827:B7828" si="4041">CHOOSE(2, "1395000000591", "APE per 1-Month Active Agent")</f>
        <v>APE per 1-Month Active Agent</v>
      </c>
      <c r="C7827" s="4" t="str">
        <f>CHOOSE(2, "5461730030", "Jun 26")</f>
        <v>Jun 26</v>
      </c>
      <c r="D7827" s="14">
        <v>1673.84575</v>
      </c>
    </row>
    <row r="7828" spans="1:4" x14ac:dyDescent="0.35">
      <c r="A7828" s="5" t="str">
        <f t="shared" si="4020"/>
        <v>Agency</v>
      </c>
      <c r="B7828" s="6" t="str">
        <f t="shared" si="4041"/>
        <v>APE per 1-Month Active Agent</v>
      </c>
      <c r="C7828" s="4" t="str">
        <f>CHOOSE(2, "5462030031", "Jul 26")</f>
        <v>Jul 26</v>
      </c>
      <c r="D7828" s="14">
        <v>2020.2250000000001</v>
      </c>
    </row>
    <row r="7829" spans="1:4" x14ac:dyDescent="0.35">
      <c r="A7829" s="5" t="str">
        <f t="shared" si="4020"/>
        <v>Agency</v>
      </c>
      <c r="B7829" s="3" t="str">
        <f t="shared" ref="B7829:B7830" si="4042">CHOOSE(2, "1395000000590", "% Conversion of Proposals to cases")</f>
        <v>% Conversion of Proposals to cases</v>
      </c>
      <c r="C7829" s="4" t="str">
        <f>CHOOSE(2, "5461730030", "Jun 26")</f>
        <v>Jun 26</v>
      </c>
      <c r="D7829" s="14">
        <v>0</v>
      </c>
    </row>
    <row r="7830" spans="1:4" x14ac:dyDescent="0.35">
      <c r="A7830" s="5" t="str">
        <f t="shared" si="4020"/>
        <v>Agency</v>
      </c>
      <c r="B7830" s="6" t="str">
        <f t="shared" si="4042"/>
        <v>% Conversion of Proposals to cases</v>
      </c>
      <c r="C7830" s="4" t="str">
        <f>CHOOSE(2, "5462030031", "Jul 26")</f>
        <v>Jul 26</v>
      </c>
      <c r="D7830" s="14">
        <v>0</v>
      </c>
    </row>
    <row r="7831" spans="1:4" x14ac:dyDescent="0.35">
      <c r="A7831" s="5" t="str">
        <f t="shared" si="4020"/>
        <v>Agency</v>
      </c>
      <c r="B7831" s="3" t="str">
        <f t="shared" ref="B7831:B7832" si="4043">CHOOSE(2, "1395000000588", "% APE from Agents in X tenure")</f>
        <v>% APE from Agents in X tenure</v>
      </c>
      <c r="C7831" s="4" t="str">
        <f>CHOOSE(2, "5461730030", "Jun 26")</f>
        <v>Jun 26</v>
      </c>
      <c r="D7831" s="14">
        <v>1</v>
      </c>
    </row>
    <row r="7832" spans="1:4" x14ac:dyDescent="0.35">
      <c r="A7832" s="5" t="str">
        <f t="shared" si="4020"/>
        <v>Agency</v>
      </c>
      <c r="B7832" s="6" t="str">
        <f t="shared" si="4043"/>
        <v>% APE from Agents in X tenure</v>
      </c>
      <c r="C7832" s="4" t="str">
        <f>CHOOSE(2, "5462030031", "Jul 26")</f>
        <v>Jul 26</v>
      </c>
      <c r="D7832" s="14">
        <v>1</v>
      </c>
    </row>
    <row r="7833" spans="1:4" x14ac:dyDescent="0.35">
      <c r="A7833" s="5" t="str">
        <f t="shared" si="4020"/>
        <v>Agency</v>
      </c>
      <c r="B7833" s="3" t="str">
        <f t="shared" ref="B7833:B7834" si="4044">CHOOSE(2, "1395000000587", "% APE from Agents in X tenure in 0-1M")</f>
        <v>% APE from Agents in X tenure in 0-1M</v>
      </c>
      <c r="C7833" s="4" t="str">
        <f>CHOOSE(2, "5461730030", "Jun 26")</f>
        <v>Jun 26</v>
      </c>
      <c r="D7833" s="14">
        <v>0.1</v>
      </c>
    </row>
    <row r="7834" spans="1:4" x14ac:dyDescent="0.35">
      <c r="A7834" s="5" t="str">
        <f t="shared" si="4020"/>
        <v>Agency</v>
      </c>
      <c r="B7834" s="6" t="str">
        <f t="shared" si="4044"/>
        <v>% APE from Agents in X tenure in 0-1M</v>
      </c>
      <c r="C7834" s="4" t="str">
        <f>CHOOSE(2, "5462030031", "Jul 26")</f>
        <v>Jul 26</v>
      </c>
      <c r="D7834" s="14">
        <v>0.1</v>
      </c>
    </row>
    <row r="7835" spans="1:4" x14ac:dyDescent="0.35">
      <c r="A7835" s="5" t="str">
        <f t="shared" si="4020"/>
        <v>Agency</v>
      </c>
      <c r="B7835" s="3" t="str">
        <f t="shared" ref="B7835:B7836" si="4045">CHOOSE(2, "1395000000586", "% APE from Agents in X tenure in 2-3M")</f>
        <v>% APE from Agents in X tenure in 2-3M</v>
      </c>
      <c r="C7835" s="4" t="str">
        <f>CHOOSE(2, "5461730030", "Jun 26")</f>
        <v>Jun 26</v>
      </c>
      <c r="D7835" s="14">
        <v>0.2</v>
      </c>
    </row>
    <row r="7836" spans="1:4" x14ac:dyDescent="0.35">
      <c r="A7836" s="5" t="str">
        <f t="shared" si="4020"/>
        <v>Agency</v>
      </c>
      <c r="B7836" s="6" t="str">
        <f t="shared" si="4045"/>
        <v>% APE from Agents in X tenure in 2-3M</v>
      </c>
      <c r="C7836" s="4" t="str">
        <f>CHOOSE(2, "5462030031", "Jul 26")</f>
        <v>Jul 26</v>
      </c>
      <c r="D7836" s="14">
        <v>0.2</v>
      </c>
    </row>
    <row r="7837" spans="1:4" x14ac:dyDescent="0.35">
      <c r="A7837" s="5" t="str">
        <f t="shared" si="4020"/>
        <v>Agency</v>
      </c>
      <c r="B7837" s="3" t="str">
        <f t="shared" ref="B7837:B7838" si="4046">CHOOSE(2, "1395000000585", "% APE from Agents in X tenure in 4-12M")</f>
        <v>% APE from Agents in X tenure in 4-12M</v>
      </c>
      <c r="C7837" s="4" t="str">
        <f>CHOOSE(2, "5461730030", "Jun 26")</f>
        <v>Jun 26</v>
      </c>
      <c r="D7837" s="14">
        <v>0.3</v>
      </c>
    </row>
    <row r="7838" spans="1:4" x14ac:dyDescent="0.35">
      <c r="A7838" s="5" t="str">
        <f t="shared" si="4020"/>
        <v>Agency</v>
      </c>
      <c r="B7838" s="6" t="str">
        <f t="shared" si="4046"/>
        <v>% APE from Agents in X tenure in 4-12M</v>
      </c>
      <c r="C7838" s="4" t="str">
        <f>CHOOSE(2, "5462030031", "Jul 26")</f>
        <v>Jul 26</v>
      </c>
      <c r="D7838" s="14">
        <v>0.3</v>
      </c>
    </row>
    <row r="7839" spans="1:4" x14ac:dyDescent="0.35">
      <c r="A7839" s="5" t="str">
        <f t="shared" si="4020"/>
        <v>Agency</v>
      </c>
      <c r="B7839" s="3" t="str">
        <f t="shared" ref="B7839:B7840" si="4047">CHOOSE(2, "1395000000584", "% APE from Agents in X tenure 13+M")</f>
        <v>% APE from Agents in X tenure 13+M</v>
      </c>
      <c r="C7839" s="4" t="str">
        <f>CHOOSE(2, "5461730030", "Jun 26")</f>
        <v>Jun 26</v>
      </c>
      <c r="D7839" s="14">
        <v>0.4</v>
      </c>
    </row>
    <row r="7840" spans="1:4" x14ac:dyDescent="0.35">
      <c r="A7840" s="5" t="str">
        <f t="shared" si="4020"/>
        <v>Agency</v>
      </c>
      <c r="B7840" s="6" t="str">
        <f t="shared" si="4047"/>
        <v>% APE from Agents in X tenure 13+M</v>
      </c>
      <c r="C7840" s="4" t="str">
        <f>CHOOSE(2, "5462030031", "Jul 26")</f>
        <v>Jul 26</v>
      </c>
      <c r="D7840" s="14">
        <v>0.4</v>
      </c>
    </row>
    <row r="7841" spans="1:4" x14ac:dyDescent="0.35">
      <c r="A7841" s="5" t="str">
        <f t="shared" si="4020"/>
        <v>Agency</v>
      </c>
      <c r="B7841" s="3" t="str">
        <f t="shared" ref="B7841:B7842" si="4048">CHOOSE(2, "1395000000583", "% APE from pro-rated MDRT agents (100%)")</f>
        <v>% APE from pro-rated MDRT agents (100%)</v>
      </c>
      <c r="C7841" s="4" t="str">
        <f>CHOOSE(2, "5461730030", "Jun 26")</f>
        <v>Jun 26</v>
      </c>
      <c r="D7841" s="14">
        <v>0</v>
      </c>
    </row>
    <row r="7842" spans="1:4" x14ac:dyDescent="0.35">
      <c r="A7842" s="5" t="str">
        <f t="shared" si="4020"/>
        <v>Agency</v>
      </c>
      <c r="B7842" s="6" t="str">
        <f t="shared" si="4048"/>
        <v>% APE from pro-rated MDRT agents (100%)</v>
      </c>
      <c r="C7842" s="4" t="str">
        <f>CHOOSE(2, "5462030031", "Jul 26")</f>
        <v>Jul 26</v>
      </c>
      <c r="D7842" s="14">
        <v>0.10520692827119091</v>
      </c>
    </row>
    <row r="7843" spans="1:4" x14ac:dyDescent="0.35">
      <c r="A7843" s="5" t="str">
        <f t="shared" si="4020"/>
        <v>Agency</v>
      </c>
      <c r="B7843" s="3" t="str">
        <f t="shared" ref="B7843:B7844" si="4049">CHOOSE(2, "1395000000582", "% APE from pro-rated MDRT agents (70-99%)")</f>
        <v>% APE from pro-rated MDRT agents (70-99%)</v>
      </c>
      <c r="C7843" s="4" t="str">
        <f>CHOOSE(2, "5461730030", "Jun 26")</f>
        <v>Jun 26</v>
      </c>
      <c r="D7843" s="14">
        <v>0.12058309435024105</v>
      </c>
    </row>
    <row r="7844" spans="1:4" x14ac:dyDescent="0.35">
      <c r="A7844" s="5" t="str">
        <f t="shared" si="4020"/>
        <v>Agency</v>
      </c>
      <c r="B7844" s="6" t="str">
        <f t="shared" si="4049"/>
        <v>% APE from pro-rated MDRT agents (70-99%)</v>
      </c>
      <c r="C7844" s="4" t="str">
        <f>CHOOSE(2, "5462030031", "Jul 26")</f>
        <v>Jul 26</v>
      </c>
      <c r="D7844" s="14">
        <v>3.827268964815525E-2</v>
      </c>
    </row>
    <row r="7845" spans="1:4" x14ac:dyDescent="0.35">
      <c r="A7845" s="5" t="str">
        <f t="shared" si="4020"/>
        <v>Agency</v>
      </c>
      <c r="B7845" s="3" t="str">
        <f t="shared" ref="B7845:B7846" si="4050">CHOOSE(2, "1395000000581", "% APE from pro-rated MDRT agents (50-69%)")</f>
        <v>% APE from pro-rated MDRT agents (50-69%)</v>
      </c>
      <c r="C7845" s="4" t="str">
        <f>CHOOSE(2, "5461730030", "Jun 26")</f>
        <v>Jun 26</v>
      </c>
      <c r="D7845" s="14">
        <v>4.2596517630134077E-2</v>
      </c>
    </row>
    <row r="7846" spans="1:4" x14ac:dyDescent="0.35">
      <c r="A7846" s="5" t="str">
        <f t="shared" si="4020"/>
        <v>Agency</v>
      </c>
      <c r="B7846" s="6" t="str">
        <f t="shared" si="4050"/>
        <v>% APE from pro-rated MDRT agents (50-69%)</v>
      </c>
      <c r="C7846" s="4" t="str">
        <f>CHOOSE(2, "5462030031", "Jul 26")</f>
        <v>Jul 26</v>
      </c>
      <c r="D7846" s="14">
        <v>1.1350495888109272E-2</v>
      </c>
    </row>
    <row r="7847" spans="1:4" x14ac:dyDescent="0.35">
      <c r="A7847" s="5" t="str">
        <f t="shared" si="4020"/>
        <v>Agency</v>
      </c>
      <c r="B7847" s="3" t="str">
        <f t="shared" ref="B7847:B7848" si="4051">CHOOSE(2, "1395000000580", "% APE from Top-tier agents")</f>
        <v>% APE from Top-tier agents</v>
      </c>
      <c r="C7847" s="4" t="str">
        <f>CHOOSE(2, "5461730030", "Jun 26")</f>
        <v>Jun 26</v>
      </c>
      <c r="D7847" s="14">
        <v>0.16317961198037512</v>
      </c>
    </row>
    <row r="7848" spans="1:4" x14ac:dyDescent="0.35">
      <c r="A7848" s="5" t="str">
        <f t="shared" si="4020"/>
        <v>Agency</v>
      </c>
      <c r="B7848" s="6" t="str">
        <f t="shared" si="4051"/>
        <v>% APE from Top-tier agents</v>
      </c>
      <c r="C7848" s="4" t="str">
        <f>CHOOSE(2, "5462030031", "Jul 26")</f>
        <v>Jul 26</v>
      </c>
      <c r="D7848" s="14">
        <v>0.15483011380745543</v>
      </c>
    </row>
    <row r="7849" spans="1:4" x14ac:dyDescent="0.35">
      <c r="A7849" s="5" t="str">
        <f t="shared" si="4020"/>
        <v>Agency</v>
      </c>
      <c r="B7849" s="3" t="str">
        <f t="shared" ref="B7849:B7850" si="4052">CHOOSE(2, "1395000000579", "% of Active Recruiting Leaders")</f>
        <v>% of Active Recruiting Leaders</v>
      </c>
      <c r="C7849" s="4" t="str">
        <f>CHOOSE(2, "5461730030", "Jun 26")</f>
        <v>Jun 26</v>
      </c>
      <c r="D7849" s="14">
        <v>0.15441176470588236</v>
      </c>
    </row>
    <row r="7850" spans="1:4" x14ac:dyDescent="0.35">
      <c r="A7850" s="5" t="str">
        <f t="shared" si="4020"/>
        <v>Agency</v>
      </c>
      <c r="B7850" s="6" t="str">
        <f t="shared" si="4052"/>
        <v>% of Active Recruiting Leaders</v>
      </c>
      <c r="C7850" s="4" t="str">
        <f>CHOOSE(2, "5462030031", "Jul 26")</f>
        <v>Jul 26</v>
      </c>
      <c r="D7850" s="14">
        <v>0.16883116883116883</v>
      </c>
    </row>
    <row r="7851" spans="1:4" x14ac:dyDescent="0.35">
      <c r="A7851" s="5" t="str">
        <f t="shared" ref="A7851:A7914" si="4053">CHOOSE(2, "1260000000012", "Agency")</f>
        <v>Agency</v>
      </c>
      <c r="B7851" s="3" t="str">
        <f t="shared" ref="B7851:B7852" si="4054">CHOOSE(2, "1395000000578", "% of leaders with &gt;1 YTD recruit")</f>
        <v>% of leaders with &gt;1 YTD recruit</v>
      </c>
      <c r="C7851" s="4" t="str">
        <f>CHOOSE(2, "5461730030", "Jun 26")</f>
        <v>Jun 26</v>
      </c>
      <c r="D7851" s="14">
        <v>0.44117647058823528</v>
      </c>
    </row>
    <row r="7852" spans="1:4" x14ac:dyDescent="0.35">
      <c r="A7852" s="5" t="str">
        <f t="shared" si="4053"/>
        <v>Agency</v>
      </c>
      <c r="B7852" s="6" t="str">
        <f t="shared" si="4054"/>
        <v>% of leaders with &gt;1 YTD recruit</v>
      </c>
      <c r="C7852" s="4" t="str">
        <f>CHOOSE(2, "5462030031", "Jul 26")</f>
        <v>Jul 26</v>
      </c>
      <c r="D7852" s="14">
        <v>0.48051948051948051</v>
      </c>
    </row>
    <row r="7853" spans="1:4" x14ac:dyDescent="0.35">
      <c r="A7853" s="5" t="str">
        <f t="shared" si="4053"/>
        <v>Agency</v>
      </c>
      <c r="B7853" s="3" t="str">
        <f t="shared" ref="B7853:B7854" si="4055">CHOOSE(2, "1395000000577", "% of 1-Month Active Top-tier agents")</f>
        <v>% of 1-Month Active Top-tier agents</v>
      </c>
      <c r="C7853" s="4" t="str">
        <f>CHOOSE(2, "5461730030", "Jun 26")</f>
        <v>Jun 26</v>
      </c>
      <c r="D7853" s="14">
        <v>1</v>
      </c>
    </row>
    <row r="7854" spans="1:4" x14ac:dyDescent="0.35">
      <c r="A7854" s="5" t="str">
        <f t="shared" si="4053"/>
        <v>Agency</v>
      </c>
      <c r="B7854" s="6" t="str">
        <f t="shared" si="4055"/>
        <v>% of 1-Month Active Top-tier agents</v>
      </c>
      <c r="C7854" s="4" t="str">
        <f>CHOOSE(2, "5462030031", "Jul 26")</f>
        <v>Jul 26</v>
      </c>
      <c r="D7854" s="14">
        <v>1</v>
      </c>
    </row>
    <row r="7855" spans="1:4" x14ac:dyDescent="0.35">
      <c r="A7855" s="5" t="str">
        <f t="shared" si="4053"/>
        <v>Agency</v>
      </c>
      <c r="B7855" s="3" t="str">
        <f t="shared" ref="B7855:B7856" si="4056">CHOOSE(2, "1395000000576", "% APE from Manulife Pro - Total")</f>
        <v>% APE from Manulife Pro - Total</v>
      </c>
      <c r="C7855" s="4" t="str">
        <f>CHOOSE(2, "5461730030", "Jun 26")</f>
        <v>Jun 26</v>
      </c>
      <c r="D7855" s="14">
        <v>0</v>
      </c>
    </row>
    <row r="7856" spans="1:4" x14ac:dyDescent="0.35">
      <c r="A7856" s="5" t="str">
        <f t="shared" si="4053"/>
        <v>Agency</v>
      </c>
      <c r="B7856" s="6" t="str">
        <f t="shared" si="4056"/>
        <v>% APE from Manulife Pro - Total</v>
      </c>
      <c r="C7856" s="4" t="str">
        <f>CHOOSE(2, "5462030031", "Jul 26")</f>
        <v>Jul 26</v>
      </c>
      <c r="D7856" s="14">
        <v>0</v>
      </c>
    </row>
    <row r="7857" spans="1:4" x14ac:dyDescent="0.35">
      <c r="A7857" s="5" t="str">
        <f t="shared" si="4053"/>
        <v>Agency</v>
      </c>
      <c r="B7857" s="3" t="str">
        <f t="shared" ref="B7857:B7858" si="4057">CHOOSE(2, "1395000000575", "% of 1-Month Active Agents Manulife Pro Qualifiers - Total")</f>
        <v>% of 1-Month Active Agents Manulife Pro Qualifiers - Total</v>
      </c>
      <c r="C7857" s="4" t="str">
        <f>CHOOSE(2, "5461730030", "Jun 26")</f>
        <v>Jun 26</v>
      </c>
      <c r="D7857" s="14">
        <v>0</v>
      </c>
    </row>
    <row r="7858" spans="1:4" x14ac:dyDescent="0.35">
      <c r="A7858" s="5" t="str">
        <f t="shared" si="4053"/>
        <v>Agency</v>
      </c>
      <c r="B7858" s="6" t="str">
        <f t="shared" si="4057"/>
        <v>% of 1-Month Active Agents Manulife Pro Qualifiers - Total</v>
      </c>
      <c r="C7858" s="4" t="str">
        <f>CHOOSE(2, "5462030031", "Jul 26")</f>
        <v>Jul 26</v>
      </c>
      <c r="D7858" s="14">
        <v>0</v>
      </c>
    </row>
    <row r="7859" spans="1:4" x14ac:dyDescent="0.35">
      <c r="A7859" s="5" t="str">
        <f t="shared" si="4053"/>
        <v>Agency</v>
      </c>
      <c r="B7859" s="3" t="str">
        <f t="shared" ref="B7859:B7860" si="4058">CHOOSE(2, "1395000000574", "% of Newly Demoted UM")</f>
        <v>% of Newly Demoted UM</v>
      </c>
      <c r="C7859" s="4" t="str">
        <f>CHOOSE(2, "5461730030", "Jun 26")</f>
        <v>Jun 26</v>
      </c>
      <c r="D7859" s="14">
        <v>1.9607843137254902E-2</v>
      </c>
    </row>
    <row r="7860" spans="1:4" x14ac:dyDescent="0.35">
      <c r="A7860" s="5" t="str">
        <f t="shared" si="4053"/>
        <v>Agency</v>
      </c>
      <c r="B7860" s="6" t="str">
        <f t="shared" si="4058"/>
        <v>% of Newly Demoted UM</v>
      </c>
      <c r="C7860" s="4" t="str">
        <f>CHOOSE(2, "5462030031", "Jul 26")</f>
        <v>Jul 26</v>
      </c>
      <c r="D7860" s="14">
        <v>0</v>
      </c>
    </row>
    <row r="7861" spans="1:4" x14ac:dyDescent="0.35">
      <c r="A7861" s="5" t="str">
        <f t="shared" si="4053"/>
        <v>Agency</v>
      </c>
      <c r="B7861" s="3" t="str">
        <f t="shared" ref="B7861:B7862" si="4059">CHOOSE(2, "1395000000573", "% of Newly Demoted Leaders above UM")</f>
        <v>% of Newly Demoted Leaders above UM</v>
      </c>
      <c r="C7861" s="4" t="str">
        <f>CHOOSE(2, "5461730030", "Jun 26")</f>
        <v>Jun 26</v>
      </c>
      <c r="D7861" s="14">
        <v>0</v>
      </c>
    </row>
    <row r="7862" spans="1:4" x14ac:dyDescent="0.35">
      <c r="A7862" s="5" t="str">
        <f t="shared" si="4053"/>
        <v>Agency</v>
      </c>
      <c r="B7862" s="6" t="str">
        <f t="shared" si="4059"/>
        <v>% of Newly Demoted Leaders above UM</v>
      </c>
      <c r="C7862" s="4" t="str">
        <f>CHOOSE(2, "5462030031", "Jul 26")</f>
        <v>Jul 26</v>
      </c>
      <c r="D7862" s="14">
        <v>2.7027027027027029E-2</v>
      </c>
    </row>
    <row r="7863" spans="1:4" x14ac:dyDescent="0.35">
      <c r="A7863" s="5" t="str">
        <f t="shared" si="4053"/>
        <v>Agency</v>
      </c>
      <c r="B7863" s="3" t="str">
        <f t="shared" ref="B7863:B7864" si="4060">CHOOSE(2, "1395000000572", "Avg. Earning per agent")</f>
        <v>Avg. Earning per agent</v>
      </c>
      <c r="C7863" s="4" t="str">
        <f>CHOOSE(2, "5461730030", "Jun 26")</f>
        <v>Jun 26</v>
      </c>
      <c r="D7863" s="14">
        <v>142.44867959372115</v>
      </c>
    </row>
    <row r="7864" spans="1:4" x14ac:dyDescent="0.35">
      <c r="A7864" s="5" t="str">
        <f t="shared" si="4053"/>
        <v>Agency</v>
      </c>
      <c r="B7864" s="6" t="str">
        <f t="shared" si="4060"/>
        <v>Avg. Earning per agent</v>
      </c>
      <c r="C7864" s="4" t="str">
        <f>CHOOSE(2, "5462030031", "Jul 26")</f>
        <v>Jul 26</v>
      </c>
      <c r="D7864" s="14">
        <v>122.02774336283187</v>
      </c>
    </row>
    <row r="7865" spans="1:4" x14ac:dyDescent="0.35">
      <c r="A7865" s="5" t="str">
        <f t="shared" si="4053"/>
        <v>Agency</v>
      </c>
      <c r="B7865" s="3" t="str">
        <f t="shared" ref="B7865:B7866" si="4061">CHOOSE(2, "1395000000571", "Avg. Earning per agent in FA or equivalent")</f>
        <v>Avg. Earning per agent in FA or equivalent</v>
      </c>
      <c r="C7865" s="4" t="str">
        <f>CHOOSE(2, "5461730030", "Jun 26")</f>
        <v>Jun 26</v>
      </c>
      <c r="D7865" s="14">
        <v>53.342734204793025</v>
      </c>
    </row>
    <row r="7866" spans="1:4" x14ac:dyDescent="0.35">
      <c r="A7866" s="5" t="str">
        <f t="shared" si="4053"/>
        <v>Agency</v>
      </c>
      <c r="B7866" s="6" t="str">
        <f t="shared" si="4061"/>
        <v>Avg. Earning per agent in FA or equivalent</v>
      </c>
      <c r="C7866" s="4" t="str">
        <f>CHOOSE(2, "5462030031", "Jul 26")</f>
        <v>Jul 26</v>
      </c>
      <c r="D7866" s="14">
        <v>52.425811240721103</v>
      </c>
    </row>
    <row r="7867" spans="1:4" x14ac:dyDescent="0.35">
      <c r="A7867" s="5" t="str">
        <f t="shared" si="4053"/>
        <v>Agency</v>
      </c>
      <c r="B7867" s="3" t="str">
        <f t="shared" ref="B7867:B7868" si="4062">CHOOSE(2, "1395000000570", "Avg. Earning per agent in UM")</f>
        <v>Avg. Earning per agent in UM</v>
      </c>
      <c r="C7867" s="4" t="str">
        <f>CHOOSE(2, "5461730030", "Jun 26")</f>
        <v>Jun 26</v>
      </c>
      <c r="D7867" s="14">
        <v>404.2322549019608</v>
      </c>
    </row>
    <row r="7868" spans="1:4" x14ac:dyDescent="0.35">
      <c r="A7868" s="5" t="str">
        <f t="shared" si="4053"/>
        <v>Agency</v>
      </c>
      <c r="B7868" s="6" t="str">
        <f t="shared" si="4062"/>
        <v>Avg. Earning per agent in UM</v>
      </c>
      <c r="C7868" s="4" t="str">
        <f>CHOOSE(2, "5462030031", "Jul 26")</f>
        <v>Jul 26</v>
      </c>
      <c r="D7868" s="14">
        <v>359.17538461538459</v>
      </c>
    </row>
    <row r="7869" spans="1:4" x14ac:dyDescent="0.35">
      <c r="A7869" s="5" t="str">
        <f t="shared" si="4053"/>
        <v>Agency</v>
      </c>
      <c r="B7869" s="3" t="str">
        <f t="shared" ref="B7869:B7870" si="4063">CHOOSE(2, "1395000000569", "Avg. Earning per agent in Leaders above UM")</f>
        <v>Avg. Earning per agent in Leaders above UM</v>
      </c>
      <c r="C7869" s="4" t="str">
        <f>CHOOSE(2, "5461730030", "Jun 26")</f>
        <v>Jun 26</v>
      </c>
      <c r="D7869" s="14">
        <v>1884.4588235294118</v>
      </c>
    </row>
    <row r="7870" spans="1:4" x14ac:dyDescent="0.35">
      <c r="A7870" s="5" t="str">
        <f t="shared" si="4053"/>
        <v>Agency</v>
      </c>
      <c r="B7870" s="6" t="str">
        <f t="shared" si="4063"/>
        <v>Avg. Earning per agent in Leaders above UM</v>
      </c>
      <c r="C7870" s="4" t="str">
        <f>CHOOSE(2, "5462030031", "Jul 26")</f>
        <v>Jul 26</v>
      </c>
      <c r="D7870" s="14">
        <v>1254.8727027027028</v>
      </c>
    </row>
    <row r="7871" spans="1:4" x14ac:dyDescent="0.35">
      <c r="A7871" s="5" t="str">
        <f t="shared" si="4053"/>
        <v>Agency</v>
      </c>
      <c r="B7871" s="3" t="str">
        <f t="shared" ref="B7871:B7872" si="4064">CHOOSE(2, "1395000000568", "% of 1-Month Active Agents 0-1M")</f>
        <v>% of 1-Month Active Agents 0-1M</v>
      </c>
      <c r="C7871" s="4" t="str">
        <f>CHOOSE(2, "5461730030", "Jun 26")</f>
        <v>Jun 26</v>
      </c>
      <c r="D7871" s="14">
        <v>6.9767441860465115E-2</v>
      </c>
    </row>
    <row r="7872" spans="1:4" x14ac:dyDescent="0.35">
      <c r="A7872" s="5" t="str">
        <f t="shared" si="4053"/>
        <v>Agency</v>
      </c>
      <c r="B7872" s="6" t="str">
        <f t="shared" si="4064"/>
        <v>% of 1-Month Active Agents 0-1M</v>
      </c>
      <c r="C7872" s="4" t="str">
        <f>CHOOSE(2, "5462030031", "Jul 26")</f>
        <v>Jul 26</v>
      </c>
      <c r="D7872" s="14">
        <v>0.14893617021276595</v>
      </c>
    </row>
    <row r="7873" spans="1:4" x14ac:dyDescent="0.35">
      <c r="A7873" s="5" t="str">
        <f t="shared" si="4053"/>
        <v>Agency</v>
      </c>
      <c r="B7873" s="3" t="str">
        <f t="shared" ref="B7873:B7874" si="4065">CHOOSE(2, "1395000000567", "% of 1-Month Active Agents in 2-3M")</f>
        <v>% of 1-Month Active Agents in 2-3M</v>
      </c>
      <c r="C7873" s="4" t="str">
        <f>CHOOSE(2, "5461730030", "Jun 26")</f>
        <v>Jun 26</v>
      </c>
      <c r="D7873" s="14">
        <v>6.25E-2</v>
      </c>
    </row>
    <row r="7874" spans="1:4" x14ac:dyDescent="0.35">
      <c r="A7874" s="5" t="str">
        <f t="shared" si="4053"/>
        <v>Agency</v>
      </c>
      <c r="B7874" s="6" t="str">
        <f t="shared" si="4065"/>
        <v>% of 1-Month Active Agents in 2-3M</v>
      </c>
      <c r="C7874" s="4" t="str">
        <f>CHOOSE(2, "5462030031", "Jul 26")</f>
        <v>Jul 26</v>
      </c>
      <c r="D7874" s="14">
        <v>9.4736842105263161E-2</v>
      </c>
    </row>
    <row r="7875" spans="1:4" x14ac:dyDescent="0.35">
      <c r="A7875" s="5" t="str">
        <f t="shared" si="4053"/>
        <v>Agency</v>
      </c>
      <c r="B7875" s="3" t="str">
        <f t="shared" ref="B7875:B7876" si="4066">CHOOSE(2, "1395000000566", "% of 1-Month Active Agents 4-12M")</f>
        <v>% of 1-Month Active Agents 4-12M</v>
      </c>
      <c r="C7875" s="4" t="str">
        <f>CHOOSE(2, "5461730030", "Jun 26")</f>
        <v>Jun 26</v>
      </c>
      <c r="D7875" s="14">
        <v>5.1569506726457402E-2</v>
      </c>
    </row>
    <row r="7876" spans="1:4" x14ac:dyDescent="0.35">
      <c r="A7876" s="5" t="str">
        <f t="shared" si="4053"/>
        <v>Agency</v>
      </c>
      <c r="B7876" s="6" t="str">
        <f t="shared" si="4066"/>
        <v>% of 1-Month Active Agents 4-12M</v>
      </c>
      <c r="C7876" s="4" t="str">
        <f>CHOOSE(2, "5462030031", "Jul 26")</f>
        <v>Jul 26</v>
      </c>
      <c r="D7876" s="14">
        <v>2.5404157043879907E-2</v>
      </c>
    </row>
    <row r="7877" spans="1:4" x14ac:dyDescent="0.35">
      <c r="A7877" s="5" t="str">
        <f t="shared" si="4053"/>
        <v>Agency</v>
      </c>
      <c r="B7877" s="3" t="str">
        <f t="shared" ref="B7877:B7878" si="4067">CHOOSE(2, "1395000000565", "% of 1-Month Active Agents 13+M")</f>
        <v>% of 1-Month Active Agents 13+M</v>
      </c>
      <c r="C7877" s="4" t="str">
        <f>CHOOSE(2, "5461730030", "Jun 26")</f>
        <v>Jun 26</v>
      </c>
      <c r="D7877" s="14">
        <v>9.5330739299610889E-2</v>
      </c>
    </row>
    <row r="7878" spans="1:4" x14ac:dyDescent="0.35">
      <c r="A7878" s="5" t="str">
        <f t="shared" si="4053"/>
        <v>Agency</v>
      </c>
      <c r="B7878" s="6" t="str">
        <f t="shared" si="4067"/>
        <v>% of 1-Month Active Agents 13+M</v>
      </c>
      <c r="C7878" s="4" t="str">
        <f>CHOOSE(2, "5462030031", "Jul 26")</f>
        <v>Jul 26</v>
      </c>
      <c r="D7878" s="14">
        <v>8.1081081081081086E-2</v>
      </c>
    </row>
    <row r="7879" spans="1:4" x14ac:dyDescent="0.35">
      <c r="A7879" s="5" t="str">
        <f t="shared" si="4053"/>
        <v>Agency</v>
      </c>
      <c r="B7879" s="3" t="str">
        <f t="shared" ref="B7879:B7880" si="4068">CHOOSE(2, "1395000000564", "% of 3-Month Active Agents 0-1M")</f>
        <v>% of 3-Month Active Agents 0-1M</v>
      </c>
      <c r="C7879" s="4" t="str">
        <f>CHOOSE(2, "5461730030", "Jun 26")</f>
        <v>Jun 26</v>
      </c>
      <c r="D7879" s="14">
        <v>6.9767441860465115E-2</v>
      </c>
    </row>
    <row r="7880" spans="1:4" x14ac:dyDescent="0.35">
      <c r="A7880" s="5" t="str">
        <f t="shared" si="4053"/>
        <v>Agency</v>
      </c>
      <c r="B7880" s="6" t="str">
        <f t="shared" si="4068"/>
        <v>% of 3-Month Active Agents 0-1M</v>
      </c>
      <c r="C7880" s="4" t="str">
        <f>CHOOSE(2, "5462030031", "Jul 26")</f>
        <v>Jul 26</v>
      </c>
      <c r="D7880" s="14">
        <v>0.14893617021276595</v>
      </c>
    </row>
    <row r="7881" spans="1:4" x14ac:dyDescent="0.35">
      <c r="A7881" s="5" t="str">
        <f t="shared" si="4053"/>
        <v>Agency</v>
      </c>
      <c r="B7881" s="3" t="str">
        <f t="shared" ref="B7881:B7882" si="4069">CHOOSE(2, "1395000000563", "% of 3-Month Active Agents in 2-3M")</f>
        <v>% of 3-Month Active Agents in 2-3M</v>
      </c>
      <c r="C7881" s="4" t="str">
        <f>CHOOSE(2, "5461730030", "Jun 26")</f>
        <v>Jun 26</v>
      </c>
      <c r="D7881" s="14">
        <v>0.1</v>
      </c>
    </row>
    <row r="7882" spans="1:4" x14ac:dyDescent="0.35">
      <c r="A7882" s="5" t="str">
        <f t="shared" si="4053"/>
        <v>Agency</v>
      </c>
      <c r="B7882" s="6" t="str">
        <f t="shared" si="4069"/>
        <v>% of 3-Month Active Agents in 2-3M</v>
      </c>
      <c r="C7882" s="4" t="str">
        <f>CHOOSE(2, "5462030031", "Jul 26")</f>
        <v>Jul 26</v>
      </c>
      <c r="D7882" s="14">
        <v>0.1368421052631579</v>
      </c>
    </row>
    <row r="7883" spans="1:4" x14ac:dyDescent="0.35">
      <c r="A7883" s="5" t="str">
        <f t="shared" si="4053"/>
        <v>Agency</v>
      </c>
      <c r="B7883" s="3" t="str">
        <f t="shared" ref="B7883:B7884" si="4070">CHOOSE(2, "1395000000562", "% of 3-Month Active Agents 4-12M")</f>
        <v>% of 3-Month Active Agents 4-12M</v>
      </c>
      <c r="C7883" s="4" t="str">
        <f>CHOOSE(2, "5461730030", "Jun 26")</f>
        <v>Jun 26</v>
      </c>
      <c r="D7883" s="14">
        <v>8.744394618834081E-2</v>
      </c>
    </row>
    <row r="7884" spans="1:4" x14ac:dyDescent="0.35">
      <c r="A7884" s="5" t="str">
        <f t="shared" si="4053"/>
        <v>Agency</v>
      </c>
      <c r="B7884" s="6" t="str">
        <f t="shared" si="4070"/>
        <v>% of 3-Month Active Agents 4-12M</v>
      </c>
      <c r="C7884" s="4" t="str">
        <f>CHOOSE(2, "5462030031", "Jul 26")</f>
        <v>Jul 26</v>
      </c>
      <c r="D7884" s="14">
        <v>9.0069284064665134E-2</v>
      </c>
    </row>
    <row r="7885" spans="1:4" x14ac:dyDescent="0.35">
      <c r="A7885" s="5" t="str">
        <f t="shared" si="4053"/>
        <v>Agency</v>
      </c>
      <c r="B7885" s="3" t="str">
        <f t="shared" ref="B7885:B7886" si="4071">CHOOSE(2, "1395000000561", "% of 3-Month Active Agents 13+M")</f>
        <v>% of 3-Month Active Agents 13+M</v>
      </c>
      <c r="C7885" s="4" t="str">
        <f>CHOOSE(2, "5461730030", "Jun 26")</f>
        <v>Jun 26</v>
      </c>
      <c r="D7885" s="14">
        <v>0.13618677042801555</v>
      </c>
    </row>
    <row r="7886" spans="1:4" x14ac:dyDescent="0.35">
      <c r="A7886" s="5" t="str">
        <f t="shared" si="4053"/>
        <v>Agency</v>
      </c>
      <c r="B7886" s="6" t="str">
        <f t="shared" si="4071"/>
        <v>% of 3-Month Active Agents 13+M</v>
      </c>
      <c r="C7886" s="4" t="str">
        <f>CHOOSE(2, "5462030031", "Jul 26")</f>
        <v>Jul 26</v>
      </c>
      <c r="D7886" s="14">
        <v>0.13693693693693693</v>
      </c>
    </row>
    <row r="7887" spans="1:4" x14ac:dyDescent="0.35">
      <c r="A7887" s="5" t="str">
        <f t="shared" si="4053"/>
        <v>Agency</v>
      </c>
      <c r="B7887" s="3" t="str">
        <f t="shared" ref="B7887:B7888" si="4072">CHOOSE(2, "1395000000560", "Avg. Case count per 1-Month Active Agent 0-1M")</f>
        <v>Avg. Case count per 1-Month Active Agent 0-1M</v>
      </c>
      <c r="C7887" s="4" t="str">
        <f>CHOOSE(2, "5461730030", "Jun 26")</f>
        <v>Jun 26</v>
      </c>
      <c r="D7887" s="14">
        <v>1.3333333333333333</v>
      </c>
    </row>
    <row r="7888" spans="1:4" x14ac:dyDescent="0.35">
      <c r="A7888" s="5" t="str">
        <f t="shared" si="4053"/>
        <v>Agency</v>
      </c>
      <c r="B7888" s="6" t="str">
        <f t="shared" si="4072"/>
        <v>Avg. Case count per 1-Month Active Agent 0-1M</v>
      </c>
      <c r="C7888" s="4" t="str">
        <f>CHOOSE(2, "5462030031", "Jul 26")</f>
        <v>Jul 26</v>
      </c>
      <c r="D7888" s="14">
        <v>1.2857142857142858</v>
      </c>
    </row>
    <row r="7889" spans="1:4" x14ac:dyDescent="0.35">
      <c r="A7889" s="5" t="str">
        <f t="shared" si="4053"/>
        <v>Agency</v>
      </c>
      <c r="B7889" s="3" t="str">
        <f t="shared" ref="B7889:B7890" si="4073">CHOOSE(2, "1395000000559", "Avg. Case count per 1-Month Active Agent in 2-3M")</f>
        <v>Avg. Case count per 1-Month Active Agent in 2-3M</v>
      </c>
      <c r="C7889" s="4" t="str">
        <f>CHOOSE(2, "5461730030", "Jun 26")</f>
        <v>Jun 26</v>
      </c>
      <c r="D7889" s="14">
        <v>2.2000000000000002</v>
      </c>
    </row>
    <row r="7890" spans="1:4" x14ac:dyDescent="0.35">
      <c r="A7890" s="5" t="str">
        <f t="shared" si="4053"/>
        <v>Agency</v>
      </c>
      <c r="B7890" s="6" t="str">
        <f t="shared" si="4073"/>
        <v>Avg. Case count per 1-Month Active Agent in 2-3M</v>
      </c>
      <c r="C7890" s="4" t="str">
        <f>CHOOSE(2, "5462030031", "Jul 26")</f>
        <v>Jul 26</v>
      </c>
      <c r="D7890" s="14">
        <v>3.4444444444444446</v>
      </c>
    </row>
    <row r="7891" spans="1:4" x14ac:dyDescent="0.35">
      <c r="A7891" s="5" t="str">
        <f t="shared" si="4053"/>
        <v>Agency</v>
      </c>
      <c r="B7891" s="3" t="str">
        <f t="shared" ref="B7891:B7892" si="4074">CHOOSE(2, "1395000000558", "Avg. Case count per 1-Month Active Agent 4-12M")</f>
        <v>Avg. Case count per 1-Month Active Agent 4-12M</v>
      </c>
      <c r="C7891" s="4" t="str">
        <f>CHOOSE(2, "5461730030", "Jun 26")</f>
        <v>Jun 26</v>
      </c>
      <c r="D7891" s="14">
        <v>1.2173913043478262</v>
      </c>
    </row>
    <row r="7892" spans="1:4" x14ac:dyDescent="0.35">
      <c r="A7892" s="5" t="str">
        <f t="shared" si="4053"/>
        <v>Agency</v>
      </c>
      <c r="B7892" s="6" t="str">
        <f t="shared" si="4074"/>
        <v>Avg. Case count per 1-Month Active Agent 4-12M</v>
      </c>
      <c r="C7892" s="4" t="str">
        <f>CHOOSE(2, "5462030031", "Jul 26")</f>
        <v>Jul 26</v>
      </c>
      <c r="D7892" s="14">
        <v>1.0909090909090908</v>
      </c>
    </row>
    <row r="7893" spans="1:4" x14ac:dyDescent="0.35">
      <c r="A7893" s="5" t="str">
        <f t="shared" si="4053"/>
        <v>Agency</v>
      </c>
      <c r="B7893" s="3" t="str">
        <f t="shared" ref="B7893:B7894" si="4075">CHOOSE(2, "1395000000557", "Avg. Case count per 1-Month Active Agent 13+M")</f>
        <v>Avg. Case count per 1-Month Active Agent 13+M</v>
      </c>
      <c r="C7893" s="4" t="str">
        <f>CHOOSE(2, "5461730030", "Jun 26")</f>
        <v>Jun 26</v>
      </c>
      <c r="D7893" s="14">
        <v>1.2040816326530612</v>
      </c>
    </row>
    <row r="7894" spans="1:4" x14ac:dyDescent="0.35">
      <c r="A7894" s="5" t="str">
        <f t="shared" si="4053"/>
        <v>Agency</v>
      </c>
      <c r="B7894" s="6" t="str">
        <f t="shared" si="4075"/>
        <v>Avg. Case count per 1-Month Active Agent 13+M</v>
      </c>
      <c r="C7894" s="4" t="str">
        <f>CHOOSE(2, "5462030031", "Jul 26")</f>
        <v>Jul 26</v>
      </c>
      <c r="D7894" s="14">
        <v>1.8666666666666667</v>
      </c>
    </row>
    <row r="7895" spans="1:4" x14ac:dyDescent="0.35">
      <c r="A7895" s="5" t="str">
        <f t="shared" si="4053"/>
        <v>Agency</v>
      </c>
      <c r="B7895" s="3" t="str">
        <f t="shared" ref="B7895:B7896" si="4076">CHOOSE(2, "1395000000556", "Avg. Case size 0-1M")</f>
        <v>Avg. Case size 0-1M</v>
      </c>
      <c r="C7895" s="4" t="str">
        <f>CHOOSE(2, "5461730030", "Jun 26")</f>
        <v>Jun 26</v>
      </c>
      <c r="D7895" s="14">
        <v>3347.6915000000004</v>
      </c>
    </row>
    <row r="7896" spans="1:4" x14ac:dyDescent="0.35">
      <c r="A7896" s="5" t="str">
        <f t="shared" si="4053"/>
        <v>Agency</v>
      </c>
      <c r="B7896" s="6" t="str">
        <f t="shared" si="4076"/>
        <v>Avg. Case size 0-1M</v>
      </c>
      <c r="C7896" s="4" t="str">
        <f>CHOOSE(2, "5462030031", "Jul 26")</f>
        <v>Jul 26</v>
      </c>
      <c r="D7896" s="14">
        <v>1616.1800000000003</v>
      </c>
    </row>
    <row r="7897" spans="1:4" x14ac:dyDescent="0.35">
      <c r="A7897" s="5" t="str">
        <f t="shared" si="4053"/>
        <v>Agency</v>
      </c>
      <c r="B7897" s="3" t="str">
        <f t="shared" ref="B7897:B7898" si="4077">CHOOSE(2, "1395000000555", "Avg. Case size in 2-3M")</f>
        <v>Avg. Case size in 2-3M</v>
      </c>
      <c r="C7897" s="4" t="str">
        <f>CHOOSE(2, "5461730030", "Jun 26")</f>
        <v>Jun 26</v>
      </c>
      <c r="D7897" s="14">
        <v>2434.6847272727277</v>
      </c>
    </row>
    <row r="7898" spans="1:4" x14ac:dyDescent="0.35">
      <c r="A7898" s="5" t="str">
        <f t="shared" si="4053"/>
        <v>Agency</v>
      </c>
      <c r="B7898" s="6" t="str">
        <f t="shared" si="4077"/>
        <v>Avg. Case size in 2-3M</v>
      </c>
      <c r="C7898" s="4" t="str">
        <f>CHOOSE(2, "5462030031", "Jul 26")</f>
        <v>Jul 26</v>
      </c>
      <c r="D7898" s="14">
        <v>938.42709677419373</v>
      </c>
    </row>
    <row r="7899" spans="1:4" x14ac:dyDescent="0.35">
      <c r="A7899" s="5" t="str">
        <f t="shared" si="4053"/>
        <v>Agency</v>
      </c>
      <c r="B7899" s="3" t="str">
        <f t="shared" ref="B7899:B7900" si="4078">CHOOSE(2, "1395000000554", "Avg. Case size 4-12M")</f>
        <v>Avg. Case size 4-12M</v>
      </c>
      <c r="C7899" s="4" t="str">
        <f>CHOOSE(2, "5461730030", "Jun 26")</f>
        <v>Jun 26</v>
      </c>
      <c r="D7899" s="14">
        <v>1434.7249285714286</v>
      </c>
    </row>
    <row r="7900" spans="1:4" x14ac:dyDescent="0.35">
      <c r="A7900" s="5" t="str">
        <f t="shared" si="4053"/>
        <v>Agency</v>
      </c>
      <c r="B7900" s="6" t="str">
        <f t="shared" si="4078"/>
        <v>Avg. Case size 4-12M</v>
      </c>
      <c r="C7900" s="4" t="str">
        <f>CHOOSE(2, "5462030031", "Jul 26")</f>
        <v>Jul 26</v>
      </c>
      <c r="D7900" s="14">
        <v>3636.4050000000002</v>
      </c>
    </row>
    <row r="7901" spans="1:4" x14ac:dyDescent="0.35">
      <c r="A7901" s="5" t="str">
        <f t="shared" si="4053"/>
        <v>Agency</v>
      </c>
      <c r="B7901" s="3" t="str">
        <f t="shared" ref="B7901:B7902" si="4079">CHOOSE(2, "1395000000553", "Avg. Case size 13+M")</f>
        <v>Avg. Case size 13+M</v>
      </c>
      <c r="C7901" s="4" t="str">
        <f>CHOOSE(2, "5461730030", "Jun 26")</f>
        <v>Jun 26</v>
      </c>
      <c r="D7901" s="14">
        <v>907.84854237288141</v>
      </c>
    </row>
    <row r="7902" spans="1:4" x14ac:dyDescent="0.35">
      <c r="A7902" s="5" t="str">
        <f t="shared" si="4053"/>
        <v>Agency</v>
      </c>
      <c r="B7902" s="6" t="str">
        <f t="shared" si="4079"/>
        <v>Avg. Case size 13+M</v>
      </c>
      <c r="C7902" s="4" t="str">
        <f>CHOOSE(2, "5462030031", "Jul 26")</f>
        <v>Jul 26</v>
      </c>
      <c r="D7902" s="14">
        <v>692.64857142857159</v>
      </c>
    </row>
    <row r="7903" spans="1:4" x14ac:dyDescent="0.35">
      <c r="A7903" s="5" t="str">
        <f t="shared" si="4053"/>
        <v>Agency</v>
      </c>
      <c r="B7903" s="3" t="str">
        <f t="shared" ref="B7903:B7904" si="4080">CHOOSE(2, "1395000000552", "Avg. Case size UM")</f>
        <v>Avg. Case size UM</v>
      </c>
      <c r="C7903" s="4" t="str">
        <f>CHOOSE(2, "5461730030", "Jun 26")</f>
        <v>Jun 26</v>
      </c>
      <c r="D7903" s="14">
        <v>0</v>
      </c>
    </row>
    <row r="7904" spans="1:4" x14ac:dyDescent="0.35">
      <c r="A7904" s="5" t="str">
        <f t="shared" si="4053"/>
        <v>Agency</v>
      </c>
      <c r="B7904" s="6" t="str">
        <f t="shared" si="4080"/>
        <v>Avg. Case size UM</v>
      </c>
      <c r="C7904" s="4" t="str">
        <f>CHOOSE(2, "5462030031", "Jul 26")</f>
        <v>Jul 26</v>
      </c>
      <c r="D7904" s="14">
        <v>0</v>
      </c>
    </row>
    <row r="7905" spans="1:4" x14ac:dyDescent="0.35">
      <c r="A7905" s="5" t="str">
        <f t="shared" si="4053"/>
        <v>Agency</v>
      </c>
      <c r="B7905" s="3" t="str">
        <f t="shared" ref="B7905:B7906" si="4081">CHOOSE(2, "1395000000551", "Avg. Case size Leaders above UM")</f>
        <v>Avg. Case size Leaders above UM</v>
      </c>
      <c r="C7905" s="4" t="str">
        <f>CHOOSE(2, "5461730030", "Jun 26")</f>
        <v>Jun 26</v>
      </c>
      <c r="D7905" s="14">
        <v>0</v>
      </c>
    </row>
    <row r="7906" spans="1:4" x14ac:dyDescent="0.35">
      <c r="A7906" s="5" t="str">
        <f t="shared" si="4053"/>
        <v>Agency</v>
      </c>
      <c r="B7906" s="6" t="str">
        <f t="shared" si="4081"/>
        <v>Avg. Case size Leaders above UM</v>
      </c>
      <c r="C7906" s="4" t="str">
        <f>CHOOSE(2, "5462030031", "Jul 26")</f>
        <v>Jul 26</v>
      </c>
      <c r="D7906" s="14">
        <v>0</v>
      </c>
    </row>
    <row r="7907" spans="1:4" x14ac:dyDescent="0.35">
      <c r="A7907" s="5" t="str">
        <f t="shared" si="4053"/>
        <v>Agency</v>
      </c>
      <c r="B7907" s="3" t="str">
        <f t="shared" ref="B7907:B7908" si="4082">CHOOSE(2, "1395000000550", "Avg. Case size Top-tier agents")</f>
        <v>Avg. Case size Top-tier agents</v>
      </c>
      <c r="C7907" s="4" t="str">
        <f>CHOOSE(2, "5461730030", "Jun 26")</f>
        <v>Jun 26</v>
      </c>
      <c r="D7907" s="14">
        <v>3121.5714285714284</v>
      </c>
    </row>
    <row r="7908" spans="1:4" x14ac:dyDescent="0.35">
      <c r="A7908" s="5" t="str">
        <f t="shared" si="4053"/>
        <v>Agency</v>
      </c>
      <c r="B7908" s="6" t="str">
        <f t="shared" si="4082"/>
        <v>Avg. Case size Top-tier agents</v>
      </c>
      <c r="C7908" s="4" t="str">
        <f>CHOOSE(2, "5462030031", "Jul 26")</f>
        <v>Jul 26</v>
      </c>
      <c r="D7908" s="14">
        <v>1608.6428571428571</v>
      </c>
    </row>
    <row r="7909" spans="1:4" x14ac:dyDescent="0.35">
      <c r="A7909" s="5" t="str">
        <f t="shared" si="4053"/>
        <v>Agency</v>
      </c>
      <c r="B7909" s="3" t="str">
        <f t="shared" ref="B7909:B7910" si="4083">CHOOSE(2, "1395000000549", "Avg. Case size Manulife Pro Qualifiers - Total")</f>
        <v>Avg. Case size Manulife Pro Qualifiers - Total</v>
      </c>
      <c r="C7909" s="4" t="str">
        <f>CHOOSE(2, "5461730030", "Jun 26")</f>
        <v>Jun 26</v>
      </c>
      <c r="D7909" s="14">
        <v>0</v>
      </c>
    </row>
    <row r="7910" spans="1:4" x14ac:dyDescent="0.35">
      <c r="A7910" s="5" t="str">
        <f t="shared" si="4053"/>
        <v>Agency</v>
      </c>
      <c r="B7910" s="6" t="str">
        <f t="shared" si="4083"/>
        <v>Avg. Case size Manulife Pro Qualifiers - Total</v>
      </c>
      <c r="C7910" s="4" t="str">
        <f>CHOOSE(2, "5462030031", "Jul 26")</f>
        <v>Jul 26</v>
      </c>
      <c r="D7910" s="14">
        <v>0</v>
      </c>
    </row>
    <row r="7911" spans="1:4" x14ac:dyDescent="0.35">
      <c r="A7911" s="5" t="str">
        <f t="shared" si="4053"/>
        <v>Agency</v>
      </c>
      <c r="B7911" s="3" t="str">
        <f t="shared" ref="B7911:B7912" si="4084">CHOOSE(2, "1395000000548", "Avg. Case size FA or equivalent")</f>
        <v>Avg. Case size FA or equivalent</v>
      </c>
      <c r="C7911" s="4" t="str">
        <f>CHOOSE(2, "5461730030", "Jun 26")</f>
        <v>Jun 26</v>
      </c>
      <c r="D7911" s="14">
        <v>0</v>
      </c>
    </row>
    <row r="7912" spans="1:4" x14ac:dyDescent="0.35">
      <c r="A7912" s="5" t="str">
        <f t="shared" si="4053"/>
        <v>Agency</v>
      </c>
      <c r="B7912" s="6" t="str">
        <f t="shared" si="4084"/>
        <v>Avg. Case size FA or equivalent</v>
      </c>
      <c r="C7912" s="4" t="str">
        <f>CHOOSE(2, "5462030031", "Jul 26")</f>
        <v>Jul 26</v>
      </c>
      <c r="D7912" s="14">
        <v>0</v>
      </c>
    </row>
    <row r="7913" spans="1:4" x14ac:dyDescent="0.35">
      <c r="A7913" s="5" t="str">
        <f t="shared" si="4053"/>
        <v>Agency</v>
      </c>
      <c r="B7913" s="3" t="str">
        <f t="shared" ref="B7913:B7914" si="4085">CHOOSE(2, "1395000000547", "Avg. Case size pro-rated MDRT agents (&gt;100%)")</f>
        <v>Avg. Case size pro-rated MDRT agents (&gt;100%)</v>
      </c>
      <c r="C7913" s="4" t="str">
        <f>CHOOSE(2, "5461730030", "Jun 26")</f>
        <v>Jun 26</v>
      </c>
      <c r="D7913" s="14">
        <v>0</v>
      </c>
    </row>
    <row r="7914" spans="1:4" x14ac:dyDescent="0.35">
      <c r="A7914" s="5" t="str">
        <f t="shared" si="4053"/>
        <v>Agency</v>
      </c>
      <c r="B7914" s="6" t="str">
        <f t="shared" si="4085"/>
        <v>Avg. Case size pro-rated MDRT agents (&gt;100%)</v>
      </c>
      <c r="C7914" s="4" t="str">
        <f>CHOOSE(2, "5462030031", "Jul 26")</f>
        <v>Jul 26</v>
      </c>
      <c r="D7914" s="14">
        <v>2186.1428571428573</v>
      </c>
    </row>
    <row r="7915" spans="1:4" x14ac:dyDescent="0.35">
      <c r="A7915" s="5" t="str">
        <f t="shared" ref="A7915:A7948" si="4086">CHOOSE(2, "1260000000012", "Agency")</f>
        <v>Agency</v>
      </c>
      <c r="B7915" s="3" t="str">
        <f t="shared" ref="B7915:B7916" si="4087">CHOOSE(2, "1395000000546", "Avg. Case size pro-rated MDRT agents (70-99%)")</f>
        <v>Avg. Case size pro-rated MDRT agents (70-99%)</v>
      </c>
      <c r="C7915" s="4" t="str">
        <f>CHOOSE(2, "5461730030", "Jun 26")</f>
        <v>Jun 26</v>
      </c>
      <c r="D7915" s="14">
        <v>4036.75</v>
      </c>
    </row>
    <row r="7916" spans="1:4" x14ac:dyDescent="0.35">
      <c r="A7916" s="5" t="str">
        <f t="shared" si="4086"/>
        <v>Agency</v>
      </c>
      <c r="B7916" s="6" t="str">
        <f t="shared" si="4087"/>
        <v>Avg. Case size pro-rated MDRT agents (70-99%)</v>
      </c>
      <c r="C7916" s="4" t="str">
        <f>CHOOSE(2, "5462030031", "Jul 26")</f>
        <v>Jul 26</v>
      </c>
      <c r="D7916" s="14">
        <v>927.83333333333337</v>
      </c>
    </row>
    <row r="7917" spans="1:4" x14ac:dyDescent="0.35">
      <c r="A7917" s="5" t="str">
        <f t="shared" si="4086"/>
        <v>Agency</v>
      </c>
      <c r="B7917" s="3" t="str">
        <f t="shared" ref="B7917:B7918" si="4088">CHOOSE(2, "1395000000545", "Avg. Case size pro-rated MDRT agents (50-69%)")</f>
        <v>Avg. Case size pro-rated MDRT agents (50-69%)</v>
      </c>
      <c r="C7917" s="4" t="str">
        <f>CHOOSE(2, "5461730030", "Jun 26")</f>
        <v>Jun 26</v>
      </c>
      <c r="D7917" s="14">
        <v>1901.3333333333333</v>
      </c>
    </row>
    <row r="7918" spans="1:4" x14ac:dyDescent="0.35">
      <c r="A7918" s="5" t="str">
        <f t="shared" si="4086"/>
        <v>Agency</v>
      </c>
      <c r="B7918" s="6" t="str">
        <f t="shared" si="4088"/>
        <v>Avg. Case size pro-rated MDRT agents (50-69%)</v>
      </c>
      <c r="C7918" s="4" t="str">
        <f>CHOOSE(2, "5462030031", "Jul 26")</f>
        <v>Jul 26</v>
      </c>
      <c r="D7918" s="14">
        <v>1651</v>
      </c>
    </row>
    <row r="7919" spans="1:4" x14ac:dyDescent="0.35">
      <c r="A7919" s="5" t="str">
        <f t="shared" si="4086"/>
        <v>Agency</v>
      </c>
      <c r="B7919" s="3" t="str">
        <f t="shared" ref="B7919:B7920" si="4089">CHOOSE(2, "1395000000544", "% of 1-Month Active Agents UM")</f>
        <v>% of 1-Month Active Agents UM</v>
      </c>
      <c r="C7919" s="4" t="str">
        <f>CHOOSE(2, "5461730030", "Jun 26")</f>
        <v>Jun 26</v>
      </c>
      <c r="D7919" s="14">
        <v>7.8431372549019607E-2</v>
      </c>
    </row>
    <row r="7920" spans="1:4" x14ac:dyDescent="0.35">
      <c r="A7920" s="5" t="str">
        <f t="shared" si="4086"/>
        <v>Agency</v>
      </c>
      <c r="B7920" s="6" t="str">
        <f t="shared" si="4089"/>
        <v>% of 1-Month Active Agents UM</v>
      </c>
      <c r="C7920" s="4" t="str">
        <f>CHOOSE(2, "5462030031", "Jul 26")</f>
        <v>Jul 26</v>
      </c>
      <c r="D7920" s="14">
        <v>0.1111111111111111</v>
      </c>
    </row>
    <row r="7921" spans="1:4" x14ac:dyDescent="0.35">
      <c r="A7921" s="5" t="str">
        <f t="shared" si="4086"/>
        <v>Agency</v>
      </c>
      <c r="B7921" s="3" t="str">
        <f t="shared" ref="B7921:B7922" si="4090">CHOOSE(2, "1395000000543", "% of 1-Month Active Agents Leaders above UM")</f>
        <v>% of 1-Month Active Agents Leaders above UM</v>
      </c>
      <c r="C7921" s="4" t="str">
        <f>CHOOSE(2, "5461730030", "Jun 26")</f>
        <v>Jun 26</v>
      </c>
      <c r="D7921" s="14">
        <v>5.8823529411764705E-2</v>
      </c>
    </row>
    <row r="7922" spans="1:4" x14ac:dyDescent="0.35">
      <c r="A7922" s="5" t="str">
        <f t="shared" si="4086"/>
        <v>Agency</v>
      </c>
      <c r="B7922" s="6" t="str">
        <f t="shared" si="4090"/>
        <v>% of 1-Month Active Agents Leaders above UM</v>
      </c>
      <c r="C7922" s="4" t="str">
        <f>CHOOSE(2, "5462030031", "Jul 26")</f>
        <v>Jul 26</v>
      </c>
      <c r="D7922" s="14">
        <v>5.4054054054054057E-2</v>
      </c>
    </row>
    <row r="7923" spans="1:4" x14ac:dyDescent="0.35">
      <c r="A7923" s="5" t="str">
        <f t="shared" si="4086"/>
        <v>Agency</v>
      </c>
      <c r="B7923" s="3" t="str">
        <f t="shared" ref="B7923:B7924" si="4091">CHOOSE(2, "1395000000542", "% of 1-Month Active Agents Top-tier agents")</f>
        <v>% of 1-Month Active Agents Top-tier agents</v>
      </c>
      <c r="C7923" s="4" t="str">
        <f>CHOOSE(2, "5461730030", "Jun 26")</f>
        <v>Jun 26</v>
      </c>
      <c r="D7923" s="14">
        <v>1</v>
      </c>
    </row>
    <row r="7924" spans="1:4" x14ac:dyDescent="0.35">
      <c r="A7924" s="5" t="str">
        <f t="shared" si="4086"/>
        <v>Agency</v>
      </c>
      <c r="B7924" s="6" t="str">
        <f t="shared" si="4091"/>
        <v>% of 1-Month Active Agents Top-tier agents</v>
      </c>
      <c r="C7924" s="4" t="str">
        <f>CHOOSE(2, "5462030031", "Jul 26")</f>
        <v>Jul 26</v>
      </c>
      <c r="D7924" s="14">
        <v>1</v>
      </c>
    </row>
    <row r="7925" spans="1:4" x14ac:dyDescent="0.35">
      <c r="A7925" s="5" t="str">
        <f t="shared" si="4086"/>
        <v>Agency</v>
      </c>
      <c r="B7925" s="3" t="str">
        <f t="shared" ref="B7925:B7926" si="4092">CHOOSE(2, "1395000000541", "% of 1-Month Active Agents FA or equivalent")</f>
        <v>% of 1-Month Active Agents FA or equivalent</v>
      </c>
      <c r="C7925" s="4" t="str">
        <f>CHOOSE(2, "5461730030", "Jun 26")</f>
        <v>Jun 26</v>
      </c>
      <c r="D7925" s="14">
        <v>7.2984749455337686E-2</v>
      </c>
    </row>
    <row r="7926" spans="1:4" x14ac:dyDescent="0.35">
      <c r="A7926" s="5" t="str">
        <f t="shared" si="4086"/>
        <v>Agency</v>
      </c>
      <c r="B7926" s="6" t="str">
        <f t="shared" si="4092"/>
        <v>% of 1-Month Active Agents FA or equivalent</v>
      </c>
      <c r="C7926" s="4" t="str">
        <f>CHOOSE(2, "5462030031", "Jul 26")</f>
        <v>Jul 26</v>
      </c>
      <c r="D7926" s="14">
        <v>5.726405090137858E-2</v>
      </c>
    </row>
    <row r="7927" spans="1:4" x14ac:dyDescent="0.35">
      <c r="A7927" s="5" t="str">
        <f t="shared" si="4086"/>
        <v>Agency</v>
      </c>
      <c r="B7927" s="3" t="str">
        <f t="shared" ref="B7927:B7928" si="4093">CHOOSE(2, "1395000000540", "% of 1-Month Active Agents pro-rated MDRT agents (&gt;100%)")</f>
        <v>% of 1-Month Active Agents pro-rated MDRT agents (&gt;100%)</v>
      </c>
      <c r="C7927" s="4" t="str">
        <f>CHOOSE(2, "5461730030", "Jun 26")</f>
        <v>Jun 26</v>
      </c>
      <c r="D7927" s="14">
        <v>0</v>
      </c>
    </row>
    <row r="7928" spans="1:4" x14ac:dyDescent="0.35">
      <c r="A7928" s="5" t="str">
        <f t="shared" si="4086"/>
        <v>Agency</v>
      </c>
      <c r="B7928" s="6" t="str">
        <f t="shared" si="4093"/>
        <v>% of 1-Month Active Agents pro-rated MDRT agents (&gt;100%)</v>
      </c>
      <c r="C7928" s="4" t="str">
        <f>CHOOSE(2, "5462030031", "Jul 26")</f>
        <v>Jul 26</v>
      </c>
      <c r="D7928" s="14">
        <v>1</v>
      </c>
    </row>
    <row r="7929" spans="1:4" x14ac:dyDescent="0.35">
      <c r="A7929" s="5" t="str">
        <f t="shared" si="4086"/>
        <v>Agency</v>
      </c>
      <c r="B7929" s="3" t="str">
        <f t="shared" ref="B7929:B7930" si="4094">CHOOSE(2, "1395000000539", "% of 1-Month Active Agents pro-rated MDRT agents (70-99%)")</f>
        <v>% of 1-Month Active Agents pro-rated MDRT agents (70-99%)</v>
      </c>
      <c r="C7929" s="4" t="str">
        <f>CHOOSE(2, "5461730030", "Jun 26")</f>
        <v>Jun 26</v>
      </c>
      <c r="D7929" s="14">
        <v>1</v>
      </c>
    </row>
    <row r="7930" spans="1:4" x14ac:dyDescent="0.35">
      <c r="A7930" s="5" t="str">
        <f t="shared" si="4086"/>
        <v>Agency</v>
      </c>
      <c r="B7930" s="6" t="str">
        <f t="shared" si="4094"/>
        <v>% of 1-Month Active Agents pro-rated MDRT agents (70-99%)</v>
      </c>
      <c r="C7930" s="4" t="str">
        <f>CHOOSE(2, "5462030031", "Jul 26")</f>
        <v>Jul 26</v>
      </c>
      <c r="D7930" s="14">
        <v>1</v>
      </c>
    </row>
    <row r="7931" spans="1:4" x14ac:dyDescent="0.35">
      <c r="A7931" s="5" t="str">
        <f t="shared" si="4086"/>
        <v>Agency</v>
      </c>
      <c r="B7931" s="3" t="str">
        <f t="shared" ref="B7931:B7932" si="4095">CHOOSE(2, "1395000000538", "% of 1-Month Active Agents pro-rated MDRT agents (50-69%)")</f>
        <v>% of 1-Month Active Agents pro-rated MDRT agents (50-69%)</v>
      </c>
      <c r="C7931" s="4" t="str">
        <f>CHOOSE(2, "5461730030", "Jun 26")</f>
        <v>Jun 26</v>
      </c>
      <c r="D7931" s="14">
        <v>1</v>
      </c>
    </row>
    <row r="7932" spans="1:4" x14ac:dyDescent="0.35">
      <c r="A7932" s="5" t="str">
        <f t="shared" si="4086"/>
        <v>Agency</v>
      </c>
      <c r="B7932" s="6" t="str">
        <f t="shared" si="4095"/>
        <v>% of 1-Month Active Agents pro-rated MDRT agents (50-69%)</v>
      </c>
      <c r="C7932" s="4" t="str">
        <f>CHOOSE(2, "5462030031", "Jul 26")</f>
        <v>Jul 26</v>
      </c>
      <c r="D7932" s="14">
        <v>1</v>
      </c>
    </row>
    <row r="7933" spans="1:4" x14ac:dyDescent="0.35">
      <c r="A7933" s="5" t="str">
        <f t="shared" si="4086"/>
        <v>Agency</v>
      </c>
      <c r="B7933" s="3" t="str">
        <f t="shared" ref="B7933:B7934" si="4096">CHOOSE(2, "1395000000537", "Avg. Case count per 1-Month Active Agent UM")</f>
        <v>Avg. Case count per 1-Month Active Agent UM</v>
      </c>
      <c r="C7933" s="4" t="str">
        <f>CHOOSE(2, "5461730030", "Jun 26")</f>
        <v>Jun 26</v>
      </c>
      <c r="D7933" s="14">
        <v>1.25</v>
      </c>
    </row>
    <row r="7934" spans="1:4" x14ac:dyDescent="0.35">
      <c r="A7934" s="5" t="str">
        <f t="shared" si="4086"/>
        <v>Agency</v>
      </c>
      <c r="B7934" s="6" t="str">
        <f t="shared" si="4096"/>
        <v>Avg. Case count per 1-Month Active Agent UM</v>
      </c>
      <c r="C7934" s="4" t="str">
        <f>CHOOSE(2, "5462030031", "Jul 26")</f>
        <v>Jul 26</v>
      </c>
      <c r="D7934" s="14">
        <v>1.6153846153846154</v>
      </c>
    </row>
    <row r="7935" spans="1:4" x14ac:dyDescent="0.35">
      <c r="A7935" s="5" t="str">
        <f t="shared" si="4086"/>
        <v>Agency</v>
      </c>
      <c r="B7935" s="3" t="str">
        <f t="shared" ref="B7935:B7936" si="4097">CHOOSE(2, "1395000000536", "Avg. Case count per 1-Month Active Agent Leaders above UM")</f>
        <v>Avg. Case count per 1-Month Active Agent Leaders above UM</v>
      </c>
      <c r="C7935" s="4" t="str">
        <f>CHOOSE(2, "5461730030", "Jun 26")</f>
        <v>Jun 26</v>
      </c>
      <c r="D7935" s="14">
        <v>1</v>
      </c>
    </row>
    <row r="7936" spans="1:4" x14ac:dyDescent="0.35">
      <c r="A7936" s="5" t="str">
        <f t="shared" si="4086"/>
        <v>Agency</v>
      </c>
      <c r="B7936" s="6" t="str">
        <f t="shared" si="4097"/>
        <v>Avg. Case count per 1-Month Active Agent Leaders above UM</v>
      </c>
      <c r="C7936" s="4" t="str">
        <f>CHOOSE(2, "5462030031", "Jul 26")</f>
        <v>Jul 26</v>
      </c>
      <c r="D7936" s="14">
        <v>1</v>
      </c>
    </row>
    <row r="7937" spans="1:4" x14ac:dyDescent="0.35">
      <c r="A7937" s="5" t="str">
        <f t="shared" si="4086"/>
        <v>Agency</v>
      </c>
      <c r="B7937" s="3" t="str">
        <f t="shared" ref="B7937:B7938" si="4098">CHOOSE(2, "1395000000535", "Avg. Case count per 1-Month Active Agent Top-tier agents")</f>
        <v>Avg. Case count per 1-Month Active Agent Top-tier agents</v>
      </c>
      <c r="C7937" s="4" t="str">
        <f>CHOOSE(2, "5461730030", "Jun 26")</f>
        <v>Jun 26</v>
      </c>
      <c r="D7937" s="14">
        <v>2.3333333333333335</v>
      </c>
    </row>
    <row r="7938" spans="1:4" x14ac:dyDescent="0.35">
      <c r="A7938" s="5" t="str">
        <f t="shared" si="4086"/>
        <v>Agency</v>
      </c>
      <c r="B7938" s="6" t="str">
        <f t="shared" si="4098"/>
        <v>Avg. Case count per 1-Month Active Agent Top-tier agents</v>
      </c>
      <c r="C7938" s="4" t="str">
        <f>CHOOSE(2, "5462030031", "Jul 26")</f>
        <v>Jul 26</v>
      </c>
      <c r="D7938" s="14">
        <v>4.666666666666667</v>
      </c>
    </row>
    <row r="7939" spans="1:4" x14ac:dyDescent="0.35">
      <c r="A7939" s="5" t="str">
        <f t="shared" si="4086"/>
        <v>Agency</v>
      </c>
      <c r="B7939" s="3" t="str">
        <f t="shared" ref="B7939:B7940" si="4099">CHOOSE(2, "1395000000534", "Avg. Case count per 1-Month Manulife Pro Qualifiers - Total")</f>
        <v>Avg. Case count per 1-Month Manulife Pro Qualifiers - Total</v>
      </c>
      <c r="C7939" s="4" t="str">
        <f>CHOOSE(2, "5461730030", "Jun 26")</f>
        <v>Jun 26</v>
      </c>
      <c r="D7939" s="14">
        <v>0</v>
      </c>
    </row>
    <row r="7940" spans="1:4" x14ac:dyDescent="0.35">
      <c r="A7940" s="5" t="str">
        <f t="shared" si="4086"/>
        <v>Agency</v>
      </c>
      <c r="B7940" s="6" t="str">
        <f t="shared" si="4099"/>
        <v>Avg. Case count per 1-Month Manulife Pro Qualifiers - Total</v>
      </c>
      <c r="C7940" s="4" t="str">
        <f>CHOOSE(2, "5462030031", "Jul 26")</f>
        <v>Jul 26</v>
      </c>
      <c r="D7940" s="14">
        <v>0</v>
      </c>
    </row>
    <row r="7941" spans="1:4" x14ac:dyDescent="0.35">
      <c r="A7941" s="5" t="str">
        <f t="shared" si="4086"/>
        <v>Agency</v>
      </c>
      <c r="B7941" s="3" t="str">
        <f t="shared" ref="B7941:B7942" si="4100">CHOOSE(2, "1395000000533", "Avg. Case count per 1-Month Active Agent FA or equivalent")</f>
        <v>Avg. Case count per 1-Month Active Agent FA or equivalent</v>
      </c>
      <c r="C7941" s="4" t="str">
        <f>CHOOSE(2, "5461730030", "Jun 26")</f>
        <v>Jun 26</v>
      </c>
      <c r="D7941" s="14">
        <v>1.2238805970149254</v>
      </c>
    </row>
    <row r="7942" spans="1:4" x14ac:dyDescent="0.35">
      <c r="A7942" s="5" t="str">
        <f t="shared" si="4086"/>
        <v>Agency</v>
      </c>
      <c r="B7942" s="6" t="str">
        <f t="shared" si="4100"/>
        <v>Avg. Case count per 1-Month Active Agent FA or equivalent</v>
      </c>
      <c r="C7942" s="4" t="str">
        <f>CHOOSE(2, "5462030031", "Jul 26")</f>
        <v>Jul 26</v>
      </c>
      <c r="D7942" s="14">
        <v>1.6111111111111112</v>
      </c>
    </row>
    <row r="7943" spans="1:4" x14ac:dyDescent="0.35">
      <c r="A7943" s="5" t="str">
        <f t="shared" si="4086"/>
        <v>Agency</v>
      </c>
      <c r="B7943" s="3" t="str">
        <f t="shared" ref="B7943:B7944" si="4101">CHOOSE(2, "1395000000532", "Avg. Case count per 1-Month pro-rated MDRT agents (&gt;100%)")</f>
        <v>Avg. Case count per 1-Month pro-rated MDRT agents (&gt;100%)</v>
      </c>
      <c r="C7943" s="4" t="str">
        <f>CHOOSE(2, "5461730030", "Jun 26")</f>
        <v>Jun 26</v>
      </c>
      <c r="D7943" s="14">
        <v>0</v>
      </c>
    </row>
    <row r="7944" spans="1:4" x14ac:dyDescent="0.35">
      <c r="A7944" s="5" t="str">
        <f t="shared" si="4086"/>
        <v>Agency</v>
      </c>
      <c r="B7944" s="6" t="str">
        <f t="shared" si="4101"/>
        <v>Avg. Case count per 1-Month pro-rated MDRT agents (&gt;100%)</v>
      </c>
      <c r="C7944" s="4" t="str">
        <f>CHOOSE(2, "5462030031", "Jul 26")</f>
        <v>Jul 26</v>
      </c>
      <c r="D7944" s="14">
        <v>7</v>
      </c>
    </row>
    <row r="7945" spans="1:4" x14ac:dyDescent="0.35">
      <c r="A7945" s="5" t="str">
        <f t="shared" si="4086"/>
        <v>Agency</v>
      </c>
      <c r="B7945" s="3" t="str">
        <f t="shared" ref="B7945:B7946" si="4102">CHOOSE(2, "1395000000531", "Avg. Case count per 1-Month pro-rated MDRT agents (70-99%)")</f>
        <v>Avg. Case count per 1-Month pro-rated MDRT agents (70-99%)</v>
      </c>
      <c r="C7945" s="4" t="str">
        <f>CHOOSE(2, "5461730030", "Jun 26")</f>
        <v>Jun 26</v>
      </c>
      <c r="D7945" s="14">
        <v>2</v>
      </c>
    </row>
    <row r="7946" spans="1:4" x14ac:dyDescent="0.35">
      <c r="A7946" s="5" t="str">
        <f t="shared" si="4086"/>
        <v>Agency</v>
      </c>
      <c r="B7946" s="6" t="str">
        <f t="shared" si="4102"/>
        <v>Avg. Case count per 1-Month pro-rated MDRT agents (70-99%)</v>
      </c>
      <c r="C7946" s="4" t="str">
        <f>CHOOSE(2, "5462030031", "Jul 26")</f>
        <v>Jul 26</v>
      </c>
      <c r="D7946" s="14">
        <v>6</v>
      </c>
    </row>
    <row r="7947" spans="1:4" x14ac:dyDescent="0.35">
      <c r="A7947" s="5" t="str">
        <f t="shared" si="4086"/>
        <v>Agency</v>
      </c>
      <c r="B7947" s="3" t="str">
        <f t="shared" ref="B7947:B7948" si="4103">CHOOSE(2, "1395000000530", "Avg. Case count per 1-Month pro-rated MDRT agents (50-69%)")</f>
        <v>Avg. Case count per 1-Month pro-rated MDRT agents (50-69%)</v>
      </c>
      <c r="C7947" s="4" t="str">
        <f>CHOOSE(2, "5461730030", "Jun 26")</f>
        <v>Jun 26</v>
      </c>
      <c r="D7947" s="14">
        <v>3</v>
      </c>
    </row>
    <row r="7948" spans="1:4" x14ac:dyDescent="0.35">
      <c r="A7948" s="6" t="str">
        <f t="shared" si="4086"/>
        <v>Agency</v>
      </c>
      <c r="B7948" s="6" t="str">
        <f t="shared" si="4103"/>
        <v>Avg. Case count per 1-Month pro-rated MDRT agents (50-69%)</v>
      </c>
      <c r="C7948" s="4" t="str">
        <f>CHOOSE(2, "5462030031", "Jul 26")</f>
        <v>Jul 26</v>
      </c>
      <c r="D7948" s="14">
        <v>1</v>
      </c>
    </row>
    <row r="7949" spans="1:4" x14ac:dyDescent="0.35">
      <c r="A7949" s="7" t="str">
        <f t="shared" ref="A7949:A8012" si="4104">CHOOSE(2, "204000000009", "Cambodia")</f>
        <v>Cambodia</v>
      </c>
      <c r="B7949" s="3" t="str">
        <f t="shared" ref="B7949:B7950" si="4105">CHOOSE(2, "1395000000741", "Submitted APE")</f>
        <v>Submitted APE</v>
      </c>
      <c r="C7949" s="4" t="str">
        <f>CHOOSE(2, "5461730030", "Jun 26")</f>
        <v>Jun 26</v>
      </c>
      <c r="D7949" s="14">
        <v>115349</v>
      </c>
    </row>
    <row r="7950" spans="1:4" x14ac:dyDescent="0.35">
      <c r="A7950" s="8" t="str">
        <f t="shared" si="4104"/>
        <v>Cambodia</v>
      </c>
      <c r="B7950" s="6" t="str">
        <f t="shared" si="4105"/>
        <v>Submitted APE</v>
      </c>
      <c r="C7950" s="4" t="str">
        <f>CHOOSE(2, "5462030031", "Jul 26")</f>
        <v>Jul 26</v>
      </c>
      <c r="D7950" s="14">
        <v>156123</v>
      </c>
    </row>
    <row r="7951" spans="1:4" x14ac:dyDescent="0.35">
      <c r="A7951" s="8" t="str">
        <f t="shared" si="4104"/>
        <v>Cambodia</v>
      </c>
      <c r="B7951" s="3" t="str">
        <f t="shared" ref="B7951:B7952" si="4106">CHOOSE(2, "1395000000740", "# of 1-Month Active Agents")</f>
        <v># of 1-Month Active Agents</v>
      </c>
      <c r="C7951" s="4" t="str">
        <f>CHOOSE(2, "5461730030", "Jun 26")</f>
        <v>Jun 26</v>
      </c>
      <c r="D7951" s="14">
        <v>80</v>
      </c>
    </row>
    <row r="7952" spans="1:4" x14ac:dyDescent="0.35">
      <c r="A7952" s="8" t="str">
        <f t="shared" si="4104"/>
        <v>Cambodia</v>
      </c>
      <c r="B7952" s="6" t="str">
        <f t="shared" si="4106"/>
        <v># of 1-Month Active Agents</v>
      </c>
      <c r="C7952" s="4" t="str">
        <f>CHOOSE(2, "5462030031", "Jul 26")</f>
        <v>Jul 26</v>
      </c>
      <c r="D7952" s="14">
        <v>72</v>
      </c>
    </row>
    <row r="7953" spans="1:4" x14ac:dyDescent="0.35">
      <c r="A7953" s="8" t="str">
        <f t="shared" si="4104"/>
        <v>Cambodia</v>
      </c>
      <c r="B7953" s="3" t="str">
        <f t="shared" ref="B7953:B7954" si="4107">CHOOSE(2, "1395000000739", "# of 1-Month Active Agents in 0-1M")</f>
        <v># of 1-Month Active Agents in 0-1M</v>
      </c>
      <c r="C7953" s="4" t="str">
        <f>CHOOSE(2, "5461730030", "Jun 26")</f>
        <v>Jun 26</v>
      </c>
      <c r="D7953" s="14">
        <v>3</v>
      </c>
    </row>
    <row r="7954" spans="1:4" x14ac:dyDescent="0.35">
      <c r="A7954" s="8" t="str">
        <f t="shared" si="4104"/>
        <v>Cambodia</v>
      </c>
      <c r="B7954" s="6" t="str">
        <f t="shared" si="4107"/>
        <v># of 1-Month Active Agents in 0-1M</v>
      </c>
      <c r="C7954" s="4" t="str">
        <f>CHOOSE(2, "5462030031", "Jul 26")</f>
        <v>Jul 26</v>
      </c>
      <c r="D7954" s="14">
        <v>7</v>
      </c>
    </row>
    <row r="7955" spans="1:4" x14ac:dyDescent="0.35">
      <c r="A7955" s="8" t="str">
        <f t="shared" si="4104"/>
        <v>Cambodia</v>
      </c>
      <c r="B7955" s="3" t="str">
        <f t="shared" ref="B7955:B7956" si="4108">CHOOSE(2, "1395000000738", "# of 1-Month Active Agents in 2-3M")</f>
        <v># of 1-Month Active Agents in 2-3M</v>
      </c>
      <c r="C7955" s="4" t="str">
        <f>CHOOSE(2, "5461730030", "Jun 26")</f>
        <v>Jun 26</v>
      </c>
      <c r="D7955" s="14">
        <v>5</v>
      </c>
    </row>
    <row r="7956" spans="1:4" x14ac:dyDescent="0.35">
      <c r="A7956" s="8" t="str">
        <f t="shared" si="4104"/>
        <v>Cambodia</v>
      </c>
      <c r="B7956" s="6" t="str">
        <f t="shared" si="4108"/>
        <v># of 1-Month Active Agents in 2-3M</v>
      </c>
      <c r="C7956" s="4" t="str">
        <f>CHOOSE(2, "5462030031", "Jul 26")</f>
        <v>Jul 26</v>
      </c>
      <c r="D7956" s="14">
        <v>9</v>
      </c>
    </row>
    <row r="7957" spans="1:4" x14ac:dyDescent="0.35">
      <c r="A7957" s="8" t="str">
        <f t="shared" si="4104"/>
        <v>Cambodia</v>
      </c>
      <c r="B7957" s="3" t="str">
        <f t="shared" ref="B7957:B7958" si="4109">CHOOSE(2, "1395000000737", "# of 1-Month Active Agents in 4-12M")</f>
        <v># of 1-Month Active Agents in 4-12M</v>
      </c>
      <c r="C7957" s="4" t="str">
        <f>CHOOSE(2, "5461730030", "Jun 26")</f>
        <v>Jun 26</v>
      </c>
      <c r="D7957" s="14">
        <v>23</v>
      </c>
    </row>
    <row r="7958" spans="1:4" x14ac:dyDescent="0.35">
      <c r="A7958" s="8" t="str">
        <f t="shared" si="4104"/>
        <v>Cambodia</v>
      </c>
      <c r="B7958" s="6" t="str">
        <f t="shared" si="4109"/>
        <v># of 1-Month Active Agents in 4-12M</v>
      </c>
      <c r="C7958" s="4" t="str">
        <f>CHOOSE(2, "5462030031", "Jul 26")</f>
        <v>Jul 26</v>
      </c>
      <c r="D7958" s="14">
        <v>11</v>
      </c>
    </row>
    <row r="7959" spans="1:4" x14ac:dyDescent="0.35">
      <c r="A7959" s="8" t="str">
        <f t="shared" si="4104"/>
        <v>Cambodia</v>
      </c>
      <c r="B7959" s="3" t="str">
        <f t="shared" ref="B7959:B7960" si="4110">CHOOSE(2, "1395000000736", "# of 1-Month Active Agents 13+M")</f>
        <v># of 1-Month Active Agents 13+M</v>
      </c>
      <c r="C7959" s="4" t="str">
        <f>CHOOSE(2, "5461730030", "Jun 26")</f>
        <v>Jun 26</v>
      </c>
      <c r="D7959" s="14">
        <v>49</v>
      </c>
    </row>
    <row r="7960" spans="1:4" x14ac:dyDescent="0.35">
      <c r="A7960" s="8" t="str">
        <f t="shared" si="4104"/>
        <v>Cambodia</v>
      </c>
      <c r="B7960" s="6" t="str">
        <f t="shared" si="4110"/>
        <v># of 1-Month Active Agents 13+M</v>
      </c>
      <c r="C7960" s="4" t="str">
        <f>CHOOSE(2, "5462030031", "Jul 26")</f>
        <v>Jul 26</v>
      </c>
      <c r="D7960" s="14">
        <v>45</v>
      </c>
    </row>
    <row r="7961" spans="1:4" x14ac:dyDescent="0.35">
      <c r="A7961" s="8" t="str">
        <f t="shared" si="4104"/>
        <v>Cambodia</v>
      </c>
      <c r="B7961" s="3" t="str">
        <f t="shared" ref="B7961:B7962" si="4111">CHOOSE(2, "1395000000735", "# of 1-Month Active Agents in FA or equivalent")</f>
        <v># of 1-Month Active Agents in FA or equivalent</v>
      </c>
      <c r="C7961" s="4" t="str">
        <f>CHOOSE(2, "5461730030", "Jun 26")</f>
        <v>Jun 26</v>
      </c>
      <c r="D7961" s="14">
        <v>67</v>
      </c>
    </row>
    <row r="7962" spans="1:4" x14ac:dyDescent="0.35">
      <c r="A7962" s="8" t="str">
        <f t="shared" si="4104"/>
        <v>Cambodia</v>
      </c>
      <c r="B7962" s="6" t="str">
        <f t="shared" si="4111"/>
        <v># of 1-Month Active Agents in FA or equivalent</v>
      </c>
      <c r="C7962" s="4" t="str">
        <f>CHOOSE(2, "5462030031", "Jul 26")</f>
        <v>Jul 26</v>
      </c>
      <c r="D7962" s="14">
        <v>54</v>
      </c>
    </row>
    <row r="7963" spans="1:4" x14ac:dyDescent="0.35">
      <c r="A7963" s="8" t="str">
        <f t="shared" si="4104"/>
        <v>Cambodia</v>
      </c>
      <c r="B7963" s="3" t="str">
        <f t="shared" ref="B7963:B7964" si="4112">CHOOSE(2, "1395000000734", "# of 1-Month Active Agents in UM")</f>
        <v># of 1-Month Active Agents in UM</v>
      </c>
      <c r="C7963" s="4" t="str">
        <f>CHOOSE(2, "5461730030", "Jun 26")</f>
        <v>Jun 26</v>
      </c>
      <c r="D7963" s="14">
        <v>8</v>
      </c>
    </row>
    <row r="7964" spans="1:4" x14ac:dyDescent="0.35">
      <c r="A7964" s="8" t="str">
        <f t="shared" si="4104"/>
        <v>Cambodia</v>
      </c>
      <c r="B7964" s="6" t="str">
        <f t="shared" si="4112"/>
        <v># of 1-Month Active Agents in UM</v>
      </c>
      <c r="C7964" s="4" t="str">
        <f>CHOOSE(2, "5462030031", "Jul 26")</f>
        <v>Jul 26</v>
      </c>
      <c r="D7964" s="14">
        <v>13</v>
      </c>
    </row>
    <row r="7965" spans="1:4" x14ac:dyDescent="0.35">
      <c r="A7965" s="8" t="str">
        <f t="shared" si="4104"/>
        <v>Cambodia</v>
      </c>
      <c r="B7965" s="3" t="str">
        <f t="shared" ref="B7965:B7966" si="4113">CHOOSE(2, "1395000000733", "# of 1-Month Active Agents in Leaders above UM")</f>
        <v># of 1-Month Active Agents in Leaders above UM</v>
      </c>
      <c r="C7965" s="4" t="str">
        <f>CHOOSE(2, "5461730030", "Jun 26")</f>
        <v>Jun 26</v>
      </c>
      <c r="D7965" s="14">
        <v>2</v>
      </c>
    </row>
    <row r="7966" spans="1:4" x14ac:dyDescent="0.35">
      <c r="A7966" s="8" t="str">
        <f t="shared" si="4104"/>
        <v>Cambodia</v>
      </c>
      <c r="B7966" s="6" t="str">
        <f t="shared" si="4113"/>
        <v># of 1-Month Active Agents in Leaders above UM</v>
      </c>
      <c r="C7966" s="4" t="str">
        <f>CHOOSE(2, "5462030031", "Jul 26")</f>
        <v>Jul 26</v>
      </c>
      <c r="D7966" s="14">
        <v>2</v>
      </c>
    </row>
    <row r="7967" spans="1:4" x14ac:dyDescent="0.35">
      <c r="A7967" s="8" t="str">
        <f t="shared" si="4104"/>
        <v>Cambodia</v>
      </c>
      <c r="B7967" s="3" t="str">
        <f t="shared" ref="B7967:B7968" si="4114">CHOOSE(2, "1395000000732", "# of 1-Month Active Top-tier Agents")</f>
        <v># of 1-Month Active Top-tier Agents</v>
      </c>
      <c r="C7967" s="4" t="str">
        <f>CHOOSE(2, "5461730030", "Jun 26")</f>
        <v>Jun 26</v>
      </c>
      <c r="D7967" s="14">
        <v>3</v>
      </c>
    </row>
    <row r="7968" spans="1:4" x14ac:dyDescent="0.35">
      <c r="A7968" s="8" t="str">
        <f t="shared" si="4104"/>
        <v>Cambodia</v>
      </c>
      <c r="B7968" s="6" t="str">
        <f t="shared" si="4114"/>
        <v># of 1-Month Active Top-tier Agents</v>
      </c>
      <c r="C7968" s="4" t="str">
        <f>CHOOSE(2, "5462030031", "Jul 26")</f>
        <v>Jul 26</v>
      </c>
      <c r="D7968" s="14">
        <v>3</v>
      </c>
    </row>
    <row r="7969" spans="1:4" x14ac:dyDescent="0.35">
      <c r="A7969" s="8" t="str">
        <f t="shared" si="4104"/>
        <v>Cambodia</v>
      </c>
      <c r="B7969" s="3" t="str">
        <f t="shared" ref="B7969:B7970" si="4115">CHOOSE(2, "1395000000731", "# of 1-Month Active Agents in pro-rated MDRT agents (&gt;100%)")</f>
        <v># of 1-Month Active Agents in pro-rated MDRT agents (&gt;100%)</v>
      </c>
      <c r="C7969" s="4" t="str">
        <f>CHOOSE(2, "5461730030", "Jun 26")</f>
        <v>Jun 26</v>
      </c>
      <c r="D7969" s="14">
        <v>0</v>
      </c>
    </row>
    <row r="7970" spans="1:4" x14ac:dyDescent="0.35">
      <c r="A7970" s="8" t="str">
        <f t="shared" si="4104"/>
        <v>Cambodia</v>
      </c>
      <c r="B7970" s="6" t="str">
        <f t="shared" si="4115"/>
        <v># of 1-Month Active Agents in pro-rated MDRT agents (&gt;100%)</v>
      </c>
      <c r="C7970" s="4" t="str">
        <f>CHOOSE(2, "5462030031", "Jul 26")</f>
        <v>Jul 26</v>
      </c>
      <c r="D7970" s="14">
        <v>1</v>
      </c>
    </row>
    <row r="7971" spans="1:4" x14ac:dyDescent="0.35">
      <c r="A7971" s="8" t="str">
        <f t="shared" si="4104"/>
        <v>Cambodia</v>
      </c>
      <c r="B7971" s="3" t="str">
        <f t="shared" ref="B7971:B7972" si="4116">CHOOSE(2, "1395000000730", "# of 1-Month Active Agents in pro-rated MDRT agents (70-99%)")</f>
        <v># of 1-Month Active Agents in pro-rated MDRT agents (70-99%)</v>
      </c>
      <c r="C7971" s="4" t="str">
        <f>CHOOSE(2, "5461730030", "Jun 26")</f>
        <v>Jun 26</v>
      </c>
      <c r="D7971" s="14">
        <v>2</v>
      </c>
    </row>
    <row r="7972" spans="1:4" x14ac:dyDescent="0.35">
      <c r="A7972" s="8" t="str">
        <f t="shared" si="4104"/>
        <v>Cambodia</v>
      </c>
      <c r="B7972" s="6" t="str">
        <f t="shared" si="4116"/>
        <v># of 1-Month Active Agents in pro-rated MDRT agents (70-99%)</v>
      </c>
      <c r="C7972" s="4" t="str">
        <f>CHOOSE(2, "5462030031", "Jul 26")</f>
        <v>Jul 26</v>
      </c>
      <c r="D7972" s="14">
        <v>1</v>
      </c>
    </row>
    <row r="7973" spans="1:4" x14ac:dyDescent="0.35">
      <c r="A7973" s="8" t="str">
        <f t="shared" si="4104"/>
        <v>Cambodia</v>
      </c>
      <c r="B7973" s="3" t="str">
        <f t="shared" ref="B7973:B7974" si="4117">CHOOSE(2, "1395000000729", "# of 1-Month Active Agents in pro-rated MDRT agents (50-69%)")</f>
        <v># of 1-Month Active Agents in pro-rated MDRT agents (50-69%)</v>
      </c>
      <c r="C7973" s="4" t="str">
        <f>CHOOSE(2, "5461730030", "Jun 26")</f>
        <v>Jun 26</v>
      </c>
      <c r="D7973" s="14">
        <v>1</v>
      </c>
    </row>
    <row r="7974" spans="1:4" x14ac:dyDescent="0.35">
      <c r="A7974" s="8" t="str">
        <f t="shared" si="4104"/>
        <v>Cambodia</v>
      </c>
      <c r="B7974" s="6" t="str">
        <f t="shared" si="4117"/>
        <v># of 1-Month Active Agents in pro-rated MDRT agents (50-69%)</v>
      </c>
      <c r="C7974" s="4" t="str">
        <f>CHOOSE(2, "5462030031", "Jul 26")</f>
        <v>Jul 26</v>
      </c>
      <c r="D7974" s="14">
        <v>1</v>
      </c>
    </row>
    <row r="7975" spans="1:4" x14ac:dyDescent="0.35">
      <c r="A7975" s="8" t="str">
        <f t="shared" si="4104"/>
        <v>Cambodia</v>
      </c>
      <c r="B7975" s="3" t="str">
        <f t="shared" ref="B7975:B7976" si="4118">CHOOSE(2, "1395000000728", "# of 1-Month Active Agents in Manulife Pro Qualifiers -Total")</f>
        <v># of 1-Month Active Agents in Manulife Pro Qualifiers -Total</v>
      </c>
      <c r="C7975" s="4" t="str">
        <f>CHOOSE(2, "5461730030", "Jun 26")</f>
        <v>Jun 26</v>
      </c>
      <c r="D7975" s="14">
        <v>0</v>
      </c>
    </row>
    <row r="7976" spans="1:4" x14ac:dyDescent="0.35">
      <c r="A7976" s="8" t="str">
        <f t="shared" si="4104"/>
        <v>Cambodia</v>
      </c>
      <c r="B7976" s="6" t="str">
        <f t="shared" si="4118"/>
        <v># of 1-Month Active Agents in Manulife Pro Qualifiers -Total</v>
      </c>
      <c r="C7976" s="4" t="str">
        <f>CHOOSE(2, "5462030031", "Jul 26")</f>
        <v>Jul 26</v>
      </c>
      <c r="D7976" s="14">
        <v>0</v>
      </c>
    </row>
    <row r="7977" spans="1:4" x14ac:dyDescent="0.35">
      <c r="A7977" s="8" t="str">
        <f t="shared" si="4104"/>
        <v>Cambodia</v>
      </c>
      <c r="B7977" s="3" t="str">
        <f t="shared" ref="B7977:B7978" si="4119">CHOOSE(2, "1395000000727", "# of 3-Month Active Agents")</f>
        <v># of 3-Month Active Agents</v>
      </c>
      <c r="C7977" s="4" t="str">
        <f>CHOOSE(2, "5461730030", "Jun 26")</f>
        <v>Jun 26</v>
      </c>
      <c r="D7977" s="14">
        <v>120</v>
      </c>
    </row>
    <row r="7978" spans="1:4" x14ac:dyDescent="0.35">
      <c r="A7978" s="8" t="str">
        <f t="shared" si="4104"/>
        <v>Cambodia</v>
      </c>
      <c r="B7978" s="6" t="str">
        <f t="shared" si="4119"/>
        <v># of 3-Month Active Agents</v>
      </c>
      <c r="C7978" s="4" t="str">
        <f>CHOOSE(2, "5462030031", "Jul 26")</f>
        <v>Jul 26</v>
      </c>
      <c r="D7978" s="14">
        <v>135</v>
      </c>
    </row>
    <row r="7979" spans="1:4" x14ac:dyDescent="0.35">
      <c r="A7979" s="8" t="str">
        <f t="shared" si="4104"/>
        <v>Cambodia</v>
      </c>
      <c r="B7979" s="3" t="str">
        <f t="shared" ref="B7979:B7980" si="4120">CHOOSE(2, "1395000000726", "# of 3-Month Active Agents in 0-1M")</f>
        <v># of 3-Month Active Agents in 0-1M</v>
      </c>
      <c r="C7979" s="4" t="str">
        <f>CHOOSE(2, "5461730030", "Jun 26")</f>
        <v>Jun 26</v>
      </c>
      <c r="D7979" s="14">
        <v>3</v>
      </c>
    </row>
    <row r="7980" spans="1:4" x14ac:dyDescent="0.35">
      <c r="A7980" s="8" t="str">
        <f t="shared" si="4104"/>
        <v>Cambodia</v>
      </c>
      <c r="B7980" s="6" t="str">
        <f t="shared" si="4120"/>
        <v># of 3-Month Active Agents in 0-1M</v>
      </c>
      <c r="C7980" s="4" t="str">
        <f>CHOOSE(2, "5462030031", "Jul 26")</f>
        <v>Jul 26</v>
      </c>
      <c r="D7980" s="14">
        <v>7</v>
      </c>
    </row>
    <row r="7981" spans="1:4" x14ac:dyDescent="0.35">
      <c r="A7981" s="8" t="str">
        <f t="shared" si="4104"/>
        <v>Cambodia</v>
      </c>
      <c r="B7981" s="3" t="str">
        <f t="shared" ref="B7981:B7982" si="4121">CHOOSE(2, "1395000000725", "# of 3-Month Active Agents in 2-3M")</f>
        <v># of 3-Month Active Agents in 2-3M</v>
      </c>
      <c r="C7981" s="4" t="str">
        <f>CHOOSE(2, "5461730030", "Jun 26")</f>
        <v>Jun 26</v>
      </c>
      <c r="D7981" s="14">
        <v>8</v>
      </c>
    </row>
    <row r="7982" spans="1:4" x14ac:dyDescent="0.35">
      <c r="A7982" s="8" t="str">
        <f t="shared" si="4104"/>
        <v>Cambodia</v>
      </c>
      <c r="B7982" s="6" t="str">
        <f t="shared" si="4121"/>
        <v># of 3-Month Active Agents in 2-3M</v>
      </c>
      <c r="C7982" s="4" t="str">
        <f>CHOOSE(2, "5462030031", "Jul 26")</f>
        <v>Jul 26</v>
      </c>
      <c r="D7982" s="14">
        <v>13</v>
      </c>
    </row>
    <row r="7983" spans="1:4" x14ac:dyDescent="0.35">
      <c r="A7983" s="8" t="str">
        <f t="shared" si="4104"/>
        <v>Cambodia</v>
      </c>
      <c r="B7983" s="3" t="str">
        <f t="shared" ref="B7983:B7984" si="4122">CHOOSE(2, "1395000000724", "# of 3-Month Active Agents in 4-12M")</f>
        <v># of 3-Month Active Agents in 4-12M</v>
      </c>
      <c r="C7983" s="4" t="str">
        <f>CHOOSE(2, "5461730030", "Jun 26")</f>
        <v>Jun 26</v>
      </c>
      <c r="D7983" s="14">
        <v>39</v>
      </c>
    </row>
    <row r="7984" spans="1:4" x14ac:dyDescent="0.35">
      <c r="A7984" s="8" t="str">
        <f t="shared" si="4104"/>
        <v>Cambodia</v>
      </c>
      <c r="B7984" s="6" t="str">
        <f t="shared" si="4122"/>
        <v># of 3-Month Active Agents in 4-12M</v>
      </c>
      <c r="C7984" s="4" t="str">
        <f>CHOOSE(2, "5462030031", "Jul 26")</f>
        <v>Jul 26</v>
      </c>
      <c r="D7984" s="14">
        <v>39</v>
      </c>
    </row>
    <row r="7985" spans="1:4" x14ac:dyDescent="0.35">
      <c r="A7985" s="8" t="str">
        <f t="shared" si="4104"/>
        <v>Cambodia</v>
      </c>
      <c r="B7985" s="3" t="str">
        <f t="shared" ref="B7985:B7986" si="4123">CHOOSE(2, "1395000000723", "# of 3-Month Active Agents 13+M")</f>
        <v># of 3-Month Active Agents 13+M</v>
      </c>
      <c r="C7985" s="4" t="str">
        <f>CHOOSE(2, "5461730030", "Jun 26")</f>
        <v>Jun 26</v>
      </c>
      <c r="D7985" s="14">
        <v>70</v>
      </c>
    </row>
    <row r="7986" spans="1:4" x14ac:dyDescent="0.35">
      <c r="A7986" s="8" t="str">
        <f t="shared" si="4104"/>
        <v>Cambodia</v>
      </c>
      <c r="B7986" s="6" t="str">
        <f t="shared" si="4123"/>
        <v># of 3-Month Active Agents 13+M</v>
      </c>
      <c r="C7986" s="4" t="str">
        <f>CHOOSE(2, "5462030031", "Jul 26")</f>
        <v>Jul 26</v>
      </c>
      <c r="D7986" s="14">
        <v>76</v>
      </c>
    </row>
    <row r="7987" spans="1:4" x14ac:dyDescent="0.35">
      <c r="A7987" s="8" t="str">
        <f t="shared" si="4104"/>
        <v>Cambodia</v>
      </c>
      <c r="B7987" s="3" t="str">
        <f t="shared" ref="B7987:B7988" si="4124">CHOOSE(2, "1395000000722", "# of 3-Month Active Agents in UM")</f>
        <v># of 3-Month Active Agents in UM</v>
      </c>
      <c r="C7987" s="4" t="str">
        <f>CHOOSE(2, "5461730030", "Jun 26")</f>
        <v>Jun 26</v>
      </c>
      <c r="D7987" s="14">
        <v>9</v>
      </c>
    </row>
    <row r="7988" spans="1:4" x14ac:dyDescent="0.35">
      <c r="A7988" s="8" t="str">
        <f t="shared" si="4104"/>
        <v>Cambodia</v>
      </c>
      <c r="B7988" s="6" t="str">
        <f t="shared" si="4124"/>
        <v># of 3-Month Active Agents in UM</v>
      </c>
      <c r="C7988" s="4" t="str">
        <f>CHOOSE(2, "5462030031", "Jul 26")</f>
        <v>Jul 26</v>
      </c>
      <c r="D7988" s="14">
        <v>16</v>
      </c>
    </row>
    <row r="7989" spans="1:4" x14ac:dyDescent="0.35">
      <c r="A7989" s="8" t="str">
        <f t="shared" si="4104"/>
        <v>Cambodia</v>
      </c>
      <c r="B7989" s="3" t="str">
        <f t="shared" ref="B7989:B7990" si="4125">CHOOSE(2, "1395000000721", "# of 3-Month Active Agents in Leaders above UM")</f>
        <v># of 3-Month Active Agents in Leaders above UM</v>
      </c>
      <c r="C7989" s="4" t="str">
        <f>CHOOSE(2, "5461730030", "Jun 26")</f>
        <v>Jun 26</v>
      </c>
      <c r="D7989" s="14">
        <v>2</v>
      </c>
    </row>
    <row r="7990" spans="1:4" x14ac:dyDescent="0.35">
      <c r="A7990" s="8" t="str">
        <f t="shared" si="4104"/>
        <v>Cambodia</v>
      </c>
      <c r="B7990" s="6" t="str">
        <f t="shared" si="4125"/>
        <v># of 3-Month Active Agents in Leaders above UM</v>
      </c>
      <c r="C7990" s="4" t="str">
        <f>CHOOSE(2, "5462030031", "Jul 26")</f>
        <v>Jul 26</v>
      </c>
      <c r="D7990" s="14">
        <v>3</v>
      </c>
    </row>
    <row r="7991" spans="1:4" x14ac:dyDescent="0.35">
      <c r="A7991" s="8" t="str">
        <f t="shared" si="4104"/>
        <v>Cambodia</v>
      </c>
      <c r="B7991" s="3" t="str">
        <f t="shared" ref="B7991:B7992" si="4126">CHOOSE(2, "1395000000720", "# of 3-Month Active Agents in FA or equivalent")</f>
        <v># of 3-Month Active Agents in FA or equivalent</v>
      </c>
      <c r="C7991" s="4" t="str">
        <f>CHOOSE(2, "5461730030", "Jun 26")</f>
        <v>Jun 26</v>
      </c>
      <c r="D7991" s="14">
        <v>103</v>
      </c>
    </row>
    <row r="7992" spans="1:4" x14ac:dyDescent="0.35">
      <c r="A7992" s="8" t="str">
        <f t="shared" si="4104"/>
        <v>Cambodia</v>
      </c>
      <c r="B7992" s="6" t="str">
        <f t="shared" si="4126"/>
        <v># of 3-Month Active Agents in FA or equivalent</v>
      </c>
      <c r="C7992" s="4" t="str">
        <f>CHOOSE(2, "5462030031", "Jul 26")</f>
        <v>Jul 26</v>
      </c>
      <c r="D7992" s="14">
        <v>111</v>
      </c>
    </row>
    <row r="7993" spans="1:4" x14ac:dyDescent="0.35">
      <c r="A7993" s="8" t="str">
        <f t="shared" si="4104"/>
        <v>Cambodia</v>
      </c>
      <c r="B7993" s="3" t="str">
        <f t="shared" ref="B7993:B7994" si="4127">CHOOSE(2, "1395000000719", "Net Case Count - Agency")</f>
        <v>Net Case Count - Agency</v>
      </c>
      <c r="C7993" s="4" t="str">
        <f>CHOOSE(2, "5461730030", "Jun 26")</f>
        <v>Jun 26</v>
      </c>
      <c r="D7993" s="14">
        <v>102</v>
      </c>
    </row>
    <row r="7994" spans="1:4" x14ac:dyDescent="0.35">
      <c r="A7994" s="8" t="str">
        <f t="shared" si="4104"/>
        <v>Cambodia</v>
      </c>
      <c r="B7994" s="6" t="str">
        <f t="shared" si="4127"/>
        <v>Net Case Count - Agency</v>
      </c>
      <c r="C7994" s="4" t="str">
        <f>CHOOSE(2, "5462030031", "Jul 26")</f>
        <v>Jul 26</v>
      </c>
      <c r="D7994" s="14">
        <v>136</v>
      </c>
    </row>
    <row r="7995" spans="1:4" x14ac:dyDescent="0.35">
      <c r="A7995" s="8" t="str">
        <f t="shared" si="4104"/>
        <v>Cambodia</v>
      </c>
      <c r="B7995" s="3" t="str">
        <f t="shared" ref="B7995:B7996" si="4128">CHOOSE(2, "1395000000718", "Net Case Count - Agency in 0-1M")</f>
        <v>Net Case Count - Agency in 0-1M</v>
      </c>
      <c r="C7995" s="4" t="str">
        <f>CHOOSE(2, "5461730030", "Jun 26")</f>
        <v>Jun 26</v>
      </c>
      <c r="D7995" s="14">
        <v>4</v>
      </c>
    </row>
    <row r="7996" spans="1:4" x14ac:dyDescent="0.35">
      <c r="A7996" s="8" t="str">
        <f t="shared" si="4104"/>
        <v>Cambodia</v>
      </c>
      <c r="B7996" s="6" t="str">
        <f t="shared" si="4128"/>
        <v>Net Case Count - Agency in 0-1M</v>
      </c>
      <c r="C7996" s="4" t="str">
        <f>CHOOSE(2, "5462030031", "Jul 26")</f>
        <v>Jul 26</v>
      </c>
      <c r="D7996" s="14">
        <v>9</v>
      </c>
    </row>
    <row r="7997" spans="1:4" x14ac:dyDescent="0.35">
      <c r="A7997" s="8" t="str">
        <f t="shared" si="4104"/>
        <v>Cambodia</v>
      </c>
      <c r="B7997" s="3" t="str">
        <f t="shared" ref="B7997:B7998" si="4129">CHOOSE(2, "1395000000717", "Net Case Count - Agency in 2-3M")</f>
        <v>Net Case Count - Agency in 2-3M</v>
      </c>
      <c r="C7997" s="4" t="str">
        <f>CHOOSE(2, "5461730030", "Jun 26")</f>
        <v>Jun 26</v>
      </c>
      <c r="D7997" s="14">
        <v>11</v>
      </c>
    </row>
    <row r="7998" spans="1:4" x14ac:dyDescent="0.35">
      <c r="A7998" s="8" t="str">
        <f t="shared" si="4104"/>
        <v>Cambodia</v>
      </c>
      <c r="B7998" s="6" t="str">
        <f t="shared" si="4129"/>
        <v>Net Case Count - Agency in 2-3M</v>
      </c>
      <c r="C7998" s="4" t="str">
        <f>CHOOSE(2, "5462030031", "Jul 26")</f>
        <v>Jul 26</v>
      </c>
      <c r="D7998" s="14">
        <v>31</v>
      </c>
    </row>
    <row r="7999" spans="1:4" x14ac:dyDescent="0.35">
      <c r="A7999" s="8" t="str">
        <f t="shared" si="4104"/>
        <v>Cambodia</v>
      </c>
      <c r="B7999" s="3" t="str">
        <f t="shared" ref="B7999:B8000" si="4130">CHOOSE(2, "1395000000716", "Net Case Count - Agency in 4-12M")</f>
        <v>Net Case Count - Agency in 4-12M</v>
      </c>
      <c r="C7999" s="4" t="str">
        <f>CHOOSE(2, "5461730030", "Jun 26")</f>
        <v>Jun 26</v>
      </c>
      <c r="D7999" s="14">
        <v>28</v>
      </c>
    </row>
    <row r="8000" spans="1:4" x14ac:dyDescent="0.35">
      <c r="A8000" s="8" t="str">
        <f t="shared" si="4104"/>
        <v>Cambodia</v>
      </c>
      <c r="B8000" s="6" t="str">
        <f t="shared" si="4130"/>
        <v>Net Case Count - Agency in 4-12M</v>
      </c>
      <c r="C8000" s="4" t="str">
        <f>CHOOSE(2, "5462030031", "Jul 26")</f>
        <v>Jul 26</v>
      </c>
      <c r="D8000" s="14">
        <v>12</v>
      </c>
    </row>
    <row r="8001" spans="1:4" x14ac:dyDescent="0.35">
      <c r="A8001" s="8" t="str">
        <f t="shared" si="4104"/>
        <v>Cambodia</v>
      </c>
      <c r="B8001" s="3" t="str">
        <f t="shared" ref="B8001:B8002" si="4131">CHOOSE(2, "1395000000715", "Net Case Count - Agency 13+M")</f>
        <v>Net Case Count - Agency 13+M</v>
      </c>
      <c r="C8001" s="4" t="str">
        <f>CHOOSE(2, "5461730030", "Jun 26")</f>
        <v>Jun 26</v>
      </c>
      <c r="D8001" s="14">
        <v>59</v>
      </c>
    </row>
    <row r="8002" spans="1:4" x14ac:dyDescent="0.35">
      <c r="A8002" s="8" t="str">
        <f t="shared" si="4104"/>
        <v>Cambodia</v>
      </c>
      <c r="B8002" s="6" t="str">
        <f t="shared" si="4131"/>
        <v>Net Case Count - Agency 13+M</v>
      </c>
      <c r="C8002" s="4" t="str">
        <f>CHOOSE(2, "5462030031", "Jul 26")</f>
        <v>Jul 26</v>
      </c>
      <c r="D8002" s="14">
        <v>84</v>
      </c>
    </row>
    <row r="8003" spans="1:4" x14ac:dyDescent="0.35">
      <c r="A8003" s="8" t="str">
        <f t="shared" si="4104"/>
        <v>Cambodia</v>
      </c>
      <c r="B8003" s="3" t="str">
        <f t="shared" ref="B8003:B8004" si="4132">CHOOSE(2, "1395000000714", "Net Case Count - Agency in FA or equivalent")</f>
        <v>Net Case Count - Agency in FA or equivalent</v>
      </c>
      <c r="C8003" s="4" t="str">
        <f>CHOOSE(2, "5461730030", "Jun 26")</f>
        <v>Jun 26</v>
      </c>
      <c r="D8003" s="14">
        <v>82</v>
      </c>
    </row>
    <row r="8004" spans="1:4" x14ac:dyDescent="0.35">
      <c r="A8004" s="8" t="str">
        <f t="shared" si="4104"/>
        <v>Cambodia</v>
      </c>
      <c r="B8004" s="6" t="str">
        <f t="shared" si="4132"/>
        <v>Net Case Count - Agency in FA or equivalent</v>
      </c>
      <c r="C8004" s="4" t="str">
        <f>CHOOSE(2, "5462030031", "Jul 26")</f>
        <v>Jul 26</v>
      </c>
      <c r="D8004" s="14">
        <v>87</v>
      </c>
    </row>
    <row r="8005" spans="1:4" x14ac:dyDescent="0.35">
      <c r="A8005" s="8" t="str">
        <f t="shared" si="4104"/>
        <v>Cambodia</v>
      </c>
      <c r="B8005" s="3" t="str">
        <f t="shared" ref="B8005:B8006" si="4133">CHOOSE(2, "1395000000713", "Net Case Count - Agency in UM")</f>
        <v>Net Case Count - Agency in UM</v>
      </c>
      <c r="C8005" s="4" t="str">
        <f>CHOOSE(2, "5461730030", "Jun 26")</f>
        <v>Jun 26</v>
      </c>
      <c r="D8005" s="14">
        <v>10</v>
      </c>
    </row>
    <row r="8006" spans="1:4" x14ac:dyDescent="0.35">
      <c r="A8006" s="8" t="str">
        <f t="shared" si="4104"/>
        <v>Cambodia</v>
      </c>
      <c r="B8006" s="6" t="str">
        <f t="shared" si="4133"/>
        <v>Net Case Count - Agency in UM</v>
      </c>
      <c r="C8006" s="4" t="str">
        <f>CHOOSE(2, "5462030031", "Jul 26")</f>
        <v>Jul 26</v>
      </c>
      <c r="D8006" s="14">
        <v>21</v>
      </c>
    </row>
    <row r="8007" spans="1:4" x14ac:dyDescent="0.35">
      <c r="A8007" s="8" t="str">
        <f t="shared" si="4104"/>
        <v>Cambodia</v>
      </c>
      <c r="B8007" s="3" t="str">
        <f t="shared" ref="B8007:B8008" si="4134">CHOOSE(2, "1395000000712", "Net Case Count - Agency in Leaders above UM")</f>
        <v>Net Case Count - Agency in Leaders above UM</v>
      </c>
      <c r="C8007" s="4" t="str">
        <f>CHOOSE(2, "5461730030", "Jun 26")</f>
        <v>Jun 26</v>
      </c>
      <c r="D8007" s="14">
        <v>2</v>
      </c>
    </row>
    <row r="8008" spans="1:4" x14ac:dyDescent="0.35">
      <c r="A8008" s="8" t="str">
        <f t="shared" si="4104"/>
        <v>Cambodia</v>
      </c>
      <c r="B8008" s="6" t="str">
        <f t="shared" si="4134"/>
        <v>Net Case Count - Agency in Leaders above UM</v>
      </c>
      <c r="C8008" s="4" t="str">
        <f>CHOOSE(2, "5462030031", "Jul 26")</f>
        <v>Jul 26</v>
      </c>
      <c r="D8008" s="14">
        <v>2</v>
      </c>
    </row>
    <row r="8009" spans="1:4" x14ac:dyDescent="0.35">
      <c r="A8009" s="8" t="str">
        <f t="shared" si="4104"/>
        <v>Cambodia</v>
      </c>
      <c r="B8009" s="3" t="str">
        <f t="shared" ref="B8009:B8010" si="4135">CHOOSE(2, "1395000000711", "Net Case Count - Agency in Top-tier Agents")</f>
        <v>Net Case Count - Agency in Top-tier Agents</v>
      </c>
      <c r="C8009" s="4" t="str">
        <f>CHOOSE(2, "5461730030", "Jun 26")</f>
        <v>Jun 26</v>
      </c>
      <c r="D8009" s="14">
        <v>7</v>
      </c>
    </row>
    <row r="8010" spans="1:4" x14ac:dyDescent="0.35">
      <c r="A8010" s="8" t="str">
        <f t="shared" si="4104"/>
        <v>Cambodia</v>
      </c>
      <c r="B8010" s="6" t="str">
        <f t="shared" si="4135"/>
        <v>Net Case Count - Agency in Top-tier Agents</v>
      </c>
      <c r="C8010" s="4" t="str">
        <f>CHOOSE(2, "5462030031", "Jul 26")</f>
        <v>Jul 26</v>
      </c>
      <c r="D8010" s="14">
        <v>14</v>
      </c>
    </row>
    <row r="8011" spans="1:4" x14ac:dyDescent="0.35">
      <c r="A8011" s="8" t="str">
        <f t="shared" si="4104"/>
        <v>Cambodia</v>
      </c>
      <c r="B8011" s="3" t="str">
        <f t="shared" ref="B8011:B8012" si="4136">CHOOSE(2, "1395000000710", "Net Case Count - Agency in pro-rated MDRT agents (&gt;100%)")</f>
        <v>Net Case Count - Agency in pro-rated MDRT agents (&gt;100%)</v>
      </c>
      <c r="C8011" s="4" t="str">
        <f>CHOOSE(2, "5461730030", "Jun 26")</f>
        <v>Jun 26</v>
      </c>
      <c r="D8011" s="14">
        <v>0</v>
      </c>
    </row>
    <row r="8012" spans="1:4" x14ac:dyDescent="0.35">
      <c r="A8012" s="8" t="str">
        <f t="shared" si="4104"/>
        <v>Cambodia</v>
      </c>
      <c r="B8012" s="6" t="str">
        <f t="shared" si="4136"/>
        <v>Net Case Count - Agency in pro-rated MDRT agents (&gt;100%)</v>
      </c>
      <c r="C8012" s="4" t="str">
        <f>CHOOSE(2, "5462030031", "Jul 26")</f>
        <v>Jul 26</v>
      </c>
      <c r="D8012" s="14">
        <v>7</v>
      </c>
    </row>
    <row r="8013" spans="1:4" x14ac:dyDescent="0.35">
      <c r="A8013" s="8" t="str">
        <f t="shared" ref="A8013:A8076" si="4137">CHOOSE(2, "204000000009", "Cambodia")</f>
        <v>Cambodia</v>
      </c>
      <c r="B8013" s="3" t="str">
        <f t="shared" ref="B8013:B8014" si="4138">CHOOSE(2, "1395000000709", "Net Case Count - Agency in pro-rated MDRT agents (70-99%)")</f>
        <v>Net Case Count - Agency in pro-rated MDRT agents (70-99%)</v>
      </c>
      <c r="C8013" s="4" t="str">
        <f>CHOOSE(2, "5461730030", "Jun 26")</f>
        <v>Jun 26</v>
      </c>
      <c r="D8013" s="14">
        <v>4</v>
      </c>
    </row>
    <row r="8014" spans="1:4" x14ac:dyDescent="0.35">
      <c r="A8014" s="8" t="str">
        <f t="shared" si="4137"/>
        <v>Cambodia</v>
      </c>
      <c r="B8014" s="6" t="str">
        <f t="shared" si="4138"/>
        <v>Net Case Count - Agency in pro-rated MDRT agents (70-99%)</v>
      </c>
      <c r="C8014" s="4" t="str">
        <f>CHOOSE(2, "5462030031", "Jul 26")</f>
        <v>Jul 26</v>
      </c>
      <c r="D8014" s="14">
        <v>6</v>
      </c>
    </row>
    <row r="8015" spans="1:4" x14ac:dyDescent="0.35">
      <c r="A8015" s="8" t="str">
        <f t="shared" si="4137"/>
        <v>Cambodia</v>
      </c>
      <c r="B8015" s="3" t="str">
        <f t="shared" ref="B8015:B8016" si="4139">CHOOSE(2, "1395000000708", "Net Case Count - Agency in pro-rated MDRT agents (50-69%)")</f>
        <v>Net Case Count - Agency in pro-rated MDRT agents (50-69%)</v>
      </c>
      <c r="C8015" s="4" t="str">
        <f>CHOOSE(2, "5461730030", "Jun 26")</f>
        <v>Jun 26</v>
      </c>
      <c r="D8015" s="14">
        <v>3</v>
      </c>
    </row>
    <row r="8016" spans="1:4" x14ac:dyDescent="0.35">
      <c r="A8016" s="8" t="str">
        <f t="shared" si="4137"/>
        <v>Cambodia</v>
      </c>
      <c r="B8016" s="6" t="str">
        <f t="shared" si="4139"/>
        <v>Net Case Count - Agency in pro-rated MDRT agents (50-69%)</v>
      </c>
      <c r="C8016" s="4" t="str">
        <f>CHOOSE(2, "5462030031", "Jul 26")</f>
        <v>Jul 26</v>
      </c>
      <c r="D8016" s="14">
        <v>1</v>
      </c>
    </row>
    <row r="8017" spans="1:4" x14ac:dyDescent="0.35">
      <c r="A8017" s="8" t="str">
        <f t="shared" si="4137"/>
        <v>Cambodia</v>
      </c>
      <c r="B8017" s="3" t="str">
        <f t="shared" ref="B8017:B8018" si="4140">CHOOSE(2, "1395000000707", "Net Case Count - Agency in Manulife Pro Qualifiers - Total")</f>
        <v>Net Case Count - Agency in Manulife Pro Qualifiers - Total</v>
      </c>
      <c r="C8017" s="4" t="str">
        <f>CHOOSE(2, "5461730030", "Jun 26")</f>
        <v>Jun 26</v>
      </c>
      <c r="D8017" s="14">
        <v>0</v>
      </c>
    </row>
    <row r="8018" spans="1:4" x14ac:dyDescent="0.35">
      <c r="A8018" s="8" t="str">
        <f t="shared" si="4137"/>
        <v>Cambodia</v>
      </c>
      <c r="B8018" s="6" t="str">
        <f t="shared" si="4140"/>
        <v>Net Case Count - Agency in Manulife Pro Qualifiers - Total</v>
      </c>
      <c r="C8018" s="4" t="str">
        <f>CHOOSE(2, "5462030031", "Jul 26")</f>
        <v>Jul 26</v>
      </c>
      <c r="D8018" s="14">
        <v>0</v>
      </c>
    </row>
    <row r="8019" spans="1:4" x14ac:dyDescent="0.35">
      <c r="A8019" s="8" t="str">
        <f t="shared" si="4137"/>
        <v>Cambodia</v>
      </c>
      <c r="B8019" s="3" t="str">
        <f t="shared" ref="B8019:B8020" si="4141">CHOOSE(2, "1395000000706", "No. of Sales Proposal Generated")</f>
        <v>No. of Sales Proposal Generated</v>
      </c>
      <c r="C8019" s="4" t="str">
        <f>CHOOSE(2, "5461730030", "Jun 26")</f>
        <v>Jun 26</v>
      </c>
      <c r="D8019" s="2" t="s">
        <v>5</v>
      </c>
    </row>
    <row r="8020" spans="1:4" x14ac:dyDescent="0.35">
      <c r="A8020" s="8" t="str">
        <f t="shared" si="4137"/>
        <v>Cambodia</v>
      </c>
      <c r="B8020" s="6" t="str">
        <f t="shared" si="4141"/>
        <v>No. of Sales Proposal Generated</v>
      </c>
      <c r="C8020" s="4" t="str">
        <f>CHOOSE(2, "5462030031", "Jul 26")</f>
        <v>Jul 26</v>
      </c>
      <c r="D8020" s="2" t="s">
        <v>5</v>
      </c>
    </row>
    <row r="8021" spans="1:4" x14ac:dyDescent="0.35">
      <c r="A8021" s="8" t="str">
        <f t="shared" si="4137"/>
        <v>Cambodia</v>
      </c>
      <c r="B8021" s="3" t="str">
        <f t="shared" ref="B8021:B8022" si="4142">CHOOSE(2, "1395000000705", "$ APE from Agents in X tenure")</f>
        <v>$ APE from Agents in X tenure</v>
      </c>
      <c r="C8021" s="4" t="str">
        <f>CHOOSE(2, "5461730030", "Jun 26")</f>
        <v>Jun 26</v>
      </c>
      <c r="D8021" s="14">
        <v>133907.66</v>
      </c>
    </row>
    <row r="8022" spans="1:4" x14ac:dyDescent="0.35">
      <c r="A8022" s="8" t="str">
        <f t="shared" si="4137"/>
        <v>Cambodia</v>
      </c>
      <c r="B8022" s="6" t="str">
        <f t="shared" si="4142"/>
        <v>$ APE from Agents in X tenure</v>
      </c>
      <c r="C8022" s="4" t="str">
        <f>CHOOSE(2, "5462030031", "Jul 26")</f>
        <v>Jul 26</v>
      </c>
      <c r="D8022" s="14">
        <v>145456.20000000001</v>
      </c>
    </row>
    <row r="8023" spans="1:4" x14ac:dyDescent="0.35">
      <c r="A8023" s="8" t="str">
        <f t="shared" si="4137"/>
        <v>Cambodia</v>
      </c>
      <c r="B8023" s="3" t="str">
        <f t="shared" ref="B8023:B8024" si="4143">CHOOSE(2, "1395000000704", "$ APE from Agents in X tenure in 0-1M")</f>
        <v>$ APE from Agents in X tenure in 0-1M</v>
      </c>
      <c r="C8023" s="4" t="str">
        <f>CHOOSE(2, "5461730030", "Jun 26")</f>
        <v>Jun 26</v>
      </c>
      <c r="D8023" s="14">
        <v>13390.766000000001</v>
      </c>
    </row>
    <row r="8024" spans="1:4" x14ac:dyDescent="0.35">
      <c r="A8024" s="8" t="str">
        <f t="shared" si="4137"/>
        <v>Cambodia</v>
      </c>
      <c r="B8024" s="6" t="str">
        <f t="shared" si="4143"/>
        <v>$ APE from Agents in X tenure in 0-1M</v>
      </c>
      <c r="C8024" s="4" t="str">
        <f>CHOOSE(2, "5462030031", "Jul 26")</f>
        <v>Jul 26</v>
      </c>
      <c r="D8024" s="14">
        <v>14545.620000000003</v>
      </c>
    </row>
    <row r="8025" spans="1:4" x14ac:dyDescent="0.35">
      <c r="A8025" s="8" t="str">
        <f t="shared" si="4137"/>
        <v>Cambodia</v>
      </c>
      <c r="B8025" s="3" t="str">
        <f t="shared" ref="B8025:B8026" si="4144">CHOOSE(2, "1395000000703", "$ APE from Agents in X tenure in 2-3M")</f>
        <v>$ APE from Agents in X tenure in 2-3M</v>
      </c>
      <c r="C8025" s="4" t="str">
        <f>CHOOSE(2, "5461730030", "Jun 26")</f>
        <v>Jun 26</v>
      </c>
      <c r="D8025" s="14">
        <v>26781.532000000003</v>
      </c>
    </row>
    <row r="8026" spans="1:4" x14ac:dyDescent="0.35">
      <c r="A8026" s="8" t="str">
        <f t="shared" si="4137"/>
        <v>Cambodia</v>
      </c>
      <c r="B8026" s="6" t="str">
        <f t="shared" si="4144"/>
        <v>$ APE from Agents in X tenure in 2-3M</v>
      </c>
      <c r="C8026" s="4" t="str">
        <f>CHOOSE(2, "5462030031", "Jul 26")</f>
        <v>Jul 26</v>
      </c>
      <c r="D8026" s="14">
        <v>29091.240000000005</v>
      </c>
    </row>
    <row r="8027" spans="1:4" x14ac:dyDescent="0.35">
      <c r="A8027" s="8" t="str">
        <f t="shared" si="4137"/>
        <v>Cambodia</v>
      </c>
      <c r="B8027" s="3" t="str">
        <f t="shared" ref="B8027:B8028" si="4145">CHOOSE(2, "1395000000702", "$ APE from Agents in X tenure in 4-12M")</f>
        <v>$ APE from Agents in X tenure in 4-12M</v>
      </c>
      <c r="C8027" s="4" t="str">
        <f>CHOOSE(2, "5461730030", "Jun 26")</f>
        <v>Jun 26</v>
      </c>
      <c r="D8027" s="14">
        <v>40172.298000000003</v>
      </c>
    </row>
    <row r="8028" spans="1:4" x14ac:dyDescent="0.35">
      <c r="A8028" s="8" t="str">
        <f t="shared" si="4137"/>
        <v>Cambodia</v>
      </c>
      <c r="B8028" s="6" t="str">
        <f t="shared" si="4145"/>
        <v>$ APE from Agents in X tenure in 4-12M</v>
      </c>
      <c r="C8028" s="4" t="str">
        <f>CHOOSE(2, "5462030031", "Jul 26")</f>
        <v>Jul 26</v>
      </c>
      <c r="D8028" s="14">
        <v>43636.86</v>
      </c>
    </row>
    <row r="8029" spans="1:4" x14ac:dyDescent="0.35">
      <c r="A8029" s="8" t="str">
        <f t="shared" si="4137"/>
        <v>Cambodia</v>
      </c>
      <c r="B8029" s="3" t="str">
        <f t="shared" ref="B8029:B8030" si="4146">CHOOSE(2, "1395000000701", "$ APE from Agents in X tenure 13+M")</f>
        <v>$ APE from Agents in X tenure 13+M</v>
      </c>
      <c r="C8029" s="4" t="str">
        <f>CHOOSE(2, "5461730030", "Jun 26")</f>
        <v>Jun 26</v>
      </c>
      <c r="D8029" s="14">
        <v>53563.064000000006</v>
      </c>
    </row>
    <row r="8030" spans="1:4" x14ac:dyDescent="0.35">
      <c r="A8030" s="8" t="str">
        <f t="shared" si="4137"/>
        <v>Cambodia</v>
      </c>
      <c r="B8030" s="6" t="str">
        <f t="shared" si="4146"/>
        <v>$ APE from Agents in X tenure 13+M</v>
      </c>
      <c r="C8030" s="4" t="str">
        <f>CHOOSE(2, "5462030031", "Jul 26")</f>
        <v>Jul 26</v>
      </c>
      <c r="D8030" s="14">
        <v>58182.48000000001</v>
      </c>
    </row>
    <row r="8031" spans="1:4" x14ac:dyDescent="0.35">
      <c r="A8031" s="8" t="str">
        <f t="shared" si="4137"/>
        <v>Cambodia</v>
      </c>
      <c r="B8031" s="3" t="str">
        <f t="shared" ref="B8031:B8032" si="4147">CHOOSE(2, "1395000000700", "Total agent headcount (end of period)")</f>
        <v>Total agent headcount (end of period)</v>
      </c>
      <c r="C8031" s="4" t="str">
        <f>CHOOSE(2, "5461730030", "Jun 26")</f>
        <v>Jun 26</v>
      </c>
      <c r="D8031" s="14">
        <v>1083</v>
      </c>
    </row>
    <row r="8032" spans="1:4" x14ac:dyDescent="0.35">
      <c r="A8032" s="8" t="str">
        <f t="shared" si="4137"/>
        <v>Cambodia</v>
      </c>
      <c r="B8032" s="6" t="str">
        <f t="shared" si="4147"/>
        <v>Total agent headcount (end of period)</v>
      </c>
      <c r="C8032" s="4" t="str">
        <f>CHOOSE(2, "5462030031", "Jul 26")</f>
        <v>Jul 26</v>
      </c>
      <c r="D8032" s="14">
        <v>1130</v>
      </c>
    </row>
    <row r="8033" spans="1:4" x14ac:dyDescent="0.35">
      <c r="A8033" s="8" t="str">
        <f t="shared" si="4137"/>
        <v>Cambodia</v>
      </c>
      <c r="B8033" s="3" t="str">
        <f t="shared" ref="B8033:B8034" si="4148">CHOOSE(2, "1395000000699", "Total agent headcount (end of period) in 0-1M")</f>
        <v>Total agent headcount (end of period) in 0-1M</v>
      </c>
      <c r="C8033" s="4" t="str">
        <f>CHOOSE(2, "5461730030", "Jun 26")</f>
        <v>Jun 26</v>
      </c>
      <c r="D8033" s="14">
        <v>43</v>
      </c>
    </row>
    <row r="8034" spans="1:4" x14ac:dyDescent="0.35">
      <c r="A8034" s="8" t="str">
        <f t="shared" si="4137"/>
        <v>Cambodia</v>
      </c>
      <c r="B8034" s="6" t="str">
        <f t="shared" si="4148"/>
        <v>Total agent headcount (end of period) in 0-1M</v>
      </c>
      <c r="C8034" s="4" t="str">
        <f>CHOOSE(2, "5462030031", "Jul 26")</f>
        <v>Jul 26</v>
      </c>
      <c r="D8034" s="14">
        <v>47</v>
      </c>
    </row>
    <row r="8035" spans="1:4" x14ac:dyDescent="0.35">
      <c r="A8035" s="8" t="str">
        <f t="shared" si="4137"/>
        <v>Cambodia</v>
      </c>
      <c r="B8035" s="3" t="str">
        <f t="shared" ref="B8035:B8036" si="4149">CHOOSE(2, "1395000000698", "Total agent headcount (end of period) in 2-3M")</f>
        <v>Total agent headcount (end of period) in 2-3M</v>
      </c>
      <c r="C8035" s="4" t="str">
        <f>CHOOSE(2, "5461730030", "Jun 26")</f>
        <v>Jun 26</v>
      </c>
      <c r="D8035" s="14">
        <v>80</v>
      </c>
    </row>
    <row r="8036" spans="1:4" x14ac:dyDescent="0.35">
      <c r="A8036" s="8" t="str">
        <f t="shared" si="4137"/>
        <v>Cambodia</v>
      </c>
      <c r="B8036" s="6" t="str">
        <f t="shared" si="4149"/>
        <v>Total agent headcount (end of period) in 2-3M</v>
      </c>
      <c r="C8036" s="4" t="str">
        <f>CHOOSE(2, "5462030031", "Jul 26")</f>
        <v>Jul 26</v>
      </c>
      <c r="D8036" s="14">
        <v>95</v>
      </c>
    </row>
    <row r="8037" spans="1:4" x14ac:dyDescent="0.35">
      <c r="A8037" s="8" t="str">
        <f t="shared" si="4137"/>
        <v>Cambodia</v>
      </c>
      <c r="B8037" s="3" t="str">
        <f t="shared" ref="B8037:B8038" si="4150">CHOOSE(2, "1395000000697", "Total agent headcount (end of period) in 4-12M")</f>
        <v>Total agent headcount (end of period) in 4-12M</v>
      </c>
      <c r="C8037" s="4" t="str">
        <f>CHOOSE(2, "5461730030", "Jun 26")</f>
        <v>Jun 26</v>
      </c>
      <c r="D8037" s="14">
        <v>446</v>
      </c>
    </row>
    <row r="8038" spans="1:4" x14ac:dyDescent="0.35">
      <c r="A8038" s="8" t="str">
        <f t="shared" si="4137"/>
        <v>Cambodia</v>
      </c>
      <c r="B8038" s="6" t="str">
        <f t="shared" si="4150"/>
        <v>Total agent headcount (end of period) in 4-12M</v>
      </c>
      <c r="C8038" s="4" t="str">
        <f>CHOOSE(2, "5462030031", "Jul 26")</f>
        <v>Jul 26</v>
      </c>
      <c r="D8038" s="14">
        <v>433</v>
      </c>
    </row>
    <row r="8039" spans="1:4" x14ac:dyDescent="0.35">
      <c r="A8039" s="8" t="str">
        <f t="shared" si="4137"/>
        <v>Cambodia</v>
      </c>
      <c r="B8039" s="3" t="str">
        <f t="shared" ref="B8039:B8040" si="4151">CHOOSE(2, "1395000000696", "Total agent headcount (end of period) 13+M")</f>
        <v>Total agent headcount (end of period) 13+M</v>
      </c>
      <c r="C8039" s="4" t="str">
        <f>CHOOSE(2, "5461730030", "Jun 26")</f>
        <v>Jun 26</v>
      </c>
      <c r="D8039" s="14">
        <v>514</v>
      </c>
    </row>
    <row r="8040" spans="1:4" x14ac:dyDescent="0.35">
      <c r="A8040" s="8" t="str">
        <f t="shared" si="4137"/>
        <v>Cambodia</v>
      </c>
      <c r="B8040" s="6" t="str">
        <f t="shared" si="4151"/>
        <v>Total agent headcount (end of period) 13+M</v>
      </c>
      <c r="C8040" s="4" t="str">
        <f>CHOOSE(2, "5462030031", "Jul 26")</f>
        <v>Jul 26</v>
      </c>
      <c r="D8040" s="14">
        <v>555</v>
      </c>
    </row>
    <row r="8041" spans="1:4" x14ac:dyDescent="0.35">
      <c r="A8041" s="8" t="str">
        <f t="shared" si="4137"/>
        <v>Cambodia</v>
      </c>
      <c r="B8041" s="3" t="str">
        <f t="shared" ref="B8041:B8042" si="4152">CHOOSE(2, "1395000000695", "Total agent headcount (end of period) in FA or equivalent")</f>
        <v>Total agent headcount (end of period) in FA or equivalent</v>
      </c>
      <c r="C8041" s="4" t="str">
        <f>CHOOSE(2, "5461730030", "Jun 26")</f>
        <v>Jun 26</v>
      </c>
      <c r="D8041" s="14">
        <v>918</v>
      </c>
    </row>
    <row r="8042" spans="1:4" x14ac:dyDescent="0.35">
      <c r="A8042" s="8" t="str">
        <f t="shared" si="4137"/>
        <v>Cambodia</v>
      </c>
      <c r="B8042" s="6" t="str">
        <f t="shared" si="4152"/>
        <v>Total agent headcount (end of period) in FA or equivalent</v>
      </c>
      <c r="C8042" s="4" t="str">
        <f>CHOOSE(2, "5462030031", "Jul 26")</f>
        <v>Jul 26</v>
      </c>
      <c r="D8042" s="14">
        <v>943</v>
      </c>
    </row>
    <row r="8043" spans="1:4" x14ac:dyDescent="0.35">
      <c r="A8043" s="8" t="str">
        <f t="shared" si="4137"/>
        <v>Cambodia</v>
      </c>
      <c r="B8043" s="3" t="str">
        <f t="shared" ref="B8043:B8044" si="4153">CHOOSE(2, "1395000000694", "Total agent headcount (end of period) in UM")</f>
        <v>Total agent headcount (end of period) in UM</v>
      </c>
      <c r="C8043" s="4" t="str">
        <f>CHOOSE(2, "5461730030", "Jun 26")</f>
        <v>Jun 26</v>
      </c>
      <c r="D8043" s="14">
        <v>102</v>
      </c>
    </row>
    <row r="8044" spans="1:4" x14ac:dyDescent="0.35">
      <c r="A8044" s="8" t="str">
        <f t="shared" si="4137"/>
        <v>Cambodia</v>
      </c>
      <c r="B8044" s="6" t="str">
        <f t="shared" si="4153"/>
        <v>Total agent headcount (end of period) in UM</v>
      </c>
      <c r="C8044" s="4" t="str">
        <f>CHOOSE(2, "5462030031", "Jul 26")</f>
        <v>Jul 26</v>
      </c>
      <c r="D8044" s="14">
        <v>117</v>
      </c>
    </row>
    <row r="8045" spans="1:4" x14ac:dyDescent="0.35">
      <c r="A8045" s="8" t="str">
        <f t="shared" si="4137"/>
        <v>Cambodia</v>
      </c>
      <c r="B8045" s="3" t="str">
        <f t="shared" ref="B8045:B8046" si="4154">CHOOSE(2, "1395000000693", "Total agent headcount (end of period) in Leaders above UM")</f>
        <v>Total agent headcount (end of period) in Leaders above UM</v>
      </c>
      <c r="C8045" s="4" t="str">
        <f>CHOOSE(2, "5461730030", "Jun 26")</f>
        <v>Jun 26</v>
      </c>
      <c r="D8045" s="14">
        <v>34</v>
      </c>
    </row>
    <row r="8046" spans="1:4" x14ac:dyDescent="0.35">
      <c r="A8046" s="8" t="str">
        <f t="shared" si="4137"/>
        <v>Cambodia</v>
      </c>
      <c r="B8046" s="6" t="str">
        <f t="shared" si="4154"/>
        <v>Total agent headcount (end of period) in Leaders above UM</v>
      </c>
      <c r="C8046" s="4" t="str">
        <f>CHOOSE(2, "5462030031", "Jul 26")</f>
        <v>Jul 26</v>
      </c>
      <c r="D8046" s="14">
        <v>37</v>
      </c>
    </row>
    <row r="8047" spans="1:4" x14ac:dyDescent="0.35">
      <c r="A8047" s="8" t="str">
        <f t="shared" si="4137"/>
        <v>Cambodia</v>
      </c>
      <c r="B8047" s="3" t="str">
        <f t="shared" ref="B8047:B8048" si="4155">CHOOSE(2, "1395000000692", "Total agent headcount (end of period) in Top-tier agents")</f>
        <v>Total agent headcount (end of period) in Top-tier agents</v>
      </c>
      <c r="C8047" s="4" t="str">
        <f>CHOOSE(2, "5461730030", "Jun 26")</f>
        <v>Jun 26</v>
      </c>
      <c r="D8047" s="14">
        <v>3</v>
      </c>
    </row>
    <row r="8048" spans="1:4" x14ac:dyDescent="0.35">
      <c r="A8048" s="8" t="str">
        <f t="shared" si="4137"/>
        <v>Cambodia</v>
      </c>
      <c r="B8048" s="6" t="str">
        <f t="shared" si="4155"/>
        <v>Total agent headcount (end of period) in Top-tier agents</v>
      </c>
      <c r="C8048" s="4" t="str">
        <f>CHOOSE(2, "5462030031", "Jul 26")</f>
        <v>Jul 26</v>
      </c>
      <c r="D8048" s="14">
        <v>3</v>
      </c>
    </row>
    <row r="8049" spans="1:4" x14ac:dyDescent="0.35">
      <c r="A8049" s="8" t="str">
        <f t="shared" si="4137"/>
        <v>Cambodia</v>
      </c>
      <c r="B8049" s="3" t="str">
        <f t="shared" ref="B8049:B8050" si="4156">CHOOSE(2, "1395000000691", "Total agent headcount  in pro-rated MDRT agents (&gt;100%)")</f>
        <v>Total agent headcount  in pro-rated MDRT agents (&gt;100%)</v>
      </c>
      <c r="C8049" s="4" t="str">
        <f>CHOOSE(2, "5461730030", "Jun 26")</f>
        <v>Jun 26</v>
      </c>
      <c r="D8049" s="14">
        <v>0</v>
      </c>
    </row>
    <row r="8050" spans="1:4" x14ac:dyDescent="0.35">
      <c r="A8050" s="8" t="str">
        <f t="shared" si="4137"/>
        <v>Cambodia</v>
      </c>
      <c r="B8050" s="6" t="str">
        <f t="shared" si="4156"/>
        <v>Total agent headcount  in pro-rated MDRT agents (&gt;100%)</v>
      </c>
      <c r="C8050" s="4" t="str">
        <f>CHOOSE(2, "5462030031", "Jul 26")</f>
        <v>Jul 26</v>
      </c>
      <c r="D8050" s="14">
        <v>1</v>
      </c>
    </row>
    <row r="8051" spans="1:4" x14ac:dyDescent="0.35">
      <c r="A8051" s="8" t="str">
        <f t="shared" si="4137"/>
        <v>Cambodia</v>
      </c>
      <c r="B8051" s="3" t="str">
        <f t="shared" ref="B8051:B8052" si="4157">CHOOSE(2, "1395000000690", "Total agent headcount  in pro-rated MDRT agents (70-99%)")</f>
        <v>Total agent headcount  in pro-rated MDRT agents (70-99%)</v>
      </c>
      <c r="C8051" s="4" t="str">
        <f>CHOOSE(2, "5461730030", "Jun 26")</f>
        <v>Jun 26</v>
      </c>
      <c r="D8051" s="14">
        <v>2</v>
      </c>
    </row>
    <row r="8052" spans="1:4" x14ac:dyDescent="0.35">
      <c r="A8052" s="8" t="str">
        <f t="shared" si="4137"/>
        <v>Cambodia</v>
      </c>
      <c r="B8052" s="6" t="str">
        <f t="shared" si="4157"/>
        <v>Total agent headcount  in pro-rated MDRT agents (70-99%)</v>
      </c>
      <c r="C8052" s="4" t="str">
        <f>CHOOSE(2, "5462030031", "Jul 26")</f>
        <v>Jul 26</v>
      </c>
      <c r="D8052" s="14">
        <v>1</v>
      </c>
    </row>
    <row r="8053" spans="1:4" x14ac:dyDescent="0.35">
      <c r="A8053" s="8" t="str">
        <f t="shared" si="4137"/>
        <v>Cambodia</v>
      </c>
      <c r="B8053" s="3" t="str">
        <f t="shared" ref="B8053:B8054" si="4158">CHOOSE(2, "1395000000689", "Total agent headcount  in pro-rated MDRT agents (50-69%)")</f>
        <v>Total agent headcount  in pro-rated MDRT agents (50-69%)</v>
      </c>
      <c r="C8053" s="4" t="str">
        <f>CHOOSE(2, "5461730030", "Jun 26")</f>
        <v>Jun 26</v>
      </c>
      <c r="D8053" s="14">
        <v>1</v>
      </c>
    </row>
    <row r="8054" spans="1:4" x14ac:dyDescent="0.35">
      <c r="A8054" s="8" t="str">
        <f t="shared" si="4137"/>
        <v>Cambodia</v>
      </c>
      <c r="B8054" s="6" t="str">
        <f t="shared" si="4158"/>
        <v>Total agent headcount  in pro-rated MDRT agents (50-69%)</v>
      </c>
      <c r="C8054" s="4" t="str">
        <f>CHOOSE(2, "5462030031", "Jul 26")</f>
        <v>Jul 26</v>
      </c>
      <c r="D8054" s="14">
        <v>1</v>
      </c>
    </row>
    <row r="8055" spans="1:4" x14ac:dyDescent="0.35">
      <c r="A8055" s="8" t="str">
        <f t="shared" si="4137"/>
        <v>Cambodia</v>
      </c>
      <c r="B8055" s="3" t="str">
        <f t="shared" ref="B8055:B8056" si="4159">CHOOSE(2, "1395000000688", "Total agent headcount  in Manulife Pro Qualifiers - Total")</f>
        <v>Total agent headcount  in Manulife Pro Qualifiers - Total</v>
      </c>
      <c r="C8055" s="4" t="str">
        <f>CHOOSE(2, "5461730030", "Jun 26")</f>
        <v>Jun 26</v>
      </c>
      <c r="D8055" s="14">
        <v>0</v>
      </c>
    </row>
    <row r="8056" spans="1:4" x14ac:dyDescent="0.35">
      <c r="A8056" s="8" t="str">
        <f t="shared" si="4137"/>
        <v>Cambodia</v>
      </c>
      <c r="B8056" s="6" t="str">
        <f t="shared" si="4159"/>
        <v>Total agent headcount  in Manulife Pro Qualifiers - Total</v>
      </c>
      <c r="C8056" s="4" t="str">
        <f>CHOOSE(2, "5462030031", "Jul 26")</f>
        <v>Jul 26</v>
      </c>
      <c r="D8056" s="14">
        <v>0</v>
      </c>
    </row>
    <row r="8057" spans="1:4" x14ac:dyDescent="0.35">
      <c r="A8057" s="8" t="str">
        <f t="shared" si="4137"/>
        <v>Cambodia</v>
      </c>
      <c r="B8057" s="3" t="str">
        <f t="shared" ref="B8057:B8058" si="4160">CHOOSE(2, "1395000000687", "New recruits")</f>
        <v>New recruits</v>
      </c>
      <c r="C8057" s="4" t="str">
        <f>CHOOSE(2, "5461730030", "Jun 26")</f>
        <v>Jun 26</v>
      </c>
      <c r="D8057" s="14">
        <v>43</v>
      </c>
    </row>
    <row r="8058" spans="1:4" x14ac:dyDescent="0.35">
      <c r="A8058" s="8" t="str">
        <f t="shared" si="4137"/>
        <v>Cambodia</v>
      </c>
      <c r="B8058" s="6" t="str">
        <f t="shared" si="4160"/>
        <v>New recruits</v>
      </c>
      <c r="C8058" s="4" t="str">
        <f>CHOOSE(2, "5462030031", "Jul 26")</f>
        <v>Jul 26</v>
      </c>
      <c r="D8058" s="14">
        <v>47</v>
      </c>
    </row>
    <row r="8059" spans="1:4" x14ac:dyDescent="0.35">
      <c r="A8059" s="8" t="str">
        <f t="shared" si="4137"/>
        <v>Cambodia</v>
      </c>
      <c r="B8059" s="3" t="str">
        <f t="shared" ref="B8059:B8060" si="4161">CHOOSE(2, "1395000000686", "New recruits - Leader level")</f>
        <v>New recruits - Leader level</v>
      </c>
      <c r="C8059" s="4" t="str">
        <f>CHOOSE(2, "5461730030", "Jun 26")</f>
        <v>Jun 26</v>
      </c>
      <c r="D8059" s="2" t="s">
        <v>5</v>
      </c>
    </row>
    <row r="8060" spans="1:4" x14ac:dyDescent="0.35">
      <c r="A8060" s="8" t="str">
        <f t="shared" si="4137"/>
        <v>Cambodia</v>
      </c>
      <c r="B8060" s="6" t="str">
        <f t="shared" si="4161"/>
        <v>New recruits - Leader level</v>
      </c>
      <c r="C8060" s="4" t="str">
        <f>CHOOSE(2, "5462030031", "Jul 26")</f>
        <v>Jul 26</v>
      </c>
      <c r="D8060" s="2" t="s">
        <v>5</v>
      </c>
    </row>
    <row r="8061" spans="1:4" x14ac:dyDescent="0.35">
      <c r="A8061" s="8" t="str">
        <f t="shared" si="4137"/>
        <v>Cambodia</v>
      </c>
      <c r="B8061" s="3" t="str">
        <f t="shared" ref="B8061:B8062" si="4162">CHOOSE(2, "1395000000685", "New recruits - FA or equivalent")</f>
        <v>New recruits - FA or equivalent</v>
      </c>
      <c r="C8061" s="4" t="str">
        <f>CHOOSE(2, "5461730030", "Jun 26")</f>
        <v>Jun 26</v>
      </c>
      <c r="D8061" s="14">
        <v>37</v>
      </c>
    </row>
    <row r="8062" spans="1:4" x14ac:dyDescent="0.35">
      <c r="A8062" s="8" t="str">
        <f t="shared" si="4137"/>
        <v>Cambodia</v>
      </c>
      <c r="B8062" s="6" t="str">
        <f t="shared" si="4162"/>
        <v>New recruits - FA or equivalent</v>
      </c>
      <c r="C8062" s="4" t="str">
        <f>CHOOSE(2, "5462030031", "Jul 26")</f>
        <v>Jul 26</v>
      </c>
      <c r="D8062" s="14">
        <v>38</v>
      </c>
    </row>
    <row r="8063" spans="1:4" x14ac:dyDescent="0.35">
      <c r="A8063" s="8" t="str">
        <f t="shared" si="4137"/>
        <v>Cambodia</v>
      </c>
      <c r="B8063" s="3" t="str">
        <f t="shared" ref="B8063:B8064" si="4163">CHOOSE(2, "1395000000684", "New recruits in UM")</f>
        <v>New recruits in UM</v>
      </c>
      <c r="C8063" s="4" t="str">
        <f>CHOOSE(2, "5461730030", "Jun 26")</f>
        <v>Jun 26</v>
      </c>
      <c r="D8063" s="14">
        <v>0</v>
      </c>
    </row>
    <row r="8064" spans="1:4" x14ac:dyDescent="0.35">
      <c r="A8064" s="8" t="str">
        <f t="shared" si="4137"/>
        <v>Cambodia</v>
      </c>
      <c r="B8064" s="6" t="str">
        <f t="shared" si="4163"/>
        <v>New recruits in UM</v>
      </c>
      <c r="C8064" s="4" t="str">
        <f>CHOOSE(2, "5462030031", "Jul 26")</f>
        <v>Jul 26</v>
      </c>
      <c r="D8064" s="14">
        <v>5</v>
      </c>
    </row>
    <row r="8065" spans="1:4" x14ac:dyDescent="0.35">
      <c r="A8065" s="8" t="str">
        <f t="shared" si="4137"/>
        <v>Cambodia</v>
      </c>
      <c r="B8065" s="3" t="str">
        <f t="shared" ref="B8065:B8066" si="4164">CHOOSE(2, "1395000000683", "New recruits in Leaders above UM")</f>
        <v>New recruits in Leaders above UM</v>
      </c>
      <c r="C8065" s="4" t="str">
        <f>CHOOSE(2, "5461730030", "Jun 26")</f>
        <v>Jun 26</v>
      </c>
      <c r="D8065" s="14">
        <v>0</v>
      </c>
    </row>
    <row r="8066" spans="1:4" x14ac:dyDescent="0.35">
      <c r="A8066" s="8" t="str">
        <f t="shared" si="4137"/>
        <v>Cambodia</v>
      </c>
      <c r="B8066" s="6" t="str">
        <f t="shared" si="4164"/>
        <v>New recruits in Leaders above UM</v>
      </c>
      <c r="C8066" s="4" t="str">
        <f>CHOOSE(2, "5462030031", "Jul 26")</f>
        <v>Jul 26</v>
      </c>
      <c r="D8066" s="14">
        <v>2</v>
      </c>
    </row>
    <row r="8067" spans="1:4" x14ac:dyDescent="0.35">
      <c r="A8067" s="8" t="str">
        <f t="shared" si="4137"/>
        <v>Cambodia</v>
      </c>
      <c r="B8067" s="3" t="str">
        <f t="shared" ref="B8067:B8068" si="4165">CHOOSE(2, "1395000000682", "# of 6-90 agents")</f>
        <v># of 6-90 agents</v>
      </c>
      <c r="C8067" s="4" t="str">
        <f>CHOOSE(2, "5461730030", "Jun 26")</f>
        <v>Jun 26</v>
      </c>
      <c r="D8067" s="14">
        <v>4</v>
      </c>
    </row>
    <row r="8068" spans="1:4" x14ac:dyDescent="0.35">
      <c r="A8068" s="8" t="str">
        <f t="shared" si="4137"/>
        <v>Cambodia</v>
      </c>
      <c r="B8068" s="6" t="str">
        <f t="shared" si="4165"/>
        <v># of 6-90 agents</v>
      </c>
      <c r="C8068" s="4" t="str">
        <f>CHOOSE(2, "5462030031", "Jul 26")</f>
        <v>Jul 26</v>
      </c>
      <c r="D8068" s="14">
        <v>1</v>
      </c>
    </row>
    <row r="8069" spans="1:4" x14ac:dyDescent="0.35">
      <c r="A8069" s="8" t="str">
        <f t="shared" si="4137"/>
        <v>Cambodia</v>
      </c>
      <c r="B8069" s="3" t="str">
        <f t="shared" ref="B8069:B8070" si="4166">CHOOSE(2, "1395000000681", "New Recruits 3M Activation #")</f>
        <v>New Recruits 3M Activation #</v>
      </c>
      <c r="C8069" s="4" t="str">
        <f>CHOOSE(2, "5461730030", "Jun 26")</f>
        <v>Jun 26</v>
      </c>
      <c r="D8069" s="14">
        <v>20</v>
      </c>
    </row>
    <row r="8070" spans="1:4" x14ac:dyDescent="0.35">
      <c r="A8070" s="8" t="str">
        <f t="shared" si="4137"/>
        <v>Cambodia</v>
      </c>
      <c r="B8070" s="6" t="str">
        <f t="shared" si="4166"/>
        <v>New Recruits 3M Activation #</v>
      </c>
      <c r="C8070" s="4" t="str">
        <f>CHOOSE(2, "5462030031", "Jul 26")</f>
        <v>Jul 26</v>
      </c>
      <c r="D8070" s="14">
        <v>2</v>
      </c>
    </row>
    <row r="8071" spans="1:4" x14ac:dyDescent="0.35">
      <c r="A8071" s="8" t="str">
        <f t="shared" si="4137"/>
        <v>Cambodia</v>
      </c>
      <c r="B8071" s="3" t="str">
        <f t="shared" ref="B8071:B8072" si="4167">CHOOSE(2, "1395000000680", "No of Terminations")</f>
        <v>No of Terminations</v>
      </c>
      <c r="C8071" s="4" t="str">
        <f>CHOOSE(2, "5461730030", "Jun 26")</f>
        <v>Jun 26</v>
      </c>
      <c r="D8071" s="14">
        <v>0</v>
      </c>
    </row>
    <row r="8072" spans="1:4" x14ac:dyDescent="0.35">
      <c r="A8072" s="8" t="str">
        <f t="shared" si="4137"/>
        <v>Cambodia</v>
      </c>
      <c r="B8072" s="6" t="str">
        <f t="shared" si="4167"/>
        <v>No of Terminations</v>
      </c>
      <c r="C8072" s="4" t="str">
        <f>CHOOSE(2, "5462030031", "Jul 26")</f>
        <v>Jul 26</v>
      </c>
      <c r="D8072" s="14">
        <v>2</v>
      </c>
    </row>
    <row r="8073" spans="1:4" x14ac:dyDescent="0.35">
      <c r="A8073" s="8" t="str">
        <f t="shared" si="4137"/>
        <v>Cambodia</v>
      </c>
      <c r="B8073" s="3" t="str">
        <f t="shared" ref="B8073:B8074" si="4168">CHOOSE(2, "1395000000679", "No of Terminations in FA or equivalent")</f>
        <v>No of Terminations in FA or equivalent</v>
      </c>
      <c r="C8073" s="4" t="str">
        <f>CHOOSE(2, "5461730030", "Jun 26")</f>
        <v>Jun 26</v>
      </c>
      <c r="D8073" s="14">
        <v>0</v>
      </c>
    </row>
    <row r="8074" spans="1:4" x14ac:dyDescent="0.35">
      <c r="A8074" s="8" t="str">
        <f t="shared" si="4137"/>
        <v>Cambodia</v>
      </c>
      <c r="B8074" s="6" t="str">
        <f t="shared" si="4168"/>
        <v>No of Terminations in FA or equivalent</v>
      </c>
      <c r="C8074" s="4" t="str">
        <f>CHOOSE(2, "5462030031", "Jul 26")</f>
        <v>Jul 26</v>
      </c>
      <c r="D8074" s="14">
        <v>2</v>
      </c>
    </row>
    <row r="8075" spans="1:4" x14ac:dyDescent="0.35">
      <c r="A8075" s="8" t="str">
        <f t="shared" si="4137"/>
        <v>Cambodia</v>
      </c>
      <c r="B8075" s="3" t="str">
        <f t="shared" ref="B8075:B8076" si="4169">CHOOSE(2, "1395000000678", "No of Terminations in UM")</f>
        <v>No of Terminations in UM</v>
      </c>
      <c r="C8075" s="4" t="str">
        <f>CHOOSE(2, "5461730030", "Jun 26")</f>
        <v>Jun 26</v>
      </c>
      <c r="D8075" s="14">
        <v>0</v>
      </c>
    </row>
    <row r="8076" spans="1:4" x14ac:dyDescent="0.35">
      <c r="A8076" s="8" t="str">
        <f t="shared" si="4137"/>
        <v>Cambodia</v>
      </c>
      <c r="B8076" s="6" t="str">
        <f t="shared" si="4169"/>
        <v>No of Terminations in UM</v>
      </c>
      <c r="C8076" s="4" t="str">
        <f>CHOOSE(2, "5462030031", "Jul 26")</f>
        <v>Jul 26</v>
      </c>
      <c r="D8076" s="14">
        <v>0</v>
      </c>
    </row>
    <row r="8077" spans="1:4" x14ac:dyDescent="0.35">
      <c r="A8077" s="8" t="str">
        <f t="shared" ref="A8077:A8140" si="4170">CHOOSE(2, "204000000009", "Cambodia")</f>
        <v>Cambodia</v>
      </c>
      <c r="B8077" s="3" t="str">
        <f t="shared" ref="B8077:B8078" si="4171">CHOOSE(2, "1395000000677", "No of Terminations in Leaders above UM")</f>
        <v>No of Terminations in Leaders above UM</v>
      </c>
      <c r="C8077" s="4" t="str">
        <f>CHOOSE(2, "5461730030", "Jun 26")</f>
        <v>Jun 26</v>
      </c>
      <c r="D8077" s="14">
        <v>0</v>
      </c>
    </row>
    <row r="8078" spans="1:4" x14ac:dyDescent="0.35">
      <c r="A8078" s="8" t="str">
        <f t="shared" si="4170"/>
        <v>Cambodia</v>
      </c>
      <c r="B8078" s="6" t="str">
        <f t="shared" si="4171"/>
        <v>No of Terminations in Leaders above UM</v>
      </c>
      <c r="C8078" s="4" t="str">
        <f>CHOOSE(2, "5462030031", "Jul 26")</f>
        <v>Jul 26</v>
      </c>
      <c r="D8078" s="14">
        <v>0</v>
      </c>
    </row>
    <row r="8079" spans="1:4" x14ac:dyDescent="0.35">
      <c r="A8079" s="8" t="str">
        <f t="shared" si="4170"/>
        <v>Cambodia</v>
      </c>
      <c r="B8079" s="3" t="str">
        <f t="shared" ref="B8079:B8080" si="4172">CHOOSE(2, "1395000000676", "No of Terminations in Top-tier Agents")</f>
        <v>No of Terminations in Top-tier Agents</v>
      </c>
      <c r="C8079" s="4" t="str">
        <f>CHOOSE(2, "5461730030", "Jun 26")</f>
        <v>Jun 26</v>
      </c>
      <c r="D8079" s="14">
        <v>0</v>
      </c>
    </row>
    <row r="8080" spans="1:4" x14ac:dyDescent="0.35">
      <c r="A8080" s="8" t="str">
        <f t="shared" si="4170"/>
        <v>Cambodia</v>
      </c>
      <c r="B8080" s="6" t="str">
        <f t="shared" si="4172"/>
        <v>No of Terminations in Top-tier Agents</v>
      </c>
      <c r="C8080" s="4" t="str">
        <f>CHOOSE(2, "5462030031", "Jul 26")</f>
        <v>Jul 26</v>
      </c>
      <c r="D8080" s="14">
        <v>0</v>
      </c>
    </row>
    <row r="8081" spans="1:4" x14ac:dyDescent="0.35">
      <c r="A8081" s="8" t="str">
        <f t="shared" si="4170"/>
        <v>Cambodia</v>
      </c>
      <c r="B8081" s="3" t="str">
        <f t="shared" ref="B8081:B8082" si="4173">CHOOSE(2, "1395000000675", "No of Terminations in pro-rated MDRT agents (&gt;100%)")</f>
        <v>No of Terminations in pro-rated MDRT agents (&gt;100%)</v>
      </c>
      <c r="C8081" s="4" t="str">
        <f>CHOOSE(2, "5461730030", "Jun 26")</f>
        <v>Jun 26</v>
      </c>
      <c r="D8081" s="14">
        <v>0</v>
      </c>
    </row>
    <row r="8082" spans="1:4" x14ac:dyDescent="0.35">
      <c r="A8082" s="8" t="str">
        <f t="shared" si="4170"/>
        <v>Cambodia</v>
      </c>
      <c r="B8082" s="6" t="str">
        <f t="shared" si="4173"/>
        <v>No of Terminations in pro-rated MDRT agents (&gt;100%)</v>
      </c>
      <c r="C8082" s="4" t="str">
        <f>CHOOSE(2, "5462030031", "Jul 26")</f>
        <v>Jul 26</v>
      </c>
      <c r="D8082" s="14">
        <v>0</v>
      </c>
    </row>
    <row r="8083" spans="1:4" x14ac:dyDescent="0.35">
      <c r="A8083" s="8" t="str">
        <f t="shared" si="4170"/>
        <v>Cambodia</v>
      </c>
      <c r="B8083" s="3" t="str">
        <f t="shared" ref="B8083:B8084" si="4174">CHOOSE(2, "1395000000674", "No of Terminations in pro-rated MDRT agents (70-99%)")</f>
        <v>No of Terminations in pro-rated MDRT agents (70-99%)</v>
      </c>
      <c r="C8083" s="4" t="str">
        <f>CHOOSE(2, "5461730030", "Jun 26")</f>
        <v>Jun 26</v>
      </c>
      <c r="D8083" s="14">
        <v>0</v>
      </c>
    </row>
    <row r="8084" spans="1:4" x14ac:dyDescent="0.35">
      <c r="A8084" s="8" t="str">
        <f t="shared" si="4170"/>
        <v>Cambodia</v>
      </c>
      <c r="B8084" s="6" t="str">
        <f t="shared" si="4174"/>
        <v>No of Terminations in pro-rated MDRT agents (70-99%)</v>
      </c>
      <c r="C8084" s="4" t="str">
        <f>CHOOSE(2, "5462030031", "Jul 26")</f>
        <v>Jul 26</v>
      </c>
      <c r="D8084" s="14">
        <v>0</v>
      </c>
    </row>
    <row r="8085" spans="1:4" x14ac:dyDescent="0.35">
      <c r="A8085" s="8" t="str">
        <f t="shared" si="4170"/>
        <v>Cambodia</v>
      </c>
      <c r="B8085" s="3" t="str">
        <f t="shared" ref="B8085:B8086" si="4175">CHOOSE(2, "1395000000673", "No of Terminations in pro-rated MDRT agents (50-69%)")</f>
        <v>No of Terminations in pro-rated MDRT agents (50-69%)</v>
      </c>
      <c r="C8085" s="4" t="str">
        <f>CHOOSE(2, "5461730030", "Jun 26")</f>
        <v>Jun 26</v>
      </c>
      <c r="D8085" s="14">
        <v>0</v>
      </c>
    </row>
    <row r="8086" spans="1:4" x14ac:dyDescent="0.35">
      <c r="A8086" s="8" t="str">
        <f t="shared" si="4170"/>
        <v>Cambodia</v>
      </c>
      <c r="B8086" s="6" t="str">
        <f t="shared" si="4175"/>
        <v>No of Terminations in pro-rated MDRT agents (50-69%)</v>
      </c>
      <c r="C8086" s="4" t="str">
        <f>CHOOSE(2, "5462030031", "Jul 26")</f>
        <v>Jul 26</v>
      </c>
      <c r="D8086" s="14">
        <v>0</v>
      </c>
    </row>
    <row r="8087" spans="1:4" x14ac:dyDescent="0.35">
      <c r="A8087" s="8" t="str">
        <f t="shared" si="4170"/>
        <v>Cambodia</v>
      </c>
      <c r="B8087" s="3" t="str">
        <f t="shared" ref="B8087:B8088" si="4176">CHOOSE(2, "1395000000672", "No of Terminations in Manulife Pro Qualifiers - Total")</f>
        <v>No of Terminations in Manulife Pro Qualifiers - Total</v>
      </c>
      <c r="C8087" s="4" t="str">
        <f>CHOOSE(2, "5461730030", "Jun 26")</f>
        <v>Jun 26</v>
      </c>
      <c r="D8087" s="14">
        <v>0</v>
      </c>
    </row>
    <row r="8088" spans="1:4" x14ac:dyDescent="0.35">
      <c r="A8088" s="8" t="str">
        <f t="shared" si="4170"/>
        <v>Cambodia</v>
      </c>
      <c r="B8088" s="6" t="str">
        <f t="shared" si="4176"/>
        <v>No of Terminations in Manulife Pro Qualifiers - Total</v>
      </c>
      <c r="C8088" s="4" t="str">
        <f>CHOOSE(2, "5462030031", "Jul 26")</f>
        <v>Jul 26</v>
      </c>
      <c r="D8088" s="14">
        <v>0</v>
      </c>
    </row>
    <row r="8089" spans="1:4" x14ac:dyDescent="0.35">
      <c r="A8089" s="8" t="str">
        <f t="shared" si="4170"/>
        <v>Cambodia</v>
      </c>
      <c r="B8089" s="3" t="str">
        <f t="shared" ref="B8089:B8090" si="4177">CHOOSE(2, "1395000000671", "First Year Agents Terminated without Sales")</f>
        <v>First Year Agents Terminated without Sales</v>
      </c>
      <c r="C8089" s="4" t="str">
        <f>CHOOSE(2, "5461730030", "Jun 26")</f>
        <v>Jun 26</v>
      </c>
      <c r="D8089" s="14">
        <v>0</v>
      </c>
    </row>
    <row r="8090" spans="1:4" x14ac:dyDescent="0.35">
      <c r="A8090" s="8" t="str">
        <f t="shared" si="4170"/>
        <v>Cambodia</v>
      </c>
      <c r="B8090" s="6" t="str">
        <f t="shared" si="4177"/>
        <v>First Year Agents Terminated without Sales</v>
      </c>
      <c r="C8090" s="4" t="str">
        <f>CHOOSE(2, "5462030031", "Jul 26")</f>
        <v>Jul 26</v>
      </c>
      <c r="D8090" s="14">
        <v>2</v>
      </c>
    </row>
    <row r="8091" spans="1:4" x14ac:dyDescent="0.35">
      <c r="A8091" s="8" t="str">
        <f t="shared" si="4170"/>
        <v>Cambodia</v>
      </c>
      <c r="B8091" s="3" t="str">
        <f t="shared" ref="B8091:B8092" si="4178">CHOOSE(2, "1395000000670", "6mth Agency Retention Ratio")</f>
        <v>6mth Agency Retention Ratio</v>
      </c>
      <c r="C8091" s="4" t="str">
        <f>CHOOSE(2, "5461730030", "Jun 26")</f>
        <v>Jun 26</v>
      </c>
      <c r="D8091" s="14">
        <v>0.955453</v>
      </c>
    </row>
    <row r="8092" spans="1:4" x14ac:dyDescent="0.35">
      <c r="A8092" s="8" t="str">
        <f t="shared" si="4170"/>
        <v>Cambodia</v>
      </c>
      <c r="B8092" s="6" t="str">
        <f t="shared" si="4178"/>
        <v>6mth Agency Retention Ratio</v>
      </c>
      <c r="C8092" s="4" t="str">
        <f>CHOOSE(2, "5462030031", "Jul 26")</f>
        <v>Jul 26</v>
      </c>
      <c r="D8092" s="14">
        <v>0.95939799999999997</v>
      </c>
    </row>
    <row r="8093" spans="1:4" x14ac:dyDescent="0.35">
      <c r="A8093" s="8" t="str">
        <f t="shared" si="4170"/>
        <v>Cambodia</v>
      </c>
      <c r="B8093" s="3" t="str">
        <f t="shared" ref="B8093:B8094" si="4179">CHOOSE(2, "1395000000669", "12mth Agency Retention Ratio")</f>
        <v>12mth Agency Retention Ratio</v>
      </c>
      <c r="C8093" s="4" t="str">
        <f>CHOOSE(2, "5461730030", "Jun 26")</f>
        <v>Jun 26</v>
      </c>
      <c r="D8093" s="14">
        <v>0.80351399999999995</v>
      </c>
    </row>
    <row r="8094" spans="1:4" x14ac:dyDescent="0.35">
      <c r="A8094" s="8" t="str">
        <f t="shared" si="4170"/>
        <v>Cambodia</v>
      </c>
      <c r="B8094" s="6" t="str">
        <f t="shared" si="4179"/>
        <v>12mth Agency Retention Ratio</v>
      </c>
      <c r="C8094" s="4" t="str">
        <f>CHOOSE(2, "5462030031", "Jul 26")</f>
        <v>Jul 26</v>
      </c>
      <c r="D8094" s="14">
        <v>0.819079</v>
      </c>
    </row>
    <row r="8095" spans="1:4" x14ac:dyDescent="0.35">
      <c r="A8095" s="8" t="str">
        <f t="shared" si="4170"/>
        <v>Cambodia</v>
      </c>
      <c r="B8095" s="3" t="str">
        <f t="shared" ref="B8095:B8096" si="4180">CHOOSE(2, "1395000000668", "24mth Agency Retention Ratio")</f>
        <v>24mth Agency Retention Ratio</v>
      </c>
      <c r="C8095" s="4" t="str">
        <f>CHOOSE(2, "5461730030", "Jun 26")</f>
        <v>Jun 26</v>
      </c>
      <c r="D8095" s="14">
        <v>0.145952</v>
      </c>
    </row>
    <row r="8096" spans="1:4" x14ac:dyDescent="0.35">
      <c r="A8096" s="8" t="str">
        <f t="shared" si="4170"/>
        <v>Cambodia</v>
      </c>
      <c r="B8096" s="6" t="str">
        <f t="shared" si="4180"/>
        <v>24mth Agency Retention Ratio</v>
      </c>
      <c r="C8096" s="4" t="str">
        <f>CHOOSE(2, "5462030031", "Jul 26")</f>
        <v>Jul 26</v>
      </c>
      <c r="D8096" s="14">
        <v>0.150421</v>
      </c>
    </row>
    <row r="8097" spans="1:4" x14ac:dyDescent="0.35">
      <c r="A8097" s="8" t="str">
        <f t="shared" si="4170"/>
        <v>Cambodia</v>
      </c>
      <c r="B8097" s="3" t="str">
        <f t="shared" ref="B8097:B8098" si="4181">CHOOSE(2, "1395000000667", "Total # of Leaders (end of period)")</f>
        <v>Total # of Leaders (end of period)</v>
      </c>
      <c r="C8097" s="4" t="str">
        <f>CHOOSE(2, "5461730030", "Jun 26")</f>
        <v>Jun 26</v>
      </c>
      <c r="D8097" s="14">
        <v>136</v>
      </c>
    </row>
    <row r="8098" spans="1:4" x14ac:dyDescent="0.35">
      <c r="A8098" s="8" t="str">
        <f t="shared" si="4170"/>
        <v>Cambodia</v>
      </c>
      <c r="B8098" s="6" t="str">
        <f t="shared" si="4181"/>
        <v>Total # of Leaders (end of period)</v>
      </c>
      <c r="C8098" s="4" t="str">
        <f>CHOOSE(2, "5462030031", "Jul 26")</f>
        <v>Jul 26</v>
      </c>
      <c r="D8098" s="14">
        <v>154</v>
      </c>
    </row>
    <row r="8099" spans="1:4" x14ac:dyDescent="0.35">
      <c r="A8099" s="8" t="str">
        <f t="shared" si="4170"/>
        <v>Cambodia</v>
      </c>
      <c r="B8099" s="3" t="str">
        <f t="shared" ref="B8099:B8100" si="4182">CHOOSE(2, "1395000000666", "Total # of Unit Managers")</f>
        <v>Total # of Unit Managers</v>
      </c>
      <c r="C8099" s="4" t="str">
        <f>CHOOSE(2, "5461730030", "Jun 26")</f>
        <v>Jun 26</v>
      </c>
      <c r="D8099" s="14">
        <v>102</v>
      </c>
    </row>
    <row r="8100" spans="1:4" x14ac:dyDescent="0.35">
      <c r="A8100" s="8" t="str">
        <f t="shared" si="4170"/>
        <v>Cambodia</v>
      </c>
      <c r="B8100" s="6" t="str">
        <f t="shared" si="4182"/>
        <v>Total # of Unit Managers</v>
      </c>
      <c r="C8100" s="4" t="str">
        <f>CHOOSE(2, "5462030031", "Jul 26")</f>
        <v>Jul 26</v>
      </c>
      <c r="D8100" s="14">
        <v>117</v>
      </c>
    </row>
    <row r="8101" spans="1:4" x14ac:dyDescent="0.35">
      <c r="A8101" s="8" t="str">
        <f t="shared" si="4170"/>
        <v>Cambodia</v>
      </c>
      <c r="B8101" s="3" t="str">
        <f t="shared" ref="B8101:B8102" si="4183">CHOOSE(2, "1395000000665", "Total # of Leaders above Unit Manager level")</f>
        <v>Total # of Leaders above Unit Manager level</v>
      </c>
      <c r="C8101" s="4" t="str">
        <f>CHOOSE(2, "5461730030", "Jun 26")</f>
        <v>Jun 26</v>
      </c>
      <c r="D8101" s="14">
        <v>34</v>
      </c>
    </row>
    <row r="8102" spans="1:4" x14ac:dyDescent="0.35">
      <c r="A8102" s="8" t="str">
        <f t="shared" si="4170"/>
        <v>Cambodia</v>
      </c>
      <c r="B8102" s="6" t="str">
        <f t="shared" si="4183"/>
        <v>Total # of Leaders above Unit Manager level</v>
      </c>
      <c r="C8102" s="4" t="str">
        <f>CHOOSE(2, "5462030031", "Jul 26")</f>
        <v>Jul 26</v>
      </c>
      <c r="D8102" s="14">
        <v>37</v>
      </c>
    </row>
    <row r="8103" spans="1:4" x14ac:dyDescent="0.35">
      <c r="A8103" s="8" t="str">
        <f t="shared" si="4170"/>
        <v>Cambodia</v>
      </c>
      <c r="B8103" s="3" t="str">
        <f t="shared" ref="B8103:B8104" si="4184">CHOOSE(2, "1395000000664", "Total # of Agents below Unit Manager level (end of period)")</f>
        <v>Total # of Agents below Unit Manager level (end of period)</v>
      </c>
      <c r="C8103" s="4" t="str">
        <f>CHOOSE(2, "5461730030", "Jun 26")</f>
        <v>Jun 26</v>
      </c>
      <c r="D8103" s="14">
        <v>918</v>
      </c>
    </row>
    <row r="8104" spans="1:4" x14ac:dyDescent="0.35">
      <c r="A8104" s="8" t="str">
        <f t="shared" si="4170"/>
        <v>Cambodia</v>
      </c>
      <c r="B8104" s="6" t="str">
        <f t="shared" si="4184"/>
        <v>Total # of Agents below Unit Manager level (end of period)</v>
      </c>
      <c r="C8104" s="4" t="str">
        <f>CHOOSE(2, "5462030031", "Jul 26")</f>
        <v>Jul 26</v>
      </c>
      <c r="D8104" s="14">
        <v>943</v>
      </c>
    </row>
    <row r="8105" spans="1:4" x14ac:dyDescent="0.35">
      <c r="A8105" s="8" t="str">
        <f t="shared" si="4170"/>
        <v>Cambodia</v>
      </c>
      <c r="B8105" s="3" t="str">
        <f t="shared" ref="B8105:B8106" si="4185">CHOOSE(2, "1395000000663", "# of Active Recruiting Leaders")</f>
        <v># of Active Recruiting Leaders</v>
      </c>
      <c r="C8105" s="4" t="str">
        <f>CHOOSE(2, "5461730030", "Jun 26")</f>
        <v>Jun 26</v>
      </c>
      <c r="D8105" s="14">
        <v>21</v>
      </c>
    </row>
    <row r="8106" spans="1:4" x14ac:dyDescent="0.35">
      <c r="A8106" s="8" t="str">
        <f t="shared" si="4170"/>
        <v>Cambodia</v>
      </c>
      <c r="B8106" s="6" t="str">
        <f t="shared" si="4185"/>
        <v># of Active Recruiting Leaders</v>
      </c>
      <c r="C8106" s="4" t="str">
        <f>CHOOSE(2, "5462030031", "Jul 26")</f>
        <v>Jul 26</v>
      </c>
      <c r="D8106" s="14">
        <v>26</v>
      </c>
    </row>
    <row r="8107" spans="1:4" x14ac:dyDescent="0.35">
      <c r="A8107" s="8" t="str">
        <f t="shared" si="4170"/>
        <v>Cambodia</v>
      </c>
      <c r="B8107" s="3" t="str">
        <f t="shared" ref="B8107:B8108" si="4186">CHOOSE(2, "1395000000662", "# of leaders with &gt;1 YTD recruit")</f>
        <v># of leaders with &gt;1 YTD recruit</v>
      </c>
      <c r="C8107" s="4" t="str">
        <f>CHOOSE(2, "5461730030", "Jun 26")</f>
        <v>Jun 26</v>
      </c>
      <c r="D8107" s="14">
        <v>60</v>
      </c>
    </row>
    <row r="8108" spans="1:4" x14ac:dyDescent="0.35">
      <c r="A8108" s="8" t="str">
        <f t="shared" si="4170"/>
        <v>Cambodia</v>
      </c>
      <c r="B8108" s="6" t="str">
        <f t="shared" si="4186"/>
        <v># of leaders with &gt;1 YTD recruit</v>
      </c>
      <c r="C8108" s="4" t="str">
        <f>CHOOSE(2, "5462030031", "Jul 26")</f>
        <v>Jul 26</v>
      </c>
      <c r="D8108" s="14">
        <v>74</v>
      </c>
    </row>
    <row r="8109" spans="1:4" x14ac:dyDescent="0.35">
      <c r="A8109" s="8" t="str">
        <f t="shared" si="4170"/>
        <v>Cambodia</v>
      </c>
      <c r="B8109" s="3" t="str">
        <f t="shared" ref="B8109:B8110" si="4187">CHOOSE(2, "1395000000661", "Income ratio from personal sales (UM)")</f>
        <v>Income ratio from personal sales (UM)</v>
      </c>
      <c r="C8109" s="4" t="str">
        <f>CHOOSE(2, "5461730030", "Jun 26")</f>
        <v>Jun 26</v>
      </c>
      <c r="D8109" s="14">
        <v>0.14558607711689722</v>
      </c>
    </row>
    <row r="8110" spans="1:4" x14ac:dyDescent="0.35">
      <c r="A8110" s="8" t="str">
        <f t="shared" si="4170"/>
        <v>Cambodia</v>
      </c>
      <c r="B8110" s="6" t="str">
        <f t="shared" si="4187"/>
        <v>Income ratio from personal sales (UM)</v>
      </c>
      <c r="C8110" s="4" t="str">
        <f>CHOOSE(2, "5462030031", "Jul 26")</f>
        <v>Jul 26</v>
      </c>
      <c r="D8110" s="14">
        <v>0.16623738325585294</v>
      </c>
    </row>
    <row r="8111" spans="1:4" x14ac:dyDescent="0.35">
      <c r="A8111" s="8" t="str">
        <f t="shared" si="4170"/>
        <v>Cambodia</v>
      </c>
      <c r="B8111" s="3" t="str">
        <f t="shared" ref="B8111:B8112" si="4188">CHOOSE(2, "1395000000660", "Income ratio from personal sales (UM) (numerator)")</f>
        <v>Income ratio from personal sales (UM) (numerator)</v>
      </c>
      <c r="C8111" s="4" t="str">
        <f>CHOOSE(2, "5461730030", "Jun 26")</f>
        <v>Jun 26</v>
      </c>
      <c r="D8111" s="14">
        <v>6002.76</v>
      </c>
    </row>
    <row r="8112" spans="1:4" x14ac:dyDescent="0.35">
      <c r="A8112" s="8" t="str">
        <f t="shared" si="4170"/>
        <v>Cambodia</v>
      </c>
      <c r="B8112" s="6" t="str">
        <f t="shared" si="4188"/>
        <v>Income ratio from personal sales (UM) (numerator)</v>
      </c>
      <c r="C8112" s="4" t="str">
        <f>CHOOSE(2, "5462030031", "Jul 26")</f>
        <v>Jul 26</v>
      </c>
      <c r="D8112" s="14">
        <v>6985.88</v>
      </c>
    </row>
    <row r="8113" spans="1:4" x14ac:dyDescent="0.35">
      <c r="A8113" s="8" t="str">
        <f t="shared" si="4170"/>
        <v>Cambodia</v>
      </c>
      <c r="B8113" s="3" t="str">
        <f t="shared" ref="B8113:B8114" si="4189">CHOOSE(2, "1395000000659", "Income ratio from personal sales (UM) (denominator)")</f>
        <v>Income ratio from personal sales (UM) (denominator)</v>
      </c>
      <c r="C8113" s="4" t="str">
        <f>CHOOSE(2, "5461730030", "Jun 26")</f>
        <v>Jun 26</v>
      </c>
      <c r="D8113" s="14">
        <v>41231.69</v>
      </c>
    </row>
    <row r="8114" spans="1:4" x14ac:dyDescent="0.35">
      <c r="A8114" s="8" t="str">
        <f t="shared" si="4170"/>
        <v>Cambodia</v>
      </c>
      <c r="B8114" s="6" t="str">
        <f t="shared" si="4189"/>
        <v>Income ratio from personal sales (UM) (denominator)</v>
      </c>
      <c r="C8114" s="4" t="str">
        <f>CHOOSE(2, "5462030031", "Jul 26")</f>
        <v>Jul 26</v>
      </c>
      <c r="D8114" s="14">
        <v>42023.519999999997</v>
      </c>
    </row>
    <row r="8115" spans="1:4" x14ac:dyDescent="0.35">
      <c r="A8115" s="8" t="str">
        <f t="shared" si="4170"/>
        <v>Cambodia</v>
      </c>
      <c r="B8115" s="3" t="str">
        <f t="shared" ref="B8115:B8116" si="4190">CHOOSE(2, "1395000000658", "Income ratio from personal sales (Leader above UM)")</f>
        <v>Income ratio from personal sales (Leader above UM)</v>
      </c>
      <c r="C8115" s="4" t="str">
        <f>CHOOSE(2, "5461730030", "Jun 26")</f>
        <v>Jun 26</v>
      </c>
      <c r="D8115" s="14">
        <v>2.9456888855592805E-2</v>
      </c>
    </row>
    <row r="8116" spans="1:4" x14ac:dyDescent="0.35">
      <c r="A8116" s="8" t="str">
        <f t="shared" si="4170"/>
        <v>Cambodia</v>
      </c>
      <c r="B8116" s="6" t="str">
        <f t="shared" si="4190"/>
        <v>Income ratio from personal sales (Leader above UM)</v>
      </c>
      <c r="C8116" s="4" t="str">
        <f>CHOOSE(2, "5462030031", "Jul 26")</f>
        <v>Jul 26</v>
      </c>
      <c r="D8116" s="14">
        <v>3.4293346003223327E-2</v>
      </c>
    </row>
    <row r="8117" spans="1:4" x14ac:dyDescent="0.35">
      <c r="A8117" s="8" t="str">
        <f t="shared" si="4170"/>
        <v>Cambodia</v>
      </c>
      <c r="B8117" s="3" t="str">
        <f t="shared" ref="B8117:B8118" si="4191">CHOOSE(2, "1395000000657", "Income ratio from personal sales (Leader above UM) (num)")</f>
        <v>Income ratio from personal sales (Leader above UM) (num)</v>
      </c>
      <c r="C8117" s="4" t="str">
        <f>CHOOSE(2, "5461730030", "Jun 26")</f>
        <v>Jun 26</v>
      </c>
      <c r="D8117" s="14">
        <v>1887.35</v>
      </c>
    </row>
    <row r="8118" spans="1:4" x14ac:dyDescent="0.35">
      <c r="A8118" s="8" t="str">
        <f t="shared" si="4170"/>
        <v>Cambodia</v>
      </c>
      <c r="B8118" s="6" t="str">
        <f t="shared" si="4191"/>
        <v>Income ratio from personal sales (Leader above UM) (num)</v>
      </c>
      <c r="C8118" s="4" t="str">
        <f>CHOOSE(2, "5462030031", "Jul 26")</f>
        <v>Jul 26</v>
      </c>
      <c r="D8118" s="14">
        <v>1592.25</v>
      </c>
    </row>
    <row r="8119" spans="1:4" x14ac:dyDescent="0.35">
      <c r="A8119" s="8" t="str">
        <f t="shared" si="4170"/>
        <v>Cambodia</v>
      </c>
      <c r="B8119" s="3" t="str">
        <f t="shared" ref="B8119:B8120" si="4192">CHOOSE(2, "1395000000656", "Income ratio from personal sales (Leader above UM) (den)")</f>
        <v>Income ratio from personal sales (Leader above UM) (den)</v>
      </c>
      <c r="C8119" s="4" t="str">
        <f>CHOOSE(2, "5461730030", "Jun 26")</f>
        <v>Jun 26</v>
      </c>
      <c r="D8119" s="14">
        <v>64071.6</v>
      </c>
    </row>
    <row r="8120" spans="1:4" x14ac:dyDescent="0.35">
      <c r="A8120" s="8" t="str">
        <f t="shared" si="4170"/>
        <v>Cambodia</v>
      </c>
      <c r="B8120" s="6" t="str">
        <f t="shared" si="4192"/>
        <v>Income ratio from personal sales (Leader above UM) (den)</v>
      </c>
      <c r="C8120" s="4" t="str">
        <f>CHOOSE(2, "5462030031", "Jul 26")</f>
        <v>Jul 26</v>
      </c>
      <c r="D8120" s="14">
        <v>46430.29</v>
      </c>
    </row>
    <row r="8121" spans="1:4" x14ac:dyDescent="0.35">
      <c r="A8121" s="8" t="str">
        <f t="shared" si="4170"/>
        <v>Cambodia</v>
      </c>
      <c r="B8121" s="3" t="str">
        <f t="shared" ref="B8121:B8122" si="4193">CHOOSE(2, "1395000000655", "Total agent earnings")</f>
        <v>Total agent earnings</v>
      </c>
      <c r="C8121" s="4" t="str">
        <f>CHOOSE(2, "5461730030", "Jun 26")</f>
        <v>Jun 26</v>
      </c>
      <c r="D8121" s="14">
        <v>154271.92000000001</v>
      </c>
    </row>
    <row r="8122" spans="1:4" x14ac:dyDescent="0.35">
      <c r="A8122" s="8" t="str">
        <f t="shared" si="4170"/>
        <v>Cambodia</v>
      </c>
      <c r="B8122" s="6" t="str">
        <f t="shared" si="4193"/>
        <v>Total agent earnings</v>
      </c>
      <c r="C8122" s="4" t="str">
        <f>CHOOSE(2, "5462030031", "Jul 26")</f>
        <v>Jul 26</v>
      </c>
      <c r="D8122" s="14">
        <v>137891.35</v>
      </c>
    </row>
    <row r="8123" spans="1:4" x14ac:dyDescent="0.35">
      <c r="A8123" s="8" t="str">
        <f t="shared" si="4170"/>
        <v>Cambodia</v>
      </c>
      <c r="B8123" s="3" t="str">
        <f t="shared" ref="B8123:B8124" si="4194">CHOOSE(2, "1395000000654", "Total agent earnings in FA or equivalent")</f>
        <v>Total agent earnings in FA or equivalent</v>
      </c>
      <c r="C8123" s="4" t="str">
        <f>CHOOSE(2, "5461730030", "Jun 26")</f>
        <v>Jun 26</v>
      </c>
      <c r="D8123" s="14">
        <v>48968.63</v>
      </c>
    </row>
    <row r="8124" spans="1:4" x14ac:dyDescent="0.35">
      <c r="A8124" s="8" t="str">
        <f t="shared" si="4170"/>
        <v>Cambodia</v>
      </c>
      <c r="B8124" s="6" t="str">
        <f t="shared" si="4194"/>
        <v>Total agent earnings in FA or equivalent</v>
      </c>
      <c r="C8124" s="4" t="str">
        <f>CHOOSE(2, "5462030031", "Jul 26")</f>
        <v>Jul 26</v>
      </c>
      <c r="D8124" s="14">
        <v>49437.54</v>
      </c>
    </row>
    <row r="8125" spans="1:4" x14ac:dyDescent="0.35">
      <c r="A8125" s="8" t="str">
        <f t="shared" si="4170"/>
        <v>Cambodia</v>
      </c>
      <c r="B8125" s="3" t="str">
        <f t="shared" ref="B8125:B8126" si="4195">CHOOSE(2, "1395000000653", "Total agent earnings in UM")</f>
        <v>Total agent earnings in UM</v>
      </c>
      <c r="C8125" s="4" t="str">
        <f>CHOOSE(2, "5461730030", "Jun 26")</f>
        <v>Jun 26</v>
      </c>
      <c r="D8125" s="14">
        <v>41231.69</v>
      </c>
    </row>
    <row r="8126" spans="1:4" x14ac:dyDescent="0.35">
      <c r="A8126" s="8" t="str">
        <f t="shared" si="4170"/>
        <v>Cambodia</v>
      </c>
      <c r="B8126" s="6" t="str">
        <f t="shared" si="4195"/>
        <v>Total agent earnings in UM</v>
      </c>
      <c r="C8126" s="4" t="str">
        <f>CHOOSE(2, "5462030031", "Jul 26")</f>
        <v>Jul 26</v>
      </c>
      <c r="D8126" s="14">
        <v>42023.519999999997</v>
      </c>
    </row>
    <row r="8127" spans="1:4" x14ac:dyDescent="0.35">
      <c r="A8127" s="8" t="str">
        <f t="shared" si="4170"/>
        <v>Cambodia</v>
      </c>
      <c r="B8127" s="3" t="str">
        <f t="shared" ref="B8127:B8128" si="4196">CHOOSE(2, "1395000000652", "Total agent earnings in Leaders above UM")</f>
        <v>Total agent earnings in Leaders above UM</v>
      </c>
      <c r="C8127" s="4" t="str">
        <f>CHOOSE(2, "5461730030", "Jun 26")</f>
        <v>Jun 26</v>
      </c>
      <c r="D8127" s="14">
        <v>64071.6</v>
      </c>
    </row>
    <row r="8128" spans="1:4" x14ac:dyDescent="0.35">
      <c r="A8128" s="8" t="str">
        <f t="shared" si="4170"/>
        <v>Cambodia</v>
      </c>
      <c r="B8128" s="6" t="str">
        <f t="shared" si="4196"/>
        <v>Total agent earnings in Leaders above UM</v>
      </c>
      <c r="C8128" s="4" t="str">
        <f>CHOOSE(2, "5462030031", "Jul 26")</f>
        <v>Jul 26</v>
      </c>
      <c r="D8128" s="14">
        <v>46430.29</v>
      </c>
    </row>
    <row r="8129" spans="1:4" x14ac:dyDescent="0.35">
      <c r="A8129" s="8" t="str">
        <f t="shared" si="4170"/>
        <v>Cambodia</v>
      </c>
      <c r="B8129" s="3" t="str">
        <f t="shared" ref="B8129:B8130" si="4197">CHOOSE(2, "1395000000651", "# of Newly Promoted UM")</f>
        <v># of Newly Promoted UM</v>
      </c>
      <c r="C8129" s="4" t="str">
        <f>CHOOSE(2, "5461730030", "Jun 26")</f>
        <v>Jun 26</v>
      </c>
      <c r="D8129" s="14">
        <v>0</v>
      </c>
    </row>
    <row r="8130" spans="1:4" x14ac:dyDescent="0.35">
      <c r="A8130" s="8" t="str">
        <f t="shared" si="4170"/>
        <v>Cambodia</v>
      </c>
      <c r="B8130" s="6" t="str">
        <f t="shared" si="4197"/>
        <v># of Newly Promoted UM</v>
      </c>
      <c r="C8130" s="4" t="str">
        <f>CHOOSE(2, "5462030031", "Jul 26")</f>
        <v>Jul 26</v>
      </c>
      <c r="D8130" s="14">
        <v>9</v>
      </c>
    </row>
    <row r="8131" spans="1:4" x14ac:dyDescent="0.35">
      <c r="A8131" s="8" t="str">
        <f t="shared" si="4170"/>
        <v>Cambodia</v>
      </c>
      <c r="B8131" s="3" t="str">
        <f t="shared" ref="B8131:B8132" si="4198">CHOOSE(2, "1395000000650", "# of Newly Promoted Leaders above UM")</f>
        <v># of Newly Promoted Leaders above UM</v>
      </c>
      <c r="C8131" s="4" t="str">
        <f>CHOOSE(2, "5461730030", "Jun 26")</f>
        <v>Jun 26</v>
      </c>
      <c r="D8131" s="14">
        <v>0</v>
      </c>
    </row>
    <row r="8132" spans="1:4" x14ac:dyDescent="0.35">
      <c r="A8132" s="8" t="str">
        <f t="shared" si="4170"/>
        <v>Cambodia</v>
      </c>
      <c r="B8132" s="6" t="str">
        <f t="shared" si="4198"/>
        <v># of Newly Promoted Leaders above UM</v>
      </c>
      <c r="C8132" s="4" t="str">
        <f>CHOOSE(2, "5462030031", "Jul 26")</f>
        <v>Jul 26</v>
      </c>
      <c r="D8132" s="14">
        <v>4</v>
      </c>
    </row>
    <row r="8133" spans="1:4" x14ac:dyDescent="0.35">
      <c r="A8133" s="8" t="str">
        <f t="shared" si="4170"/>
        <v>Cambodia</v>
      </c>
      <c r="B8133" s="3" t="str">
        <f t="shared" ref="B8133:B8134" si="4199">CHOOSE(2, "1395000000649", "# of Total Leader Promotions")</f>
        <v># of Total Leader Promotions</v>
      </c>
      <c r="C8133" s="4" t="str">
        <f>CHOOSE(2, "5461730030", "Jun 26")</f>
        <v>Jun 26</v>
      </c>
      <c r="D8133" s="14">
        <v>0</v>
      </c>
    </row>
    <row r="8134" spans="1:4" x14ac:dyDescent="0.35">
      <c r="A8134" s="8" t="str">
        <f t="shared" si="4170"/>
        <v>Cambodia</v>
      </c>
      <c r="B8134" s="6" t="str">
        <f t="shared" si="4199"/>
        <v># of Total Leader Promotions</v>
      </c>
      <c r="C8134" s="4" t="str">
        <f>CHOOSE(2, "5462030031", "Jul 26")</f>
        <v>Jul 26</v>
      </c>
      <c r="D8134" s="14">
        <v>13</v>
      </c>
    </row>
    <row r="8135" spans="1:4" x14ac:dyDescent="0.35">
      <c r="A8135" s="8" t="str">
        <f t="shared" si="4170"/>
        <v>Cambodia</v>
      </c>
      <c r="B8135" s="3" t="str">
        <f t="shared" ref="B8135:B8136" si="4200">CHOOSE(2, "1395000000648", "# of Newly Demoted UM")</f>
        <v># of Newly Demoted UM</v>
      </c>
      <c r="C8135" s="4" t="str">
        <f>CHOOSE(2, "5461730030", "Jun 26")</f>
        <v>Jun 26</v>
      </c>
      <c r="D8135" s="14">
        <v>2</v>
      </c>
    </row>
    <row r="8136" spans="1:4" x14ac:dyDescent="0.35">
      <c r="A8136" s="8" t="str">
        <f t="shared" si="4170"/>
        <v>Cambodia</v>
      </c>
      <c r="B8136" s="6" t="str">
        <f t="shared" si="4200"/>
        <v># of Newly Demoted UM</v>
      </c>
      <c r="C8136" s="4" t="str">
        <f>CHOOSE(2, "5462030031", "Jul 26")</f>
        <v>Jul 26</v>
      </c>
      <c r="D8136" s="14">
        <v>0</v>
      </c>
    </row>
    <row r="8137" spans="1:4" x14ac:dyDescent="0.35">
      <c r="A8137" s="8" t="str">
        <f t="shared" si="4170"/>
        <v>Cambodia</v>
      </c>
      <c r="B8137" s="3" t="str">
        <f t="shared" ref="B8137:B8138" si="4201">CHOOSE(2, "1395000000647", "# of Newly Demoted Leaders above UM")</f>
        <v># of Newly Demoted Leaders above UM</v>
      </c>
      <c r="C8137" s="4" t="str">
        <f>CHOOSE(2, "5461730030", "Jun 26")</f>
        <v>Jun 26</v>
      </c>
      <c r="D8137" s="14">
        <v>0</v>
      </c>
    </row>
    <row r="8138" spans="1:4" x14ac:dyDescent="0.35">
      <c r="A8138" s="8" t="str">
        <f t="shared" si="4170"/>
        <v>Cambodia</v>
      </c>
      <c r="B8138" s="6" t="str">
        <f t="shared" si="4201"/>
        <v># of Newly Demoted Leaders above UM</v>
      </c>
      <c r="C8138" s="4" t="str">
        <f>CHOOSE(2, "5462030031", "Jul 26")</f>
        <v>Jul 26</v>
      </c>
      <c r="D8138" s="14">
        <v>1</v>
      </c>
    </row>
    <row r="8139" spans="1:4" x14ac:dyDescent="0.35">
      <c r="A8139" s="8" t="str">
        <f t="shared" si="4170"/>
        <v>Cambodia</v>
      </c>
      <c r="B8139" s="3" t="str">
        <f t="shared" ref="B8139:B8140" si="4202">CHOOSE(2, "1395000000646", "# of Total Leader Demotions")</f>
        <v># of Total Leader Demotions</v>
      </c>
      <c r="C8139" s="4" t="str">
        <f>CHOOSE(2, "5461730030", "Jun 26")</f>
        <v>Jun 26</v>
      </c>
      <c r="D8139" s="14">
        <v>2</v>
      </c>
    </row>
    <row r="8140" spans="1:4" x14ac:dyDescent="0.35">
      <c r="A8140" s="8" t="str">
        <f t="shared" si="4170"/>
        <v>Cambodia</v>
      </c>
      <c r="B8140" s="6" t="str">
        <f t="shared" si="4202"/>
        <v># of Total Leader Demotions</v>
      </c>
      <c r="C8140" s="4" t="str">
        <f>CHOOSE(2, "5462030031", "Jul 26")</f>
        <v>Jul 26</v>
      </c>
      <c r="D8140" s="14">
        <v>1</v>
      </c>
    </row>
    <row r="8141" spans="1:4" x14ac:dyDescent="0.35">
      <c r="A8141" s="8" t="str">
        <f t="shared" ref="A8141:A8204" si="4203">CHOOSE(2, "204000000009", "Cambodia")</f>
        <v>Cambodia</v>
      </c>
      <c r="B8141" s="3" t="str">
        <f t="shared" ref="B8141:B8142" si="4204">CHOOSE(2, "1395000000645", "# of agents meeting MOC")</f>
        <v># of agents meeting MOC</v>
      </c>
      <c r="C8141" s="4" t="str">
        <f>CHOOSE(2, "5461730030", "Jun 26")</f>
        <v>Jun 26</v>
      </c>
      <c r="D8141" s="14">
        <v>1012</v>
      </c>
    </row>
    <row r="8142" spans="1:4" x14ac:dyDescent="0.35">
      <c r="A8142" s="8" t="str">
        <f t="shared" si="4203"/>
        <v>Cambodia</v>
      </c>
      <c r="B8142" s="6" t="str">
        <f t="shared" si="4204"/>
        <v># of agents meeting MOC</v>
      </c>
      <c r="C8142" s="4" t="str">
        <f>CHOOSE(2, "5462030031", "Jul 26")</f>
        <v>Jul 26</v>
      </c>
      <c r="D8142" s="14">
        <v>1039</v>
      </c>
    </row>
    <row r="8143" spans="1:4" x14ac:dyDescent="0.35">
      <c r="A8143" s="8" t="str">
        <f t="shared" si="4203"/>
        <v>Cambodia</v>
      </c>
      <c r="B8143" s="3" t="str">
        <f t="shared" ref="B8143:B8144" si="4205">CHOOSE(2, "1395000000644", "# of agents meeting MOC in FA or equivalent")</f>
        <v># of agents meeting MOC in FA or equivalent</v>
      </c>
      <c r="C8143" s="4" t="str">
        <f>CHOOSE(2, "5461730030", "Jun 26")</f>
        <v>Jun 26</v>
      </c>
      <c r="D8143" s="14">
        <v>876</v>
      </c>
    </row>
    <row r="8144" spans="1:4" x14ac:dyDescent="0.35">
      <c r="A8144" s="8" t="str">
        <f t="shared" si="4203"/>
        <v>Cambodia</v>
      </c>
      <c r="B8144" s="6" t="str">
        <f t="shared" si="4205"/>
        <v># of agents meeting MOC in FA or equivalent</v>
      </c>
      <c r="C8144" s="4" t="str">
        <f>CHOOSE(2, "5462030031", "Jul 26")</f>
        <v>Jul 26</v>
      </c>
      <c r="D8144" s="14">
        <v>904</v>
      </c>
    </row>
    <row r="8145" spans="1:4" x14ac:dyDescent="0.35">
      <c r="A8145" s="8" t="str">
        <f t="shared" si="4203"/>
        <v>Cambodia</v>
      </c>
      <c r="B8145" s="3" t="str">
        <f t="shared" ref="B8145:B8146" si="4206">CHOOSE(2, "1395000000643", "# of agents meeting MOC in UM")</f>
        <v># of agents meeting MOC in UM</v>
      </c>
      <c r="C8145" s="4" t="str">
        <f>CHOOSE(2, "5461730030", "Jun 26")</f>
        <v>Jun 26</v>
      </c>
      <c r="D8145" s="14">
        <v>102</v>
      </c>
    </row>
    <row r="8146" spans="1:4" x14ac:dyDescent="0.35">
      <c r="A8146" s="8" t="str">
        <f t="shared" si="4203"/>
        <v>Cambodia</v>
      </c>
      <c r="B8146" s="6" t="str">
        <f t="shared" si="4206"/>
        <v># of agents meeting MOC in UM</v>
      </c>
      <c r="C8146" s="4" t="str">
        <f>CHOOSE(2, "5462030031", "Jul 26")</f>
        <v>Jul 26</v>
      </c>
      <c r="D8146" s="14">
        <v>103</v>
      </c>
    </row>
    <row r="8147" spans="1:4" x14ac:dyDescent="0.35">
      <c r="A8147" s="8" t="str">
        <f t="shared" si="4203"/>
        <v>Cambodia</v>
      </c>
      <c r="B8147" s="3" t="str">
        <f t="shared" ref="B8147:B8148" si="4207">CHOOSE(2, "1395000000642", "# of agents meeting MOC in Leaders above UM")</f>
        <v># of agents meeting MOC in Leaders above UM</v>
      </c>
      <c r="C8147" s="4" t="str">
        <f>CHOOSE(2, "5461730030", "Jun 26")</f>
        <v>Jun 26</v>
      </c>
      <c r="D8147" s="14">
        <v>34</v>
      </c>
    </row>
    <row r="8148" spans="1:4" x14ac:dyDescent="0.35">
      <c r="A8148" s="8" t="str">
        <f t="shared" si="4203"/>
        <v>Cambodia</v>
      </c>
      <c r="B8148" s="6" t="str">
        <f t="shared" si="4207"/>
        <v># of agents meeting MOC in Leaders above UM</v>
      </c>
      <c r="C8148" s="4" t="str">
        <f>CHOOSE(2, "5462030031", "Jul 26")</f>
        <v>Jul 26</v>
      </c>
      <c r="D8148" s="14">
        <v>32</v>
      </c>
    </row>
    <row r="8149" spans="1:4" x14ac:dyDescent="0.35">
      <c r="A8149" s="8" t="str">
        <f t="shared" si="4203"/>
        <v>Cambodia</v>
      </c>
      <c r="B8149" s="3" t="str">
        <f t="shared" ref="B8149:B8150" si="4208">CHOOSE(2, "1395000000641", "New Leaders 3M Activation Rate (by cohort)")</f>
        <v>New Leaders 3M Activation Rate (by cohort)</v>
      </c>
      <c r="C8149" s="4" t="str">
        <f>CHOOSE(2, "5461730030", "Jun 26")</f>
        <v>Jun 26</v>
      </c>
      <c r="D8149" s="14">
        <v>0.4</v>
      </c>
    </row>
    <row r="8150" spans="1:4" x14ac:dyDescent="0.35">
      <c r="A8150" s="8" t="str">
        <f t="shared" si="4203"/>
        <v>Cambodia</v>
      </c>
      <c r="B8150" s="6" t="str">
        <f t="shared" si="4208"/>
        <v>New Leaders 3M Activation Rate (by cohort)</v>
      </c>
      <c r="C8150" s="4" t="str">
        <f>CHOOSE(2, "5462030031", "Jul 26")</f>
        <v>Jul 26</v>
      </c>
      <c r="D8150" s="14">
        <v>0</v>
      </c>
    </row>
    <row r="8151" spans="1:4" x14ac:dyDescent="0.35">
      <c r="A8151" s="8" t="str">
        <f t="shared" si="4203"/>
        <v>Cambodia</v>
      </c>
      <c r="B8151" s="3" t="str">
        <f t="shared" ref="B8151:B8152" si="4209">CHOOSE(2, "1395000000640", "New Leaders 3M Activation Rate (by cohort) (numerator)")</f>
        <v>New Leaders 3M Activation Rate (by cohort) (numerator)</v>
      </c>
      <c r="C8151" s="4" t="str">
        <f>CHOOSE(2, "5461730030", "Jun 26")</f>
        <v>Jun 26</v>
      </c>
      <c r="D8151" s="14">
        <v>2</v>
      </c>
    </row>
    <row r="8152" spans="1:4" x14ac:dyDescent="0.35">
      <c r="A8152" s="8" t="str">
        <f t="shared" si="4203"/>
        <v>Cambodia</v>
      </c>
      <c r="B8152" s="6" t="str">
        <f t="shared" si="4209"/>
        <v>New Leaders 3M Activation Rate (by cohort) (numerator)</v>
      </c>
      <c r="C8152" s="4" t="str">
        <f>CHOOSE(2, "5462030031", "Jul 26")</f>
        <v>Jul 26</v>
      </c>
      <c r="D8152" s="14">
        <v>0</v>
      </c>
    </row>
    <row r="8153" spans="1:4" x14ac:dyDescent="0.35">
      <c r="A8153" s="8" t="str">
        <f t="shared" si="4203"/>
        <v>Cambodia</v>
      </c>
      <c r="B8153" s="3" t="str">
        <f t="shared" ref="B8153:B8154" si="4210">CHOOSE(2, "1395000000639", "New Leaders 3M Activation Rate (by cohort) (denominator)")</f>
        <v>New Leaders 3M Activation Rate (by cohort) (denominator)</v>
      </c>
      <c r="C8153" s="4" t="str">
        <f>CHOOSE(2, "5461730030", "Jun 26")</f>
        <v>Jun 26</v>
      </c>
      <c r="D8153" s="14">
        <v>5</v>
      </c>
    </row>
    <row r="8154" spans="1:4" x14ac:dyDescent="0.35">
      <c r="A8154" s="8" t="str">
        <f t="shared" si="4203"/>
        <v>Cambodia</v>
      </c>
      <c r="B8154" s="6" t="str">
        <f t="shared" si="4210"/>
        <v>New Leaders 3M Activation Rate (by cohort) (denominator)</v>
      </c>
      <c r="C8154" s="4" t="str">
        <f>CHOOSE(2, "5462030031", "Jul 26")</f>
        <v>Jul 26</v>
      </c>
      <c r="D8154" s="14">
        <v>0</v>
      </c>
    </row>
    <row r="8155" spans="1:4" x14ac:dyDescent="0.35">
      <c r="A8155" s="8" t="str">
        <f t="shared" si="4203"/>
        <v>Cambodia</v>
      </c>
      <c r="B8155" s="3" t="str">
        <f t="shared" ref="B8155:B8156" si="4211">CHOOSE(2, "1395000000638", "# of pro-rated MDRT agents (100%)")</f>
        <v># of pro-rated MDRT agents (100%)</v>
      </c>
      <c r="C8155" s="4" t="str">
        <f>CHOOSE(2, "5461730030", "Jun 26")</f>
        <v>Jun 26</v>
      </c>
      <c r="D8155" s="14">
        <v>2</v>
      </c>
    </row>
    <row r="8156" spans="1:4" x14ac:dyDescent="0.35">
      <c r="A8156" s="8" t="str">
        <f t="shared" si="4203"/>
        <v>Cambodia</v>
      </c>
      <c r="B8156" s="6" t="str">
        <f t="shared" si="4211"/>
        <v># of pro-rated MDRT agents (100%)</v>
      </c>
      <c r="C8156" s="4" t="str">
        <f>CHOOSE(2, "5462030031", "Jul 26")</f>
        <v>Jul 26</v>
      </c>
      <c r="D8156" s="14">
        <v>1</v>
      </c>
    </row>
    <row r="8157" spans="1:4" x14ac:dyDescent="0.35">
      <c r="A8157" s="8" t="str">
        <f t="shared" si="4203"/>
        <v>Cambodia</v>
      </c>
      <c r="B8157" s="3" t="str">
        <f t="shared" ref="B8157:B8158" si="4212">CHOOSE(2, "1395000000637", "# of pro-rated MDRT agents (90%-99%)")</f>
        <v># of pro-rated MDRT agents (90%-99%)</v>
      </c>
      <c r="C8157" s="4" t="str">
        <f>CHOOSE(2, "5461730030", "Jun 26")</f>
        <v>Jun 26</v>
      </c>
      <c r="D8157" s="2" t="s">
        <v>5</v>
      </c>
    </row>
    <row r="8158" spans="1:4" x14ac:dyDescent="0.35">
      <c r="A8158" s="8" t="str">
        <f t="shared" si="4203"/>
        <v>Cambodia</v>
      </c>
      <c r="B8158" s="6" t="str">
        <f t="shared" si="4212"/>
        <v># of pro-rated MDRT agents (90%-99%)</v>
      </c>
      <c r="C8158" s="4" t="str">
        <f>CHOOSE(2, "5462030031", "Jul 26")</f>
        <v>Jul 26</v>
      </c>
      <c r="D8158" s="2" t="s">
        <v>5</v>
      </c>
    </row>
    <row r="8159" spans="1:4" x14ac:dyDescent="0.35">
      <c r="A8159" s="8" t="str">
        <f t="shared" si="4203"/>
        <v>Cambodia</v>
      </c>
      <c r="B8159" s="3" t="str">
        <f t="shared" ref="B8159:B8160" si="4213">CHOOSE(2, "1395000000636", "# of pro-rated MDRT agents (70%-90%)")</f>
        <v># of pro-rated MDRT agents (70%-90%)</v>
      </c>
      <c r="C8159" s="4" t="str">
        <f>CHOOSE(2, "5461730030", "Jun 26")</f>
        <v>Jun 26</v>
      </c>
      <c r="D8159" s="2" t="s">
        <v>5</v>
      </c>
    </row>
    <row r="8160" spans="1:4" x14ac:dyDescent="0.35">
      <c r="A8160" s="8" t="str">
        <f t="shared" si="4203"/>
        <v>Cambodia</v>
      </c>
      <c r="B8160" s="6" t="str">
        <f t="shared" si="4213"/>
        <v># of pro-rated MDRT agents (70%-90%)</v>
      </c>
      <c r="C8160" s="4" t="str">
        <f>CHOOSE(2, "5462030031", "Jul 26")</f>
        <v>Jul 26</v>
      </c>
      <c r="D8160" s="2" t="s">
        <v>5</v>
      </c>
    </row>
    <row r="8161" spans="1:4" x14ac:dyDescent="0.35">
      <c r="A8161" s="8" t="str">
        <f t="shared" si="4203"/>
        <v>Cambodia</v>
      </c>
      <c r="B8161" s="3" t="str">
        <f t="shared" ref="B8161:B8162" si="4214">CHOOSE(2, "1395000000635", "# of pro-rated MDRT agents (&lt;70%)")</f>
        <v># of pro-rated MDRT agents (&lt;70%)</v>
      </c>
      <c r="C8161" s="4" t="str">
        <f>CHOOSE(2, "5461730030", "Jun 26")</f>
        <v>Jun 26</v>
      </c>
      <c r="D8161" s="2" t="s">
        <v>5</v>
      </c>
    </row>
    <row r="8162" spans="1:4" x14ac:dyDescent="0.35">
      <c r="A8162" s="8" t="str">
        <f t="shared" si="4203"/>
        <v>Cambodia</v>
      </c>
      <c r="B8162" s="6" t="str">
        <f t="shared" si="4214"/>
        <v># of pro-rated MDRT agents (&lt;70%)</v>
      </c>
      <c r="C8162" s="4" t="str">
        <f>CHOOSE(2, "5462030031", "Jul 26")</f>
        <v>Jul 26</v>
      </c>
      <c r="D8162" s="2" t="s">
        <v>5</v>
      </c>
    </row>
    <row r="8163" spans="1:4" x14ac:dyDescent="0.35">
      <c r="A8163" s="8" t="str">
        <f t="shared" si="4203"/>
        <v>Cambodia</v>
      </c>
      <c r="B8163" s="3" t="str">
        <f t="shared" ref="B8163:B8164" si="4215">CHOOSE(2, "1395000000634", "# of pro-rated MDRT agents (50%-70%)")</f>
        <v># of pro-rated MDRT agents (50%-70%)</v>
      </c>
      <c r="C8163" s="4" t="str">
        <f>CHOOSE(2, "5461730030", "Jun 26")</f>
        <v>Jun 26</v>
      </c>
      <c r="D8163" s="2" t="s">
        <v>5</v>
      </c>
    </row>
    <row r="8164" spans="1:4" x14ac:dyDescent="0.35">
      <c r="A8164" s="8" t="str">
        <f t="shared" si="4203"/>
        <v>Cambodia</v>
      </c>
      <c r="B8164" s="6" t="str">
        <f t="shared" si="4215"/>
        <v># of pro-rated MDRT agents (50%-70%)</v>
      </c>
      <c r="C8164" s="4" t="str">
        <f>CHOOSE(2, "5462030031", "Jul 26")</f>
        <v>Jul 26</v>
      </c>
      <c r="D8164" s="2" t="s">
        <v>5</v>
      </c>
    </row>
    <row r="8165" spans="1:4" x14ac:dyDescent="0.35">
      <c r="A8165" s="8" t="str">
        <f t="shared" si="4203"/>
        <v>Cambodia</v>
      </c>
      <c r="B8165" s="3" t="str">
        <f t="shared" ref="B8165:B8166" si="4216">CHOOSE(2, "1395000000633", "# of pro-rated MDRT agents (&lt;50%)")</f>
        <v># of pro-rated MDRT agents (&lt;50%)</v>
      </c>
      <c r="C8165" s="4" t="str">
        <f>CHOOSE(2, "5461730030", "Jun 26")</f>
        <v>Jun 26</v>
      </c>
      <c r="D8165" s="2" t="s">
        <v>5</v>
      </c>
    </row>
    <row r="8166" spans="1:4" x14ac:dyDescent="0.35">
      <c r="A8166" s="8" t="str">
        <f t="shared" si="4203"/>
        <v>Cambodia</v>
      </c>
      <c r="B8166" s="6" t="str">
        <f t="shared" si="4216"/>
        <v># of pro-rated MDRT agents (&lt;50%)</v>
      </c>
      <c r="C8166" s="4" t="str">
        <f>CHOOSE(2, "5462030031", "Jul 26")</f>
        <v>Jul 26</v>
      </c>
      <c r="D8166" s="2" t="s">
        <v>5</v>
      </c>
    </row>
    <row r="8167" spans="1:4" x14ac:dyDescent="0.35">
      <c r="A8167" s="8" t="str">
        <f t="shared" si="4203"/>
        <v>Cambodia</v>
      </c>
      <c r="B8167" s="3" t="str">
        <f t="shared" ref="B8167:B8168" si="4217">CHOOSE(2, "1395000000632", "# of pro-rated MDRT agents (70-99%)")</f>
        <v># of pro-rated MDRT agents (70-99%)</v>
      </c>
      <c r="C8167" s="4" t="str">
        <f>CHOOSE(2, "5461730030", "Jun 26")</f>
        <v>Jun 26</v>
      </c>
      <c r="D8167" s="14">
        <v>1</v>
      </c>
    </row>
    <row r="8168" spans="1:4" x14ac:dyDescent="0.35">
      <c r="A8168" s="8" t="str">
        <f t="shared" si="4203"/>
        <v>Cambodia</v>
      </c>
      <c r="B8168" s="6" t="str">
        <f t="shared" si="4217"/>
        <v># of pro-rated MDRT agents (70-99%)</v>
      </c>
      <c r="C8168" s="4" t="str">
        <f>CHOOSE(2, "5462030031", "Jul 26")</f>
        <v>Jul 26</v>
      </c>
      <c r="D8168" s="14">
        <v>1</v>
      </c>
    </row>
    <row r="8169" spans="1:4" x14ac:dyDescent="0.35">
      <c r="A8169" s="8" t="str">
        <f t="shared" si="4203"/>
        <v>Cambodia</v>
      </c>
      <c r="B8169" s="3" t="str">
        <f t="shared" ref="B8169:B8170" si="4218">CHOOSE(2, "1395000000631", "# of pro-rated MDRT agents (50-69%)")</f>
        <v># of pro-rated MDRT agents (50-69%)</v>
      </c>
      <c r="C8169" s="4" t="str">
        <f>CHOOSE(2, "5461730030", "Jun 26")</f>
        <v>Jun 26</v>
      </c>
      <c r="D8169" s="14">
        <v>3</v>
      </c>
    </row>
    <row r="8170" spans="1:4" x14ac:dyDescent="0.35">
      <c r="A8170" s="8" t="str">
        <f t="shared" si="4203"/>
        <v>Cambodia</v>
      </c>
      <c r="B8170" s="6" t="str">
        <f t="shared" si="4218"/>
        <v># of pro-rated MDRT agents (50-69%)</v>
      </c>
      <c r="C8170" s="4" t="str">
        <f>CHOOSE(2, "5462030031", "Jul 26")</f>
        <v>Jul 26</v>
      </c>
      <c r="D8170" s="14">
        <v>1</v>
      </c>
    </row>
    <row r="8171" spans="1:4" x14ac:dyDescent="0.35">
      <c r="A8171" s="8" t="str">
        <f t="shared" si="4203"/>
        <v>Cambodia</v>
      </c>
      <c r="B8171" s="3" t="str">
        <f t="shared" ref="B8171:B8172" si="4219">CHOOSE(2, "1395000000630", "# of Top-tier agents")</f>
        <v># of Top-tier agents</v>
      </c>
      <c r="C8171" s="4" t="str">
        <f>CHOOSE(2, "5461730030", "Jun 26")</f>
        <v>Jun 26</v>
      </c>
      <c r="D8171" s="14">
        <v>3</v>
      </c>
    </row>
    <row r="8172" spans="1:4" x14ac:dyDescent="0.35">
      <c r="A8172" s="8" t="str">
        <f t="shared" si="4203"/>
        <v>Cambodia</v>
      </c>
      <c r="B8172" s="6" t="str">
        <f t="shared" si="4219"/>
        <v># of Top-tier agents</v>
      </c>
      <c r="C8172" s="4" t="str">
        <f>CHOOSE(2, "5462030031", "Jul 26")</f>
        <v>Jul 26</v>
      </c>
      <c r="D8172" s="14">
        <v>3</v>
      </c>
    </row>
    <row r="8173" spans="1:4" x14ac:dyDescent="0.35">
      <c r="A8173" s="8" t="str">
        <f t="shared" si="4203"/>
        <v>Cambodia</v>
      </c>
      <c r="B8173" s="3" t="str">
        <f t="shared" ref="B8173:B8174" si="4220">CHOOSE(2, "1395000000629", "$ APE from pro-rated MDRT agents (100%)")</f>
        <v>$ APE from pro-rated MDRT agents (100%)</v>
      </c>
      <c r="C8173" s="4" t="str">
        <f>CHOOSE(2, "5461730030", "Jun 26")</f>
        <v>Jun 26</v>
      </c>
      <c r="D8173" s="14">
        <v>0</v>
      </c>
    </row>
    <row r="8174" spans="1:4" x14ac:dyDescent="0.35">
      <c r="A8174" s="8" t="str">
        <f t="shared" si="4203"/>
        <v>Cambodia</v>
      </c>
      <c r="B8174" s="6" t="str">
        <f t="shared" si="4220"/>
        <v>$ APE from pro-rated MDRT agents (100%)</v>
      </c>
      <c r="C8174" s="4" t="str">
        <f>CHOOSE(2, "5462030031", "Jul 26")</f>
        <v>Jul 26</v>
      </c>
      <c r="D8174" s="14">
        <v>15303</v>
      </c>
    </row>
    <row r="8175" spans="1:4" x14ac:dyDescent="0.35">
      <c r="A8175" s="8" t="str">
        <f t="shared" si="4203"/>
        <v>Cambodia</v>
      </c>
      <c r="B8175" s="3" t="str">
        <f t="shared" ref="B8175:B8176" si="4221">CHOOSE(2, "1395000000628", "$ APE from pro-rated MDRT agents (70-99%)")</f>
        <v>$ APE from pro-rated MDRT agents (70-99%)</v>
      </c>
      <c r="C8175" s="4" t="str">
        <f>CHOOSE(2, "5461730030", "Jun 26")</f>
        <v>Jun 26</v>
      </c>
      <c r="D8175" s="14">
        <v>16147</v>
      </c>
    </row>
    <row r="8176" spans="1:4" x14ac:dyDescent="0.35">
      <c r="A8176" s="8" t="str">
        <f t="shared" si="4203"/>
        <v>Cambodia</v>
      </c>
      <c r="B8176" s="6" t="str">
        <f t="shared" si="4221"/>
        <v>$ APE from pro-rated MDRT agents (70-99%)</v>
      </c>
      <c r="C8176" s="4" t="str">
        <f>CHOOSE(2, "5462030031", "Jul 26")</f>
        <v>Jul 26</v>
      </c>
      <c r="D8176" s="14">
        <v>5567</v>
      </c>
    </row>
    <row r="8177" spans="1:4" x14ac:dyDescent="0.35">
      <c r="A8177" s="8" t="str">
        <f t="shared" si="4203"/>
        <v>Cambodia</v>
      </c>
      <c r="B8177" s="3" t="str">
        <f t="shared" ref="B8177:B8178" si="4222">CHOOSE(2, "1395000000627", "$ APE from pro-rated MDRT agents (50-69%)")</f>
        <v>$ APE from pro-rated MDRT agents (50-69%)</v>
      </c>
      <c r="C8177" s="4" t="str">
        <f>CHOOSE(2, "5461730030", "Jun 26")</f>
        <v>Jun 26</v>
      </c>
      <c r="D8177" s="14">
        <v>5704</v>
      </c>
    </row>
    <row r="8178" spans="1:4" x14ac:dyDescent="0.35">
      <c r="A8178" s="8" t="str">
        <f t="shared" si="4203"/>
        <v>Cambodia</v>
      </c>
      <c r="B8178" s="6" t="str">
        <f t="shared" si="4222"/>
        <v>$ APE from pro-rated MDRT agents (50-69%)</v>
      </c>
      <c r="C8178" s="4" t="str">
        <f>CHOOSE(2, "5462030031", "Jul 26")</f>
        <v>Jul 26</v>
      </c>
      <c r="D8178" s="14">
        <v>1651</v>
      </c>
    </row>
    <row r="8179" spans="1:4" x14ac:dyDescent="0.35">
      <c r="A8179" s="8" t="str">
        <f t="shared" si="4203"/>
        <v>Cambodia</v>
      </c>
      <c r="B8179" s="3" t="str">
        <f t="shared" ref="B8179:B8180" si="4223">CHOOSE(2, "1395000000626", "$ APE from Top-tier agents")</f>
        <v>$ APE from Top-tier agents</v>
      </c>
      <c r="C8179" s="4" t="str">
        <f>CHOOSE(2, "5461730030", "Jun 26")</f>
        <v>Jun 26</v>
      </c>
      <c r="D8179" s="14">
        <v>21851</v>
      </c>
    </row>
    <row r="8180" spans="1:4" x14ac:dyDescent="0.35">
      <c r="A8180" s="8" t="str">
        <f t="shared" si="4203"/>
        <v>Cambodia</v>
      </c>
      <c r="B8180" s="6" t="str">
        <f t="shared" si="4223"/>
        <v>$ APE from Top-tier agents</v>
      </c>
      <c r="C8180" s="4" t="str">
        <f>CHOOSE(2, "5462030031", "Jul 26")</f>
        <v>Jul 26</v>
      </c>
      <c r="D8180" s="14">
        <v>22521</v>
      </c>
    </row>
    <row r="8181" spans="1:4" x14ac:dyDescent="0.35">
      <c r="A8181" s="8" t="str">
        <f t="shared" si="4203"/>
        <v>Cambodia</v>
      </c>
      <c r="B8181" s="3" t="str">
        <f t="shared" ref="B8181:B8182" si="4224">CHOOSE(2, "1395000000625", "# of MDRT qualifiers - YTD")</f>
        <v># of MDRT qualifiers - YTD</v>
      </c>
      <c r="C8181" s="4" t="str">
        <f>CHOOSE(2, "5461730030", "Jun 26")</f>
        <v>Jun 26</v>
      </c>
      <c r="D8181" s="14">
        <v>0</v>
      </c>
    </row>
    <row r="8182" spans="1:4" x14ac:dyDescent="0.35">
      <c r="A8182" s="8" t="str">
        <f t="shared" si="4203"/>
        <v>Cambodia</v>
      </c>
      <c r="B8182" s="6" t="str">
        <f t="shared" si="4224"/>
        <v># of MDRT qualifiers - YTD</v>
      </c>
      <c r="C8182" s="4" t="str">
        <f>CHOOSE(2, "5462030031", "Jul 26")</f>
        <v>Jul 26</v>
      </c>
      <c r="D8182" s="14">
        <v>0</v>
      </c>
    </row>
    <row r="8183" spans="1:4" x14ac:dyDescent="0.35">
      <c r="A8183" s="8" t="str">
        <f t="shared" si="4203"/>
        <v>Cambodia</v>
      </c>
      <c r="B8183" s="3" t="str">
        <f t="shared" ref="B8183:B8184" si="4225">CHOOSE(2, "1395000000624", "# of MDRT COT qualifiers - YTD")</f>
        <v># of MDRT COT qualifiers - YTD</v>
      </c>
      <c r="C8183" s="4" t="str">
        <f>CHOOSE(2, "5461730030", "Jun 26")</f>
        <v>Jun 26</v>
      </c>
      <c r="D8183" s="14">
        <v>0</v>
      </c>
    </row>
    <row r="8184" spans="1:4" x14ac:dyDescent="0.35">
      <c r="A8184" s="8" t="str">
        <f t="shared" si="4203"/>
        <v>Cambodia</v>
      </c>
      <c r="B8184" s="6" t="str">
        <f t="shared" si="4225"/>
        <v># of MDRT COT qualifiers - YTD</v>
      </c>
      <c r="C8184" s="4" t="str">
        <f>CHOOSE(2, "5462030031", "Jul 26")</f>
        <v>Jul 26</v>
      </c>
      <c r="D8184" s="14">
        <v>0</v>
      </c>
    </row>
    <row r="8185" spans="1:4" x14ac:dyDescent="0.35">
      <c r="A8185" s="8" t="str">
        <f t="shared" si="4203"/>
        <v>Cambodia</v>
      </c>
      <c r="B8185" s="3" t="str">
        <f t="shared" ref="B8185:B8186" si="4226">CHOOSE(2, "1395000000623", "# of MDRT TOT qualifiers - YTD")</f>
        <v># of MDRT TOT qualifiers - YTD</v>
      </c>
      <c r="C8185" s="4" t="str">
        <f>CHOOSE(2, "5461730030", "Jun 26")</f>
        <v>Jun 26</v>
      </c>
      <c r="D8185" s="14">
        <v>0</v>
      </c>
    </row>
    <row r="8186" spans="1:4" x14ac:dyDescent="0.35">
      <c r="A8186" s="8" t="str">
        <f t="shared" si="4203"/>
        <v>Cambodia</v>
      </c>
      <c r="B8186" s="6" t="str">
        <f t="shared" si="4226"/>
        <v># of MDRT TOT qualifiers - YTD</v>
      </c>
      <c r="C8186" s="4" t="str">
        <f>CHOOSE(2, "5462030031", "Jul 26")</f>
        <v>Jul 26</v>
      </c>
      <c r="D8186" s="14">
        <v>0</v>
      </c>
    </row>
    <row r="8187" spans="1:4" x14ac:dyDescent="0.35">
      <c r="A8187" s="8" t="str">
        <f t="shared" si="4203"/>
        <v>Cambodia</v>
      </c>
      <c r="B8187" s="3" t="str">
        <f t="shared" ref="B8187:B8188" si="4227">CHOOSE(2, "1395000000622", "Manulife Pro Qualifiers - Total")</f>
        <v>Manulife Pro Qualifiers - Total</v>
      </c>
      <c r="C8187" s="4" t="str">
        <f>CHOOSE(2, "5461730030", "Jun 26")</f>
        <v>Jun 26</v>
      </c>
      <c r="D8187" s="2" t="s">
        <v>5</v>
      </c>
    </row>
    <row r="8188" spans="1:4" x14ac:dyDescent="0.35">
      <c r="A8188" s="8" t="str">
        <f t="shared" si="4203"/>
        <v>Cambodia</v>
      </c>
      <c r="B8188" s="6" t="str">
        <f t="shared" si="4227"/>
        <v>Manulife Pro Qualifiers - Total</v>
      </c>
      <c r="C8188" s="4" t="str">
        <f>CHOOSE(2, "5462030031", "Jul 26")</f>
        <v>Jul 26</v>
      </c>
      <c r="D8188" s="2" t="s">
        <v>5</v>
      </c>
    </row>
    <row r="8189" spans="1:4" x14ac:dyDescent="0.35">
      <c r="A8189" s="8" t="str">
        <f t="shared" si="4203"/>
        <v>Cambodia</v>
      </c>
      <c r="B8189" s="3" t="str">
        <f t="shared" ref="B8189:B8190" si="4228">CHOOSE(2, "1395000000621", "Manulife Pro Qualifiers - Silver")</f>
        <v>Manulife Pro Qualifiers - Silver</v>
      </c>
      <c r="C8189" s="4" t="str">
        <f>CHOOSE(2, "5461730030", "Jun 26")</f>
        <v>Jun 26</v>
      </c>
      <c r="D8189" s="2" t="s">
        <v>5</v>
      </c>
    </row>
    <row r="8190" spans="1:4" x14ac:dyDescent="0.35">
      <c r="A8190" s="8" t="str">
        <f t="shared" si="4203"/>
        <v>Cambodia</v>
      </c>
      <c r="B8190" s="6" t="str">
        <f t="shared" si="4228"/>
        <v>Manulife Pro Qualifiers - Silver</v>
      </c>
      <c r="C8190" s="4" t="str">
        <f>CHOOSE(2, "5462030031", "Jul 26")</f>
        <v>Jul 26</v>
      </c>
      <c r="D8190" s="2" t="s">
        <v>5</v>
      </c>
    </row>
    <row r="8191" spans="1:4" x14ac:dyDescent="0.35">
      <c r="A8191" s="8" t="str">
        <f t="shared" si="4203"/>
        <v>Cambodia</v>
      </c>
      <c r="B8191" s="3" t="str">
        <f t="shared" ref="B8191:B8192" si="4229">CHOOSE(2, "1395000000620", "Manulife Pro Qualifiers - Gold")</f>
        <v>Manulife Pro Qualifiers - Gold</v>
      </c>
      <c r="C8191" s="4" t="str">
        <f>CHOOSE(2, "5461730030", "Jun 26")</f>
        <v>Jun 26</v>
      </c>
      <c r="D8191" s="2" t="s">
        <v>5</v>
      </c>
    </row>
    <row r="8192" spans="1:4" x14ac:dyDescent="0.35">
      <c r="A8192" s="8" t="str">
        <f t="shared" si="4203"/>
        <v>Cambodia</v>
      </c>
      <c r="B8192" s="6" t="str">
        <f t="shared" si="4229"/>
        <v>Manulife Pro Qualifiers - Gold</v>
      </c>
      <c r="C8192" s="4" t="str">
        <f>CHOOSE(2, "5462030031", "Jul 26")</f>
        <v>Jul 26</v>
      </c>
      <c r="D8192" s="2" t="s">
        <v>5</v>
      </c>
    </row>
    <row r="8193" spans="1:4" x14ac:dyDescent="0.35">
      <c r="A8193" s="8" t="str">
        <f t="shared" si="4203"/>
        <v>Cambodia</v>
      </c>
      <c r="B8193" s="3" t="str">
        <f t="shared" ref="B8193:B8194" si="4230">CHOOSE(2, "1395000000619", "Manulife Pro Qualifiers  - Platinum")</f>
        <v>Manulife Pro Qualifiers  - Platinum</v>
      </c>
      <c r="C8193" s="4" t="str">
        <f>CHOOSE(2, "5461730030", "Jun 26")</f>
        <v>Jun 26</v>
      </c>
      <c r="D8193" s="2" t="s">
        <v>5</v>
      </c>
    </row>
    <row r="8194" spans="1:4" x14ac:dyDescent="0.35">
      <c r="A8194" s="8" t="str">
        <f t="shared" si="4203"/>
        <v>Cambodia</v>
      </c>
      <c r="B8194" s="6" t="str">
        <f t="shared" si="4230"/>
        <v>Manulife Pro Qualifiers  - Platinum</v>
      </c>
      <c r="C8194" s="4" t="str">
        <f>CHOOSE(2, "5462030031", "Jul 26")</f>
        <v>Jul 26</v>
      </c>
      <c r="D8194" s="2" t="s">
        <v>5</v>
      </c>
    </row>
    <row r="8195" spans="1:4" x14ac:dyDescent="0.35">
      <c r="A8195" s="8" t="str">
        <f t="shared" si="4203"/>
        <v>Cambodia</v>
      </c>
      <c r="B8195" s="3" t="str">
        <f t="shared" ref="B8195:B8196" si="4231">CHOOSE(2, "1395000000618", "$ APE from Manulife Pro - Total")</f>
        <v>$ APE from Manulife Pro - Total</v>
      </c>
      <c r="C8195" s="4" t="str">
        <f>CHOOSE(2, "5461730030", "Jun 26")</f>
        <v>Jun 26</v>
      </c>
      <c r="D8195" s="2" t="s">
        <v>5</v>
      </c>
    </row>
    <row r="8196" spans="1:4" x14ac:dyDescent="0.35">
      <c r="A8196" s="8" t="str">
        <f t="shared" si="4203"/>
        <v>Cambodia</v>
      </c>
      <c r="B8196" s="6" t="str">
        <f t="shared" si="4231"/>
        <v>$ APE from Manulife Pro - Total</v>
      </c>
      <c r="C8196" s="4" t="str">
        <f>CHOOSE(2, "5462030031", "Jul 26")</f>
        <v>Jul 26</v>
      </c>
      <c r="D8196" s="2" t="s">
        <v>5</v>
      </c>
    </row>
    <row r="8197" spans="1:4" x14ac:dyDescent="0.35">
      <c r="A8197" s="8" t="str">
        <f t="shared" si="4203"/>
        <v>Cambodia</v>
      </c>
      <c r="B8197" s="3" t="str">
        <f t="shared" ref="B8197:B8198" si="4232">CHOOSE(2, "1395000000617", "$ APE from Manulife Pro - Silver")</f>
        <v>$ APE from Manulife Pro - Silver</v>
      </c>
      <c r="C8197" s="4" t="str">
        <f>CHOOSE(2, "5461730030", "Jun 26")</f>
        <v>Jun 26</v>
      </c>
      <c r="D8197" s="2" t="s">
        <v>5</v>
      </c>
    </row>
    <row r="8198" spans="1:4" x14ac:dyDescent="0.35">
      <c r="A8198" s="8" t="str">
        <f t="shared" si="4203"/>
        <v>Cambodia</v>
      </c>
      <c r="B8198" s="6" t="str">
        <f t="shared" si="4232"/>
        <v>$ APE from Manulife Pro - Silver</v>
      </c>
      <c r="C8198" s="4" t="str">
        <f>CHOOSE(2, "5462030031", "Jul 26")</f>
        <v>Jul 26</v>
      </c>
      <c r="D8198" s="2" t="s">
        <v>5</v>
      </c>
    </row>
    <row r="8199" spans="1:4" x14ac:dyDescent="0.35">
      <c r="A8199" s="8" t="str">
        <f t="shared" si="4203"/>
        <v>Cambodia</v>
      </c>
      <c r="B8199" s="3" t="str">
        <f t="shared" ref="B8199:B8200" si="4233">CHOOSE(2, "1395000000616", "$ APE from Manulife Pro - Gold")</f>
        <v>$ APE from Manulife Pro - Gold</v>
      </c>
      <c r="C8199" s="4" t="str">
        <f>CHOOSE(2, "5461730030", "Jun 26")</f>
        <v>Jun 26</v>
      </c>
      <c r="D8199" s="2" t="s">
        <v>5</v>
      </c>
    </row>
    <row r="8200" spans="1:4" x14ac:dyDescent="0.35">
      <c r="A8200" s="8" t="str">
        <f t="shared" si="4203"/>
        <v>Cambodia</v>
      </c>
      <c r="B8200" s="6" t="str">
        <f t="shared" si="4233"/>
        <v>$ APE from Manulife Pro - Gold</v>
      </c>
      <c r="C8200" s="4" t="str">
        <f>CHOOSE(2, "5462030031", "Jul 26")</f>
        <v>Jul 26</v>
      </c>
      <c r="D8200" s="2" t="s">
        <v>5</v>
      </c>
    </row>
    <row r="8201" spans="1:4" x14ac:dyDescent="0.35">
      <c r="A8201" s="8" t="str">
        <f t="shared" si="4203"/>
        <v>Cambodia</v>
      </c>
      <c r="B8201" s="3" t="str">
        <f t="shared" ref="B8201:B8202" si="4234">CHOOSE(2, "1395000000615", "$ APE from Manulife Pro  - Platinum")</f>
        <v>$ APE from Manulife Pro  - Platinum</v>
      </c>
      <c r="C8201" s="4" t="str">
        <f>CHOOSE(2, "5461730030", "Jun 26")</f>
        <v>Jun 26</v>
      </c>
      <c r="D8201" s="2" t="s">
        <v>5</v>
      </c>
    </row>
    <row r="8202" spans="1:4" x14ac:dyDescent="0.35">
      <c r="A8202" s="8" t="str">
        <f t="shared" si="4203"/>
        <v>Cambodia</v>
      </c>
      <c r="B8202" s="6" t="str">
        <f t="shared" si="4234"/>
        <v>$ APE from Manulife Pro  - Platinum</v>
      </c>
      <c r="C8202" s="4" t="str">
        <f>CHOOSE(2, "5462030031", "Jul 26")</f>
        <v>Jul 26</v>
      </c>
      <c r="D8202" s="2" t="s">
        <v>5</v>
      </c>
    </row>
    <row r="8203" spans="1:4" x14ac:dyDescent="0.35">
      <c r="A8203" s="8" t="str">
        <f t="shared" si="4203"/>
        <v>Cambodia</v>
      </c>
      <c r="B8203" s="3" t="str">
        <f t="shared" ref="B8203:B8204" si="4235">CHOOSE(2, "1395000000614", "Issued APE")</f>
        <v>Issued APE</v>
      </c>
      <c r="C8203" s="4" t="str">
        <f>CHOOSE(2, "5461730030", "Jun 26")</f>
        <v>Jun 26</v>
      </c>
      <c r="D8203" s="14">
        <v>133907.66</v>
      </c>
    </row>
    <row r="8204" spans="1:4" x14ac:dyDescent="0.35">
      <c r="A8204" s="8" t="str">
        <f t="shared" si="4203"/>
        <v>Cambodia</v>
      </c>
      <c r="B8204" s="6" t="str">
        <f t="shared" si="4235"/>
        <v>Issued APE</v>
      </c>
      <c r="C8204" s="4" t="str">
        <f>CHOOSE(2, "5462030031", "Jul 26")</f>
        <v>Jul 26</v>
      </c>
      <c r="D8204" s="14">
        <v>145456.20000000001</v>
      </c>
    </row>
    <row r="8205" spans="1:4" x14ac:dyDescent="0.35">
      <c r="A8205" s="8" t="str">
        <f t="shared" ref="A8205:A8268" si="4236">CHOOSE(2, "204000000009", "Cambodia")</f>
        <v>Cambodia</v>
      </c>
      <c r="B8205" s="3" t="str">
        <f t="shared" ref="B8205:B8206" si="4237">CHOOSE(2, "1395000000613", "Post-MI APE")</f>
        <v>Post-MI APE</v>
      </c>
      <c r="C8205" s="4" t="str">
        <f>CHOOSE(2, "5461730030", "Jun 26")</f>
        <v>Jun 26</v>
      </c>
      <c r="D8205" s="14">
        <v>133907.66</v>
      </c>
    </row>
    <row r="8206" spans="1:4" x14ac:dyDescent="0.35">
      <c r="A8206" s="8" t="str">
        <f t="shared" si="4236"/>
        <v>Cambodia</v>
      </c>
      <c r="B8206" s="6" t="str">
        <f t="shared" si="4237"/>
        <v>Post-MI APE</v>
      </c>
      <c r="C8206" s="4" t="str">
        <f>CHOOSE(2, "5462030031", "Jul 26")</f>
        <v>Jul 26</v>
      </c>
      <c r="D8206" s="14">
        <v>145456.20000000001</v>
      </c>
    </row>
    <row r="8207" spans="1:4" x14ac:dyDescent="0.35">
      <c r="A8207" s="8" t="str">
        <f t="shared" si="4236"/>
        <v>Cambodia</v>
      </c>
      <c r="B8207" s="3" t="str">
        <f t="shared" ref="B8207:B8208" si="4238">CHOOSE(2, "1395000000610", "Pre-gap NBV")</f>
        <v>Pre-gap NBV</v>
      </c>
      <c r="C8207" s="4" t="str">
        <f>CHOOSE(2, "5461730030", "Jun 26")</f>
        <v>Jun 26</v>
      </c>
      <c r="D8207" s="14">
        <v>18031.66</v>
      </c>
    </row>
    <row r="8208" spans="1:4" x14ac:dyDescent="0.35">
      <c r="A8208" s="8" t="str">
        <f t="shared" si="4236"/>
        <v>Cambodia</v>
      </c>
      <c r="B8208" s="6" t="str">
        <f t="shared" si="4238"/>
        <v>Pre-gap NBV</v>
      </c>
      <c r="C8208" s="4" t="str">
        <f>CHOOSE(2, "5462030031", "Jul 26")</f>
        <v>Jul 26</v>
      </c>
      <c r="D8208" s="14">
        <v>41483.79</v>
      </c>
    </row>
    <row r="8209" spans="1:4" x14ac:dyDescent="0.35">
      <c r="A8209" s="8" t="str">
        <f t="shared" si="4236"/>
        <v>Cambodia</v>
      </c>
      <c r="B8209" s="3" t="str">
        <f t="shared" ref="B8209:B8210" si="4239">CHOOSE(2, "1395000000609", "Pre-gap NBV Margin %")</f>
        <v>Pre-gap NBV Margin %</v>
      </c>
      <c r="C8209" s="4" t="str">
        <f>CHOOSE(2, "5461730030", "Jun 26")</f>
        <v>Jun 26</v>
      </c>
      <c r="D8209" s="14">
        <v>0.1346574198966661</v>
      </c>
    </row>
    <row r="8210" spans="1:4" x14ac:dyDescent="0.35">
      <c r="A8210" s="8" t="str">
        <f t="shared" si="4236"/>
        <v>Cambodia</v>
      </c>
      <c r="B8210" s="6" t="str">
        <f t="shared" si="4239"/>
        <v>Pre-gap NBV Margin %</v>
      </c>
      <c r="C8210" s="4" t="str">
        <f>CHOOSE(2, "5462030031", "Jul 26")</f>
        <v>Jul 26</v>
      </c>
      <c r="D8210" s="14">
        <v>0.28519781212488704</v>
      </c>
    </row>
    <row r="8211" spans="1:4" x14ac:dyDescent="0.35">
      <c r="A8211" s="8" t="str">
        <f t="shared" si="4236"/>
        <v>Cambodia</v>
      </c>
      <c r="B8211" s="3" t="str">
        <f t="shared" ref="B8211:B8212" si="4240">CHOOSE(2, "1395000000608", "Post-gap NBV")</f>
        <v>Post-gap NBV</v>
      </c>
      <c r="C8211" s="4" t="str">
        <f>CHOOSE(2, "5461730030", "Jun 26")</f>
        <v>Jun 26</v>
      </c>
      <c r="D8211" s="14">
        <v>18031.66</v>
      </c>
    </row>
    <row r="8212" spans="1:4" x14ac:dyDescent="0.35">
      <c r="A8212" s="8" t="str">
        <f t="shared" si="4236"/>
        <v>Cambodia</v>
      </c>
      <c r="B8212" s="6" t="str">
        <f t="shared" si="4240"/>
        <v>Post-gap NBV</v>
      </c>
      <c r="C8212" s="4" t="str">
        <f>CHOOSE(2, "5462030031", "Jul 26")</f>
        <v>Jul 26</v>
      </c>
      <c r="D8212" s="14">
        <v>41483.79</v>
      </c>
    </row>
    <row r="8213" spans="1:4" x14ac:dyDescent="0.35">
      <c r="A8213" s="8" t="str">
        <f t="shared" si="4236"/>
        <v>Cambodia</v>
      </c>
      <c r="B8213" s="3" t="str">
        <f t="shared" ref="B8213:B8214" si="4241">CHOOSE(2, "1395000000607", "Post-gap NBV Margin %")</f>
        <v>Post-gap NBV Margin %</v>
      </c>
      <c r="C8213" s="4" t="str">
        <f>CHOOSE(2, "5461730030", "Jun 26")</f>
        <v>Jun 26</v>
      </c>
      <c r="D8213" s="14">
        <v>0.1346574198966661</v>
      </c>
    </row>
    <row r="8214" spans="1:4" x14ac:dyDescent="0.35">
      <c r="A8214" s="8" t="str">
        <f t="shared" si="4236"/>
        <v>Cambodia</v>
      </c>
      <c r="B8214" s="6" t="str">
        <f t="shared" si="4241"/>
        <v>Post-gap NBV Margin %</v>
      </c>
      <c r="C8214" s="4" t="str">
        <f>CHOOSE(2, "5462030031", "Jul 26")</f>
        <v>Jul 26</v>
      </c>
      <c r="D8214" s="14">
        <v>0.28519781212488704</v>
      </c>
    </row>
    <row r="8215" spans="1:4" x14ac:dyDescent="0.35">
      <c r="A8215" s="8" t="str">
        <f t="shared" si="4236"/>
        <v>Cambodia</v>
      </c>
      <c r="B8215" s="3" t="str">
        <f t="shared" ref="B8215:B8216" si="4242">CHOOSE(2, "1395000000606", "NB CSM")</f>
        <v>NB CSM</v>
      </c>
      <c r="C8215" s="4" t="str">
        <f>CHOOSE(2, "5461730030", "Jun 26")</f>
        <v>Jun 26</v>
      </c>
      <c r="D8215" s="14">
        <v>0</v>
      </c>
    </row>
    <row r="8216" spans="1:4" x14ac:dyDescent="0.35">
      <c r="A8216" s="8" t="str">
        <f t="shared" si="4236"/>
        <v>Cambodia</v>
      </c>
      <c r="B8216" s="6" t="str">
        <f t="shared" si="4242"/>
        <v>NB CSM</v>
      </c>
      <c r="C8216" s="4" t="str">
        <f>CHOOSE(2, "5462030031", "Jul 26")</f>
        <v>Jul 26</v>
      </c>
      <c r="D8216" s="14">
        <v>0</v>
      </c>
    </row>
    <row r="8217" spans="1:4" x14ac:dyDescent="0.35">
      <c r="A8217" s="8" t="str">
        <f t="shared" si="4236"/>
        <v>Cambodia</v>
      </c>
      <c r="B8217" s="3" t="str">
        <f t="shared" ref="B8217:B8218" si="4243">CHOOSE(2, "1395000000605", "NB CSM Margin %")</f>
        <v>NB CSM Margin %</v>
      </c>
      <c r="C8217" s="4" t="str">
        <f>CHOOSE(2, "5461730030", "Jun 26")</f>
        <v>Jun 26</v>
      </c>
      <c r="D8217" s="14">
        <v>0</v>
      </c>
    </row>
    <row r="8218" spans="1:4" x14ac:dyDescent="0.35">
      <c r="A8218" s="8" t="str">
        <f t="shared" si="4236"/>
        <v>Cambodia</v>
      </c>
      <c r="B8218" s="6" t="str">
        <f t="shared" si="4243"/>
        <v>NB CSM Margin %</v>
      </c>
      <c r="C8218" s="4" t="str">
        <f>CHOOSE(2, "5462030031", "Jul 26")</f>
        <v>Jul 26</v>
      </c>
      <c r="D8218" s="14">
        <v>0</v>
      </c>
    </row>
    <row r="8219" spans="1:4" x14ac:dyDescent="0.35">
      <c r="A8219" s="8" t="str">
        <f t="shared" si="4236"/>
        <v>Cambodia</v>
      </c>
      <c r="B8219" s="3" t="str">
        <f t="shared" ref="B8219:B8220" si="4244">CHOOSE(2, "1395000000604", "PRE")</f>
        <v>PRE</v>
      </c>
      <c r="C8219" s="4" t="str">
        <f>CHOOSE(2, "5461730030", "Jun 26")</f>
        <v>Jun 26</v>
      </c>
      <c r="D8219" s="14">
        <v>852000</v>
      </c>
    </row>
    <row r="8220" spans="1:4" x14ac:dyDescent="0.35">
      <c r="A8220" s="8" t="str">
        <f t="shared" si="4236"/>
        <v>Cambodia</v>
      </c>
      <c r="B8220" s="6" t="str">
        <f t="shared" si="4244"/>
        <v>PRE</v>
      </c>
      <c r="C8220" s="4" t="str">
        <f>CHOOSE(2, "5462030031", "Jul 26")</f>
        <v>Jul 26</v>
      </c>
      <c r="D8220" s="14">
        <v>749000</v>
      </c>
    </row>
    <row r="8221" spans="1:4" x14ac:dyDescent="0.35">
      <c r="A8221" s="8" t="str">
        <f t="shared" si="4236"/>
        <v>Cambodia</v>
      </c>
      <c r="B8221" s="3" t="str">
        <f t="shared" ref="B8221:B8222" si="4245">CHOOSE(2, "1395000000603", "ContEx")</f>
        <v>ContEx</v>
      </c>
      <c r="C8221" s="4" t="str">
        <f>CHOOSE(2, "5461730030", "Jun 26")</f>
        <v>Jun 26</v>
      </c>
      <c r="D8221" s="14">
        <v>0</v>
      </c>
    </row>
    <row r="8222" spans="1:4" x14ac:dyDescent="0.35">
      <c r="A8222" s="8" t="str">
        <f t="shared" si="4236"/>
        <v>Cambodia</v>
      </c>
      <c r="B8222" s="6" t="str">
        <f t="shared" si="4245"/>
        <v>ContEx</v>
      </c>
      <c r="C8222" s="4" t="str">
        <f>CHOOSE(2, "5462030031", "Jul 26")</f>
        <v>Jul 26</v>
      </c>
      <c r="D8222" s="14">
        <v>0</v>
      </c>
    </row>
    <row r="8223" spans="1:4" x14ac:dyDescent="0.35">
      <c r="A8223" s="8" t="str">
        <f t="shared" si="4236"/>
        <v>Cambodia</v>
      </c>
      <c r="B8223" s="3" t="str">
        <f t="shared" ref="B8223:B8224" si="4246">CHOOSE(2, "1395000000602", "% of 6-90 agents")</f>
        <v>% of 6-90 agents</v>
      </c>
      <c r="C8223" s="4" t="str">
        <f>CHOOSE(2, "5461730030", "Jun 26")</f>
        <v>Jun 26</v>
      </c>
      <c r="D8223" s="14">
        <v>3.2520325203252036E-2</v>
      </c>
    </row>
    <row r="8224" spans="1:4" x14ac:dyDescent="0.35">
      <c r="A8224" s="8" t="str">
        <f t="shared" si="4236"/>
        <v>Cambodia</v>
      </c>
      <c r="B8224" s="6" t="str">
        <f t="shared" si="4246"/>
        <v>% of 6-90 agents</v>
      </c>
      <c r="C8224" s="4" t="str">
        <f>CHOOSE(2, "5462030031", "Jul 26")</f>
        <v>Jul 26</v>
      </c>
      <c r="D8224" s="14">
        <v>7.0422535211267607E-3</v>
      </c>
    </row>
    <row r="8225" spans="1:4" x14ac:dyDescent="0.35">
      <c r="A8225" s="8" t="str">
        <f t="shared" si="4236"/>
        <v>Cambodia</v>
      </c>
      <c r="B8225" s="3" t="str">
        <f t="shared" ref="B8225:B8226" si="4247">CHOOSE(2, "1395000000601", "New Recruits 3M Activation Rate")</f>
        <v>New Recruits 3M Activation Rate</v>
      </c>
      <c r="C8225" s="4" t="str">
        <f>CHOOSE(2, "5461730030", "Jun 26")</f>
        <v>Jun 26</v>
      </c>
      <c r="D8225" s="14">
        <v>0.2247191011235955</v>
      </c>
    </row>
    <row r="8226" spans="1:4" x14ac:dyDescent="0.35">
      <c r="A8226" s="8" t="str">
        <f t="shared" si="4236"/>
        <v>Cambodia</v>
      </c>
      <c r="B8226" s="6" t="str">
        <f t="shared" si="4247"/>
        <v>New Recruits 3M Activation Rate</v>
      </c>
      <c r="C8226" s="4" t="str">
        <f>CHOOSE(2, "5462030031", "Jul 26")</f>
        <v>Jul 26</v>
      </c>
      <c r="D8226" s="14">
        <v>7.1428571428571425E-2</v>
      </c>
    </row>
    <row r="8227" spans="1:4" x14ac:dyDescent="0.35">
      <c r="A8227" s="8" t="str">
        <f t="shared" si="4236"/>
        <v>Cambodia</v>
      </c>
      <c r="B8227" s="3" t="str">
        <f t="shared" ref="B8227:B8228" si="4248">CHOOSE(2, "1395000000600", "No. of Recruits from leaders")</f>
        <v>No. of Recruits from leaders</v>
      </c>
      <c r="C8227" s="4" t="str">
        <f>CHOOSE(2, "5461730030", "Jun 26")</f>
        <v>Jun 26</v>
      </c>
      <c r="D8227" s="2" t="s">
        <v>5</v>
      </c>
    </row>
    <row r="8228" spans="1:4" x14ac:dyDescent="0.35">
      <c r="A8228" s="8" t="str">
        <f t="shared" si="4236"/>
        <v>Cambodia</v>
      </c>
      <c r="B8228" s="6" t="str">
        <f t="shared" si="4248"/>
        <v>No. of Recruits from leaders</v>
      </c>
      <c r="C8228" s="4" t="str">
        <f>CHOOSE(2, "5462030031", "Jul 26")</f>
        <v>Jul 26</v>
      </c>
      <c r="D8228" s="2" t="s">
        <v>5</v>
      </c>
    </row>
    <row r="8229" spans="1:4" x14ac:dyDescent="0.35">
      <c r="A8229" s="8" t="str">
        <f t="shared" si="4236"/>
        <v>Cambodia</v>
      </c>
      <c r="B8229" s="3" t="str">
        <f t="shared" ref="B8229:B8230" si="4249">CHOOSE(2, "1395000000599", "No. of Recruits per Active Recruiting Leader per month")</f>
        <v>No. of Recruits per Active Recruiting Leader per month</v>
      </c>
      <c r="C8229" s="4" t="str">
        <f>CHOOSE(2, "5461730030", "Jun 26")</f>
        <v>Jun 26</v>
      </c>
      <c r="D8229" s="14">
        <v>0</v>
      </c>
    </row>
    <row r="8230" spans="1:4" x14ac:dyDescent="0.35">
      <c r="A8230" s="8" t="str">
        <f t="shared" si="4236"/>
        <v>Cambodia</v>
      </c>
      <c r="B8230" s="6" t="str">
        <f t="shared" si="4249"/>
        <v>No. of Recruits per Active Recruiting Leader per month</v>
      </c>
      <c r="C8230" s="4" t="str">
        <f>CHOOSE(2, "5462030031", "Jul 26")</f>
        <v>Jul 26</v>
      </c>
      <c r="D8230" s="14">
        <v>0</v>
      </c>
    </row>
    <row r="8231" spans="1:4" x14ac:dyDescent="0.35">
      <c r="A8231" s="8" t="str">
        <f t="shared" si="4236"/>
        <v>Cambodia</v>
      </c>
      <c r="B8231" s="3" t="str">
        <f t="shared" ref="B8231:B8232" si="4250">CHOOSE(2, "1395000000598", "PRE as % of APE")</f>
        <v>PRE as % of APE</v>
      </c>
      <c r="C8231" s="4" t="str">
        <f>CHOOSE(2, "5461730030", "Jun 26")</f>
        <v>Jun 26</v>
      </c>
      <c r="D8231" s="14">
        <v>6.3625934468573346</v>
      </c>
    </row>
    <row r="8232" spans="1:4" x14ac:dyDescent="0.35">
      <c r="A8232" s="8" t="str">
        <f t="shared" si="4236"/>
        <v>Cambodia</v>
      </c>
      <c r="B8232" s="6" t="str">
        <f t="shared" si="4250"/>
        <v>PRE as % of APE</v>
      </c>
      <c r="C8232" s="4" t="str">
        <f>CHOOSE(2, "5462030031", "Jul 26")</f>
        <v>Jul 26</v>
      </c>
      <c r="D8232" s="14">
        <v>5.1493164265256475</v>
      </c>
    </row>
    <row r="8233" spans="1:4" x14ac:dyDescent="0.35">
      <c r="A8233" s="8" t="str">
        <f t="shared" si="4236"/>
        <v>Cambodia</v>
      </c>
      <c r="B8233" s="3" t="str">
        <f t="shared" ref="B8233:B8234" si="4251">CHOOSE(2, "1395000000597", "ContEx as % of APE")</f>
        <v>ContEx as % of APE</v>
      </c>
      <c r="C8233" s="4" t="str">
        <f>CHOOSE(2, "5461730030", "Jun 26")</f>
        <v>Jun 26</v>
      </c>
      <c r="D8233" s="14">
        <v>0</v>
      </c>
    </row>
    <row r="8234" spans="1:4" x14ac:dyDescent="0.35">
      <c r="A8234" s="8" t="str">
        <f t="shared" si="4236"/>
        <v>Cambodia</v>
      </c>
      <c r="B8234" s="6" t="str">
        <f t="shared" si="4251"/>
        <v>ContEx as % of APE</v>
      </c>
      <c r="C8234" s="4" t="str">
        <f>CHOOSE(2, "5462030031", "Jul 26")</f>
        <v>Jul 26</v>
      </c>
      <c r="D8234" s="14">
        <v>0</v>
      </c>
    </row>
    <row r="8235" spans="1:4" x14ac:dyDescent="0.35">
      <c r="A8235" s="8" t="str">
        <f t="shared" si="4236"/>
        <v>Cambodia</v>
      </c>
      <c r="B8235" s="3" t="str">
        <f t="shared" ref="B8235:B8236" si="4252">CHOOSE(2, "1395000000596", "% of 1-Month Active Agents")</f>
        <v>% of 1-Month Active Agents</v>
      </c>
      <c r="C8235" s="4" t="str">
        <f>CHOOSE(2, "5461730030", "Jun 26")</f>
        <v>Jun 26</v>
      </c>
      <c r="D8235" s="14">
        <v>7.3868882733148664E-2</v>
      </c>
    </row>
    <row r="8236" spans="1:4" x14ac:dyDescent="0.35">
      <c r="A8236" s="8" t="str">
        <f t="shared" si="4236"/>
        <v>Cambodia</v>
      </c>
      <c r="B8236" s="6" t="str">
        <f t="shared" si="4252"/>
        <v>% of 1-Month Active Agents</v>
      </c>
      <c r="C8236" s="4" t="str">
        <f>CHOOSE(2, "5462030031", "Jul 26")</f>
        <v>Jul 26</v>
      </c>
      <c r="D8236" s="14">
        <v>6.3716814159292035E-2</v>
      </c>
    </row>
    <row r="8237" spans="1:4" x14ac:dyDescent="0.35">
      <c r="A8237" s="8" t="str">
        <f t="shared" si="4236"/>
        <v>Cambodia</v>
      </c>
      <c r="B8237" s="3" t="str">
        <f t="shared" ref="B8237:B8238" si="4253">CHOOSE(2, "1395000000595", "% of 3-Month Active Agents")</f>
        <v>% of 3-Month Active Agents</v>
      </c>
      <c r="C8237" s="4" t="str">
        <f>CHOOSE(2, "5461730030", "Jun 26")</f>
        <v>Jun 26</v>
      </c>
      <c r="D8237" s="14">
        <v>3.7371535347243849E-2</v>
      </c>
    </row>
    <row r="8238" spans="1:4" x14ac:dyDescent="0.35">
      <c r="A8238" s="8" t="str">
        <f t="shared" si="4236"/>
        <v>Cambodia</v>
      </c>
      <c r="B8238" s="6" t="str">
        <f t="shared" si="4253"/>
        <v>% of 3-Month Active Agents</v>
      </c>
      <c r="C8238" s="4" t="str">
        <f>CHOOSE(2, "5462030031", "Jul 26")</f>
        <v>Jul 26</v>
      </c>
      <c r="D8238" s="14">
        <v>4.1564039408866993E-2</v>
      </c>
    </row>
    <row r="8239" spans="1:4" x14ac:dyDescent="0.35">
      <c r="A8239" s="8" t="str">
        <f t="shared" si="4236"/>
        <v>Cambodia</v>
      </c>
      <c r="B8239" s="3" t="str">
        <f t="shared" ref="B8239:B8240" si="4254">CHOOSE(2, "1395000000594", "Active agents per active leader")</f>
        <v>Active agents per active leader</v>
      </c>
      <c r="C8239" s="4" t="str">
        <f>CHOOSE(2, "5461730030", "Jun 26")</f>
        <v>Jun 26</v>
      </c>
      <c r="D8239" s="14">
        <v>3.8095238095238093</v>
      </c>
    </row>
    <row r="8240" spans="1:4" x14ac:dyDescent="0.35">
      <c r="A8240" s="8" t="str">
        <f t="shared" si="4236"/>
        <v>Cambodia</v>
      </c>
      <c r="B8240" s="6" t="str">
        <f t="shared" si="4254"/>
        <v>Active agents per active leader</v>
      </c>
      <c r="C8240" s="4" t="str">
        <f>CHOOSE(2, "5462030031", "Jul 26")</f>
        <v>Jul 26</v>
      </c>
      <c r="D8240" s="14">
        <v>2.7692307692307692</v>
      </c>
    </row>
    <row r="8241" spans="1:4" x14ac:dyDescent="0.35">
      <c r="A8241" s="8" t="str">
        <f t="shared" si="4236"/>
        <v>Cambodia</v>
      </c>
      <c r="B8241" s="3" t="str">
        <f t="shared" ref="B8241:B8242" si="4255">CHOOSE(2, "1395000000593", "Avg. Case count per 1-Month Active Agent")</f>
        <v>Avg. Case count per 1-Month Active Agent</v>
      </c>
      <c r="C8241" s="4" t="str">
        <f>CHOOSE(2, "5461730030", "Jun 26")</f>
        <v>Jun 26</v>
      </c>
      <c r="D8241" s="14">
        <v>1.2749999999999999</v>
      </c>
    </row>
    <row r="8242" spans="1:4" x14ac:dyDescent="0.35">
      <c r="A8242" s="8" t="str">
        <f t="shared" si="4236"/>
        <v>Cambodia</v>
      </c>
      <c r="B8242" s="6" t="str">
        <f t="shared" si="4255"/>
        <v>Avg. Case count per 1-Month Active Agent</v>
      </c>
      <c r="C8242" s="4" t="str">
        <f>CHOOSE(2, "5462030031", "Jul 26")</f>
        <v>Jul 26</v>
      </c>
      <c r="D8242" s="14">
        <v>1.8888888888888888</v>
      </c>
    </row>
    <row r="8243" spans="1:4" x14ac:dyDescent="0.35">
      <c r="A8243" s="8" t="str">
        <f t="shared" si="4236"/>
        <v>Cambodia</v>
      </c>
      <c r="B8243" s="3" t="str">
        <f t="shared" ref="B8243:B8244" si="4256">CHOOSE(2, "1395000000592", "Avg. Case size")</f>
        <v>Avg. Case size</v>
      </c>
      <c r="C8243" s="4" t="str">
        <f>CHOOSE(2, "5461730030", "Jun 26")</f>
        <v>Jun 26</v>
      </c>
      <c r="D8243" s="14">
        <v>1312.8201960784313</v>
      </c>
    </row>
    <row r="8244" spans="1:4" x14ac:dyDescent="0.35">
      <c r="A8244" s="8" t="str">
        <f t="shared" si="4236"/>
        <v>Cambodia</v>
      </c>
      <c r="B8244" s="6" t="str">
        <f t="shared" si="4256"/>
        <v>Avg. Case size</v>
      </c>
      <c r="C8244" s="4" t="str">
        <f>CHOOSE(2, "5462030031", "Jul 26")</f>
        <v>Jul 26</v>
      </c>
      <c r="D8244" s="14">
        <v>1069.5308823529413</v>
      </c>
    </row>
    <row r="8245" spans="1:4" x14ac:dyDescent="0.35">
      <c r="A8245" s="8" t="str">
        <f t="shared" si="4236"/>
        <v>Cambodia</v>
      </c>
      <c r="B8245" s="3" t="str">
        <f t="shared" ref="B8245:B8246" si="4257">CHOOSE(2, "1395000000591", "APE per 1-Month Active Agent")</f>
        <v>APE per 1-Month Active Agent</v>
      </c>
      <c r="C8245" s="4" t="str">
        <f>CHOOSE(2, "5461730030", "Jun 26")</f>
        <v>Jun 26</v>
      </c>
      <c r="D8245" s="14">
        <v>1673.84575</v>
      </c>
    </row>
    <row r="8246" spans="1:4" x14ac:dyDescent="0.35">
      <c r="A8246" s="8" t="str">
        <f t="shared" si="4236"/>
        <v>Cambodia</v>
      </c>
      <c r="B8246" s="6" t="str">
        <f t="shared" si="4257"/>
        <v>APE per 1-Month Active Agent</v>
      </c>
      <c r="C8246" s="4" t="str">
        <f>CHOOSE(2, "5462030031", "Jul 26")</f>
        <v>Jul 26</v>
      </c>
      <c r="D8246" s="14">
        <v>2020.2250000000001</v>
      </c>
    </row>
    <row r="8247" spans="1:4" x14ac:dyDescent="0.35">
      <c r="A8247" s="8" t="str">
        <f t="shared" si="4236"/>
        <v>Cambodia</v>
      </c>
      <c r="B8247" s="3" t="str">
        <f t="shared" ref="B8247:B8248" si="4258">CHOOSE(2, "1395000000590", "% Conversion of Proposals to cases")</f>
        <v>% Conversion of Proposals to cases</v>
      </c>
      <c r="C8247" s="4" t="str">
        <f>CHOOSE(2, "5461730030", "Jun 26")</f>
        <v>Jun 26</v>
      </c>
      <c r="D8247" s="14">
        <v>0</v>
      </c>
    </row>
    <row r="8248" spans="1:4" x14ac:dyDescent="0.35">
      <c r="A8248" s="8" t="str">
        <f t="shared" si="4236"/>
        <v>Cambodia</v>
      </c>
      <c r="B8248" s="6" t="str">
        <f t="shared" si="4258"/>
        <v>% Conversion of Proposals to cases</v>
      </c>
      <c r="C8248" s="4" t="str">
        <f>CHOOSE(2, "5462030031", "Jul 26")</f>
        <v>Jul 26</v>
      </c>
      <c r="D8248" s="14">
        <v>0</v>
      </c>
    </row>
    <row r="8249" spans="1:4" x14ac:dyDescent="0.35">
      <c r="A8249" s="8" t="str">
        <f t="shared" si="4236"/>
        <v>Cambodia</v>
      </c>
      <c r="B8249" s="3" t="str">
        <f t="shared" ref="B8249:B8250" si="4259">CHOOSE(2, "1395000000588", "% APE from Agents in X tenure")</f>
        <v>% APE from Agents in X tenure</v>
      </c>
      <c r="C8249" s="4" t="str">
        <f>CHOOSE(2, "5461730030", "Jun 26")</f>
        <v>Jun 26</v>
      </c>
      <c r="D8249" s="14">
        <v>1</v>
      </c>
    </row>
    <row r="8250" spans="1:4" x14ac:dyDescent="0.35">
      <c r="A8250" s="8" t="str">
        <f t="shared" si="4236"/>
        <v>Cambodia</v>
      </c>
      <c r="B8250" s="6" t="str">
        <f t="shared" si="4259"/>
        <v>% APE from Agents in X tenure</v>
      </c>
      <c r="C8250" s="4" t="str">
        <f>CHOOSE(2, "5462030031", "Jul 26")</f>
        <v>Jul 26</v>
      </c>
      <c r="D8250" s="14">
        <v>1</v>
      </c>
    </row>
    <row r="8251" spans="1:4" x14ac:dyDescent="0.35">
      <c r="A8251" s="8" t="str">
        <f t="shared" si="4236"/>
        <v>Cambodia</v>
      </c>
      <c r="B8251" s="3" t="str">
        <f t="shared" ref="B8251:B8252" si="4260">CHOOSE(2, "1395000000587", "% APE from Agents in X tenure in 0-1M")</f>
        <v>% APE from Agents in X tenure in 0-1M</v>
      </c>
      <c r="C8251" s="4" t="str">
        <f>CHOOSE(2, "5461730030", "Jun 26")</f>
        <v>Jun 26</v>
      </c>
      <c r="D8251" s="14">
        <v>0.1</v>
      </c>
    </row>
    <row r="8252" spans="1:4" x14ac:dyDescent="0.35">
      <c r="A8252" s="8" t="str">
        <f t="shared" si="4236"/>
        <v>Cambodia</v>
      </c>
      <c r="B8252" s="6" t="str">
        <f t="shared" si="4260"/>
        <v>% APE from Agents in X tenure in 0-1M</v>
      </c>
      <c r="C8252" s="4" t="str">
        <f>CHOOSE(2, "5462030031", "Jul 26")</f>
        <v>Jul 26</v>
      </c>
      <c r="D8252" s="14">
        <v>0.1</v>
      </c>
    </row>
    <row r="8253" spans="1:4" x14ac:dyDescent="0.35">
      <c r="A8253" s="8" t="str">
        <f t="shared" si="4236"/>
        <v>Cambodia</v>
      </c>
      <c r="B8253" s="3" t="str">
        <f t="shared" ref="B8253:B8254" si="4261">CHOOSE(2, "1395000000586", "% APE from Agents in X tenure in 2-3M")</f>
        <v>% APE from Agents in X tenure in 2-3M</v>
      </c>
      <c r="C8253" s="4" t="str">
        <f>CHOOSE(2, "5461730030", "Jun 26")</f>
        <v>Jun 26</v>
      </c>
      <c r="D8253" s="14">
        <v>0.2</v>
      </c>
    </row>
    <row r="8254" spans="1:4" x14ac:dyDescent="0.35">
      <c r="A8254" s="8" t="str">
        <f t="shared" si="4236"/>
        <v>Cambodia</v>
      </c>
      <c r="B8254" s="6" t="str">
        <f t="shared" si="4261"/>
        <v>% APE from Agents in X tenure in 2-3M</v>
      </c>
      <c r="C8254" s="4" t="str">
        <f>CHOOSE(2, "5462030031", "Jul 26")</f>
        <v>Jul 26</v>
      </c>
      <c r="D8254" s="14">
        <v>0.2</v>
      </c>
    </row>
    <row r="8255" spans="1:4" x14ac:dyDescent="0.35">
      <c r="A8255" s="8" t="str">
        <f t="shared" si="4236"/>
        <v>Cambodia</v>
      </c>
      <c r="B8255" s="3" t="str">
        <f t="shared" ref="B8255:B8256" si="4262">CHOOSE(2, "1395000000585", "% APE from Agents in X tenure in 4-12M")</f>
        <v>% APE from Agents in X tenure in 4-12M</v>
      </c>
      <c r="C8255" s="4" t="str">
        <f>CHOOSE(2, "5461730030", "Jun 26")</f>
        <v>Jun 26</v>
      </c>
      <c r="D8255" s="14">
        <v>0.3</v>
      </c>
    </row>
    <row r="8256" spans="1:4" x14ac:dyDescent="0.35">
      <c r="A8256" s="8" t="str">
        <f t="shared" si="4236"/>
        <v>Cambodia</v>
      </c>
      <c r="B8256" s="6" t="str">
        <f t="shared" si="4262"/>
        <v>% APE from Agents in X tenure in 4-12M</v>
      </c>
      <c r="C8256" s="4" t="str">
        <f>CHOOSE(2, "5462030031", "Jul 26")</f>
        <v>Jul 26</v>
      </c>
      <c r="D8256" s="14">
        <v>0.3</v>
      </c>
    </row>
    <row r="8257" spans="1:4" x14ac:dyDescent="0.35">
      <c r="A8257" s="8" t="str">
        <f t="shared" si="4236"/>
        <v>Cambodia</v>
      </c>
      <c r="B8257" s="3" t="str">
        <f t="shared" ref="B8257:B8258" si="4263">CHOOSE(2, "1395000000584", "% APE from Agents in X tenure 13+M")</f>
        <v>% APE from Agents in X tenure 13+M</v>
      </c>
      <c r="C8257" s="4" t="str">
        <f>CHOOSE(2, "5461730030", "Jun 26")</f>
        <v>Jun 26</v>
      </c>
      <c r="D8257" s="14">
        <v>0.4</v>
      </c>
    </row>
    <row r="8258" spans="1:4" x14ac:dyDescent="0.35">
      <c r="A8258" s="8" t="str">
        <f t="shared" si="4236"/>
        <v>Cambodia</v>
      </c>
      <c r="B8258" s="6" t="str">
        <f t="shared" si="4263"/>
        <v>% APE from Agents in X tenure 13+M</v>
      </c>
      <c r="C8258" s="4" t="str">
        <f>CHOOSE(2, "5462030031", "Jul 26")</f>
        <v>Jul 26</v>
      </c>
      <c r="D8258" s="14">
        <v>0.4</v>
      </c>
    </row>
    <row r="8259" spans="1:4" x14ac:dyDescent="0.35">
      <c r="A8259" s="8" t="str">
        <f t="shared" si="4236"/>
        <v>Cambodia</v>
      </c>
      <c r="B8259" s="3" t="str">
        <f t="shared" ref="B8259:B8260" si="4264">CHOOSE(2, "1395000000583", "% APE from pro-rated MDRT agents (100%)")</f>
        <v>% APE from pro-rated MDRT agents (100%)</v>
      </c>
      <c r="C8259" s="4" t="str">
        <f>CHOOSE(2, "5461730030", "Jun 26")</f>
        <v>Jun 26</v>
      </c>
      <c r="D8259" s="14">
        <v>0</v>
      </c>
    </row>
    <row r="8260" spans="1:4" x14ac:dyDescent="0.35">
      <c r="A8260" s="8" t="str">
        <f t="shared" si="4236"/>
        <v>Cambodia</v>
      </c>
      <c r="B8260" s="6" t="str">
        <f t="shared" si="4264"/>
        <v>% APE from pro-rated MDRT agents (100%)</v>
      </c>
      <c r="C8260" s="4" t="str">
        <f>CHOOSE(2, "5462030031", "Jul 26")</f>
        <v>Jul 26</v>
      </c>
      <c r="D8260" s="14">
        <v>0.10520692827119091</v>
      </c>
    </row>
    <row r="8261" spans="1:4" x14ac:dyDescent="0.35">
      <c r="A8261" s="8" t="str">
        <f t="shared" si="4236"/>
        <v>Cambodia</v>
      </c>
      <c r="B8261" s="3" t="str">
        <f t="shared" ref="B8261:B8262" si="4265">CHOOSE(2, "1395000000582", "% APE from pro-rated MDRT agents (70-99%)")</f>
        <v>% APE from pro-rated MDRT agents (70-99%)</v>
      </c>
      <c r="C8261" s="4" t="str">
        <f>CHOOSE(2, "5461730030", "Jun 26")</f>
        <v>Jun 26</v>
      </c>
      <c r="D8261" s="14">
        <v>0.12058309435024105</v>
      </c>
    </row>
    <row r="8262" spans="1:4" x14ac:dyDescent="0.35">
      <c r="A8262" s="8" t="str">
        <f t="shared" si="4236"/>
        <v>Cambodia</v>
      </c>
      <c r="B8262" s="6" t="str">
        <f t="shared" si="4265"/>
        <v>% APE from pro-rated MDRT agents (70-99%)</v>
      </c>
      <c r="C8262" s="4" t="str">
        <f>CHOOSE(2, "5462030031", "Jul 26")</f>
        <v>Jul 26</v>
      </c>
      <c r="D8262" s="14">
        <v>3.827268964815525E-2</v>
      </c>
    </row>
    <row r="8263" spans="1:4" x14ac:dyDescent="0.35">
      <c r="A8263" s="8" t="str">
        <f t="shared" si="4236"/>
        <v>Cambodia</v>
      </c>
      <c r="B8263" s="3" t="str">
        <f t="shared" ref="B8263:B8264" si="4266">CHOOSE(2, "1395000000581", "% APE from pro-rated MDRT agents (50-69%)")</f>
        <v>% APE from pro-rated MDRT agents (50-69%)</v>
      </c>
      <c r="C8263" s="4" t="str">
        <f>CHOOSE(2, "5461730030", "Jun 26")</f>
        <v>Jun 26</v>
      </c>
      <c r="D8263" s="14">
        <v>4.2596517630134077E-2</v>
      </c>
    </row>
    <row r="8264" spans="1:4" x14ac:dyDescent="0.35">
      <c r="A8264" s="8" t="str">
        <f t="shared" si="4236"/>
        <v>Cambodia</v>
      </c>
      <c r="B8264" s="6" t="str">
        <f t="shared" si="4266"/>
        <v>% APE from pro-rated MDRT agents (50-69%)</v>
      </c>
      <c r="C8264" s="4" t="str">
        <f>CHOOSE(2, "5462030031", "Jul 26")</f>
        <v>Jul 26</v>
      </c>
      <c r="D8264" s="14">
        <v>1.1350495888109272E-2</v>
      </c>
    </row>
    <row r="8265" spans="1:4" x14ac:dyDescent="0.35">
      <c r="A8265" s="8" t="str">
        <f t="shared" si="4236"/>
        <v>Cambodia</v>
      </c>
      <c r="B8265" s="3" t="str">
        <f t="shared" ref="B8265:B8266" si="4267">CHOOSE(2, "1395000000580", "% APE from Top-tier agents")</f>
        <v>% APE from Top-tier agents</v>
      </c>
      <c r="C8265" s="4" t="str">
        <f>CHOOSE(2, "5461730030", "Jun 26")</f>
        <v>Jun 26</v>
      </c>
      <c r="D8265" s="14">
        <v>0.16317961198037512</v>
      </c>
    </row>
    <row r="8266" spans="1:4" x14ac:dyDescent="0.35">
      <c r="A8266" s="8" t="str">
        <f t="shared" si="4236"/>
        <v>Cambodia</v>
      </c>
      <c r="B8266" s="6" t="str">
        <f t="shared" si="4267"/>
        <v>% APE from Top-tier agents</v>
      </c>
      <c r="C8266" s="4" t="str">
        <f>CHOOSE(2, "5462030031", "Jul 26")</f>
        <v>Jul 26</v>
      </c>
      <c r="D8266" s="14">
        <v>0.15483011380745543</v>
      </c>
    </row>
    <row r="8267" spans="1:4" x14ac:dyDescent="0.35">
      <c r="A8267" s="8" t="str">
        <f t="shared" si="4236"/>
        <v>Cambodia</v>
      </c>
      <c r="B8267" s="3" t="str">
        <f t="shared" ref="B8267:B8268" si="4268">CHOOSE(2, "1395000000579", "% of Active Recruiting Leaders")</f>
        <v>% of Active Recruiting Leaders</v>
      </c>
      <c r="C8267" s="4" t="str">
        <f>CHOOSE(2, "5461730030", "Jun 26")</f>
        <v>Jun 26</v>
      </c>
      <c r="D8267" s="14">
        <v>0.15441176470588236</v>
      </c>
    </row>
    <row r="8268" spans="1:4" x14ac:dyDescent="0.35">
      <c r="A8268" s="8" t="str">
        <f t="shared" si="4236"/>
        <v>Cambodia</v>
      </c>
      <c r="B8268" s="6" t="str">
        <f t="shared" si="4268"/>
        <v>% of Active Recruiting Leaders</v>
      </c>
      <c r="C8268" s="4" t="str">
        <f>CHOOSE(2, "5462030031", "Jul 26")</f>
        <v>Jul 26</v>
      </c>
      <c r="D8268" s="14">
        <v>0.16883116883116883</v>
      </c>
    </row>
    <row r="8269" spans="1:4" x14ac:dyDescent="0.35">
      <c r="A8269" s="8" t="str">
        <f t="shared" ref="A8269:A8332" si="4269">CHOOSE(2, "204000000009", "Cambodia")</f>
        <v>Cambodia</v>
      </c>
      <c r="B8269" s="3" t="str">
        <f t="shared" ref="B8269:B8270" si="4270">CHOOSE(2, "1395000000578", "% of leaders with &gt;1 YTD recruit")</f>
        <v>% of leaders with &gt;1 YTD recruit</v>
      </c>
      <c r="C8269" s="4" t="str">
        <f>CHOOSE(2, "5461730030", "Jun 26")</f>
        <v>Jun 26</v>
      </c>
      <c r="D8269" s="14">
        <v>0.44117647058823528</v>
      </c>
    </row>
    <row r="8270" spans="1:4" x14ac:dyDescent="0.35">
      <c r="A8270" s="8" t="str">
        <f t="shared" si="4269"/>
        <v>Cambodia</v>
      </c>
      <c r="B8270" s="6" t="str">
        <f t="shared" si="4270"/>
        <v>% of leaders with &gt;1 YTD recruit</v>
      </c>
      <c r="C8270" s="4" t="str">
        <f>CHOOSE(2, "5462030031", "Jul 26")</f>
        <v>Jul 26</v>
      </c>
      <c r="D8270" s="14">
        <v>0.48051948051948051</v>
      </c>
    </row>
    <row r="8271" spans="1:4" x14ac:dyDescent="0.35">
      <c r="A8271" s="8" t="str">
        <f t="shared" si="4269"/>
        <v>Cambodia</v>
      </c>
      <c r="B8271" s="3" t="str">
        <f t="shared" ref="B8271:B8272" si="4271">CHOOSE(2, "1395000000577", "% of 1-Month Active Top-tier agents")</f>
        <v>% of 1-Month Active Top-tier agents</v>
      </c>
      <c r="C8271" s="4" t="str">
        <f>CHOOSE(2, "5461730030", "Jun 26")</f>
        <v>Jun 26</v>
      </c>
      <c r="D8271" s="14">
        <v>1</v>
      </c>
    </row>
    <row r="8272" spans="1:4" x14ac:dyDescent="0.35">
      <c r="A8272" s="8" t="str">
        <f t="shared" si="4269"/>
        <v>Cambodia</v>
      </c>
      <c r="B8272" s="6" t="str">
        <f t="shared" si="4271"/>
        <v>% of 1-Month Active Top-tier agents</v>
      </c>
      <c r="C8272" s="4" t="str">
        <f>CHOOSE(2, "5462030031", "Jul 26")</f>
        <v>Jul 26</v>
      </c>
      <c r="D8272" s="14">
        <v>1</v>
      </c>
    </row>
    <row r="8273" spans="1:4" x14ac:dyDescent="0.35">
      <c r="A8273" s="8" t="str">
        <f t="shared" si="4269"/>
        <v>Cambodia</v>
      </c>
      <c r="B8273" s="3" t="str">
        <f t="shared" ref="B8273:B8274" si="4272">CHOOSE(2, "1395000000576", "% APE from Manulife Pro - Total")</f>
        <v>% APE from Manulife Pro - Total</v>
      </c>
      <c r="C8273" s="4" t="str">
        <f>CHOOSE(2, "5461730030", "Jun 26")</f>
        <v>Jun 26</v>
      </c>
      <c r="D8273" s="14">
        <v>0</v>
      </c>
    </row>
    <row r="8274" spans="1:4" x14ac:dyDescent="0.35">
      <c r="A8274" s="8" t="str">
        <f t="shared" si="4269"/>
        <v>Cambodia</v>
      </c>
      <c r="B8274" s="6" t="str">
        <f t="shared" si="4272"/>
        <v>% APE from Manulife Pro - Total</v>
      </c>
      <c r="C8274" s="4" t="str">
        <f>CHOOSE(2, "5462030031", "Jul 26")</f>
        <v>Jul 26</v>
      </c>
      <c r="D8274" s="14">
        <v>0</v>
      </c>
    </row>
    <row r="8275" spans="1:4" x14ac:dyDescent="0.35">
      <c r="A8275" s="8" t="str">
        <f t="shared" si="4269"/>
        <v>Cambodia</v>
      </c>
      <c r="B8275" s="3" t="str">
        <f t="shared" ref="B8275:B8276" si="4273">CHOOSE(2, "1395000000575", "% of 1-Month Active Agents Manulife Pro Qualifiers - Total")</f>
        <v>% of 1-Month Active Agents Manulife Pro Qualifiers - Total</v>
      </c>
      <c r="C8275" s="4" t="str">
        <f>CHOOSE(2, "5461730030", "Jun 26")</f>
        <v>Jun 26</v>
      </c>
      <c r="D8275" s="14">
        <v>0</v>
      </c>
    </row>
    <row r="8276" spans="1:4" x14ac:dyDescent="0.35">
      <c r="A8276" s="8" t="str">
        <f t="shared" si="4269"/>
        <v>Cambodia</v>
      </c>
      <c r="B8276" s="6" t="str">
        <f t="shared" si="4273"/>
        <v>% of 1-Month Active Agents Manulife Pro Qualifiers - Total</v>
      </c>
      <c r="C8276" s="4" t="str">
        <f>CHOOSE(2, "5462030031", "Jul 26")</f>
        <v>Jul 26</v>
      </c>
      <c r="D8276" s="14">
        <v>0</v>
      </c>
    </row>
    <row r="8277" spans="1:4" x14ac:dyDescent="0.35">
      <c r="A8277" s="8" t="str">
        <f t="shared" si="4269"/>
        <v>Cambodia</v>
      </c>
      <c r="B8277" s="3" t="str">
        <f t="shared" ref="B8277:B8278" si="4274">CHOOSE(2, "1395000000574", "% of Newly Demoted UM")</f>
        <v>% of Newly Demoted UM</v>
      </c>
      <c r="C8277" s="4" t="str">
        <f>CHOOSE(2, "5461730030", "Jun 26")</f>
        <v>Jun 26</v>
      </c>
      <c r="D8277" s="14">
        <v>1.9607843137254902E-2</v>
      </c>
    </row>
    <row r="8278" spans="1:4" x14ac:dyDescent="0.35">
      <c r="A8278" s="8" t="str">
        <f t="shared" si="4269"/>
        <v>Cambodia</v>
      </c>
      <c r="B8278" s="6" t="str">
        <f t="shared" si="4274"/>
        <v>% of Newly Demoted UM</v>
      </c>
      <c r="C8278" s="4" t="str">
        <f>CHOOSE(2, "5462030031", "Jul 26")</f>
        <v>Jul 26</v>
      </c>
      <c r="D8278" s="14">
        <v>0</v>
      </c>
    </row>
    <row r="8279" spans="1:4" x14ac:dyDescent="0.35">
      <c r="A8279" s="8" t="str">
        <f t="shared" si="4269"/>
        <v>Cambodia</v>
      </c>
      <c r="B8279" s="3" t="str">
        <f t="shared" ref="B8279:B8280" si="4275">CHOOSE(2, "1395000000573", "% of Newly Demoted Leaders above UM")</f>
        <v>% of Newly Demoted Leaders above UM</v>
      </c>
      <c r="C8279" s="4" t="str">
        <f>CHOOSE(2, "5461730030", "Jun 26")</f>
        <v>Jun 26</v>
      </c>
      <c r="D8279" s="14">
        <v>0</v>
      </c>
    </row>
    <row r="8280" spans="1:4" x14ac:dyDescent="0.35">
      <c r="A8280" s="8" t="str">
        <f t="shared" si="4269"/>
        <v>Cambodia</v>
      </c>
      <c r="B8280" s="6" t="str">
        <f t="shared" si="4275"/>
        <v>% of Newly Demoted Leaders above UM</v>
      </c>
      <c r="C8280" s="4" t="str">
        <f>CHOOSE(2, "5462030031", "Jul 26")</f>
        <v>Jul 26</v>
      </c>
      <c r="D8280" s="14">
        <v>2.7027027027027029E-2</v>
      </c>
    </row>
    <row r="8281" spans="1:4" x14ac:dyDescent="0.35">
      <c r="A8281" s="8" t="str">
        <f t="shared" si="4269"/>
        <v>Cambodia</v>
      </c>
      <c r="B8281" s="3" t="str">
        <f t="shared" ref="B8281:B8282" si="4276">CHOOSE(2, "1395000000572", "Avg. Earning per agent")</f>
        <v>Avg. Earning per agent</v>
      </c>
      <c r="C8281" s="4" t="str">
        <f>CHOOSE(2, "5461730030", "Jun 26")</f>
        <v>Jun 26</v>
      </c>
      <c r="D8281" s="14">
        <v>142.44867959372115</v>
      </c>
    </row>
    <row r="8282" spans="1:4" x14ac:dyDescent="0.35">
      <c r="A8282" s="8" t="str">
        <f t="shared" si="4269"/>
        <v>Cambodia</v>
      </c>
      <c r="B8282" s="6" t="str">
        <f t="shared" si="4276"/>
        <v>Avg. Earning per agent</v>
      </c>
      <c r="C8282" s="4" t="str">
        <f>CHOOSE(2, "5462030031", "Jul 26")</f>
        <v>Jul 26</v>
      </c>
      <c r="D8282" s="14">
        <v>122.02774336283187</v>
      </c>
    </row>
    <row r="8283" spans="1:4" x14ac:dyDescent="0.35">
      <c r="A8283" s="8" t="str">
        <f t="shared" si="4269"/>
        <v>Cambodia</v>
      </c>
      <c r="B8283" s="3" t="str">
        <f t="shared" ref="B8283:B8284" si="4277">CHOOSE(2, "1395000000571", "Avg. Earning per agent in FA or equivalent")</f>
        <v>Avg. Earning per agent in FA or equivalent</v>
      </c>
      <c r="C8283" s="4" t="str">
        <f>CHOOSE(2, "5461730030", "Jun 26")</f>
        <v>Jun 26</v>
      </c>
      <c r="D8283" s="14">
        <v>53.342734204793025</v>
      </c>
    </row>
    <row r="8284" spans="1:4" x14ac:dyDescent="0.35">
      <c r="A8284" s="8" t="str">
        <f t="shared" si="4269"/>
        <v>Cambodia</v>
      </c>
      <c r="B8284" s="6" t="str">
        <f t="shared" si="4277"/>
        <v>Avg. Earning per agent in FA or equivalent</v>
      </c>
      <c r="C8284" s="4" t="str">
        <f>CHOOSE(2, "5462030031", "Jul 26")</f>
        <v>Jul 26</v>
      </c>
      <c r="D8284" s="14">
        <v>52.425811240721103</v>
      </c>
    </row>
    <row r="8285" spans="1:4" x14ac:dyDescent="0.35">
      <c r="A8285" s="8" t="str">
        <f t="shared" si="4269"/>
        <v>Cambodia</v>
      </c>
      <c r="B8285" s="3" t="str">
        <f t="shared" ref="B8285:B8286" si="4278">CHOOSE(2, "1395000000570", "Avg. Earning per agent in UM")</f>
        <v>Avg. Earning per agent in UM</v>
      </c>
      <c r="C8285" s="4" t="str">
        <f>CHOOSE(2, "5461730030", "Jun 26")</f>
        <v>Jun 26</v>
      </c>
      <c r="D8285" s="14">
        <v>404.2322549019608</v>
      </c>
    </row>
    <row r="8286" spans="1:4" x14ac:dyDescent="0.35">
      <c r="A8286" s="8" t="str">
        <f t="shared" si="4269"/>
        <v>Cambodia</v>
      </c>
      <c r="B8286" s="6" t="str">
        <f t="shared" si="4278"/>
        <v>Avg. Earning per agent in UM</v>
      </c>
      <c r="C8286" s="4" t="str">
        <f>CHOOSE(2, "5462030031", "Jul 26")</f>
        <v>Jul 26</v>
      </c>
      <c r="D8286" s="14">
        <v>359.17538461538459</v>
      </c>
    </row>
    <row r="8287" spans="1:4" x14ac:dyDescent="0.35">
      <c r="A8287" s="8" t="str">
        <f t="shared" si="4269"/>
        <v>Cambodia</v>
      </c>
      <c r="B8287" s="3" t="str">
        <f t="shared" ref="B8287:B8288" si="4279">CHOOSE(2, "1395000000569", "Avg. Earning per agent in Leaders above UM")</f>
        <v>Avg. Earning per agent in Leaders above UM</v>
      </c>
      <c r="C8287" s="4" t="str">
        <f>CHOOSE(2, "5461730030", "Jun 26")</f>
        <v>Jun 26</v>
      </c>
      <c r="D8287" s="14">
        <v>1884.4588235294118</v>
      </c>
    </row>
    <row r="8288" spans="1:4" x14ac:dyDescent="0.35">
      <c r="A8288" s="8" t="str">
        <f t="shared" si="4269"/>
        <v>Cambodia</v>
      </c>
      <c r="B8288" s="6" t="str">
        <f t="shared" si="4279"/>
        <v>Avg. Earning per agent in Leaders above UM</v>
      </c>
      <c r="C8288" s="4" t="str">
        <f>CHOOSE(2, "5462030031", "Jul 26")</f>
        <v>Jul 26</v>
      </c>
      <c r="D8288" s="14">
        <v>1254.8727027027028</v>
      </c>
    </row>
    <row r="8289" spans="1:4" x14ac:dyDescent="0.35">
      <c r="A8289" s="8" t="str">
        <f t="shared" si="4269"/>
        <v>Cambodia</v>
      </c>
      <c r="B8289" s="3" t="str">
        <f t="shared" ref="B8289:B8290" si="4280">CHOOSE(2, "1395000000568", "% of 1-Month Active Agents 0-1M")</f>
        <v>% of 1-Month Active Agents 0-1M</v>
      </c>
      <c r="C8289" s="4" t="str">
        <f>CHOOSE(2, "5461730030", "Jun 26")</f>
        <v>Jun 26</v>
      </c>
      <c r="D8289" s="14">
        <v>6.9767441860465115E-2</v>
      </c>
    </row>
    <row r="8290" spans="1:4" x14ac:dyDescent="0.35">
      <c r="A8290" s="8" t="str">
        <f t="shared" si="4269"/>
        <v>Cambodia</v>
      </c>
      <c r="B8290" s="6" t="str">
        <f t="shared" si="4280"/>
        <v>% of 1-Month Active Agents 0-1M</v>
      </c>
      <c r="C8290" s="4" t="str">
        <f>CHOOSE(2, "5462030031", "Jul 26")</f>
        <v>Jul 26</v>
      </c>
      <c r="D8290" s="14">
        <v>0.14893617021276595</v>
      </c>
    </row>
    <row r="8291" spans="1:4" x14ac:dyDescent="0.35">
      <c r="A8291" s="8" t="str">
        <f t="shared" si="4269"/>
        <v>Cambodia</v>
      </c>
      <c r="B8291" s="3" t="str">
        <f t="shared" ref="B8291:B8292" si="4281">CHOOSE(2, "1395000000567", "% of 1-Month Active Agents in 2-3M")</f>
        <v>% of 1-Month Active Agents in 2-3M</v>
      </c>
      <c r="C8291" s="4" t="str">
        <f>CHOOSE(2, "5461730030", "Jun 26")</f>
        <v>Jun 26</v>
      </c>
      <c r="D8291" s="14">
        <v>6.25E-2</v>
      </c>
    </row>
    <row r="8292" spans="1:4" x14ac:dyDescent="0.35">
      <c r="A8292" s="8" t="str">
        <f t="shared" si="4269"/>
        <v>Cambodia</v>
      </c>
      <c r="B8292" s="6" t="str">
        <f t="shared" si="4281"/>
        <v>% of 1-Month Active Agents in 2-3M</v>
      </c>
      <c r="C8292" s="4" t="str">
        <f>CHOOSE(2, "5462030031", "Jul 26")</f>
        <v>Jul 26</v>
      </c>
      <c r="D8292" s="14">
        <v>9.4736842105263161E-2</v>
      </c>
    </row>
    <row r="8293" spans="1:4" x14ac:dyDescent="0.35">
      <c r="A8293" s="8" t="str">
        <f t="shared" si="4269"/>
        <v>Cambodia</v>
      </c>
      <c r="B8293" s="3" t="str">
        <f t="shared" ref="B8293:B8294" si="4282">CHOOSE(2, "1395000000566", "% of 1-Month Active Agents 4-12M")</f>
        <v>% of 1-Month Active Agents 4-12M</v>
      </c>
      <c r="C8293" s="4" t="str">
        <f>CHOOSE(2, "5461730030", "Jun 26")</f>
        <v>Jun 26</v>
      </c>
      <c r="D8293" s="14">
        <v>5.1569506726457402E-2</v>
      </c>
    </row>
    <row r="8294" spans="1:4" x14ac:dyDescent="0.35">
      <c r="A8294" s="8" t="str">
        <f t="shared" si="4269"/>
        <v>Cambodia</v>
      </c>
      <c r="B8294" s="6" t="str">
        <f t="shared" si="4282"/>
        <v>% of 1-Month Active Agents 4-12M</v>
      </c>
      <c r="C8294" s="4" t="str">
        <f>CHOOSE(2, "5462030031", "Jul 26")</f>
        <v>Jul 26</v>
      </c>
      <c r="D8294" s="14">
        <v>2.5404157043879907E-2</v>
      </c>
    </row>
    <row r="8295" spans="1:4" x14ac:dyDescent="0.35">
      <c r="A8295" s="8" t="str">
        <f t="shared" si="4269"/>
        <v>Cambodia</v>
      </c>
      <c r="B8295" s="3" t="str">
        <f t="shared" ref="B8295:B8296" si="4283">CHOOSE(2, "1395000000565", "% of 1-Month Active Agents 13+M")</f>
        <v>% of 1-Month Active Agents 13+M</v>
      </c>
      <c r="C8295" s="4" t="str">
        <f>CHOOSE(2, "5461730030", "Jun 26")</f>
        <v>Jun 26</v>
      </c>
      <c r="D8295" s="14">
        <v>9.5330739299610889E-2</v>
      </c>
    </row>
    <row r="8296" spans="1:4" x14ac:dyDescent="0.35">
      <c r="A8296" s="8" t="str">
        <f t="shared" si="4269"/>
        <v>Cambodia</v>
      </c>
      <c r="B8296" s="6" t="str">
        <f t="shared" si="4283"/>
        <v>% of 1-Month Active Agents 13+M</v>
      </c>
      <c r="C8296" s="4" t="str">
        <f>CHOOSE(2, "5462030031", "Jul 26")</f>
        <v>Jul 26</v>
      </c>
      <c r="D8296" s="14">
        <v>8.1081081081081086E-2</v>
      </c>
    </row>
    <row r="8297" spans="1:4" x14ac:dyDescent="0.35">
      <c r="A8297" s="8" t="str">
        <f t="shared" si="4269"/>
        <v>Cambodia</v>
      </c>
      <c r="B8297" s="3" t="str">
        <f t="shared" ref="B8297:B8298" si="4284">CHOOSE(2, "1395000000564", "% of 3-Month Active Agents 0-1M")</f>
        <v>% of 3-Month Active Agents 0-1M</v>
      </c>
      <c r="C8297" s="4" t="str">
        <f>CHOOSE(2, "5461730030", "Jun 26")</f>
        <v>Jun 26</v>
      </c>
      <c r="D8297" s="14">
        <v>6.9767441860465115E-2</v>
      </c>
    </row>
    <row r="8298" spans="1:4" x14ac:dyDescent="0.35">
      <c r="A8298" s="8" t="str">
        <f t="shared" si="4269"/>
        <v>Cambodia</v>
      </c>
      <c r="B8298" s="6" t="str">
        <f t="shared" si="4284"/>
        <v>% of 3-Month Active Agents 0-1M</v>
      </c>
      <c r="C8298" s="4" t="str">
        <f>CHOOSE(2, "5462030031", "Jul 26")</f>
        <v>Jul 26</v>
      </c>
      <c r="D8298" s="14">
        <v>0.14893617021276595</v>
      </c>
    </row>
    <row r="8299" spans="1:4" x14ac:dyDescent="0.35">
      <c r="A8299" s="8" t="str">
        <f t="shared" si="4269"/>
        <v>Cambodia</v>
      </c>
      <c r="B8299" s="3" t="str">
        <f t="shared" ref="B8299:B8300" si="4285">CHOOSE(2, "1395000000563", "% of 3-Month Active Agents in 2-3M")</f>
        <v>% of 3-Month Active Agents in 2-3M</v>
      </c>
      <c r="C8299" s="4" t="str">
        <f>CHOOSE(2, "5461730030", "Jun 26")</f>
        <v>Jun 26</v>
      </c>
      <c r="D8299" s="14">
        <v>0.1</v>
      </c>
    </row>
    <row r="8300" spans="1:4" x14ac:dyDescent="0.35">
      <c r="A8300" s="8" t="str">
        <f t="shared" si="4269"/>
        <v>Cambodia</v>
      </c>
      <c r="B8300" s="6" t="str">
        <f t="shared" si="4285"/>
        <v>% of 3-Month Active Agents in 2-3M</v>
      </c>
      <c r="C8300" s="4" t="str">
        <f>CHOOSE(2, "5462030031", "Jul 26")</f>
        <v>Jul 26</v>
      </c>
      <c r="D8300" s="14">
        <v>0.1368421052631579</v>
      </c>
    </row>
    <row r="8301" spans="1:4" x14ac:dyDescent="0.35">
      <c r="A8301" s="8" t="str">
        <f t="shared" si="4269"/>
        <v>Cambodia</v>
      </c>
      <c r="B8301" s="3" t="str">
        <f t="shared" ref="B8301:B8302" si="4286">CHOOSE(2, "1395000000562", "% of 3-Month Active Agents 4-12M")</f>
        <v>% of 3-Month Active Agents 4-12M</v>
      </c>
      <c r="C8301" s="4" t="str">
        <f>CHOOSE(2, "5461730030", "Jun 26")</f>
        <v>Jun 26</v>
      </c>
      <c r="D8301" s="14">
        <v>8.744394618834081E-2</v>
      </c>
    </row>
    <row r="8302" spans="1:4" x14ac:dyDescent="0.35">
      <c r="A8302" s="8" t="str">
        <f t="shared" si="4269"/>
        <v>Cambodia</v>
      </c>
      <c r="B8302" s="6" t="str">
        <f t="shared" si="4286"/>
        <v>% of 3-Month Active Agents 4-12M</v>
      </c>
      <c r="C8302" s="4" t="str">
        <f>CHOOSE(2, "5462030031", "Jul 26")</f>
        <v>Jul 26</v>
      </c>
      <c r="D8302" s="14">
        <v>9.0069284064665134E-2</v>
      </c>
    </row>
    <row r="8303" spans="1:4" x14ac:dyDescent="0.35">
      <c r="A8303" s="8" t="str">
        <f t="shared" si="4269"/>
        <v>Cambodia</v>
      </c>
      <c r="B8303" s="3" t="str">
        <f t="shared" ref="B8303:B8304" si="4287">CHOOSE(2, "1395000000561", "% of 3-Month Active Agents 13+M")</f>
        <v>% of 3-Month Active Agents 13+M</v>
      </c>
      <c r="C8303" s="4" t="str">
        <f>CHOOSE(2, "5461730030", "Jun 26")</f>
        <v>Jun 26</v>
      </c>
      <c r="D8303" s="14">
        <v>0.13618677042801555</v>
      </c>
    </row>
    <row r="8304" spans="1:4" x14ac:dyDescent="0.35">
      <c r="A8304" s="8" t="str">
        <f t="shared" si="4269"/>
        <v>Cambodia</v>
      </c>
      <c r="B8304" s="6" t="str">
        <f t="shared" si="4287"/>
        <v>% of 3-Month Active Agents 13+M</v>
      </c>
      <c r="C8304" s="4" t="str">
        <f>CHOOSE(2, "5462030031", "Jul 26")</f>
        <v>Jul 26</v>
      </c>
      <c r="D8304" s="14">
        <v>0.13693693693693693</v>
      </c>
    </row>
    <row r="8305" spans="1:4" x14ac:dyDescent="0.35">
      <c r="A8305" s="8" t="str">
        <f t="shared" si="4269"/>
        <v>Cambodia</v>
      </c>
      <c r="B8305" s="3" t="str">
        <f t="shared" ref="B8305:B8306" si="4288">CHOOSE(2, "1395000000560", "Avg. Case count per 1-Month Active Agent 0-1M")</f>
        <v>Avg. Case count per 1-Month Active Agent 0-1M</v>
      </c>
      <c r="C8305" s="4" t="str">
        <f>CHOOSE(2, "5461730030", "Jun 26")</f>
        <v>Jun 26</v>
      </c>
      <c r="D8305" s="14">
        <v>1.3333333333333333</v>
      </c>
    </row>
    <row r="8306" spans="1:4" x14ac:dyDescent="0.35">
      <c r="A8306" s="8" t="str">
        <f t="shared" si="4269"/>
        <v>Cambodia</v>
      </c>
      <c r="B8306" s="6" t="str">
        <f t="shared" si="4288"/>
        <v>Avg. Case count per 1-Month Active Agent 0-1M</v>
      </c>
      <c r="C8306" s="4" t="str">
        <f>CHOOSE(2, "5462030031", "Jul 26")</f>
        <v>Jul 26</v>
      </c>
      <c r="D8306" s="14">
        <v>1.2857142857142858</v>
      </c>
    </row>
    <row r="8307" spans="1:4" x14ac:dyDescent="0.35">
      <c r="A8307" s="8" t="str">
        <f t="shared" si="4269"/>
        <v>Cambodia</v>
      </c>
      <c r="B8307" s="3" t="str">
        <f t="shared" ref="B8307:B8308" si="4289">CHOOSE(2, "1395000000559", "Avg. Case count per 1-Month Active Agent in 2-3M")</f>
        <v>Avg. Case count per 1-Month Active Agent in 2-3M</v>
      </c>
      <c r="C8307" s="4" t="str">
        <f>CHOOSE(2, "5461730030", "Jun 26")</f>
        <v>Jun 26</v>
      </c>
      <c r="D8307" s="14">
        <v>2.2000000000000002</v>
      </c>
    </row>
    <row r="8308" spans="1:4" x14ac:dyDescent="0.35">
      <c r="A8308" s="8" t="str">
        <f t="shared" si="4269"/>
        <v>Cambodia</v>
      </c>
      <c r="B8308" s="6" t="str">
        <f t="shared" si="4289"/>
        <v>Avg. Case count per 1-Month Active Agent in 2-3M</v>
      </c>
      <c r="C8308" s="4" t="str">
        <f>CHOOSE(2, "5462030031", "Jul 26")</f>
        <v>Jul 26</v>
      </c>
      <c r="D8308" s="14">
        <v>3.4444444444444446</v>
      </c>
    </row>
    <row r="8309" spans="1:4" x14ac:dyDescent="0.35">
      <c r="A8309" s="8" t="str">
        <f t="shared" si="4269"/>
        <v>Cambodia</v>
      </c>
      <c r="B8309" s="3" t="str">
        <f t="shared" ref="B8309:B8310" si="4290">CHOOSE(2, "1395000000558", "Avg. Case count per 1-Month Active Agent 4-12M")</f>
        <v>Avg. Case count per 1-Month Active Agent 4-12M</v>
      </c>
      <c r="C8309" s="4" t="str">
        <f>CHOOSE(2, "5461730030", "Jun 26")</f>
        <v>Jun 26</v>
      </c>
      <c r="D8309" s="14">
        <v>1.2173913043478262</v>
      </c>
    </row>
    <row r="8310" spans="1:4" x14ac:dyDescent="0.35">
      <c r="A8310" s="8" t="str">
        <f t="shared" si="4269"/>
        <v>Cambodia</v>
      </c>
      <c r="B8310" s="6" t="str">
        <f t="shared" si="4290"/>
        <v>Avg. Case count per 1-Month Active Agent 4-12M</v>
      </c>
      <c r="C8310" s="4" t="str">
        <f>CHOOSE(2, "5462030031", "Jul 26")</f>
        <v>Jul 26</v>
      </c>
      <c r="D8310" s="14">
        <v>1.0909090909090908</v>
      </c>
    </row>
    <row r="8311" spans="1:4" x14ac:dyDescent="0.35">
      <c r="A8311" s="8" t="str">
        <f t="shared" si="4269"/>
        <v>Cambodia</v>
      </c>
      <c r="B8311" s="3" t="str">
        <f t="shared" ref="B8311:B8312" si="4291">CHOOSE(2, "1395000000557", "Avg. Case count per 1-Month Active Agent 13+M")</f>
        <v>Avg. Case count per 1-Month Active Agent 13+M</v>
      </c>
      <c r="C8311" s="4" t="str">
        <f>CHOOSE(2, "5461730030", "Jun 26")</f>
        <v>Jun 26</v>
      </c>
      <c r="D8311" s="14">
        <v>1.2040816326530612</v>
      </c>
    </row>
    <row r="8312" spans="1:4" x14ac:dyDescent="0.35">
      <c r="A8312" s="8" t="str">
        <f t="shared" si="4269"/>
        <v>Cambodia</v>
      </c>
      <c r="B8312" s="6" t="str">
        <f t="shared" si="4291"/>
        <v>Avg. Case count per 1-Month Active Agent 13+M</v>
      </c>
      <c r="C8312" s="4" t="str">
        <f>CHOOSE(2, "5462030031", "Jul 26")</f>
        <v>Jul 26</v>
      </c>
      <c r="D8312" s="14">
        <v>1.8666666666666667</v>
      </c>
    </row>
    <row r="8313" spans="1:4" x14ac:dyDescent="0.35">
      <c r="A8313" s="8" t="str">
        <f t="shared" si="4269"/>
        <v>Cambodia</v>
      </c>
      <c r="B8313" s="3" t="str">
        <f t="shared" ref="B8313:B8314" si="4292">CHOOSE(2, "1395000000556", "Avg. Case size 0-1M")</f>
        <v>Avg. Case size 0-1M</v>
      </c>
      <c r="C8313" s="4" t="str">
        <f>CHOOSE(2, "5461730030", "Jun 26")</f>
        <v>Jun 26</v>
      </c>
      <c r="D8313" s="14">
        <v>3347.6915000000004</v>
      </c>
    </row>
    <row r="8314" spans="1:4" x14ac:dyDescent="0.35">
      <c r="A8314" s="8" t="str">
        <f t="shared" si="4269"/>
        <v>Cambodia</v>
      </c>
      <c r="B8314" s="6" t="str">
        <f t="shared" si="4292"/>
        <v>Avg. Case size 0-1M</v>
      </c>
      <c r="C8314" s="4" t="str">
        <f>CHOOSE(2, "5462030031", "Jul 26")</f>
        <v>Jul 26</v>
      </c>
      <c r="D8314" s="14">
        <v>1616.1800000000003</v>
      </c>
    </row>
    <row r="8315" spans="1:4" x14ac:dyDescent="0.35">
      <c r="A8315" s="8" t="str">
        <f t="shared" si="4269"/>
        <v>Cambodia</v>
      </c>
      <c r="B8315" s="3" t="str">
        <f t="shared" ref="B8315:B8316" si="4293">CHOOSE(2, "1395000000555", "Avg. Case size in 2-3M")</f>
        <v>Avg. Case size in 2-3M</v>
      </c>
      <c r="C8315" s="4" t="str">
        <f>CHOOSE(2, "5461730030", "Jun 26")</f>
        <v>Jun 26</v>
      </c>
      <c r="D8315" s="14">
        <v>2434.6847272727277</v>
      </c>
    </row>
    <row r="8316" spans="1:4" x14ac:dyDescent="0.35">
      <c r="A8316" s="8" t="str">
        <f t="shared" si="4269"/>
        <v>Cambodia</v>
      </c>
      <c r="B8316" s="6" t="str">
        <f t="shared" si="4293"/>
        <v>Avg. Case size in 2-3M</v>
      </c>
      <c r="C8316" s="4" t="str">
        <f>CHOOSE(2, "5462030031", "Jul 26")</f>
        <v>Jul 26</v>
      </c>
      <c r="D8316" s="14">
        <v>938.42709677419373</v>
      </c>
    </row>
    <row r="8317" spans="1:4" x14ac:dyDescent="0.35">
      <c r="A8317" s="8" t="str">
        <f t="shared" si="4269"/>
        <v>Cambodia</v>
      </c>
      <c r="B8317" s="3" t="str">
        <f t="shared" ref="B8317:B8318" si="4294">CHOOSE(2, "1395000000554", "Avg. Case size 4-12M")</f>
        <v>Avg. Case size 4-12M</v>
      </c>
      <c r="C8317" s="4" t="str">
        <f>CHOOSE(2, "5461730030", "Jun 26")</f>
        <v>Jun 26</v>
      </c>
      <c r="D8317" s="14">
        <v>1434.7249285714286</v>
      </c>
    </row>
    <row r="8318" spans="1:4" x14ac:dyDescent="0.35">
      <c r="A8318" s="8" t="str">
        <f t="shared" si="4269"/>
        <v>Cambodia</v>
      </c>
      <c r="B8318" s="6" t="str">
        <f t="shared" si="4294"/>
        <v>Avg. Case size 4-12M</v>
      </c>
      <c r="C8318" s="4" t="str">
        <f>CHOOSE(2, "5462030031", "Jul 26")</f>
        <v>Jul 26</v>
      </c>
      <c r="D8318" s="14">
        <v>3636.4050000000002</v>
      </c>
    </row>
    <row r="8319" spans="1:4" x14ac:dyDescent="0.35">
      <c r="A8319" s="8" t="str">
        <f t="shared" si="4269"/>
        <v>Cambodia</v>
      </c>
      <c r="B8319" s="3" t="str">
        <f t="shared" ref="B8319:B8320" si="4295">CHOOSE(2, "1395000000553", "Avg. Case size 13+M")</f>
        <v>Avg. Case size 13+M</v>
      </c>
      <c r="C8319" s="4" t="str">
        <f>CHOOSE(2, "5461730030", "Jun 26")</f>
        <v>Jun 26</v>
      </c>
      <c r="D8319" s="14">
        <v>907.84854237288141</v>
      </c>
    </row>
    <row r="8320" spans="1:4" x14ac:dyDescent="0.35">
      <c r="A8320" s="8" t="str">
        <f t="shared" si="4269"/>
        <v>Cambodia</v>
      </c>
      <c r="B8320" s="6" t="str">
        <f t="shared" si="4295"/>
        <v>Avg. Case size 13+M</v>
      </c>
      <c r="C8320" s="4" t="str">
        <f>CHOOSE(2, "5462030031", "Jul 26")</f>
        <v>Jul 26</v>
      </c>
      <c r="D8320" s="14">
        <v>692.64857142857159</v>
      </c>
    </row>
    <row r="8321" spans="1:4" x14ac:dyDescent="0.35">
      <c r="A8321" s="8" t="str">
        <f t="shared" si="4269"/>
        <v>Cambodia</v>
      </c>
      <c r="B8321" s="3" t="str">
        <f t="shared" ref="B8321:B8322" si="4296">CHOOSE(2, "1395000000552", "Avg. Case size UM")</f>
        <v>Avg. Case size UM</v>
      </c>
      <c r="C8321" s="4" t="str">
        <f>CHOOSE(2, "5461730030", "Jun 26")</f>
        <v>Jun 26</v>
      </c>
      <c r="D8321" s="14">
        <v>0</v>
      </c>
    </row>
    <row r="8322" spans="1:4" x14ac:dyDescent="0.35">
      <c r="A8322" s="8" t="str">
        <f t="shared" si="4269"/>
        <v>Cambodia</v>
      </c>
      <c r="B8322" s="6" t="str">
        <f t="shared" si="4296"/>
        <v>Avg. Case size UM</v>
      </c>
      <c r="C8322" s="4" t="str">
        <f>CHOOSE(2, "5462030031", "Jul 26")</f>
        <v>Jul 26</v>
      </c>
      <c r="D8322" s="14">
        <v>0</v>
      </c>
    </row>
    <row r="8323" spans="1:4" x14ac:dyDescent="0.35">
      <c r="A8323" s="8" t="str">
        <f t="shared" si="4269"/>
        <v>Cambodia</v>
      </c>
      <c r="B8323" s="3" t="str">
        <f t="shared" ref="B8323:B8324" si="4297">CHOOSE(2, "1395000000551", "Avg. Case size Leaders above UM")</f>
        <v>Avg. Case size Leaders above UM</v>
      </c>
      <c r="C8323" s="4" t="str">
        <f>CHOOSE(2, "5461730030", "Jun 26")</f>
        <v>Jun 26</v>
      </c>
      <c r="D8323" s="14">
        <v>0</v>
      </c>
    </row>
    <row r="8324" spans="1:4" x14ac:dyDescent="0.35">
      <c r="A8324" s="8" t="str">
        <f t="shared" si="4269"/>
        <v>Cambodia</v>
      </c>
      <c r="B8324" s="6" t="str">
        <f t="shared" si="4297"/>
        <v>Avg. Case size Leaders above UM</v>
      </c>
      <c r="C8324" s="4" t="str">
        <f>CHOOSE(2, "5462030031", "Jul 26")</f>
        <v>Jul 26</v>
      </c>
      <c r="D8324" s="14">
        <v>0</v>
      </c>
    </row>
    <row r="8325" spans="1:4" x14ac:dyDescent="0.35">
      <c r="A8325" s="8" t="str">
        <f t="shared" si="4269"/>
        <v>Cambodia</v>
      </c>
      <c r="B8325" s="3" t="str">
        <f t="shared" ref="B8325:B8326" si="4298">CHOOSE(2, "1395000000550", "Avg. Case size Top-tier agents")</f>
        <v>Avg. Case size Top-tier agents</v>
      </c>
      <c r="C8325" s="4" t="str">
        <f>CHOOSE(2, "5461730030", "Jun 26")</f>
        <v>Jun 26</v>
      </c>
      <c r="D8325" s="14">
        <v>3121.5714285714284</v>
      </c>
    </row>
    <row r="8326" spans="1:4" x14ac:dyDescent="0.35">
      <c r="A8326" s="8" t="str">
        <f t="shared" si="4269"/>
        <v>Cambodia</v>
      </c>
      <c r="B8326" s="6" t="str">
        <f t="shared" si="4298"/>
        <v>Avg. Case size Top-tier agents</v>
      </c>
      <c r="C8326" s="4" t="str">
        <f>CHOOSE(2, "5462030031", "Jul 26")</f>
        <v>Jul 26</v>
      </c>
      <c r="D8326" s="14">
        <v>1608.6428571428571</v>
      </c>
    </row>
    <row r="8327" spans="1:4" x14ac:dyDescent="0.35">
      <c r="A8327" s="8" t="str">
        <f t="shared" si="4269"/>
        <v>Cambodia</v>
      </c>
      <c r="B8327" s="3" t="str">
        <f t="shared" ref="B8327:B8328" si="4299">CHOOSE(2, "1395000000549", "Avg. Case size Manulife Pro Qualifiers - Total")</f>
        <v>Avg. Case size Manulife Pro Qualifiers - Total</v>
      </c>
      <c r="C8327" s="4" t="str">
        <f>CHOOSE(2, "5461730030", "Jun 26")</f>
        <v>Jun 26</v>
      </c>
      <c r="D8327" s="14">
        <v>0</v>
      </c>
    </row>
    <row r="8328" spans="1:4" x14ac:dyDescent="0.35">
      <c r="A8328" s="8" t="str">
        <f t="shared" si="4269"/>
        <v>Cambodia</v>
      </c>
      <c r="B8328" s="6" t="str">
        <f t="shared" si="4299"/>
        <v>Avg. Case size Manulife Pro Qualifiers - Total</v>
      </c>
      <c r="C8328" s="4" t="str">
        <f>CHOOSE(2, "5462030031", "Jul 26")</f>
        <v>Jul 26</v>
      </c>
      <c r="D8328" s="14">
        <v>0</v>
      </c>
    </row>
    <row r="8329" spans="1:4" x14ac:dyDescent="0.35">
      <c r="A8329" s="8" t="str">
        <f t="shared" si="4269"/>
        <v>Cambodia</v>
      </c>
      <c r="B8329" s="3" t="str">
        <f t="shared" ref="B8329:B8330" si="4300">CHOOSE(2, "1395000000548", "Avg. Case size FA or equivalent")</f>
        <v>Avg. Case size FA or equivalent</v>
      </c>
      <c r="C8329" s="4" t="str">
        <f>CHOOSE(2, "5461730030", "Jun 26")</f>
        <v>Jun 26</v>
      </c>
      <c r="D8329" s="14">
        <v>0</v>
      </c>
    </row>
    <row r="8330" spans="1:4" x14ac:dyDescent="0.35">
      <c r="A8330" s="8" t="str">
        <f t="shared" si="4269"/>
        <v>Cambodia</v>
      </c>
      <c r="B8330" s="6" t="str">
        <f t="shared" si="4300"/>
        <v>Avg. Case size FA or equivalent</v>
      </c>
      <c r="C8330" s="4" t="str">
        <f>CHOOSE(2, "5462030031", "Jul 26")</f>
        <v>Jul 26</v>
      </c>
      <c r="D8330" s="14">
        <v>0</v>
      </c>
    </row>
    <row r="8331" spans="1:4" x14ac:dyDescent="0.35">
      <c r="A8331" s="8" t="str">
        <f t="shared" si="4269"/>
        <v>Cambodia</v>
      </c>
      <c r="B8331" s="3" t="str">
        <f t="shared" ref="B8331:B8332" si="4301">CHOOSE(2, "1395000000547", "Avg. Case size pro-rated MDRT agents (&gt;100%)")</f>
        <v>Avg. Case size pro-rated MDRT agents (&gt;100%)</v>
      </c>
      <c r="C8331" s="4" t="str">
        <f>CHOOSE(2, "5461730030", "Jun 26")</f>
        <v>Jun 26</v>
      </c>
      <c r="D8331" s="14">
        <v>0</v>
      </c>
    </row>
    <row r="8332" spans="1:4" x14ac:dyDescent="0.35">
      <c r="A8332" s="8" t="str">
        <f t="shared" si="4269"/>
        <v>Cambodia</v>
      </c>
      <c r="B8332" s="6" t="str">
        <f t="shared" si="4301"/>
        <v>Avg. Case size pro-rated MDRT agents (&gt;100%)</v>
      </c>
      <c r="C8332" s="4" t="str">
        <f>CHOOSE(2, "5462030031", "Jul 26")</f>
        <v>Jul 26</v>
      </c>
      <c r="D8332" s="14">
        <v>2186.1428571428573</v>
      </c>
    </row>
    <row r="8333" spans="1:4" x14ac:dyDescent="0.35">
      <c r="A8333" s="8" t="str">
        <f t="shared" ref="A8333:A8366" si="4302">CHOOSE(2, "204000000009", "Cambodia")</f>
        <v>Cambodia</v>
      </c>
      <c r="B8333" s="3" t="str">
        <f t="shared" ref="B8333:B8334" si="4303">CHOOSE(2, "1395000000546", "Avg. Case size pro-rated MDRT agents (70-99%)")</f>
        <v>Avg. Case size pro-rated MDRT agents (70-99%)</v>
      </c>
      <c r="C8333" s="4" t="str">
        <f>CHOOSE(2, "5461730030", "Jun 26")</f>
        <v>Jun 26</v>
      </c>
      <c r="D8333" s="14">
        <v>4036.75</v>
      </c>
    </row>
    <row r="8334" spans="1:4" x14ac:dyDescent="0.35">
      <c r="A8334" s="8" t="str">
        <f t="shared" si="4302"/>
        <v>Cambodia</v>
      </c>
      <c r="B8334" s="6" t="str">
        <f t="shared" si="4303"/>
        <v>Avg. Case size pro-rated MDRT agents (70-99%)</v>
      </c>
      <c r="C8334" s="4" t="str">
        <f>CHOOSE(2, "5462030031", "Jul 26")</f>
        <v>Jul 26</v>
      </c>
      <c r="D8334" s="14">
        <v>927.83333333333337</v>
      </c>
    </row>
    <row r="8335" spans="1:4" x14ac:dyDescent="0.35">
      <c r="A8335" s="8" t="str">
        <f t="shared" si="4302"/>
        <v>Cambodia</v>
      </c>
      <c r="B8335" s="3" t="str">
        <f t="shared" ref="B8335:B8336" si="4304">CHOOSE(2, "1395000000545", "Avg. Case size pro-rated MDRT agents (50-69%)")</f>
        <v>Avg. Case size pro-rated MDRT agents (50-69%)</v>
      </c>
      <c r="C8335" s="4" t="str">
        <f>CHOOSE(2, "5461730030", "Jun 26")</f>
        <v>Jun 26</v>
      </c>
      <c r="D8335" s="14">
        <v>1901.3333333333333</v>
      </c>
    </row>
    <row r="8336" spans="1:4" x14ac:dyDescent="0.35">
      <c r="A8336" s="8" t="str">
        <f t="shared" si="4302"/>
        <v>Cambodia</v>
      </c>
      <c r="B8336" s="6" t="str">
        <f t="shared" si="4304"/>
        <v>Avg. Case size pro-rated MDRT agents (50-69%)</v>
      </c>
      <c r="C8336" s="4" t="str">
        <f>CHOOSE(2, "5462030031", "Jul 26")</f>
        <v>Jul 26</v>
      </c>
      <c r="D8336" s="14">
        <v>1651</v>
      </c>
    </row>
    <row r="8337" spans="1:4" x14ac:dyDescent="0.35">
      <c r="A8337" s="8" t="str">
        <f t="shared" si="4302"/>
        <v>Cambodia</v>
      </c>
      <c r="B8337" s="3" t="str">
        <f t="shared" ref="B8337:B8338" si="4305">CHOOSE(2, "1395000000544", "% of 1-Month Active Agents UM")</f>
        <v>% of 1-Month Active Agents UM</v>
      </c>
      <c r="C8337" s="4" t="str">
        <f>CHOOSE(2, "5461730030", "Jun 26")</f>
        <v>Jun 26</v>
      </c>
      <c r="D8337" s="14">
        <v>7.8431372549019607E-2</v>
      </c>
    </row>
    <row r="8338" spans="1:4" x14ac:dyDescent="0.35">
      <c r="A8338" s="8" t="str">
        <f t="shared" si="4302"/>
        <v>Cambodia</v>
      </c>
      <c r="B8338" s="6" t="str">
        <f t="shared" si="4305"/>
        <v>% of 1-Month Active Agents UM</v>
      </c>
      <c r="C8338" s="4" t="str">
        <f>CHOOSE(2, "5462030031", "Jul 26")</f>
        <v>Jul 26</v>
      </c>
      <c r="D8338" s="14">
        <v>0.1111111111111111</v>
      </c>
    </row>
    <row r="8339" spans="1:4" x14ac:dyDescent="0.35">
      <c r="A8339" s="8" t="str">
        <f t="shared" si="4302"/>
        <v>Cambodia</v>
      </c>
      <c r="B8339" s="3" t="str">
        <f t="shared" ref="B8339:B8340" si="4306">CHOOSE(2, "1395000000543", "% of 1-Month Active Agents Leaders above UM")</f>
        <v>% of 1-Month Active Agents Leaders above UM</v>
      </c>
      <c r="C8339" s="4" t="str">
        <f>CHOOSE(2, "5461730030", "Jun 26")</f>
        <v>Jun 26</v>
      </c>
      <c r="D8339" s="14">
        <v>5.8823529411764705E-2</v>
      </c>
    </row>
    <row r="8340" spans="1:4" x14ac:dyDescent="0.35">
      <c r="A8340" s="8" t="str">
        <f t="shared" si="4302"/>
        <v>Cambodia</v>
      </c>
      <c r="B8340" s="6" t="str">
        <f t="shared" si="4306"/>
        <v>% of 1-Month Active Agents Leaders above UM</v>
      </c>
      <c r="C8340" s="4" t="str">
        <f>CHOOSE(2, "5462030031", "Jul 26")</f>
        <v>Jul 26</v>
      </c>
      <c r="D8340" s="14">
        <v>5.4054054054054057E-2</v>
      </c>
    </row>
    <row r="8341" spans="1:4" x14ac:dyDescent="0.35">
      <c r="A8341" s="8" t="str">
        <f t="shared" si="4302"/>
        <v>Cambodia</v>
      </c>
      <c r="B8341" s="3" t="str">
        <f t="shared" ref="B8341:B8342" si="4307">CHOOSE(2, "1395000000542", "% of 1-Month Active Agents Top-tier agents")</f>
        <v>% of 1-Month Active Agents Top-tier agents</v>
      </c>
      <c r="C8341" s="4" t="str">
        <f>CHOOSE(2, "5461730030", "Jun 26")</f>
        <v>Jun 26</v>
      </c>
      <c r="D8341" s="14">
        <v>1</v>
      </c>
    </row>
    <row r="8342" spans="1:4" x14ac:dyDescent="0.35">
      <c r="A8342" s="8" t="str">
        <f t="shared" si="4302"/>
        <v>Cambodia</v>
      </c>
      <c r="B8342" s="6" t="str">
        <f t="shared" si="4307"/>
        <v>% of 1-Month Active Agents Top-tier agents</v>
      </c>
      <c r="C8342" s="4" t="str">
        <f>CHOOSE(2, "5462030031", "Jul 26")</f>
        <v>Jul 26</v>
      </c>
      <c r="D8342" s="14">
        <v>1</v>
      </c>
    </row>
    <row r="8343" spans="1:4" x14ac:dyDescent="0.35">
      <c r="A8343" s="8" t="str">
        <f t="shared" si="4302"/>
        <v>Cambodia</v>
      </c>
      <c r="B8343" s="3" t="str">
        <f t="shared" ref="B8343:B8344" si="4308">CHOOSE(2, "1395000000541", "% of 1-Month Active Agents FA or equivalent")</f>
        <v>% of 1-Month Active Agents FA or equivalent</v>
      </c>
      <c r="C8343" s="4" t="str">
        <f>CHOOSE(2, "5461730030", "Jun 26")</f>
        <v>Jun 26</v>
      </c>
      <c r="D8343" s="14">
        <v>7.2984749455337686E-2</v>
      </c>
    </row>
    <row r="8344" spans="1:4" x14ac:dyDescent="0.35">
      <c r="A8344" s="8" t="str">
        <f t="shared" si="4302"/>
        <v>Cambodia</v>
      </c>
      <c r="B8344" s="6" t="str">
        <f t="shared" si="4308"/>
        <v>% of 1-Month Active Agents FA or equivalent</v>
      </c>
      <c r="C8344" s="4" t="str">
        <f>CHOOSE(2, "5462030031", "Jul 26")</f>
        <v>Jul 26</v>
      </c>
      <c r="D8344" s="14">
        <v>5.726405090137858E-2</v>
      </c>
    </row>
    <row r="8345" spans="1:4" x14ac:dyDescent="0.35">
      <c r="A8345" s="8" t="str">
        <f t="shared" si="4302"/>
        <v>Cambodia</v>
      </c>
      <c r="B8345" s="3" t="str">
        <f t="shared" ref="B8345:B8346" si="4309">CHOOSE(2, "1395000000540", "% of 1-Month Active Agents pro-rated MDRT agents (&gt;100%)")</f>
        <v>% of 1-Month Active Agents pro-rated MDRT agents (&gt;100%)</v>
      </c>
      <c r="C8345" s="4" t="str">
        <f>CHOOSE(2, "5461730030", "Jun 26")</f>
        <v>Jun 26</v>
      </c>
      <c r="D8345" s="14">
        <v>0</v>
      </c>
    </row>
    <row r="8346" spans="1:4" x14ac:dyDescent="0.35">
      <c r="A8346" s="8" t="str">
        <f t="shared" si="4302"/>
        <v>Cambodia</v>
      </c>
      <c r="B8346" s="6" t="str">
        <f t="shared" si="4309"/>
        <v>% of 1-Month Active Agents pro-rated MDRT agents (&gt;100%)</v>
      </c>
      <c r="C8346" s="4" t="str">
        <f>CHOOSE(2, "5462030031", "Jul 26")</f>
        <v>Jul 26</v>
      </c>
      <c r="D8346" s="14">
        <v>1</v>
      </c>
    </row>
    <row r="8347" spans="1:4" x14ac:dyDescent="0.35">
      <c r="A8347" s="8" t="str">
        <f t="shared" si="4302"/>
        <v>Cambodia</v>
      </c>
      <c r="B8347" s="3" t="str">
        <f t="shared" ref="B8347:B8348" si="4310">CHOOSE(2, "1395000000539", "% of 1-Month Active Agents pro-rated MDRT agents (70-99%)")</f>
        <v>% of 1-Month Active Agents pro-rated MDRT agents (70-99%)</v>
      </c>
      <c r="C8347" s="4" t="str">
        <f>CHOOSE(2, "5461730030", "Jun 26")</f>
        <v>Jun 26</v>
      </c>
      <c r="D8347" s="14">
        <v>1</v>
      </c>
    </row>
    <row r="8348" spans="1:4" x14ac:dyDescent="0.35">
      <c r="A8348" s="8" t="str">
        <f t="shared" si="4302"/>
        <v>Cambodia</v>
      </c>
      <c r="B8348" s="6" t="str">
        <f t="shared" si="4310"/>
        <v>% of 1-Month Active Agents pro-rated MDRT agents (70-99%)</v>
      </c>
      <c r="C8348" s="4" t="str">
        <f>CHOOSE(2, "5462030031", "Jul 26")</f>
        <v>Jul 26</v>
      </c>
      <c r="D8348" s="14">
        <v>1</v>
      </c>
    </row>
    <row r="8349" spans="1:4" x14ac:dyDescent="0.35">
      <c r="A8349" s="8" t="str">
        <f t="shared" si="4302"/>
        <v>Cambodia</v>
      </c>
      <c r="B8349" s="3" t="str">
        <f t="shared" ref="B8349:B8350" si="4311">CHOOSE(2, "1395000000538", "% of 1-Month Active Agents pro-rated MDRT agents (50-69%)")</f>
        <v>% of 1-Month Active Agents pro-rated MDRT agents (50-69%)</v>
      </c>
      <c r="C8349" s="4" t="str">
        <f>CHOOSE(2, "5461730030", "Jun 26")</f>
        <v>Jun 26</v>
      </c>
      <c r="D8349" s="14">
        <v>1</v>
      </c>
    </row>
    <row r="8350" spans="1:4" x14ac:dyDescent="0.35">
      <c r="A8350" s="8" t="str">
        <f t="shared" si="4302"/>
        <v>Cambodia</v>
      </c>
      <c r="B8350" s="6" t="str">
        <f t="shared" si="4311"/>
        <v>% of 1-Month Active Agents pro-rated MDRT agents (50-69%)</v>
      </c>
      <c r="C8350" s="4" t="str">
        <f>CHOOSE(2, "5462030031", "Jul 26")</f>
        <v>Jul 26</v>
      </c>
      <c r="D8350" s="14">
        <v>1</v>
      </c>
    </row>
    <row r="8351" spans="1:4" x14ac:dyDescent="0.35">
      <c r="A8351" s="8" t="str">
        <f t="shared" si="4302"/>
        <v>Cambodia</v>
      </c>
      <c r="B8351" s="3" t="str">
        <f t="shared" ref="B8351:B8352" si="4312">CHOOSE(2, "1395000000537", "Avg. Case count per 1-Month Active Agent UM")</f>
        <v>Avg. Case count per 1-Month Active Agent UM</v>
      </c>
      <c r="C8351" s="4" t="str">
        <f>CHOOSE(2, "5461730030", "Jun 26")</f>
        <v>Jun 26</v>
      </c>
      <c r="D8351" s="14">
        <v>1.25</v>
      </c>
    </row>
    <row r="8352" spans="1:4" x14ac:dyDescent="0.35">
      <c r="A8352" s="8" t="str">
        <f t="shared" si="4302"/>
        <v>Cambodia</v>
      </c>
      <c r="B8352" s="6" t="str">
        <f t="shared" si="4312"/>
        <v>Avg. Case count per 1-Month Active Agent UM</v>
      </c>
      <c r="C8352" s="4" t="str">
        <f>CHOOSE(2, "5462030031", "Jul 26")</f>
        <v>Jul 26</v>
      </c>
      <c r="D8352" s="14">
        <v>1.6153846153846154</v>
      </c>
    </row>
    <row r="8353" spans="1:4" x14ac:dyDescent="0.35">
      <c r="A8353" s="8" t="str">
        <f t="shared" si="4302"/>
        <v>Cambodia</v>
      </c>
      <c r="B8353" s="3" t="str">
        <f t="shared" ref="B8353:B8354" si="4313">CHOOSE(2, "1395000000536", "Avg. Case count per 1-Month Active Agent Leaders above UM")</f>
        <v>Avg. Case count per 1-Month Active Agent Leaders above UM</v>
      </c>
      <c r="C8353" s="4" t="str">
        <f>CHOOSE(2, "5461730030", "Jun 26")</f>
        <v>Jun 26</v>
      </c>
      <c r="D8353" s="14">
        <v>1</v>
      </c>
    </row>
    <row r="8354" spans="1:4" x14ac:dyDescent="0.35">
      <c r="A8354" s="8" t="str">
        <f t="shared" si="4302"/>
        <v>Cambodia</v>
      </c>
      <c r="B8354" s="6" t="str">
        <f t="shared" si="4313"/>
        <v>Avg. Case count per 1-Month Active Agent Leaders above UM</v>
      </c>
      <c r="C8354" s="4" t="str">
        <f>CHOOSE(2, "5462030031", "Jul 26")</f>
        <v>Jul 26</v>
      </c>
      <c r="D8354" s="14">
        <v>1</v>
      </c>
    </row>
    <row r="8355" spans="1:4" x14ac:dyDescent="0.35">
      <c r="A8355" s="8" t="str">
        <f t="shared" si="4302"/>
        <v>Cambodia</v>
      </c>
      <c r="B8355" s="3" t="str">
        <f t="shared" ref="B8355:B8356" si="4314">CHOOSE(2, "1395000000535", "Avg. Case count per 1-Month Active Agent Top-tier agents")</f>
        <v>Avg. Case count per 1-Month Active Agent Top-tier agents</v>
      </c>
      <c r="C8355" s="4" t="str">
        <f>CHOOSE(2, "5461730030", "Jun 26")</f>
        <v>Jun 26</v>
      </c>
      <c r="D8355" s="14">
        <v>2.3333333333333335</v>
      </c>
    </row>
    <row r="8356" spans="1:4" x14ac:dyDescent="0.35">
      <c r="A8356" s="8" t="str">
        <f t="shared" si="4302"/>
        <v>Cambodia</v>
      </c>
      <c r="B8356" s="6" t="str">
        <f t="shared" si="4314"/>
        <v>Avg. Case count per 1-Month Active Agent Top-tier agents</v>
      </c>
      <c r="C8356" s="4" t="str">
        <f>CHOOSE(2, "5462030031", "Jul 26")</f>
        <v>Jul 26</v>
      </c>
      <c r="D8356" s="14">
        <v>4.666666666666667</v>
      </c>
    </row>
    <row r="8357" spans="1:4" x14ac:dyDescent="0.35">
      <c r="A8357" s="8" t="str">
        <f t="shared" si="4302"/>
        <v>Cambodia</v>
      </c>
      <c r="B8357" s="3" t="str">
        <f t="shared" ref="B8357:B8358" si="4315">CHOOSE(2, "1395000000534", "Avg. Case count per 1-Month Manulife Pro Qualifiers - Total")</f>
        <v>Avg. Case count per 1-Month Manulife Pro Qualifiers - Total</v>
      </c>
      <c r="C8357" s="4" t="str">
        <f>CHOOSE(2, "5461730030", "Jun 26")</f>
        <v>Jun 26</v>
      </c>
      <c r="D8357" s="14">
        <v>0</v>
      </c>
    </row>
    <row r="8358" spans="1:4" x14ac:dyDescent="0.35">
      <c r="A8358" s="8" t="str">
        <f t="shared" si="4302"/>
        <v>Cambodia</v>
      </c>
      <c r="B8358" s="6" t="str">
        <f t="shared" si="4315"/>
        <v>Avg. Case count per 1-Month Manulife Pro Qualifiers - Total</v>
      </c>
      <c r="C8358" s="4" t="str">
        <f>CHOOSE(2, "5462030031", "Jul 26")</f>
        <v>Jul 26</v>
      </c>
      <c r="D8358" s="14">
        <v>0</v>
      </c>
    </row>
    <row r="8359" spans="1:4" x14ac:dyDescent="0.35">
      <c r="A8359" s="8" t="str">
        <f t="shared" si="4302"/>
        <v>Cambodia</v>
      </c>
      <c r="B8359" s="3" t="str">
        <f t="shared" ref="B8359:B8360" si="4316">CHOOSE(2, "1395000000533", "Avg. Case count per 1-Month Active Agent FA or equivalent")</f>
        <v>Avg. Case count per 1-Month Active Agent FA or equivalent</v>
      </c>
      <c r="C8359" s="4" t="str">
        <f>CHOOSE(2, "5461730030", "Jun 26")</f>
        <v>Jun 26</v>
      </c>
      <c r="D8359" s="14">
        <v>1.2238805970149254</v>
      </c>
    </row>
    <row r="8360" spans="1:4" x14ac:dyDescent="0.35">
      <c r="A8360" s="8" t="str">
        <f t="shared" si="4302"/>
        <v>Cambodia</v>
      </c>
      <c r="B8360" s="6" t="str">
        <f t="shared" si="4316"/>
        <v>Avg. Case count per 1-Month Active Agent FA or equivalent</v>
      </c>
      <c r="C8360" s="4" t="str">
        <f>CHOOSE(2, "5462030031", "Jul 26")</f>
        <v>Jul 26</v>
      </c>
      <c r="D8360" s="14">
        <v>1.6111111111111112</v>
      </c>
    </row>
    <row r="8361" spans="1:4" x14ac:dyDescent="0.35">
      <c r="A8361" s="8" t="str">
        <f t="shared" si="4302"/>
        <v>Cambodia</v>
      </c>
      <c r="B8361" s="3" t="str">
        <f t="shared" ref="B8361:B8362" si="4317">CHOOSE(2, "1395000000532", "Avg. Case count per 1-Month pro-rated MDRT agents (&gt;100%)")</f>
        <v>Avg. Case count per 1-Month pro-rated MDRT agents (&gt;100%)</v>
      </c>
      <c r="C8361" s="4" t="str">
        <f>CHOOSE(2, "5461730030", "Jun 26")</f>
        <v>Jun 26</v>
      </c>
      <c r="D8361" s="14">
        <v>0</v>
      </c>
    </row>
    <row r="8362" spans="1:4" x14ac:dyDescent="0.35">
      <c r="A8362" s="8" t="str">
        <f t="shared" si="4302"/>
        <v>Cambodia</v>
      </c>
      <c r="B8362" s="6" t="str">
        <f t="shared" si="4317"/>
        <v>Avg. Case count per 1-Month pro-rated MDRT agents (&gt;100%)</v>
      </c>
      <c r="C8362" s="4" t="str">
        <f>CHOOSE(2, "5462030031", "Jul 26")</f>
        <v>Jul 26</v>
      </c>
      <c r="D8362" s="14">
        <v>7</v>
      </c>
    </row>
    <row r="8363" spans="1:4" x14ac:dyDescent="0.35">
      <c r="A8363" s="8" t="str">
        <f t="shared" si="4302"/>
        <v>Cambodia</v>
      </c>
      <c r="B8363" s="3" t="str">
        <f t="shared" ref="B8363:B8364" si="4318">CHOOSE(2, "1395000000531", "Avg. Case count per 1-Month pro-rated MDRT agents (70-99%)")</f>
        <v>Avg. Case count per 1-Month pro-rated MDRT agents (70-99%)</v>
      </c>
      <c r="C8363" s="4" t="str">
        <f>CHOOSE(2, "5461730030", "Jun 26")</f>
        <v>Jun 26</v>
      </c>
      <c r="D8363" s="14">
        <v>2</v>
      </c>
    </row>
    <row r="8364" spans="1:4" x14ac:dyDescent="0.35">
      <c r="A8364" s="8" t="str">
        <f t="shared" si="4302"/>
        <v>Cambodia</v>
      </c>
      <c r="B8364" s="6" t="str">
        <f t="shared" si="4318"/>
        <v>Avg. Case count per 1-Month pro-rated MDRT agents (70-99%)</v>
      </c>
      <c r="C8364" s="4" t="str">
        <f>CHOOSE(2, "5462030031", "Jul 26")</f>
        <v>Jul 26</v>
      </c>
      <c r="D8364" s="14">
        <v>6</v>
      </c>
    </row>
    <row r="8365" spans="1:4" x14ac:dyDescent="0.35">
      <c r="A8365" s="8" t="str">
        <f t="shared" si="4302"/>
        <v>Cambodia</v>
      </c>
      <c r="B8365" s="3" t="str">
        <f t="shared" ref="B8365:B8366" si="4319">CHOOSE(2, "1395000000530", "Avg. Case count per 1-Month pro-rated MDRT agents (50-69%)")</f>
        <v>Avg. Case count per 1-Month pro-rated MDRT agents (50-69%)</v>
      </c>
      <c r="C8365" s="4" t="str">
        <f>CHOOSE(2, "5461730030", "Jun 26")</f>
        <v>Jun 26</v>
      </c>
      <c r="D8365" s="14">
        <v>3</v>
      </c>
    </row>
    <row r="8366" spans="1:4" x14ac:dyDescent="0.35">
      <c r="A8366" s="9" t="str">
        <f t="shared" si="4302"/>
        <v>Cambodia</v>
      </c>
      <c r="B8366" s="6" t="str">
        <f t="shared" si="4319"/>
        <v>Avg. Case count per 1-Month pro-rated MDRT agents (50-69%)</v>
      </c>
      <c r="C8366" s="4" t="str">
        <f>CHOOSE(2, "5462030031", "Jul 26")</f>
        <v>Jul 26</v>
      </c>
      <c r="D8366" s="14">
        <v>1</v>
      </c>
    </row>
    <row r="8367" spans="1:4" x14ac:dyDescent="0.35">
      <c r="A8367" s="3" t="str">
        <f t="shared" ref="A8367:A8430" si="4320">CHOOSE(2, "1260000000013", "Agency")</f>
        <v>Agency</v>
      </c>
      <c r="B8367" s="3" t="str">
        <f t="shared" ref="B8367:B8368" si="4321">CHOOSE(2, "1395000000741", "Submitted APE")</f>
        <v>Submitted APE</v>
      </c>
      <c r="C8367" s="4" t="str">
        <f>CHOOSE(2, "5461730030", "Jun 26")</f>
        <v>Jun 26</v>
      </c>
      <c r="D8367" s="14">
        <v>202.64676032608</v>
      </c>
    </row>
    <row r="8368" spans="1:4" x14ac:dyDescent="0.35">
      <c r="A8368" s="5" t="str">
        <f t="shared" si="4320"/>
        <v>Agency</v>
      </c>
      <c r="B8368" s="6" t="str">
        <f t="shared" si="4321"/>
        <v>Submitted APE</v>
      </c>
      <c r="C8368" s="4" t="str">
        <f>CHOOSE(2, "5462030031", "Jul 26")</f>
        <v>Jul 26</v>
      </c>
      <c r="D8368" s="14">
        <v>111.24327168528001</v>
      </c>
    </row>
    <row r="8369" spans="1:4" x14ac:dyDescent="0.35">
      <c r="A8369" s="5" t="str">
        <f t="shared" si="4320"/>
        <v>Agency</v>
      </c>
      <c r="B8369" s="3" t="str">
        <f t="shared" ref="B8369:B8370" si="4322">CHOOSE(2, "1395000000740", "# of 1-Month Active Agents")</f>
        <v># of 1-Month Active Agents</v>
      </c>
      <c r="C8369" s="4" t="str">
        <f>CHOOSE(2, "5461730030", "Jun 26")</f>
        <v>Jun 26</v>
      </c>
      <c r="D8369" s="14">
        <v>181</v>
      </c>
    </row>
    <row r="8370" spans="1:4" x14ac:dyDescent="0.35">
      <c r="A8370" s="5" t="str">
        <f t="shared" si="4320"/>
        <v>Agency</v>
      </c>
      <c r="B8370" s="6" t="str">
        <f t="shared" si="4322"/>
        <v># of 1-Month Active Agents</v>
      </c>
      <c r="C8370" s="4" t="str">
        <f>CHOOSE(2, "5462030031", "Jul 26")</f>
        <v>Jul 26</v>
      </c>
      <c r="D8370" s="14">
        <v>171</v>
      </c>
    </row>
    <row r="8371" spans="1:4" x14ac:dyDescent="0.35">
      <c r="A8371" s="5" t="str">
        <f t="shared" si="4320"/>
        <v>Agency</v>
      </c>
      <c r="B8371" s="3" t="str">
        <f t="shared" ref="B8371:B8372" si="4323">CHOOSE(2, "1395000000739", "# of 1-Month Active Agents in 0-1M")</f>
        <v># of 1-Month Active Agents in 0-1M</v>
      </c>
      <c r="C8371" s="4" t="str">
        <f>CHOOSE(2, "5461730030", "Jun 26")</f>
        <v>Jun 26</v>
      </c>
      <c r="D8371" s="14">
        <v>1</v>
      </c>
    </row>
    <row r="8372" spans="1:4" x14ac:dyDescent="0.35">
      <c r="A8372" s="5" t="str">
        <f t="shared" si="4320"/>
        <v>Agency</v>
      </c>
      <c r="B8372" s="6" t="str">
        <f t="shared" si="4323"/>
        <v># of 1-Month Active Agents in 0-1M</v>
      </c>
      <c r="C8372" s="4" t="str">
        <f>CHOOSE(2, "5462030031", "Jul 26")</f>
        <v>Jul 26</v>
      </c>
      <c r="D8372" s="14">
        <v>6</v>
      </c>
    </row>
    <row r="8373" spans="1:4" x14ac:dyDescent="0.35">
      <c r="A8373" s="5" t="str">
        <f t="shared" si="4320"/>
        <v>Agency</v>
      </c>
      <c r="B8373" s="3" t="str">
        <f t="shared" ref="B8373:B8374" si="4324">CHOOSE(2, "1395000000738", "# of 1-Month Active Agents in 2-3M")</f>
        <v># of 1-Month Active Agents in 2-3M</v>
      </c>
      <c r="C8373" s="4" t="str">
        <f>CHOOSE(2, "5461730030", "Jun 26")</f>
        <v>Jun 26</v>
      </c>
      <c r="D8373" s="14">
        <v>13</v>
      </c>
    </row>
    <row r="8374" spans="1:4" x14ac:dyDescent="0.35">
      <c r="A8374" s="5" t="str">
        <f t="shared" si="4320"/>
        <v>Agency</v>
      </c>
      <c r="B8374" s="6" t="str">
        <f t="shared" si="4324"/>
        <v># of 1-Month Active Agents in 2-3M</v>
      </c>
      <c r="C8374" s="4" t="str">
        <f>CHOOSE(2, "5462030031", "Jul 26")</f>
        <v>Jul 26</v>
      </c>
      <c r="D8374" s="14">
        <v>20</v>
      </c>
    </row>
    <row r="8375" spans="1:4" x14ac:dyDescent="0.35">
      <c r="A8375" s="5" t="str">
        <f t="shared" si="4320"/>
        <v>Agency</v>
      </c>
      <c r="B8375" s="3" t="str">
        <f t="shared" ref="B8375:B8376" si="4325">CHOOSE(2, "1395000000737", "# of 1-Month Active Agents in 4-12M")</f>
        <v># of 1-Month Active Agents in 4-12M</v>
      </c>
      <c r="C8375" s="4" t="str">
        <f>CHOOSE(2, "5461730030", "Jun 26")</f>
        <v>Jun 26</v>
      </c>
      <c r="D8375" s="14">
        <v>77</v>
      </c>
    </row>
    <row r="8376" spans="1:4" x14ac:dyDescent="0.35">
      <c r="A8376" s="5" t="str">
        <f t="shared" si="4320"/>
        <v>Agency</v>
      </c>
      <c r="B8376" s="6" t="str">
        <f t="shared" si="4325"/>
        <v># of 1-Month Active Agents in 4-12M</v>
      </c>
      <c r="C8376" s="4" t="str">
        <f>CHOOSE(2, "5462030031", "Jul 26")</f>
        <v>Jul 26</v>
      </c>
      <c r="D8376" s="14">
        <v>58</v>
      </c>
    </row>
    <row r="8377" spans="1:4" x14ac:dyDescent="0.35">
      <c r="A8377" s="5" t="str">
        <f t="shared" si="4320"/>
        <v>Agency</v>
      </c>
      <c r="B8377" s="3" t="str">
        <f t="shared" ref="B8377:B8378" si="4326">CHOOSE(2, "1395000000736", "# of 1-Month Active Agents 13+M")</f>
        <v># of 1-Month Active Agents 13+M</v>
      </c>
      <c r="C8377" s="4" t="str">
        <f>CHOOSE(2, "5461730030", "Jun 26")</f>
        <v>Jun 26</v>
      </c>
      <c r="D8377" s="14">
        <v>90</v>
      </c>
    </row>
    <row r="8378" spans="1:4" x14ac:dyDescent="0.35">
      <c r="A8378" s="5" t="str">
        <f t="shared" si="4320"/>
        <v>Agency</v>
      </c>
      <c r="B8378" s="6" t="str">
        <f t="shared" si="4326"/>
        <v># of 1-Month Active Agents 13+M</v>
      </c>
      <c r="C8378" s="4" t="str">
        <f>CHOOSE(2, "5462030031", "Jul 26")</f>
        <v>Jul 26</v>
      </c>
      <c r="D8378" s="14">
        <v>87</v>
      </c>
    </row>
    <row r="8379" spans="1:4" x14ac:dyDescent="0.35">
      <c r="A8379" s="5" t="str">
        <f t="shared" si="4320"/>
        <v>Agency</v>
      </c>
      <c r="B8379" s="3" t="str">
        <f t="shared" ref="B8379:B8380" si="4327">CHOOSE(2, "1395000000735", "# of 1-Month Active Agents in FA or equivalent")</f>
        <v># of 1-Month Active Agents in FA or equivalent</v>
      </c>
      <c r="C8379" s="4" t="str">
        <f>CHOOSE(2, "5461730030", "Jun 26")</f>
        <v>Jun 26</v>
      </c>
      <c r="D8379" s="14">
        <v>131</v>
      </c>
    </row>
    <row r="8380" spans="1:4" x14ac:dyDescent="0.35">
      <c r="A8380" s="5" t="str">
        <f t="shared" si="4320"/>
        <v>Agency</v>
      </c>
      <c r="B8380" s="6" t="str">
        <f t="shared" si="4327"/>
        <v># of 1-Month Active Agents in FA or equivalent</v>
      </c>
      <c r="C8380" s="4" t="str">
        <f>CHOOSE(2, "5462030031", "Jul 26")</f>
        <v>Jul 26</v>
      </c>
      <c r="D8380" s="14">
        <v>115</v>
      </c>
    </row>
    <row r="8381" spans="1:4" x14ac:dyDescent="0.35">
      <c r="A8381" s="5" t="str">
        <f t="shared" si="4320"/>
        <v>Agency</v>
      </c>
      <c r="B8381" s="3" t="str">
        <f t="shared" ref="B8381:B8382" si="4328">CHOOSE(2, "1395000000734", "# of 1-Month Active Agents in UM")</f>
        <v># of 1-Month Active Agents in UM</v>
      </c>
      <c r="C8381" s="4" t="str">
        <f>CHOOSE(2, "5461730030", "Jun 26")</f>
        <v>Jun 26</v>
      </c>
      <c r="D8381" s="14">
        <v>42</v>
      </c>
    </row>
    <row r="8382" spans="1:4" x14ac:dyDescent="0.35">
      <c r="A8382" s="5" t="str">
        <f t="shared" si="4320"/>
        <v>Agency</v>
      </c>
      <c r="B8382" s="6" t="str">
        <f t="shared" si="4328"/>
        <v># of 1-Month Active Agents in UM</v>
      </c>
      <c r="C8382" s="4" t="str">
        <f>CHOOSE(2, "5462030031", "Jul 26")</f>
        <v>Jul 26</v>
      </c>
      <c r="D8382" s="14">
        <v>44</v>
      </c>
    </row>
    <row r="8383" spans="1:4" x14ac:dyDescent="0.35">
      <c r="A8383" s="5" t="str">
        <f t="shared" si="4320"/>
        <v>Agency</v>
      </c>
      <c r="B8383" s="3" t="str">
        <f t="shared" ref="B8383:B8384" si="4329">CHOOSE(2, "1395000000733", "# of 1-Month Active Agents in Leaders above UM")</f>
        <v># of 1-Month Active Agents in Leaders above UM</v>
      </c>
      <c r="C8383" s="4" t="str">
        <f>CHOOSE(2, "5461730030", "Jun 26")</f>
        <v>Jun 26</v>
      </c>
      <c r="D8383" s="14">
        <v>8</v>
      </c>
    </row>
    <row r="8384" spans="1:4" x14ac:dyDescent="0.35">
      <c r="A8384" s="5" t="str">
        <f t="shared" si="4320"/>
        <v>Agency</v>
      </c>
      <c r="B8384" s="6" t="str">
        <f t="shared" si="4329"/>
        <v># of 1-Month Active Agents in Leaders above UM</v>
      </c>
      <c r="C8384" s="4" t="str">
        <f>CHOOSE(2, "5462030031", "Jul 26")</f>
        <v>Jul 26</v>
      </c>
      <c r="D8384" s="14">
        <v>12</v>
      </c>
    </row>
    <row r="8385" spans="1:4" x14ac:dyDescent="0.35">
      <c r="A8385" s="5" t="str">
        <f t="shared" si="4320"/>
        <v>Agency</v>
      </c>
      <c r="B8385" s="3" t="str">
        <f t="shared" ref="B8385:B8386" si="4330">CHOOSE(2, "1395000000732", "# of 1-Month Active Top-tier Agents")</f>
        <v># of 1-Month Active Top-tier Agents</v>
      </c>
      <c r="C8385" s="4" t="str">
        <f>CHOOSE(2, "5461730030", "Jun 26")</f>
        <v>Jun 26</v>
      </c>
      <c r="D8385" s="14">
        <v>27</v>
      </c>
    </row>
    <row r="8386" spans="1:4" x14ac:dyDescent="0.35">
      <c r="A8386" s="5" t="str">
        <f t="shared" si="4320"/>
        <v>Agency</v>
      </c>
      <c r="B8386" s="6" t="str">
        <f t="shared" si="4330"/>
        <v># of 1-Month Active Top-tier Agents</v>
      </c>
      <c r="C8386" s="4" t="str">
        <f>CHOOSE(2, "5462030031", "Jul 26")</f>
        <v>Jul 26</v>
      </c>
      <c r="D8386" s="14">
        <v>27</v>
      </c>
    </row>
    <row r="8387" spans="1:4" x14ac:dyDescent="0.35">
      <c r="A8387" s="5" t="str">
        <f t="shared" si="4320"/>
        <v>Agency</v>
      </c>
      <c r="B8387" s="3" t="str">
        <f t="shared" ref="B8387:B8388" si="4331">CHOOSE(2, "1395000000731", "# of 1-Month Active Agents in pro-rated MDRT agents (&gt;100%)")</f>
        <v># of 1-Month Active Agents in pro-rated MDRT agents (&gt;100%)</v>
      </c>
      <c r="C8387" s="4" t="str">
        <f>CHOOSE(2, "5461730030", "Jun 26")</f>
        <v>Jun 26</v>
      </c>
      <c r="D8387" s="14">
        <v>8</v>
      </c>
    </row>
    <row r="8388" spans="1:4" x14ac:dyDescent="0.35">
      <c r="A8388" s="5" t="str">
        <f t="shared" si="4320"/>
        <v>Agency</v>
      </c>
      <c r="B8388" s="6" t="str">
        <f t="shared" si="4331"/>
        <v># of 1-Month Active Agents in pro-rated MDRT agents (&gt;100%)</v>
      </c>
      <c r="C8388" s="4" t="str">
        <f>CHOOSE(2, "5462030031", "Jul 26")</f>
        <v>Jul 26</v>
      </c>
      <c r="D8388" s="14">
        <v>12</v>
      </c>
    </row>
    <row r="8389" spans="1:4" x14ac:dyDescent="0.35">
      <c r="A8389" s="5" t="str">
        <f t="shared" si="4320"/>
        <v>Agency</v>
      </c>
      <c r="B8389" s="3" t="str">
        <f t="shared" ref="B8389:B8390" si="4332">CHOOSE(2, "1395000000730", "# of 1-Month Active Agents in pro-rated MDRT agents (70-99%)")</f>
        <v># of 1-Month Active Agents in pro-rated MDRT agents (70-99%)</v>
      </c>
      <c r="C8389" s="4" t="str">
        <f>CHOOSE(2, "5461730030", "Jun 26")</f>
        <v>Jun 26</v>
      </c>
      <c r="D8389" s="14">
        <v>10</v>
      </c>
    </row>
    <row r="8390" spans="1:4" x14ac:dyDescent="0.35">
      <c r="A8390" s="5" t="str">
        <f t="shared" si="4320"/>
        <v>Agency</v>
      </c>
      <c r="B8390" s="6" t="str">
        <f t="shared" si="4332"/>
        <v># of 1-Month Active Agents in pro-rated MDRT agents (70-99%)</v>
      </c>
      <c r="C8390" s="4" t="str">
        <f>CHOOSE(2, "5462030031", "Jul 26")</f>
        <v>Jul 26</v>
      </c>
      <c r="D8390" s="14">
        <v>9</v>
      </c>
    </row>
    <row r="8391" spans="1:4" x14ac:dyDescent="0.35">
      <c r="A8391" s="5" t="str">
        <f t="shared" si="4320"/>
        <v>Agency</v>
      </c>
      <c r="B8391" s="3" t="str">
        <f t="shared" ref="B8391:B8392" si="4333">CHOOSE(2, "1395000000729", "# of 1-Month Active Agents in pro-rated MDRT agents (50-69%)")</f>
        <v># of 1-Month Active Agents in pro-rated MDRT agents (50-69%)</v>
      </c>
      <c r="C8391" s="4" t="str">
        <f>CHOOSE(2, "5461730030", "Jun 26")</f>
        <v>Jun 26</v>
      </c>
      <c r="D8391" s="14">
        <v>9</v>
      </c>
    </row>
    <row r="8392" spans="1:4" x14ac:dyDescent="0.35">
      <c r="A8392" s="5" t="str">
        <f t="shared" si="4320"/>
        <v>Agency</v>
      </c>
      <c r="B8392" s="6" t="str">
        <f t="shared" si="4333"/>
        <v># of 1-Month Active Agents in pro-rated MDRT agents (50-69%)</v>
      </c>
      <c r="C8392" s="4" t="str">
        <f>CHOOSE(2, "5462030031", "Jul 26")</f>
        <v>Jul 26</v>
      </c>
      <c r="D8392" s="14">
        <v>6</v>
      </c>
    </row>
    <row r="8393" spans="1:4" x14ac:dyDescent="0.35">
      <c r="A8393" s="5" t="str">
        <f t="shared" si="4320"/>
        <v>Agency</v>
      </c>
      <c r="B8393" s="3" t="str">
        <f t="shared" ref="B8393:B8394" si="4334">CHOOSE(2, "1395000000728", "# of 1-Month Active Agents in Manulife Pro Qualifiers -Total")</f>
        <v># of 1-Month Active Agents in Manulife Pro Qualifiers -Total</v>
      </c>
      <c r="C8393" s="4" t="str">
        <f>CHOOSE(2, "5461730030", "Jun 26")</f>
        <v>Jun 26</v>
      </c>
      <c r="D8393" s="2" t="s">
        <v>5</v>
      </c>
    </row>
    <row r="8394" spans="1:4" x14ac:dyDescent="0.35">
      <c r="A8394" s="5" t="str">
        <f t="shared" si="4320"/>
        <v>Agency</v>
      </c>
      <c r="B8394" s="6" t="str">
        <f t="shared" si="4334"/>
        <v># of 1-Month Active Agents in Manulife Pro Qualifiers -Total</v>
      </c>
      <c r="C8394" s="4" t="str">
        <f>CHOOSE(2, "5462030031", "Jul 26")</f>
        <v>Jul 26</v>
      </c>
      <c r="D8394" s="2" t="s">
        <v>5</v>
      </c>
    </row>
    <row r="8395" spans="1:4" x14ac:dyDescent="0.35">
      <c r="A8395" s="5" t="str">
        <f t="shared" si="4320"/>
        <v>Agency</v>
      </c>
      <c r="B8395" s="3" t="str">
        <f t="shared" ref="B8395:B8396" si="4335">CHOOSE(2, "1395000000727", "# of 3-Month Active Agents")</f>
        <v># of 3-Month Active Agents</v>
      </c>
      <c r="C8395" s="4" t="str">
        <f>CHOOSE(2, "5461730030", "Jun 26")</f>
        <v>Jun 26</v>
      </c>
      <c r="D8395" s="14">
        <v>271</v>
      </c>
    </row>
    <row r="8396" spans="1:4" x14ac:dyDescent="0.35">
      <c r="A8396" s="5" t="str">
        <f t="shared" si="4320"/>
        <v>Agency</v>
      </c>
      <c r="B8396" s="6" t="str">
        <f t="shared" si="4335"/>
        <v># of 3-Month Active Agents</v>
      </c>
      <c r="C8396" s="4" t="str">
        <f>CHOOSE(2, "5462030031", "Jul 26")</f>
        <v>Jul 26</v>
      </c>
      <c r="D8396" s="14">
        <v>306</v>
      </c>
    </row>
    <row r="8397" spans="1:4" x14ac:dyDescent="0.35">
      <c r="A8397" s="5" t="str">
        <f t="shared" si="4320"/>
        <v>Agency</v>
      </c>
      <c r="B8397" s="3" t="str">
        <f t="shared" ref="B8397:B8398" si="4336">CHOOSE(2, "1395000000726", "# of 3-Month Active Agents in 0-1M")</f>
        <v># of 3-Month Active Agents in 0-1M</v>
      </c>
      <c r="C8397" s="4" t="str">
        <f>CHOOSE(2, "5461730030", "Jun 26")</f>
        <v>Jun 26</v>
      </c>
      <c r="D8397" s="14">
        <v>1</v>
      </c>
    </row>
    <row r="8398" spans="1:4" x14ac:dyDescent="0.35">
      <c r="A8398" s="5" t="str">
        <f t="shared" si="4320"/>
        <v>Agency</v>
      </c>
      <c r="B8398" s="6" t="str">
        <f t="shared" si="4336"/>
        <v># of 3-Month Active Agents in 0-1M</v>
      </c>
      <c r="C8398" s="4" t="str">
        <f>CHOOSE(2, "5462030031", "Jul 26")</f>
        <v>Jul 26</v>
      </c>
      <c r="D8398" s="14">
        <v>6</v>
      </c>
    </row>
    <row r="8399" spans="1:4" x14ac:dyDescent="0.35">
      <c r="A8399" s="5" t="str">
        <f t="shared" si="4320"/>
        <v>Agency</v>
      </c>
      <c r="B8399" s="3" t="str">
        <f t="shared" ref="B8399:B8400" si="4337">CHOOSE(2, "1395000000725", "# of 3-Month Active Agents in 2-3M")</f>
        <v># of 3-Month Active Agents in 2-3M</v>
      </c>
      <c r="C8399" s="4" t="str">
        <f>CHOOSE(2, "5461730030", "Jun 26")</f>
        <v>Jun 26</v>
      </c>
      <c r="D8399" s="14">
        <v>19</v>
      </c>
    </row>
    <row r="8400" spans="1:4" x14ac:dyDescent="0.35">
      <c r="A8400" s="5" t="str">
        <f t="shared" si="4320"/>
        <v>Agency</v>
      </c>
      <c r="B8400" s="6" t="str">
        <f t="shared" si="4337"/>
        <v># of 3-Month Active Agents in 2-3M</v>
      </c>
      <c r="C8400" s="4" t="str">
        <f>CHOOSE(2, "5462030031", "Jul 26")</f>
        <v>Jul 26</v>
      </c>
      <c r="D8400" s="14">
        <v>23</v>
      </c>
    </row>
    <row r="8401" spans="1:4" x14ac:dyDescent="0.35">
      <c r="A8401" s="5" t="str">
        <f t="shared" si="4320"/>
        <v>Agency</v>
      </c>
      <c r="B8401" s="3" t="str">
        <f t="shared" ref="B8401:B8402" si="4338">CHOOSE(2, "1395000000724", "# of 3-Month Active Agents in 4-12M")</f>
        <v># of 3-Month Active Agents in 4-12M</v>
      </c>
      <c r="C8401" s="4" t="str">
        <f>CHOOSE(2, "5461730030", "Jun 26")</f>
        <v>Jun 26</v>
      </c>
      <c r="D8401" s="14">
        <v>122</v>
      </c>
    </row>
    <row r="8402" spans="1:4" x14ac:dyDescent="0.35">
      <c r="A8402" s="5" t="str">
        <f t="shared" si="4320"/>
        <v>Agency</v>
      </c>
      <c r="B8402" s="6" t="str">
        <f t="shared" si="4338"/>
        <v># of 3-Month Active Agents in 4-12M</v>
      </c>
      <c r="C8402" s="4" t="str">
        <f>CHOOSE(2, "5462030031", "Jul 26")</f>
        <v>Jul 26</v>
      </c>
      <c r="D8402" s="14">
        <v>116</v>
      </c>
    </row>
    <row r="8403" spans="1:4" x14ac:dyDescent="0.35">
      <c r="A8403" s="5" t="str">
        <f t="shared" si="4320"/>
        <v>Agency</v>
      </c>
      <c r="B8403" s="3" t="str">
        <f t="shared" ref="B8403:B8404" si="4339">CHOOSE(2, "1395000000723", "# of 3-Month Active Agents 13+M")</f>
        <v># of 3-Month Active Agents 13+M</v>
      </c>
      <c r="C8403" s="4" t="str">
        <f>CHOOSE(2, "5461730030", "Jun 26")</f>
        <v>Jun 26</v>
      </c>
      <c r="D8403" s="14">
        <v>129</v>
      </c>
    </row>
    <row r="8404" spans="1:4" x14ac:dyDescent="0.35">
      <c r="A8404" s="5" t="str">
        <f t="shared" si="4320"/>
        <v>Agency</v>
      </c>
      <c r="B8404" s="6" t="str">
        <f t="shared" si="4339"/>
        <v># of 3-Month Active Agents 13+M</v>
      </c>
      <c r="C8404" s="4" t="str">
        <f>CHOOSE(2, "5462030031", "Jul 26")</f>
        <v>Jul 26</v>
      </c>
      <c r="D8404" s="14">
        <v>161</v>
      </c>
    </row>
    <row r="8405" spans="1:4" x14ac:dyDescent="0.35">
      <c r="A8405" s="5" t="str">
        <f t="shared" si="4320"/>
        <v>Agency</v>
      </c>
      <c r="B8405" s="3" t="str">
        <f t="shared" ref="B8405:B8406" si="4340">CHOOSE(2, "1395000000722", "# of 3-Month Active Agents in UM")</f>
        <v># of 3-Month Active Agents in UM</v>
      </c>
      <c r="C8405" s="4" t="str">
        <f>CHOOSE(2, "5461730030", "Jun 26")</f>
        <v>Jun 26</v>
      </c>
      <c r="D8405" s="2" t="s">
        <v>5</v>
      </c>
    </row>
    <row r="8406" spans="1:4" x14ac:dyDescent="0.35">
      <c r="A8406" s="5" t="str">
        <f t="shared" si="4320"/>
        <v>Agency</v>
      </c>
      <c r="B8406" s="6" t="str">
        <f t="shared" si="4340"/>
        <v># of 3-Month Active Agents in UM</v>
      </c>
      <c r="C8406" s="4" t="str">
        <f>CHOOSE(2, "5462030031", "Jul 26")</f>
        <v>Jul 26</v>
      </c>
      <c r="D8406" s="2" t="s">
        <v>5</v>
      </c>
    </row>
    <row r="8407" spans="1:4" x14ac:dyDescent="0.35">
      <c r="A8407" s="5" t="str">
        <f t="shared" si="4320"/>
        <v>Agency</v>
      </c>
      <c r="B8407" s="3" t="str">
        <f t="shared" ref="B8407:B8408" si="4341">CHOOSE(2, "1395000000721", "# of 3-Month Active Agents in Leaders above UM")</f>
        <v># of 3-Month Active Agents in Leaders above UM</v>
      </c>
      <c r="C8407" s="4" t="str">
        <f>CHOOSE(2, "5461730030", "Jun 26")</f>
        <v>Jun 26</v>
      </c>
      <c r="D8407" s="2" t="s">
        <v>5</v>
      </c>
    </row>
    <row r="8408" spans="1:4" x14ac:dyDescent="0.35">
      <c r="A8408" s="5" t="str">
        <f t="shared" si="4320"/>
        <v>Agency</v>
      </c>
      <c r="B8408" s="6" t="str">
        <f t="shared" si="4341"/>
        <v># of 3-Month Active Agents in Leaders above UM</v>
      </c>
      <c r="C8408" s="4" t="str">
        <f>CHOOSE(2, "5462030031", "Jul 26")</f>
        <v>Jul 26</v>
      </c>
      <c r="D8408" s="2" t="s">
        <v>5</v>
      </c>
    </row>
    <row r="8409" spans="1:4" x14ac:dyDescent="0.35">
      <c r="A8409" s="5" t="str">
        <f t="shared" si="4320"/>
        <v>Agency</v>
      </c>
      <c r="B8409" s="3" t="str">
        <f t="shared" ref="B8409:B8410" si="4342">CHOOSE(2, "1395000000720", "# of 3-Month Active Agents in FA or equivalent")</f>
        <v># of 3-Month Active Agents in FA or equivalent</v>
      </c>
      <c r="C8409" s="4" t="str">
        <f>CHOOSE(2, "5461730030", "Jun 26")</f>
        <v>Jun 26</v>
      </c>
      <c r="D8409" s="2" t="s">
        <v>5</v>
      </c>
    </row>
    <row r="8410" spans="1:4" x14ac:dyDescent="0.35">
      <c r="A8410" s="5" t="str">
        <f t="shared" si="4320"/>
        <v>Agency</v>
      </c>
      <c r="B8410" s="6" t="str">
        <f t="shared" si="4342"/>
        <v># of 3-Month Active Agents in FA or equivalent</v>
      </c>
      <c r="C8410" s="4" t="str">
        <f>CHOOSE(2, "5462030031", "Jul 26")</f>
        <v>Jul 26</v>
      </c>
      <c r="D8410" s="2" t="s">
        <v>5</v>
      </c>
    </row>
    <row r="8411" spans="1:4" x14ac:dyDescent="0.35">
      <c r="A8411" s="5" t="str">
        <f t="shared" si="4320"/>
        <v>Agency</v>
      </c>
      <c r="B8411" s="3" t="str">
        <f t="shared" ref="B8411:B8412" si="4343">CHOOSE(2, "1395000000719", "Net Case Count - Agency")</f>
        <v>Net Case Count - Agency</v>
      </c>
      <c r="C8411" s="4" t="str">
        <f>CHOOSE(2, "5461730030", "Jun 26")</f>
        <v>Jun 26</v>
      </c>
      <c r="D8411" s="14">
        <v>306</v>
      </c>
    </row>
    <row r="8412" spans="1:4" x14ac:dyDescent="0.35">
      <c r="A8412" s="5" t="str">
        <f t="shared" si="4320"/>
        <v>Agency</v>
      </c>
      <c r="B8412" s="6" t="str">
        <f t="shared" si="4343"/>
        <v>Net Case Count - Agency</v>
      </c>
      <c r="C8412" s="4" t="str">
        <f>CHOOSE(2, "5462030031", "Jul 26")</f>
        <v>Jul 26</v>
      </c>
      <c r="D8412" s="14">
        <v>247</v>
      </c>
    </row>
    <row r="8413" spans="1:4" x14ac:dyDescent="0.35">
      <c r="A8413" s="5" t="str">
        <f t="shared" si="4320"/>
        <v>Agency</v>
      </c>
      <c r="B8413" s="3" t="str">
        <f t="shared" ref="B8413:B8414" si="4344">CHOOSE(2, "1395000000718", "Net Case Count - Agency in 0-1M")</f>
        <v>Net Case Count - Agency in 0-1M</v>
      </c>
      <c r="C8413" s="4" t="str">
        <f>CHOOSE(2, "5461730030", "Jun 26")</f>
        <v>Jun 26</v>
      </c>
      <c r="D8413" s="14">
        <v>1</v>
      </c>
    </row>
    <row r="8414" spans="1:4" x14ac:dyDescent="0.35">
      <c r="A8414" s="5" t="str">
        <f t="shared" si="4320"/>
        <v>Agency</v>
      </c>
      <c r="B8414" s="6" t="str">
        <f t="shared" si="4344"/>
        <v>Net Case Count - Agency in 0-1M</v>
      </c>
      <c r="C8414" s="4" t="str">
        <f>CHOOSE(2, "5462030031", "Jul 26")</f>
        <v>Jul 26</v>
      </c>
      <c r="D8414" s="14">
        <v>6</v>
      </c>
    </row>
    <row r="8415" spans="1:4" x14ac:dyDescent="0.35">
      <c r="A8415" s="5" t="str">
        <f t="shared" si="4320"/>
        <v>Agency</v>
      </c>
      <c r="B8415" s="3" t="str">
        <f t="shared" ref="B8415:B8416" si="4345">CHOOSE(2, "1395000000717", "Net Case Count - Agency in 2-3M")</f>
        <v>Net Case Count - Agency in 2-3M</v>
      </c>
      <c r="C8415" s="4" t="str">
        <f>CHOOSE(2, "5461730030", "Jun 26")</f>
        <v>Jun 26</v>
      </c>
      <c r="D8415" s="14">
        <v>16</v>
      </c>
    </row>
    <row r="8416" spans="1:4" x14ac:dyDescent="0.35">
      <c r="A8416" s="5" t="str">
        <f t="shared" si="4320"/>
        <v>Agency</v>
      </c>
      <c r="B8416" s="6" t="str">
        <f t="shared" si="4345"/>
        <v>Net Case Count - Agency in 2-3M</v>
      </c>
      <c r="C8416" s="4" t="str">
        <f>CHOOSE(2, "5462030031", "Jul 26")</f>
        <v>Jul 26</v>
      </c>
      <c r="D8416" s="14">
        <v>21</v>
      </c>
    </row>
    <row r="8417" spans="1:4" x14ac:dyDescent="0.35">
      <c r="A8417" s="5" t="str">
        <f t="shared" si="4320"/>
        <v>Agency</v>
      </c>
      <c r="B8417" s="3" t="str">
        <f t="shared" ref="B8417:B8418" si="4346">CHOOSE(2, "1395000000716", "Net Case Count - Agency in 4-12M")</f>
        <v>Net Case Count - Agency in 4-12M</v>
      </c>
      <c r="C8417" s="4" t="str">
        <f>CHOOSE(2, "5461730030", "Jun 26")</f>
        <v>Jun 26</v>
      </c>
      <c r="D8417" s="14">
        <v>135</v>
      </c>
    </row>
    <row r="8418" spans="1:4" x14ac:dyDescent="0.35">
      <c r="A8418" s="5" t="str">
        <f t="shared" si="4320"/>
        <v>Agency</v>
      </c>
      <c r="B8418" s="6" t="str">
        <f t="shared" si="4346"/>
        <v>Net Case Count - Agency in 4-12M</v>
      </c>
      <c r="C8418" s="4" t="str">
        <f>CHOOSE(2, "5462030031", "Jul 26")</f>
        <v>Jul 26</v>
      </c>
      <c r="D8418" s="14">
        <v>88</v>
      </c>
    </row>
    <row r="8419" spans="1:4" x14ac:dyDescent="0.35">
      <c r="A8419" s="5" t="str">
        <f t="shared" si="4320"/>
        <v>Agency</v>
      </c>
      <c r="B8419" s="3" t="str">
        <f t="shared" ref="B8419:B8420" si="4347">CHOOSE(2, "1395000000715", "Net Case Count - Agency 13+M")</f>
        <v>Net Case Count - Agency 13+M</v>
      </c>
      <c r="C8419" s="4" t="str">
        <f>CHOOSE(2, "5461730030", "Jun 26")</f>
        <v>Jun 26</v>
      </c>
      <c r="D8419" s="14">
        <v>154</v>
      </c>
    </row>
    <row r="8420" spans="1:4" x14ac:dyDescent="0.35">
      <c r="A8420" s="5" t="str">
        <f t="shared" si="4320"/>
        <v>Agency</v>
      </c>
      <c r="B8420" s="6" t="str">
        <f t="shared" si="4347"/>
        <v>Net Case Count - Agency 13+M</v>
      </c>
      <c r="C8420" s="4" t="str">
        <f>CHOOSE(2, "5462030031", "Jul 26")</f>
        <v>Jul 26</v>
      </c>
      <c r="D8420" s="14">
        <v>132</v>
      </c>
    </row>
    <row r="8421" spans="1:4" x14ac:dyDescent="0.35">
      <c r="A8421" s="5" t="str">
        <f t="shared" si="4320"/>
        <v>Agency</v>
      </c>
      <c r="B8421" s="3" t="str">
        <f t="shared" ref="B8421:B8422" si="4348">CHOOSE(2, "1395000000714", "Net Case Count - Agency in FA or equivalent")</f>
        <v>Net Case Count - Agency in FA or equivalent</v>
      </c>
      <c r="C8421" s="4" t="str">
        <f>CHOOSE(2, "5461730030", "Jun 26")</f>
        <v>Jun 26</v>
      </c>
      <c r="D8421" s="14">
        <v>202</v>
      </c>
    </row>
    <row r="8422" spans="1:4" x14ac:dyDescent="0.35">
      <c r="A8422" s="5" t="str">
        <f t="shared" si="4320"/>
        <v>Agency</v>
      </c>
      <c r="B8422" s="6" t="str">
        <f t="shared" si="4348"/>
        <v>Net Case Count - Agency in FA or equivalent</v>
      </c>
      <c r="C8422" s="4" t="str">
        <f>CHOOSE(2, "5462030031", "Jul 26")</f>
        <v>Jul 26</v>
      </c>
      <c r="D8422" s="14">
        <v>147</v>
      </c>
    </row>
    <row r="8423" spans="1:4" x14ac:dyDescent="0.35">
      <c r="A8423" s="5" t="str">
        <f t="shared" si="4320"/>
        <v>Agency</v>
      </c>
      <c r="B8423" s="3" t="str">
        <f t="shared" ref="B8423:B8424" si="4349">CHOOSE(2, "1395000000713", "Net Case Count - Agency in UM")</f>
        <v>Net Case Count - Agency in UM</v>
      </c>
      <c r="C8423" s="4" t="str">
        <f>CHOOSE(2, "5461730030", "Jun 26")</f>
        <v>Jun 26</v>
      </c>
      <c r="D8423" s="14">
        <v>95</v>
      </c>
    </row>
    <row r="8424" spans="1:4" x14ac:dyDescent="0.35">
      <c r="A8424" s="5" t="str">
        <f t="shared" si="4320"/>
        <v>Agency</v>
      </c>
      <c r="B8424" s="6" t="str">
        <f t="shared" si="4349"/>
        <v>Net Case Count - Agency in UM</v>
      </c>
      <c r="C8424" s="4" t="str">
        <f>CHOOSE(2, "5462030031", "Jul 26")</f>
        <v>Jul 26</v>
      </c>
      <c r="D8424" s="14">
        <v>81</v>
      </c>
    </row>
    <row r="8425" spans="1:4" x14ac:dyDescent="0.35">
      <c r="A8425" s="5" t="str">
        <f t="shared" si="4320"/>
        <v>Agency</v>
      </c>
      <c r="B8425" s="3" t="str">
        <f t="shared" ref="B8425:B8426" si="4350">CHOOSE(2, "1395000000712", "Net Case Count - Agency in Leaders above UM")</f>
        <v>Net Case Count - Agency in Leaders above UM</v>
      </c>
      <c r="C8425" s="4" t="str">
        <f>CHOOSE(2, "5461730030", "Jun 26")</f>
        <v>Jun 26</v>
      </c>
      <c r="D8425" s="14">
        <v>9</v>
      </c>
    </row>
    <row r="8426" spans="1:4" x14ac:dyDescent="0.35">
      <c r="A8426" s="5" t="str">
        <f t="shared" si="4320"/>
        <v>Agency</v>
      </c>
      <c r="B8426" s="6" t="str">
        <f t="shared" si="4350"/>
        <v>Net Case Count - Agency in Leaders above UM</v>
      </c>
      <c r="C8426" s="4" t="str">
        <f>CHOOSE(2, "5462030031", "Jul 26")</f>
        <v>Jul 26</v>
      </c>
      <c r="D8426" s="14">
        <v>19</v>
      </c>
    </row>
    <row r="8427" spans="1:4" x14ac:dyDescent="0.35">
      <c r="A8427" s="5" t="str">
        <f t="shared" si="4320"/>
        <v>Agency</v>
      </c>
      <c r="B8427" s="3" t="str">
        <f t="shared" ref="B8427:B8428" si="4351">CHOOSE(2, "1395000000711", "Net Case Count - Agency in Top-tier Agents")</f>
        <v>Net Case Count - Agency in Top-tier Agents</v>
      </c>
      <c r="C8427" s="4" t="str">
        <f>CHOOSE(2, "5461730030", "Jun 26")</f>
        <v>Jun 26</v>
      </c>
      <c r="D8427" s="14">
        <v>103</v>
      </c>
    </row>
    <row r="8428" spans="1:4" x14ac:dyDescent="0.35">
      <c r="A8428" s="5" t="str">
        <f t="shared" si="4320"/>
        <v>Agency</v>
      </c>
      <c r="B8428" s="6" t="str">
        <f t="shared" si="4351"/>
        <v>Net Case Count - Agency in Top-tier Agents</v>
      </c>
      <c r="C8428" s="4" t="str">
        <f>CHOOSE(2, "5462030031", "Jul 26")</f>
        <v>Jul 26</v>
      </c>
      <c r="D8428" s="14">
        <v>57</v>
      </c>
    </row>
    <row r="8429" spans="1:4" x14ac:dyDescent="0.35">
      <c r="A8429" s="5" t="str">
        <f t="shared" si="4320"/>
        <v>Agency</v>
      </c>
      <c r="B8429" s="3" t="str">
        <f t="shared" ref="B8429:B8430" si="4352">CHOOSE(2, "1395000000710", "Net Case Count - Agency in pro-rated MDRT agents (&gt;100%)")</f>
        <v>Net Case Count - Agency in pro-rated MDRT agents (&gt;100%)</v>
      </c>
      <c r="C8429" s="4" t="str">
        <f>CHOOSE(2, "5461730030", "Jun 26")</f>
        <v>Jun 26</v>
      </c>
      <c r="D8429" s="14">
        <v>38</v>
      </c>
    </row>
    <row r="8430" spans="1:4" x14ac:dyDescent="0.35">
      <c r="A8430" s="5" t="str">
        <f t="shared" si="4320"/>
        <v>Agency</v>
      </c>
      <c r="B8430" s="6" t="str">
        <f t="shared" si="4352"/>
        <v>Net Case Count - Agency in pro-rated MDRT agents (&gt;100%)</v>
      </c>
      <c r="C8430" s="4" t="str">
        <f>CHOOSE(2, "5462030031", "Jul 26")</f>
        <v>Jul 26</v>
      </c>
      <c r="D8430" s="14">
        <v>32</v>
      </c>
    </row>
    <row r="8431" spans="1:4" x14ac:dyDescent="0.35">
      <c r="A8431" s="5" t="str">
        <f t="shared" ref="A8431:A8494" si="4353">CHOOSE(2, "1260000000013", "Agency")</f>
        <v>Agency</v>
      </c>
      <c r="B8431" s="3" t="str">
        <f t="shared" ref="B8431:B8432" si="4354">CHOOSE(2, "1395000000709", "Net Case Count - Agency in pro-rated MDRT agents (70-99%)")</f>
        <v>Net Case Count - Agency in pro-rated MDRT agents (70-99%)</v>
      </c>
      <c r="C8431" s="4" t="str">
        <f>CHOOSE(2, "5461730030", "Jun 26")</f>
        <v>Jun 26</v>
      </c>
      <c r="D8431" s="14">
        <v>45</v>
      </c>
    </row>
    <row r="8432" spans="1:4" x14ac:dyDescent="0.35">
      <c r="A8432" s="5" t="str">
        <f t="shared" si="4353"/>
        <v>Agency</v>
      </c>
      <c r="B8432" s="6" t="str">
        <f t="shared" si="4354"/>
        <v>Net Case Count - Agency in pro-rated MDRT agents (70-99%)</v>
      </c>
      <c r="C8432" s="4" t="str">
        <f>CHOOSE(2, "5462030031", "Jul 26")</f>
        <v>Jul 26</v>
      </c>
      <c r="D8432" s="14">
        <v>13</v>
      </c>
    </row>
    <row r="8433" spans="1:4" x14ac:dyDescent="0.35">
      <c r="A8433" s="5" t="str">
        <f t="shared" si="4353"/>
        <v>Agency</v>
      </c>
      <c r="B8433" s="3" t="str">
        <f t="shared" ref="B8433:B8434" si="4355">CHOOSE(2, "1395000000708", "Net Case Count - Agency in pro-rated MDRT agents (50-69%)")</f>
        <v>Net Case Count - Agency in pro-rated MDRT agents (50-69%)</v>
      </c>
      <c r="C8433" s="4" t="str">
        <f>CHOOSE(2, "5461730030", "Jun 26")</f>
        <v>Jun 26</v>
      </c>
      <c r="D8433" s="14">
        <v>20</v>
      </c>
    </row>
    <row r="8434" spans="1:4" x14ac:dyDescent="0.35">
      <c r="A8434" s="5" t="str">
        <f t="shared" si="4353"/>
        <v>Agency</v>
      </c>
      <c r="B8434" s="6" t="str">
        <f t="shared" si="4355"/>
        <v>Net Case Count - Agency in pro-rated MDRT agents (50-69%)</v>
      </c>
      <c r="C8434" s="4" t="str">
        <f>CHOOSE(2, "5462030031", "Jul 26")</f>
        <v>Jul 26</v>
      </c>
      <c r="D8434" s="14">
        <v>12</v>
      </c>
    </row>
    <row r="8435" spans="1:4" x14ac:dyDescent="0.35">
      <c r="A8435" s="5" t="str">
        <f t="shared" si="4353"/>
        <v>Agency</v>
      </c>
      <c r="B8435" s="3" t="str">
        <f t="shared" ref="B8435:B8436" si="4356">CHOOSE(2, "1395000000707", "Net Case Count - Agency in Manulife Pro Qualifiers - Total")</f>
        <v>Net Case Count - Agency in Manulife Pro Qualifiers - Total</v>
      </c>
      <c r="C8435" s="4" t="str">
        <f>CHOOSE(2, "5461730030", "Jun 26")</f>
        <v>Jun 26</v>
      </c>
      <c r="D8435" s="2" t="s">
        <v>5</v>
      </c>
    </row>
    <row r="8436" spans="1:4" x14ac:dyDescent="0.35">
      <c r="A8436" s="5" t="str">
        <f t="shared" si="4353"/>
        <v>Agency</v>
      </c>
      <c r="B8436" s="6" t="str">
        <f t="shared" si="4356"/>
        <v>Net Case Count - Agency in Manulife Pro Qualifiers - Total</v>
      </c>
      <c r="C8436" s="4" t="str">
        <f>CHOOSE(2, "5462030031", "Jul 26")</f>
        <v>Jul 26</v>
      </c>
      <c r="D8436" s="2" t="s">
        <v>5</v>
      </c>
    </row>
    <row r="8437" spans="1:4" x14ac:dyDescent="0.35">
      <c r="A8437" s="5" t="str">
        <f t="shared" si="4353"/>
        <v>Agency</v>
      </c>
      <c r="B8437" s="3" t="str">
        <f t="shared" ref="B8437:B8438" si="4357">CHOOSE(2, "1395000000706", "No. of Sales Proposal Generated")</f>
        <v>No. of Sales Proposal Generated</v>
      </c>
      <c r="C8437" s="4" t="str">
        <f>CHOOSE(2, "5461730030", "Jun 26")</f>
        <v>Jun 26</v>
      </c>
      <c r="D8437" s="14">
        <v>330</v>
      </c>
    </row>
    <row r="8438" spans="1:4" x14ac:dyDescent="0.35">
      <c r="A8438" s="5" t="str">
        <f t="shared" si="4353"/>
        <v>Agency</v>
      </c>
      <c r="B8438" s="6" t="str">
        <f t="shared" si="4357"/>
        <v>No. of Sales Proposal Generated</v>
      </c>
      <c r="C8438" s="4" t="str">
        <f>CHOOSE(2, "5462030031", "Jul 26")</f>
        <v>Jul 26</v>
      </c>
      <c r="D8438" s="14">
        <v>280</v>
      </c>
    </row>
    <row r="8439" spans="1:4" x14ac:dyDescent="0.35">
      <c r="A8439" s="5" t="str">
        <f t="shared" si="4353"/>
        <v>Agency</v>
      </c>
      <c r="B8439" s="3" t="str">
        <f t="shared" ref="B8439:B8440" si="4358">CHOOSE(2, "1395000000705", "$ APE from Agents in X tenure")</f>
        <v>$ APE from Agents in X tenure</v>
      </c>
      <c r="C8439" s="4" t="str">
        <f>CHOOSE(2, "5461730030", "Jun 26")</f>
        <v>Jun 26</v>
      </c>
      <c r="D8439" s="14">
        <v>329158.01268000004</v>
      </c>
    </row>
    <row r="8440" spans="1:4" x14ac:dyDescent="0.35">
      <c r="A8440" s="5" t="str">
        <f t="shared" si="4353"/>
        <v>Agency</v>
      </c>
      <c r="B8440" s="6" t="str">
        <f t="shared" si="4358"/>
        <v>$ APE from Agents in X tenure</v>
      </c>
      <c r="C8440" s="4" t="str">
        <f>CHOOSE(2, "5462030031", "Jul 26")</f>
        <v>Jul 26</v>
      </c>
      <c r="D8440" s="14">
        <v>209406.85612000001</v>
      </c>
    </row>
    <row r="8441" spans="1:4" x14ac:dyDescent="0.35">
      <c r="A8441" s="5" t="str">
        <f t="shared" si="4353"/>
        <v>Agency</v>
      </c>
      <c r="B8441" s="3" t="str">
        <f t="shared" ref="B8441:B8442" si="4359">CHOOSE(2, "1395000000704", "$ APE from Agents in X tenure in 0-1M")</f>
        <v>$ APE from Agents in X tenure in 0-1M</v>
      </c>
      <c r="C8441" s="4" t="str">
        <f>CHOOSE(2, "5461730030", "Jun 26")</f>
        <v>Jun 26</v>
      </c>
      <c r="D8441" s="14">
        <v>32915.801268000003</v>
      </c>
    </row>
    <row r="8442" spans="1:4" x14ac:dyDescent="0.35">
      <c r="A8442" s="5" t="str">
        <f t="shared" si="4353"/>
        <v>Agency</v>
      </c>
      <c r="B8442" s="6" t="str">
        <f t="shared" si="4359"/>
        <v>$ APE from Agents in X tenure in 0-1M</v>
      </c>
      <c r="C8442" s="4" t="str">
        <f>CHOOSE(2, "5462030031", "Jul 26")</f>
        <v>Jul 26</v>
      </c>
      <c r="D8442" s="14">
        <v>20940.685612000001</v>
      </c>
    </row>
    <row r="8443" spans="1:4" x14ac:dyDescent="0.35">
      <c r="A8443" s="5" t="str">
        <f t="shared" si="4353"/>
        <v>Agency</v>
      </c>
      <c r="B8443" s="3" t="str">
        <f t="shared" ref="B8443:B8444" si="4360">CHOOSE(2, "1395000000703", "$ APE from Agents in X tenure in 2-3M")</f>
        <v>$ APE from Agents in X tenure in 2-3M</v>
      </c>
      <c r="C8443" s="4" t="str">
        <f>CHOOSE(2, "5461730030", "Jun 26")</f>
        <v>Jun 26</v>
      </c>
      <c r="D8443" s="14">
        <v>65831.602536000006</v>
      </c>
    </row>
    <row r="8444" spans="1:4" x14ac:dyDescent="0.35">
      <c r="A8444" s="5" t="str">
        <f t="shared" si="4353"/>
        <v>Agency</v>
      </c>
      <c r="B8444" s="6" t="str">
        <f t="shared" si="4360"/>
        <v>$ APE from Agents in X tenure in 2-3M</v>
      </c>
      <c r="C8444" s="4" t="str">
        <f>CHOOSE(2, "5462030031", "Jul 26")</f>
        <v>Jul 26</v>
      </c>
      <c r="D8444" s="14">
        <v>41881.371224000002</v>
      </c>
    </row>
    <row r="8445" spans="1:4" x14ac:dyDescent="0.35">
      <c r="A8445" s="5" t="str">
        <f t="shared" si="4353"/>
        <v>Agency</v>
      </c>
      <c r="B8445" s="3" t="str">
        <f t="shared" ref="B8445:B8446" si="4361">CHOOSE(2, "1395000000702", "$ APE from Agents in X tenure in 4-12M")</f>
        <v>$ APE from Agents in X tenure in 4-12M</v>
      </c>
      <c r="C8445" s="4" t="str">
        <f>CHOOSE(2, "5461730030", "Jun 26")</f>
        <v>Jun 26</v>
      </c>
      <c r="D8445" s="14">
        <v>98747.403804000016</v>
      </c>
    </row>
    <row r="8446" spans="1:4" x14ac:dyDescent="0.35">
      <c r="A8446" s="5" t="str">
        <f t="shared" si="4353"/>
        <v>Agency</v>
      </c>
      <c r="B8446" s="6" t="str">
        <f t="shared" si="4361"/>
        <v>$ APE from Agents in X tenure in 4-12M</v>
      </c>
      <c r="C8446" s="4" t="str">
        <f>CHOOSE(2, "5462030031", "Jul 26")</f>
        <v>Jul 26</v>
      </c>
      <c r="D8446" s="14">
        <v>62822.056836000003</v>
      </c>
    </row>
    <row r="8447" spans="1:4" x14ac:dyDescent="0.35">
      <c r="A8447" s="5" t="str">
        <f t="shared" si="4353"/>
        <v>Agency</v>
      </c>
      <c r="B8447" s="3" t="str">
        <f t="shared" ref="B8447:B8448" si="4362">CHOOSE(2, "1395000000701", "$ APE from Agents in X tenure 13+M")</f>
        <v>$ APE from Agents in X tenure 13+M</v>
      </c>
      <c r="C8447" s="4" t="str">
        <f>CHOOSE(2, "5461730030", "Jun 26")</f>
        <v>Jun 26</v>
      </c>
      <c r="D8447" s="14">
        <v>131663.20507200001</v>
      </c>
    </row>
    <row r="8448" spans="1:4" x14ac:dyDescent="0.35">
      <c r="A8448" s="5" t="str">
        <f t="shared" si="4353"/>
        <v>Agency</v>
      </c>
      <c r="B8448" s="6" t="str">
        <f t="shared" si="4362"/>
        <v>$ APE from Agents in X tenure 13+M</v>
      </c>
      <c r="C8448" s="4" t="str">
        <f>CHOOSE(2, "5462030031", "Jul 26")</f>
        <v>Jul 26</v>
      </c>
      <c r="D8448" s="14">
        <v>83762.742448000005</v>
      </c>
    </row>
    <row r="8449" spans="1:4" x14ac:dyDescent="0.35">
      <c r="A8449" s="5" t="str">
        <f t="shared" si="4353"/>
        <v>Agency</v>
      </c>
      <c r="B8449" s="3" t="str">
        <f t="shared" ref="B8449:B8450" si="4363">CHOOSE(2, "1395000000700", "Total agent headcount (end of period)")</f>
        <v>Total agent headcount (end of period)</v>
      </c>
      <c r="C8449" s="4" t="str">
        <f>CHOOSE(2, "5461730030", "Jun 26")</f>
        <v>Jun 26</v>
      </c>
      <c r="D8449" s="14">
        <v>2175</v>
      </c>
    </row>
    <row r="8450" spans="1:4" x14ac:dyDescent="0.35">
      <c r="A8450" s="5" t="str">
        <f t="shared" si="4353"/>
        <v>Agency</v>
      </c>
      <c r="B8450" s="6" t="str">
        <f t="shared" si="4363"/>
        <v>Total agent headcount (end of period)</v>
      </c>
      <c r="C8450" s="4" t="str">
        <f>CHOOSE(2, "5462030031", "Jul 26")</f>
        <v>Jul 26</v>
      </c>
      <c r="D8450" s="14">
        <v>2116</v>
      </c>
    </row>
    <row r="8451" spans="1:4" x14ac:dyDescent="0.35">
      <c r="A8451" s="5" t="str">
        <f t="shared" si="4353"/>
        <v>Agency</v>
      </c>
      <c r="B8451" s="3" t="str">
        <f t="shared" ref="B8451:B8452" si="4364">CHOOSE(2, "1395000000699", "Total agent headcount (end of period) in 0-1M")</f>
        <v>Total agent headcount (end of period) in 0-1M</v>
      </c>
      <c r="C8451" s="4" t="str">
        <f>CHOOSE(2, "5461730030", "Jun 26")</f>
        <v>Jun 26</v>
      </c>
      <c r="D8451" s="14">
        <v>64</v>
      </c>
    </row>
    <row r="8452" spans="1:4" x14ac:dyDescent="0.35">
      <c r="A8452" s="5" t="str">
        <f t="shared" si="4353"/>
        <v>Agency</v>
      </c>
      <c r="B8452" s="6" t="str">
        <f t="shared" si="4364"/>
        <v>Total agent headcount (end of period) in 0-1M</v>
      </c>
      <c r="C8452" s="4" t="str">
        <f>CHOOSE(2, "5462030031", "Jul 26")</f>
        <v>Jul 26</v>
      </c>
      <c r="D8452" s="14">
        <v>114</v>
      </c>
    </row>
    <row r="8453" spans="1:4" x14ac:dyDescent="0.35">
      <c r="A8453" s="5" t="str">
        <f t="shared" si="4353"/>
        <v>Agency</v>
      </c>
      <c r="B8453" s="3" t="str">
        <f t="shared" ref="B8453:B8454" si="4365">CHOOSE(2, "1395000000698", "Total agent headcount (end of period) in 2-3M")</f>
        <v>Total agent headcount (end of period) in 2-3M</v>
      </c>
      <c r="C8453" s="4" t="str">
        <f>CHOOSE(2, "5461730030", "Jun 26")</f>
        <v>Jun 26</v>
      </c>
      <c r="D8453" s="14">
        <v>39</v>
      </c>
    </row>
    <row r="8454" spans="1:4" x14ac:dyDescent="0.35">
      <c r="A8454" s="5" t="str">
        <f t="shared" si="4353"/>
        <v>Agency</v>
      </c>
      <c r="B8454" s="6" t="str">
        <f t="shared" si="4365"/>
        <v>Total agent headcount (end of period) in 2-3M</v>
      </c>
      <c r="C8454" s="4" t="str">
        <f>CHOOSE(2, "5462030031", "Jul 26")</f>
        <v>Jul 26</v>
      </c>
      <c r="D8454" s="14">
        <v>75</v>
      </c>
    </row>
    <row r="8455" spans="1:4" x14ac:dyDescent="0.35">
      <c r="A8455" s="5" t="str">
        <f t="shared" si="4353"/>
        <v>Agency</v>
      </c>
      <c r="B8455" s="3" t="str">
        <f t="shared" ref="B8455:B8456" si="4366">CHOOSE(2, "1395000000697", "Total agent headcount (end of period) in 4-12M")</f>
        <v>Total agent headcount (end of period) in 4-12M</v>
      </c>
      <c r="C8455" s="4" t="str">
        <f>CHOOSE(2, "5461730030", "Jun 26")</f>
        <v>Jun 26</v>
      </c>
      <c r="D8455" s="14">
        <v>635</v>
      </c>
    </row>
    <row r="8456" spans="1:4" x14ac:dyDescent="0.35">
      <c r="A8456" s="5" t="str">
        <f t="shared" si="4353"/>
        <v>Agency</v>
      </c>
      <c r="B8456" s="6" t="str">
        <f t="shared" si="4366"/>
        <v>Total agent headcount (end of period) in 4-12M</v>
      </c>
      <c r="C8456" s="4" t="str">
        <f>CHOOSE(2, "5462030031", "Jul 26")</f>
        <v>Jul 26</v>
      </c>
      <c r="D8456" s="14">
        <v>578</v>
      </c>
    </row>
    <row r="8457" spans="1:4" x14ac:dyDescent="0.35">
      <c r="A8457" s="5" t="str">
        <f t="shared" si="4353"/>
        <v>Agency</v>
      </c>
      <c r="B8457" s="3" t="str">
        <f t="shared" ref="B8457:B8458" si="4367">CHOOSE(2, "1395000000696", "Total agent headcount (end of period) 13+M")</f>
        <v>Total agent headcount (end of period) 13+M</v>
      </c>
      <c r="C8457" s="4" t="str">
        <f>CHOOSE(2, "5461730030", "Jun 26")</f>
        <v>Jun 26</v>
      </c>
      <c r="D8457" s="14">
        <v>1437</v>
      </c>
    </row>
    <row r="8458" spans="1:4" x14ac:dyDescent="0.35">
      <c r="A8458" s="5" t="str">
        <f t="shared" si="4353"/>
        <v>Agency</v>
      </c>
      <c r="B8458" s="6" t="str">
        <f t="shared" si="4367"/>
        <v>Total agent headcount (end of period) 13+M</v>
      </c>
      <c r="C8458" s="4" t="str">
        <f>CHOOSE(2, "5462030031", "Jul 26")</f>
        <v>Jul 26</v>
      </c>
      <c r="D8458" s="14">
        <v>1349</v>
      </c>
    </row>
    <row r="8459" spans="1:4" x14ac:dyDescent="0.35">
      <c r="A8459" s="5" t="str">
        <f t="shared" si="4353"/>
        <v>Agency</v>
      </c>
      <c r="B8459" s="3" t="str">
        <f t="shared" ref="B8459:B8460" si="4368">CHOOSE(2, "1395000000695", "Total agent headcount (end of period) in FA or equivalent")</f>
        <v>Total agent headcount (end of period) in FA or equivalent</v>
      </c>
      <c r="C8459" s="4" t="str">
        <f>CHOOSE(2, "5461730030", "Jun 26")</f>
        <v>Jun 26</v>
      </c>
      <c r="D8459" s="14">
        <v>2043</v>
      </c>
    </row>
    <row r="8460" spans="1:4" x14ac:dyDescent="0.35">
      <c r="A8460" s="5" t="str">
        <f t="shared" si="4353"/>
        <v>Agency</v>
      </c>
      <c r="B8460" s="6" t="str">
        <f t="shared" si="4368"/>
        <v>Total agent headcount (end of period) in FA or equivalent</v>
      </c>
      <c r="C8460" s="4" t="str">
        <f>CHOOSE(2, "5462030031", "Jul 26")</f>
        <v>Jul 26</v>
      </c>
      <c r="D8460" s="14">
        <v>1978</v>
      </c>
    </row>
    <row r="8461" spans="1:4" x14ac:dyDescent="0.35">
      <c r="A8461" s="5" t="str">
        <f t="shared" si="4353"/>
        <v>Agency</v>
      </c>
      <c r="B8461" s="3" t="str">
        <f t="shared" ref="B8461:B8462" si="4369">CHOOSE(2, "1395000000694", "Total agent headcount (end of period) in UM")</f>
        <v>Total agent headcount (end of period) in UM</v>
      </c>
      <c r="C8461" s="4" t="str">
        <f>CHOOSE(2, "5461730030", "Jun 26")</f>
        <v>Jun 26</v>
      </c>
      <c r="D8461" s="14">
        <v>115</v>
      </c>
    </row>
    <row r="8462" spans="1:4" x14ac:dyDescent="0.35">
      <c r="A8462" s="5" t="str">
        <f t="shared" si="4353"/>
        <v>Agency</v>
      </c>
      <c r="B8462" s="6" t="str">
        <f t="shared" si="4369"/>
        <v>Total agent headcount (end of period) in UM</v>
      </c>
      <c r="C8462" s="4" t="str">
        <f>CHOOSE(2, "5462030031", "Jul 26")</f>
        <v>Jul 26</v>
      </c>
      <c r="D8462" s="14">
        <v>119</v>
      </c>
    </row>
    <row r="8463" spans="1:4" x14ac:dyDescent="0.35">
      <c r="A8463" s="5" t="str">
        <f t="shared" si="4353"/>
        <v>Agency</v>
      </c>
      <c r="B8463" s="3" t="str">
        <f t="shared" ref="B8463:B8464" si="4370">CHOOSE(2, "1395000000693", "Total agent headcount (end of period) in Leaders above UM")</f>
        <v>Total agent headcount (end of period) in Leaders above UM</v>
      </c>
      <c r="C8463" s="4" t="str">
        <f>CHOOSE(2, "5461730030", "Jun 26")</f>
        <v>Jun 26</v>
      </c>
      <c r="D8463" s="14">
        <v>17</v>
      </c>
    </row>
    <row r="8464" spans="1:4" x14ac:dyDescent="0.35">
      <c r="A8464" s="5" t="str">
        <f t="shared" si="4353"/>
        <v>Agency</v>
      </c>
      <c r="B8464" s="6" t="str">
        <f t="shared" si="4370"/>
        <v>Total agent headcount (end of period) in Leaders above UM</v>
      </c>
      <c r="C8464" s="4" t="str">
        <f>CHOOSE(2, "5462030031", "Jul 26")</f>
        <v>Jul 26</v>
      </c>
      <c r="D8464" s="14">
        <v>19</v>
      </c>
    </row>
    <row r="8465" spans="1:4" x14ac:dyDescent="0.35">
      <c r="A8465" s="5" t="str">
        <f t="shared" si="4353"/>
        <v>Agency</v>
      </c>
      <c r="B8465" s="3" t="str">
        <f t="shared" ref="B8465:B8466" si="4371">CHOOSE(2, "1395000000692", "Total agent headcount (end of period) in Top-tier agents")</f>
        <v>Total agent headcount (end of period) in Top-tier agents</v>
      </c>
      <c r="C8465" s="4" t="str">
        <f>CHOOSE(2, "5461730030", "Jun 26")</f>
        <v>Jun 26</v>
      </c>
      <c r="D8465" s="14">
        <v>32</v>
      </c>
    </row>
    <row r="8466" spans="1:4" x14ac:dyDescent="0.35">
      <c r="A8466" s="5" t="str">
        <f t="shared" si="4353"/>
        <v>Agency</v>
      </c>
      <c r="B8466" s="6" t="str">
        <f t="shared" si="4371"/>
        <v>Total agent headcount (end of period) in Top-tier agents</v>
      </c>
      <c r="C8466" s="4" t="str">
        <f>CHOOSE(2, "5462030031", "Jul 26")</f>
        <v>Jul 26</v>
      </c>
      <c r="D8466" s="14">
        <v>38</v>
      </c>
    </row>
    <row r="8467" spans="1:4" x14ac:dyDescent="0.35">
      <c r="A8467" s="5" t="str">
        <f t="shared" si="4353"/>
        <v>Agency</v>
      </c>
      <c r="B8467" s="3" t="str">
        <f t="shared" ref="B8467:B8468" si="4372">CHOOSE(2, "1395000000691", "Total agent headcount  in pro-rated MDRT agents (&gt;100%)")</f>
        <v>Total agent headcount  in pro-rated MDRT agents (&gt;100%)</v>
      </c>
      <c r="C8467" s="4" t="str">
        <f>CHOOSE(2, "5461730030", "Jun 26")</f>
        <v>Jun 26</v>
      </c>
      <c r="D8467" s="14">
        <v>10</v>
      </c>
    </row>
    <row r="8468" spans="1:4" x14ac:dyDescent="0.35">
      <c r="A8468" s="5" t="str">
        <f t="shared" si="4353"/>
        <v>Agency</v>
      </c>
      <c r="B8468" s="6" t="str">
        <f t="shared" si="4372"/>
        <v>Total agent headcount  in pro-rated MDRT agents (&gt;100%)</v>
      </c>
      <c r="C8468" s="4" t="str">
        <f>CHOOSE(2, "5462030031", "Jul 26")</f>
        <v>Jul 26</v>
      </c>
      <c r="D8468" s="14">
        <v>16</v>
      </c>
    </row>
    <row r="8469" spans="1:4" x14ac:dyDescent="0.35">
      <c r="A8469" s="5" t="str">
        <f t="shared" si="4353"/>
        <v>Agency</v>
      </c>
      <c r="B8469" s="3" t="str">
        <f t="shared" ref="B8469:B8470" si="4373">CHOOSE(2, "1395000000690", "Total agent headcount  in pro-rated MDRT agents (70-99%)")</f>
        <v>Total agent headcount  in pro-rated MDRT agents (70-99%)</v>
      </c>
      <c r="C8469" s="4" t="str">
        <f>CHOOSE(2, "5461730030", "Jun 26")</f>
        <v>Jun 26</v>
      </c>
      <c r="D8469" s="14">
        <v>12</v>
      </c>
    </row>
    <row r="8470" spans="1:4" x14ac:dyDescent="0.35">
      <c r="A8470" s="5" t="str">
        <f t="shared" si="4353"/>
        <v>Agency</v>
      </c>
      <c r="B8470" s="6" t="str">
        <f t="shared" si="4373"/>
        <v>Total agent headcount  in pro-rated MDRT agents (70-99%)</v>
      </c>
      <c r="C8470" s="4" t="str">
        <f>CHOOSE(2, "5462030031", "Jul 26")</f>
        <v>Jul 26</v>
      </c>
      <c r="D8470" s="14">
        <v>13</v>
      </c>
    </row>
    <row r="8471" spans="1:4" x14ac:dyDescent="0.35">
      <c r="A8471" s="5" t="str">
        <f t="shared" si="4353"/>
        <v>Agency</v>
      </c>
      <c r="B8471" s="3" t="str">
        <f t="shared" ref="B8471:B8472" si="4374">CHOOSE(2, "1395000000689", "Total agent headcount  in pro-rated MDRT agents (50-69%)")</f>
        <v>Total agent headcount  in pro-rated MDRT agents (50-69%)</v>
      </c>
      <c r="C8471" s="4" t="str">
        <f>CHOOSE(2, "5461730030", "Jun 26")</f>
        <v>Jun 26</v>
      </c>
      <c r="D8471" s="14">
        <v>10</v>
      </c>
    </row>
    <row r="8472" spans="1:4" x14ac:dyDescent="0.35">
      <c r="A8472" s="5" t="str">
        <f t="shared" si="4353"/>
        <v>Agency</v>
      </c>
      <c r="B8472" s="6" t="str">
        <f t="shared" si="4374"/>
        <v>Total agent headcount  in pro-rated MDRT agents (50-69%)</v>
      </c>
      <c r="C8472" s="4" t="str">
        <f>CHOOSE(2, "5462030031", "Jul 26")</f>
        <v>Jul 26</v>
      </c>
      <c r="D8472" s="14">
        <v>9</v>
      </c>
    </row>
    <row r="8473" spans="1:4" x14ac:dyDescent="0.35">
      <c r="A8473" s="5" t="str">
        <f t="shared" si="4353"/>
        <v>Agency</v>
      </c>
      <c r="B8473" s="3" t="str">
        <f t="shared" ref="B8473:B8474" si="4375">CHOOSE(2, "1395000000688", "Total agent headcount  in Manulife Pro Qualifiers - Total")</f>
        <v>Total agent headcount  in Manulife Pro Qualifiers - Total</v>
      </c>
      <c r="C8473" s="4" t="str">
        <f>CHOOSE(2, "5461730030", "Jun 26")</f>
        <v>Jun 26</v>
      </c>
      <c r="D8473" s="2" t="s">
        <v>5</v>
      </c>
    </row>
    <row r="8474" spans="1:4" x14ac:dyDescent="0.35">
      <c r="A8474" s="5" t="str">
        <f t="shared" si="4353"/>
        <v>Agency</v>
      </c>
      <c r="B8474" s="6" t="str">
        <f t="shared" si="4375"/>
        <v>Total agent headcount  in Manulife Pro Qualifiers - Total</v>
      </c>
      <c r="C8474" s="4" t="str">
        <f>CHOOSE(2, "5462030031", "Jul 26")</f>
        <v>Jul 26</v>
      </c>
      <c r="D8474" s="2" t="s">
        <v>5</v>
      </c>
    </row>
    <row r="8475" spans="1:4" x14ac:dyDescent="0.35">
      <c r="A8475" s="5" t="str">
        <f t="shared" si="4353"/>
        <v>Agency</v>
      </c>
      <c r="B8475" s="3" t="str">
        <f t="shared" ref="B8475:B8476" si="4376">CHOOSE(2, "1395000000687", "New recruits")</f>
        <v>New recruits</v>
      </c>
      <c r="C8475" s="4" t="str">
        <f>CHOOSE(2, "5461730030", "Jun 26")</f>
        <v>Jun 26</v>
      </c>
      <c r="D8475" s="14">
        <v>64</v>
      </c>
    </row>
    <row r="8476" spans="1:4" x14ac:dyDescent="0.35">
      <c r="A8476" s="5" t="str">
        <f t="shared" si="4353"/>
        <v>Agency</v>
      </c>
      <c r="B8476" s="6" t="str">
        <f t="shared" si="4376"/>
        <v>New recruits</v>
      </c>
      <c r="C8476" s="4" t="str">
        <f>CHOOSE(2, "5462030031", "Jul 26")</f>
        <v>Jul 26</v>
      </c>
      <c r="D8476" s="14">
        <v>114</v>
      </c>
    </row>
    <row r="8477" spans="1:4" x14ac:dyDescent="0.35">
      <c r="A8477" s="5" t="str">
        <f t="shared" si="4353"/>
        <v>Agency</v>
      </c>
      <c r="B8477" s="3" t="str">
        <f t="shared" ref="B8477:B8478" si="4377">CHOOSE(2, "1395000000686", "New recruits - Leader level")</f>
        <v>New recruits - Leader level</v>
      </c>
      <c r="C8477" s="4" t="str">
        <f>CHOOSE(2, "5461730030", "Jun 26")</f>
        <v>Jun 26</v>
      </c>
      <c r="D8477" s="2" t="s">
        <v>5</v>
      </c>
    </row>
    <row r="8478" spans="1:4" x14ac:dyDescent="0.35">
      <c r="A8478" s="5" t="str">
        <f t="shared" si="4353"/>
        <v>Agency</v>
      </c>
      <c r="B8478" s="6" t="str">
        <f t="shared" si="4377"/>
        <v>New recruits - Leader level</v>
      </c>
      <c r="C8478" s="4" t="str">
        <f>CHOOSE(2, "5462030031", "Jul 26")</f>
        <v>Jul 26</v>
      </c>
      <c r="D8478" s="2" t="s">
        <v>5</v>
      </c>
    </row>
    <row r="8479" spans="1:4" x14ac:dyDescent="0.35">
      <c r="A8479" s="5" t="str">
        <f t="shared" si="4353"/>
        <v>Agency</v>
      </c>
      <c r="B8479" s="3" t="str">
        <f t="shared" ref="B8479:B8480" si="4378">CHOOSE(2, "1395000000685", "New recruits - FA or equivalent")</f>
        <v>New recruits - FA or equivalent</v>
      </c>
      <c r="C8479" s="4" t="str">
        <f>CHOOSE(2, "5461730030", "Jun 26")</f>
        <v>Jun 26</v>
      </c>
      <c r="D8479" s="14">
        <v>58</v>
      </c>
    </row>
    <row r="8480" spans="1:4" x14ac:dyDescent="0.35">
      <c r="A8480" s="5" t="str">
        <f t="shared" si="4353"/>
        <v>Agency</v>
      </c>
      <c r="B8480" s="6" t="str">
        <f t="shared" si="4378"/>
        <v>New recruits - FA or equivalent</v>
      </c>
      <c r="C8480" s="4" t="str">
        <f>CHOOSE(2, "5462030031", "Jul 26")</f>
        <v>Jul 26</v>
      </c>
      <c r="D8480" s="14">
        <v>114</v>
      </c>
    </row>
    <row r="8481" spans="1:4" x14ac:dyDescent="0.35">
      <c r="A8481" s="5" t="str">
        <f t="shared" si="4353"/>
        <v>Agency</v>
      </c>
      <c r="B8481" s="3" t="str">
        <f t="shared" ref="B8481:B8482" si="4379">CHOOSE(2, "1395000000684", "New recruits in UM")</f>
        <v>New recruits in UM</v>
      </c>
      <c r="C8481" s="4" t="str">
        <f>CHOOSE(2, "5461730030", "Jun 26")</f>
        <v>Jun 26</v>
      </c>
      <c r="D8481" s="14">
        <v>3</v>
      </c>
    </row>
    <row r="8482" spans="1:4" x14ac:dyDescent="0.35">
      <c r="A8482" s="5" t="str">
        <f t="shared" si="4353"/>
        <v>Agency</v>
      </c>
      <c r="B8482" s="6" t="str">
        <f t="shared" si="4379"/>
        <v>New recruits in UM</v>
      </c>
      <c r="C8482" s="4" t="str">
        <f>CHOOSE(2, "5462030031", "Jul 26")</f>
        <v>Jul 26</v>
      </c>
      <c r="D8482" s="14">
        <v>0</v>
      </c>
    </row>
    <row r="8483" spans="1:4" x14ac:dyDescent="0.35">
      <c r="A8483" s="5" t="str">
        <f t="shared" si="4353"/>
        <v>Agency</v>
      </c>
      <c r="B8483" s="3" t="str">
        <f t="shared" ref="B8483:B8484" si="4380">CHOOSE(2, "1395000000683", "New recruits in Leaders above UM")</f>
        <v>New recruits in Leaders above UM</v>
      </c>
      <c r="C8483" s="4" t="str">
        <f>CHOOSE(2, "5461730030", "Jun 26")</f>
        <v>Jun 26</v>
      </c>
      <c r="D8483" s="14">
        <v>3</v>
      </c>
    </row>
    <row r="8484" spans="1:4" x14ac:dyDescent="0.35">
      <c r="A8484" s="5" t="str">
        <f t="shared" si="4353"/>
        <v>Agency</v>
      </c>
      <c r="B8484" s="6" t="str">
        <f t="shared" si="4380"/>
        <v>New recruits in Leaders above UM</v>
      </c>
      <c r="C8484" s="4" t="str">
        <f>CHOOSE(2, "5462030031", "Jul 26")</f>
        <v>Jul 26</v>
      </c>
      <c r="D8484" s="14">
        <v>0</v>
      </c>
    </row>
    <row r="8485" spans="1:4" x14ac:dyDescent="0.35">
      <c r="A8485" s="5" t="str">
        <f t="shared" si="4353"/>
        <v>Agency</v>
      </c>
      <c r="B8485" s="3" t="str">
        <f t="shared" ref="B8485:B8486" si="4381">CHOOSE(2, "1395000000682", "# of 6-90 agents")</f>
        <v># of 6-90 agents</v>
      </c>
      <c r="C8485" s="4" t="str">
        <f>CHOOSE(2, "5461730030", "Jun 26")</f>
        <v>Jun 26</v>
      </c>
      <c r="D8485" s="14">
        <v>0</v>
      </c>
    </row>
    <row r="8486" spans="1:4" x14ac:dyDescent="0.35">
      <c r="A8486" s="5" t="str">
        <f t="shared" si="4353"/>
        <v>Agency</v>
      </c>
      <c r="B8486" s="6" t="str">
        <f t="shared" si="4381"/>
        <v># of 6-90 agents</v>
      </c>
      <c r="C8486" s="4" t="str">
        <f>CHOOSE(2, "5462030031", "Jul 26")</f>
        <v>Jul 26</v>
      </c>
      <c r="D8486" s="14">
        <v>0</v>
      </c>
    </row>
    <row r="8487" spans="1:4" x14ac:dyDescent="0.35">
      <c r="A8487" s="5" t="str">
        <f t="shared" si="4353"/>
        <v>Agency</v>
      </c>
      <c r="B8487" s="3" t="str">
        <f t="shared" ref="B8487:B8488" si="4382">CHOOSE(2, "1395000000681", "New Recruits 3M Activation #")</f>
        <v>New Recruits 3M Activation #</v>
      </c>
      <c r="C8487" s="4" t="str">
        <f>CHOOSE(2, "5461730030", "Jun 26")</f>
        <v>Jun 26</v>
      </c>
      <c r="D8487" s="14">
        <v>42</v>
      </c>
    </row>
    <row r="8488" spans="1:4" x14ac:dyDescent="0.35">
      <c r="A8488" s="5" t="str">
        <f t="shared" si="4353"/>
        <v>Agency</v>
      </c>
      <c r="B8488" s="6" t="str">
        <f t="shared" si="4382"/>
        <v>New Recruits 3M Activation #</v>
      </c>
      <c r="C8488" s="4" t="str">
        <f>CHOOSE(2, "5462030031", "Jul 26")</f>
        <v>Jul 26</v>
      </c>
      <c r="D8488" s="14">
        <v>14</v>
      </c>
    </row>
    <row r="8489" spans="1:4" x14ac:dyDescent="0.35">
      <c r="A8489" s="5" t="str">
        <f t="shared" si="4353"/>
        <v>Agency</v>
      </c>
      <c r="B8489" s="3" t="str">
        <f t="shared" ref="B8489:B8490" si="4383">CHOOSE(2, "1395000000680", "No of Terminations")</f>
        <v>No of Terminations</v>
      </c>
      <c r="C8489" s="4" t="str">
        <f>CHOOSE(2, "5461730030", "Jun 26")</f>
        <v>Jun 26</v>
      </c>
      <c r="D8489" s="14">
        <v>29</v>
      </c>
    </row>
    <row r="8490" spans="1:4" x14ac:dyDescent="0.35">
      <c r="A8490" s="5" t="str">
        <f t="shared" si="4353"/>
        <v>Agency</v>
      </c>
      <c r="B8490" s="6" t="str">
        <f t="shared" si="4383"/>
        <v>No of Terminations</v>
      </c>
      <c r="C8490" s="4" t="str">
        <f>CHOOSE(2, "5462030031", "Jul 26")</f>
        <v>Jul 26</v>
      </c>
      <c r="D8490" s="14">
        <v>173</v>
      </c>
    </row>
    <row r="8491" spans="1:4" x14ac:dyDescent="0.35">
      <c r="A8491" s="5" t="str">
        <f t="shared" si="4353"/>
        <v>Agency</v>
      </c>
      <c r="B8491" s="3" t="str">
        <f t="shared" ref="B8491:B8492" si="4384">CHOOSE(2, "1395000000679", "No of Terminations in FA or equivalent")</f>
        <v>No of Terminations in FA or equivalent</v>
      </c>
      <c r="C8491" s="4" t="str">
        <f>CHOOSE(2, "5461730030", "Jun 26")</f>
        <v>Jun 26</v>
      </c>
      <c r="D8491" s="14">
        <v>28</v>
      </c>
    </row>
    <row r="8492" spans="1:4" x14ac:dyDescent="0.35">
      <c r="A8492" s="5" t="str">
        <f t="shared" si="4353"/>
        <v>Agency</v>
      </c>
      <c r="B8492" s="6" t="str">
        <f t="shared" si="4384"/>
        <v>No of Terminations in FA or equivalent</v>
      </c>
      <c r="C8492" s="4" t="str">
        <f>CHOOSE(2, "5462030031", "Jul 26")</f>
        <v>Jul 26</v>
      </c>
      <c r="D8492" s="14">
        <v>171</v>
      </c>
    </row>
    <row r="8493" spans="1:4" x14ac:dyDescent="0.35">
      <c r="A8493" s="5" t="str">
        <f t="shared" si="4353"/>
        <v>Agency</v>
      </c>
      <c r="B8493" s="3" t="str">
        <f t="shared" ref="B8493:B8494" si="4385">CHOOSE(2, "1395000000678", "No of Terminations in UM")</f>
        <v>No of Terminations in UM</v>
      </c>
      <c r="C8493" s="4" t="str">
        <f>CHOOSE(2, "5461730030", "Jun 26")</f>
        <v>Jun 26</v>
      </c>
      <c r="D8493" s="14">
        <v>1</v>
      </c>
    </row>
    <row r="8494" spans="1:4" x14ac:dyDescent="0.35">
      <c r="A8494" s="5" t="str">
        <f t="shared" si="4353"/>
        <v>Agency</v>
      </c>
      <c r="B8494" s="6" t="str">
        <f t="shared" si="4385"/>
        <v>No of Terminations in UM</v>
      </c>
      <c r="C8494" s="4" t="str">
        <f>CHOOSE(2, "5462030031", "Jul 26")</f>
        <v>Jul 26</v>
      </c>
      <c r="D8494" s="14">
        <v>1</v>
      </c>
    </row>
    <row r="8495" spans="1:4" x14ac:dyDescent="0.35">
      <c r="A8495" s="5" t="str">
        <f t="shared" ref="A8495:A8558" si="4386">CHOOSE(2, "1260000000013", "Agency")</f>
        <v>Agency</v>
      </c>
      <c r="B8495" s="3" t="str">
        <f t="shared" ref="B8495:B8496" si="4387">CHOOSE(2, "1395000000677", "No of Terminations in Leaders above UM")</f>
        <v>No of Terminations in Leaders above UM</v>
      </c>
      <c r="C8495" s="4" t="str">
        <f>CHOOSE(2, "5461730030", "Jun 26")</f>
        <v>Jun 26</v>
      </c>
      <c r="D8495" s="14">
        <v>0</v>
      </c>
    </row>
    <row r="8496" spans="1:4" x14ac:dyDescent="0.35">
      <c r="A8496" s="5" t="str">
        <f t="shared" si="4386"/>
        <v>Agency</v>
      </c>
      <c r="B8496" s="6" t="str">
        <f t="shared" si="4387"/>
        <v>No of Terminations in Leaders above UM</v>
      </c>
      <c r="C8496" s="4" t="str">
        <f>CHOOSE(2, "5462030031", "Jul 26")</f>
        <v>Jul 26</v>
      </c>
      <c r="D8496" s="14">
        <v>1</v>
      </c>
    </row>
    <row r="8497" spans="1:4" x14ac:dyDescent="0.35">
      <c r="A8497" s="5" t="str">
        <f t="shared" si="4386"/>
        <v>Agency</v>
      </c>
      <c r="B8497" s="3" t="str">
        <f t="shared" ref="B8497:B8498" si="4388">CHOOSE(2, "1395000000676", "No of Terminations in Top-tier Agents")</f>
        <v>No of Terminations in Top-tier Agents</v>
      </c>
      <c r="C8497" s="4" t="str">
        <f>CHOOSE(2, "5461730030", "Jun 26")</f>
        <v>Jun 26</v>
      </c>
      <c r="D8497" s="14">
        <v>0</v>
      </c>
    </row>
    <row r="8498" spans="1:4" x14ac:dyDescent="0.35">
      <c r="A8498" s="5" t="str">
        <f t="shared" si="4386"/>
        <v>Agency</v>
      </c>
      <c r="B8498" s="6" t="str">
        <f t="shared" si="4388"/>
        <v>No of Terminations in Top-tier Agents</v>
      </c>
      <c r="C8498" s="4" t="str">
        <f>CHOOSE(2, "5462030031", "Jul 26")</f>
        <v>Jul 26</v>
      </c>
      <c r="D8498" s="14">
        <v>0</v>
      </c>
    </row>
    <row r="8499" spans="1:4" x14ac:dyDescent="0.35">
      <c r="A8499" s="5" t="str">
        <f t="shared" si="4386"/>
        <v>Agency</v>
      </c>
      <c r="B8499" s="3" t="str">
        <f t="shared" ref="B8499:B8500" si="4389">CHOOSE(2, "1395000000675", "No of Terminations in pro-rated MDRT agents (&gt;100%)")</f>
        <v>No of Terminations in pro-rated MDRT agents (&gt;100%)</v>
      </c>
      <c r="C8499" s="4" t="str">
        <f>CHOOSE(2, "5461730030", "Jun 26")</f>
        <v>Jun 26</v>
      </c>
      <c r="D8499" s="14">
        <v>0</v>
      </c>
    </row>
    <row r="8500" spans="1:4" x14ac:dyDescent="0.35">
      <c r="A8500" s="5" t="str">
        <f t="shared" si="4386"/>
        <v>Agency</v>
      </c>
      <c r="B8500" s="6" t="str">
        <f t="shared" si="4389"/>
        <v>No of Terminations in pro-rated MDRT agents (&gt;100%)</v>
      </c>
      <c r="C8500" s="4" t="str">
        <f>CHOOSE(2, "5462030031", "Jul 26")</f>
        <v>Jul 26</v>
      </c>
      <c r="D8500" s="14">
        <v>0</v>
      </c>
    </row>
    <row r="8501" spans="1:4" x14ac:dyDescent="0.35">
      <c r="A8501" s="5" t="str">
        <f t="shared" si="4386"/>
        <v>Agency</v>
      </c>
      <c r="B8501" s="3" t="str">
        <f t="shared" ref="B8501:B8502" si="4390">CHOOSE(2, "1395000000674", "No of Terminations in pro-rated MDRT agents (70-99%)")</f>
        <v>No of Terminations in pro-rated MDRT agents (70-99%)</v>
      </c>
      <c r="C8501" s="4" t="str">
        <f>CHOOSE(2, "5461730030", "Jun 26")</f>
        <v>Jun 26</v>
      </c>
      <c r="D8501" s="14">
        <v>0</v>
      </c>
    </row>
    <row r="8502" spans="1:4" x14ac:dyDescent="0.35">
      <c r="A8502" s="5" t="str">
        <f t="shared" si="4386"/>
        <v>Agency</v>
      </c>
      <c r="B8502" s="6" t="str">
        <f t="shared" si="4390"/>
        <v>No of Terminations in pro-rated MDRT agents (70-99%)</v>
      </c>
      <c r="C8502" s="4" t="str">
        <f>CHOOSE(2, "5462030031", "Jul 26")</f>
        <v>Jul 26</v>
      </c>
      <c r="D8502" s="14">
        <v>0</v>
      </c>
    </row>
    <row r="8503" spans="1:4" x14ac:dyDescent="0.35">
      <c r="A8503" s="5" t="str">
        <f t="shared" si="4386"/>
        <v>Agency</v>
      </c>
      <c r="B8503" s="3" t="str">
        <f t="shared" ref="B8503:B8504" si="4391">CHOOSE(2, "1395000000673", "No of Terminations in pro-rated MDRT agents (50-69%)")</f>
        <v>No of Terminations in pro-rated MDRT agents (50-69%)</v>
      </c>
      <c r="C8503" s="4" t="str">
        <f>CHOOSE(2, "5461730030", "Jun 26")</f>
        <v>Jun 26</v>
      </c>
      <c r="D8503" s="14">
        <v>0</v>
      </c>
    </row>
    <row r="8504" spans="1:4" x14ac:dyDescent="0.35">
      <c r="A8504" s="5" t="str">
        <f t="shared" si="4386"/>
        <v>Agency</v>
      </c>
      <c r="B8504" s="6" t="str">
        <f t="shared" si="4391"/>
        <v>No of Terminations in pro-rated MDRT agents (50-69%)</v>
      </c>
      <c r="C8504" s="4" t="str">
        <f>CHOOSE(2, "5462030031", "Jul 26")</f>
        <v>Jul 26</v>
      </c>
      <c r="D8504" s="14">
        <v>0</v>
      </c>
    </row>
    <row r="8505" spans="1:4" x14ac:dyDescent="0.35">
      <c r="A8505" s="5" t="str">
        <f t="shared" si="4386"/>
        <v>Agency</v>
      </c>
      <c r="B8505" s="3" t="str">
        <f t="shared" ref="B8505:B8506" si="4392">CHOOSE(2, "1395000000672", "No of Terminations in Manulife Pro Qualifiers - Total")</f>
        <v>No of Terminations in Manulife Pro Qualifiers - Total</v>
      </c>
      <c r="C8505" s="4" t="str">
        <f>CHOOSE(2, "5461730030", "Jun 26")</f>
        <v>Jun 26</v>
      </c>
      <c r="D8505" s="2" t="s">
        <v>5</v>
      </c>
    </row>
    <row r="8506" spans="1:4" x14ac:dyDescent="0.35">
      <c r="A8506" s="5" t="str">
        <f t="shared" si="4386"/>
        <v>Agency</v>
      </c>
      <c r="B8506" s="6" t="str">
        <f t="shared" si="4392"/>
        <v>No of Terminations in Manulife Pro Qualifiers - Total</v>
      </c>
      <c r="C8506" s="4" t="str">
        <f>CHOOSE(2, "5462030031", "Jul 26")</f>
        <v>Jul 26</v>
      </c>
      <c r="D8506" s="2" t="s">
        <v>5</v>
      </c>
    </row>
    <row r="8507" spans="1:4" x14ac:dyDescent="0.35">
      <c r="A8507" s="5" t="str">
        <f t="shared" si="4386"/>
        <v>Agency</v>
      </c>
      <c r="B8507" s="3" t="str">
        <f t="shared" ref="B8507:B8508" si="4393">CHOOSE(2, "1395000000671", "First Year Agents Terminated without Sales")</f>
        <v>First Year Agents Terminated without Sales</v>
      </c>
      <c r="C8507" s="4" t="str">
        <f>CHOOSE(2, "5461730030", "Jun 26")</f>
        <v>Jun 26</v>
      </c>
      <c r="D8507" s="14">
        <v>2</v>
      </c>
    </row>
    <row r="8508" spans="1:4" x14ac:dyDescent="0.35">
      <c r="A8508" s="5" t="str">
        <f t="shared" si="4386"/>
        <v>Agency</v>
      </c>
      <c r="B8508" s="6" t="str">
        <f t="shared" si="4393"/>
        <v>First Year Agents Terminated without Sales</v>
      </c>
      <c r="C8508" s="4" t="str">
        <f>CHOOSE(2, "5462030031", "Jul 26")</f>
        <v>Jul 26</v>
      </c>
      <c r="D8508" s="14">
        <v>3</v>
      </c>
    </row>
    <row r="8509" spans="1:4" x14ac:dyDescent="0.35">
      <c r="A8509" s="5" t="str">
        <f t="shared" si="4386"/>
        <v>Agency</v>
      </c>
      <c r="B8509" s="3" t="str">
        <f t="shared" ref="B8509:B8510" si="4394">CHOOSE(2, "1395000000670", "6mth Agency Retention Ratio")</f>
        <v>6mth Agency Retention Ratio</v>
      </c>
      <c r="C8509" s="4" t="str">
        <f>CHOOSE(2, "5461730030", "Jun 26")</f>
        <v>Jun 26</v>
      </c>
      <c r="D8509" s="14">
        <v>0.94666700000000004</v>
      </c>
    </row>
    <row r="8510" spans="1:4" x14ac:dyDescent="0.35">
      <c r="A8510" s="5" t="str">
        <f t="shared" si="4386"/>
        <v>Agency</v>
      </c>
      <c r="B8510" s="6" t="str">
        <f t="shared" si="4394"/>
        <v>6mth Agency Retention Ratio</v>
      </c>
      <c r="C8510" s="4" t="str">
        <f>CHOOSE(2, "5462030031", "Jul 26")</f>
        <v>Jul 26</v>
      </c>
      <c r="D8510" s="14">
        <v>0.950237</v>
      </c>
    </row>
    <row r="8511" spans="1:4" x14ac:dyDescent="0.35">
      <c r="A8511" s="5" t="str">
        <f t="shared" si="4386"/>
        <v>Agency</v>
      </c>
      <c r="B8511" s="3" t="str">
        <f t="shared" ref="B8511:B8512" si="4395">CHOOSE(2, "1395000000669", "12mth Agency Retention Ratio")</f>
        <v>12mth Agency Retention Ratio</v>
      </c>
      <c r="C8511" s="4" t="str">
        <f>CHOOSE(2, "5461730030", "Jun 26")</f>
        <v>Jun 26</v>
      </c>
      <c r="D8511" s="14">
        <v>0.84424600000000005</v>
      </c>
    </row>
    <row r="8512" spans="1:4" x14ac:dyDescent="0.35">
      <c r="A8512" s="5" t="str">
        <f t="shared" si="4386"/>
        <v>Agency</v>
      </c>
      <c r="B8512" s="6" t="str">
        <f t="shared" si="4395"/>
        <v>12mth Agency Retention Ratio</v>
      </c>
      <c r="C8512" s="4" t="str">
        <f>CHOOSE(2, "5462030031", "Jul 26")</f>
        <v>Jul 26</v>
      </c>
      <c r="D8512" s="14">
        <v>0.85029399999999999</v>
      </c>
    </row>
    <row r="8513" spans="1:4" x14ac:dyDescent="0.35">
      <c r="A8513" s="5" t="str">
        <f t="shared" si="4386"/>
        <v>Agency</v>
      </c>
      <c r="B8513" s="3" t="str">
        <f t="shared" ref="B8513:B8514" si="4396">CHOOSE(2, "1395000000668", "24mth Agency Retention Ratio")</f>
        <v>24mth Agency Retention Ratio</v>
      </c>
      <c r="C8513" s="4" t="str">
        <f>CHOOSE(2, "5461730030", "Jun 26")</f>
        <v>Jun 26</v>
      </c>
      <c r="D8513" s="14">
        <v>0.48957299999999998</v>
      </c>
    </row>
    <row r="8514" spans="1:4" x14ac:dyDescent="0.35">
      <c r="A8514" s="5" t="str">
        <f t="shared" si="4386"/>
        <v>Agency</v>
      </c>
      <c r="B8514" s="6" t="str">
        <f t="shared" si="4396"/>
        <v>24mth Agency Retention Ratio</v>
      </c>
      <c r="C8514" s="4" t="str">
        <f>CHOOSE(2, "5462030031", "Jul 26")</f>
        <v>Jul 26</v>
      </c>
      <c r="D8514" s="14">
        <v>0.492477</v>
      </c>
    </row>
    <row r="8515" spans="1:4" x14ac:dyDescent="0.35">
      <c r="A8515" s="5" t="str">
        <f t="shared" si="4386"/>
        <v>Agency</v>
      </c>
      <c r="B8515" s="3" t="str">
        <f t="shared" ref="B8515:B8516" si="4397">CHOOSE(2, "1395000000667", "Total # of Leaders (end of period)")</f>
        <v>Total # of Leaders (end of period)</v>
      </c>
      <c r="C8515" s="4" t="str">
        <f>CHOOSE(2, "5461730030", "Jun 26")</f>
        <v>Jun 26</v>
      </c>
      <c r="D8515" s="14">
        <v>132</v>
      </c>
    </row>
    <row r="8516" spans="1:4" x14ac:dyDescent="0.35">
      <c r="A8516" s="5" t="str">
        <f t="shared" si="4386"/>
        <v>Agency</v>
      </c>
      <c r="B8516" s="6" t="str">
        <f t="shared" si="4397"/>
        <v>Total # of Leaders (end of period)</v>
      </c>
      <c r="C8516" s="4" t="str">
        <f>CHOOSE(2, "5462030031", "Jul 26")</f>
        <v>Jul 26</v>
      </c>
      <c r="D8516" s="14">
        <v>138</v>
      </c>
    </row>
    <row r="8517" spans="1:4" x14ac:dyDescent="0.35">
      <c r="A8517" s="5" t="str">
        <f t="shared" si="4386"/>
        <v>Agency</v>
      </c>
      <c r="B8517" s="3" t="str">
        <f t="shared" ref="B8517:B8518" si="4398">CHOOSE(2, "1395000000666", "Total # of Unit Managers")</f>
        <v>Total # of Unit Managers</v>
      </c>
      <c r="C8517" s="4" t="str">
        <f>CHOOSE(2, "5461730030", "Jun 26")</f>
        <v>Jun 26</v>
      </c>
      <c r="D8517" s="14">
        <v>115</v>
      </c>
    </row>
    <row r="8518" spans="1:4" x14ac:dyDescent="0.35">
      <c r="A8518" s="5" t="str">
        <f t="shared" si="4386"/>
        <v>Agency</v>
      </c>
      <c r="B8518" s="6" t="str">
        <f t="shared" si="4398"/>
        <v>Total # of Unit Managers</v>
      </c>
      <c r="C8518" s="4" t="str">
        <f>CHOOSE(2, "5462030031", "Jul 26")</f>
        <v>Jul 26</v>
      </c>
      <c r="D8518" s="14">
        <v>119</v>
      </c>
    </row>
    <row r="8519" spans="1:4" x14ac:dyDescent="0.35">
      <c r="A8519" s="5" t="str">
        <f t="shared" si="4386"/>
        <v>Agency</v>
      </c>
      <c r="B8519" s="3" t="str">
        <f t="shared" ref="B8519:B8520" si="4399">CHOOSE(2, "1395000000665", "Total # of Leaders above Unit Manager level")</f>
        <v>Total # of Leaders above Unit Manager level</v>
      </c>
      <c r="C8519" s="4" t="str">
        <f>CHOOSE(2, "5461730030", "Jun 26")</f>
        <v>Jun 26</v>
      </c>
      <c r="D8519" s="14">
        <v>17</v>
      </c>
    </row>
    <row r="8520" spans="1:4" x14ac:dyDescent="0.35">
      <c r="A8520" s="5" t="str">
        <f t="shared" si="4386"/>
        <v>Agency</v>
      </c>
      <c r="B8520" s="6" t="str">
        <f t="shared" si="4399"/>
        <v>Total # of Leaders above Unit Manager level</v>
      </c>
      <c r="C8520" s="4" t="str">
        <f>CHOOSE(2, "5462030031", "Jul 26")</f>
        <v>Jul 26</v>
      </c>
      <c r="D8520" s="14">
        <v>19</v>
      </c>
    </row>
    <row r="8521" spans="1:4" x14ac:dyDescent="0.35">
      <c r="A8521" s="5" t="str">
        <f t="shared" si="4386"/>
        <v>Agency</v>
      </c>
      <c r="B8521" s="3" t="str">
        <f t="shared" ref="B8521:B8522" si="4400">CHOOSE(2, "1395000000664", "Total # of Agents below Unit Manager level (end of period)")</f>
        <v>Total # of Agents below Unit Manager level (end of period)</v>
      </c>
      <c r="C8521" s="4" t="str">
        <f>CHOOSE(2, "5461730030", "Jun 26")</f>
        <v>Jun 26</v>
      </c>
      <c r="D8521" s="14">
        <v>2043</v>
      </c>
    </row>
    <row r="8522" spans="1:4" x14ac:dyDescent="0.35">
      <c r="A8522" s="5" t="str">
        <f t="shared" si="4386"/>
        <v>Agency</v>
      </c>
      <c r="B8522" s="6" t="str">
        <f t="shared" si="4400"/>
        <v>Total # of Agents below Unit Manager level (end of period)</v>
      </c>
      <c r="C8522" s="4" t="str">
        <f>CHOOSE(2, "5462030031", "Jul 26")</f>
        <v>Jul 26</v>
      </c>
      <c r="D8522" s="14">
        <v>1978</v>
      </c>
    </row>
    <row r="8523" spans="1:4" x14ac:dyDescent="0.35">
      <c r="A8523" s="5" t="str">
        <f t="shared" si="4386"/>
        <v>Agency</v>
      </c>
      <c r="B8523" s="3" t="str">
        <f t="shared" ref="B8523:B8524" si="4401">CHOOSE(2, "1395000000663", "# of Active Recruiting Leaders")</f>
        <v># of Active Recruiting Leaders</v>
      </c>
      <c r="C8523" s="4" t="str">
        <f>CHOOSE(2, "5461730030", "Jun 26")</f>
        <v>Jun 26</v>
      </c>
      <c r="D8523" s="14">
        <v>6</v>
      </c>
    </row>
    <row r="8524" spans="1:4" x14ac:dyDescent="0.35">
      <c r="A8524" s="5" t="str">
        <f t="shared" si="4386"/>
        <v>Agency</v>
      </c>
      <c r="B8524" s="6" t="str">
        <f t="shared" si="4401"/>
        <v># of Active Recruiting Leaders</v>
      </c>
      <c r="C8524" s="4" t="str">
        <f>CHOOSE(2, "5462030031", "Jul 26")</f>
        <v>Jul 26</v>
      </c>
      <c r="D8524" s="14">
        <v>28</v>
      </c>
    </row>
    <row r="8525" spans="1:4" x14ac:dyDescent="0.35">
      <c r="A8525" s="5" t="str">
        <f t="shared" si="4386"/>
        <v>Agency</v>
      </c>
      <c r="B8525" s="3" t="str">
        <f t="shared" ref="B8525:B8526" si="4402">CHOOSE(2, "1395000000662", "# of leaders with &gt;1 YTD recruit")</f>
        <v># of leaders with &gt;1 YTD recruit</v>
      </c>
      <c r="C8525" s="4" t="str">
        <f>CHOOSE(2, "5461730030", "Jun 26")</f>
        <v>Jun 26</v>
      </c>
      <c r="D8525" s="14">
        <v>68</v>
      </c>
    </row>
    <row r="8526" spans="1:4" x14ac:dyDescent="0.35">
      <c r="A8526" s="5" t="str">
        <f t="shared" si="4386"/>
        <v>Agency</v>
      </c>
      <c r="B8526" s="6" t="str">
        <f t="shared" si="4402"/>
        <v># of leaders with &gt;1 YTD recruit</v>
      </c>
      <c r="C8526" s="4" t="str">
        <f>CHOOSE(2, "5462030031", "Jul 26")</f>
        <v>Jul 26</v>
      </c>
      <c r="D8526" s="14">
        <v>81</v>
      </c>
    </row>
    <row r="8527" spans="1:4" x14ac:dyDescent="0.35">
      <c r="A8527" s="5" t="str">
        <f t="shared" si="4386"/>
        <v>Agency</v>
      </c>
      <c r="B8527" s="3" t="str">
        <f t="shared" ref="B8527:B8528" si="4403">CHOOSE(2, "1395000000661", "Income ratio from personal sales (UM)")</f>
        <v>Income ratio from personal sales (UM)</v>
      </c>
      <c r="C8527" s="4" t="str">
        <f>CHOOSE(2, "5461730030", "Jun 26")</f>
        <v>Jun 26</v>
      </c>
      <c r="D8527" s="14">
        <v>0.78590734232786041</v>
      </c>
    </row>
    <row r="8528" spans="1:4" x14ac:dyDescent="0.35">
      <c r="A8528" s="5" t="str">
        <f t="shared" si="4386"/>
        <v>Agency</v>
      </c>
      <c r="B8528" s="6" t="str">
        <f t="shared" si="4403"/>
        <v>Income ratio from personal sales (UM)</v>
      </c>
      <c r="C8528" s="4" t="str">
        <f>CHOOSE(2, "5462030031", "Jul 26")</f>
        <v>Jul 26</v>
      </c>
      <c r="D8528" s="14">
        <v>0.79180710983520297</v>
      </c>
    </row>
    <row r="8529" spans="1:4" x14ac:dyDescent="0.35">
      <c r="A8529" s="5" t="str">
        <f t="shared" si="4386"/>
        <v>Agency</v>
      </c>
      <c r="B8529" s="3" t="str">
        <f t="shared" ref="B8529:B8530" si="4404">CHOOSE(2, "1395000000660", "Income ratio from personal sales (UM) (numerator)")</f>
        <v>Income ratio from personal sales (UM) (numerator)</v>
      </c>
      <c r="C8529" s="4" t="str">
        <f>CHOOSE(2, "5461730030", "Jun 26")</f>
        <v>Jun 26</v>
      </c>
      <c r="D8529" s="14">
        <v>50616.316800000001</v>
      </c>
    </row>
    <row r="8530" spans="1:4" x14ac:dyDescent="0.35">
      <c r="A8530" s="5" t="str">
        <f t="shared" si="4386"/>
        <v>Agency</v>
      </c>
      <c r="B8530" s="6" t="str">
        <f t="shared" si="4404"/>
        <v>Income ratio from personal sales (UM) (numerator)</v>
      </c>
      <c r="C8530" s="4" t="str">
        <f>CHOOSE(2, "5462030031", "Jul 26")</f>
        <v>Jul 26</v>
      </c>
      <c r="D8530" s="14">
        <v>19982.004000000001</v>
      </c>
    </row>
    <row r="8531" spans="1:4" x14ac:dyDescent="0.35">
      <c r="A8531" s="5" t="str">
        <f t="shared" si="4386"/>
        <v>Agency</v>
      </c>
      <c r="B8531" s="3" t="str">
        <f t="shared" ref="B8531:B8532" si="4405">CHOOSE(2, "1395000000659", "Income ratio from personal sales (UM) (denominator)")</f>
        <v>Income ratio from personal sales (UM) (denominator)</v>
      </c>
      <c r="C8531" s="4" t="str">
        <f>CHOOSE(2, "5461730030", "Jun 26")</f>
        <v>Jun 26</v>
      </c>
      <c r="D8531" s="14">
        <v>64404.942000000003</v>
      </c>
    </row>
    <row r="8532" spans="1:4" x14ac:dyDescent="0.35">
      <c r="A8532" s="5" t="str">
        <f t="shared" si="4386"/>
        <v>Agency</v>
      </c>
      <c r="B8532" s="6" t="str">
        <f t="shared" si="4405"/>
        <v>Income ratio from personal sales (UM) (denominator)</v>
      </c>
      <c r="C8532" s="4" t="str">
        <f>CHOOSE(2, "5462030031", "Jul 26")</f>
        <v>Jul 26</v>
      </c>
      <c r="D8532" s="14">
        <v>25235.949199999999</v>
      </c>
    </row>
    <row r="8533" spans="1:4" x14ac:dyDescent="0.35">
      <c r="A8533" s="5" t="str">
        <f t="shared" si="4386"/>
        <v>Agency</v>
      </c>
      <c r="B8533" s="3" t="str">
        <f t="shared" ref="B8533:B8534" si="4406">CHOOSE(2, "1395000000658", "Income ratio from personal sales (Leader above UM)")</f>
        <v>Income ratio from personal sales (Leader above UM)</v>
      </c>
      <c r="C8533" s="4" t="str">
        <f>CHOOSE(2, "5461730030", "Jun 26")</f>
        <v>Jun 26</v>
      </c>
      <c r="D8533" s="14">
        <v>0.15226977380563164</v>
      </c>
    </row>
    <row r="8534" spans="1:4" x14ac:dyDescent="0.35">
      <c r="A8534" s="5" t="str">
        <f t="shared" si="4386"/>
        <v>Agency</v>
      </c>
      <c r="B8534" s="6" t="str">
        <f t="shared" si="4406"/>
        <v>Income ratio from personal sales (Leader above UM)</v>
      </c>
      <c r="C8534" s="4" t="str">
        <f>CHOOSE(2, "5462030031", "Jul 26")</f>
        <v>Jul 26</v>
      </c>
      <c r="D8534" s="14">
        <v>0.45229827850953336</v>
      </c>
    </row>
    <row r="8535" spans="1:4" x14ac:dyDescent="0.35">
      <c r="A8535" s="5" t="str">
        <f t="shared" si="4386"/>
        <v>Agency</v>
      </c>
      <c r="B8535" s="3" t="str">
        <f t="shared" ref="B8535:B8536" si="4407">CHOOSE(2, "1395000000657", "Income ratio from personal sales (Leader above UM) (num)")</f>
        <v>Income ratio from personal sales (Leader above UM) (num)</v>
      </c>
      <c r="C8535" s="4" t="str">
        <f>CHOOSE(2, "5461730030", "Jun 26")</f>
        <v>Jun 26</v>
      </c>
      <c r="D8535" s="14">
        <v>2638.1347999999998</v>
      </c>
    </row>
    <row r="8536" spans="1:4" x14ac:dyDescent="0.35">
      <c r="A8536" s="5" t="str">
        <f t="shared" si="4386"/>
        <v>Agency</v>
      </c>
      <c r="B8536" s="6" t="str">
        <f t="shared" si="4407"/>
        <v>Income ratio from personal sales (Leader above UM) (num)</v>
      </c>
      <c r="C8536" s="4" t="str">
        <f>CHOOSE(2, "5462030031", "Jul 26")</f>
        <v>Jul 26</v>
      </c>
      <c r="D8536" s="14">
        <v>5580.2907999999998</v>
      </c>
    </row>
    <row r="8537" spans="1:4" x14ac:dyDescent="0.35">
      <c r="A8537" s="5" t="str">
        <f t="shared" si="4386"/>
        <v>Agency</v>
      </c>
      <c r="B8537" s="3" t="str">
        <f t="shared" ref="B8537:B8538" si="4408">CHOOSE(2, "1395000000656", "Income ratio from personal sales (Leader above UM) (den)")</f>
        <v>Income ratio from personal sales (Leader above UM) (den)</v>
      </c>
      <c r="C8537" s="4" t="str">
        <f>CHOOSE(2, "5461730030", "Jun 26")</f>
        <v>Jun 26</v>
      </c>
      <c r="D8537" s="14">
        <v>17325.400399999999</v>
      </c>
    </row>
    <row r="8538" spans="1:4" x14ac:dyDescent="0.35">
      <c r="A8538" s="5" t="str">
        <f t="shared" si="4386"/>
        <v>Agency</v>
      </c>
      <c r="B8538" s="6" t="str">
        <f t="shared" si="4408"/>
        <v>Income ratio from personal sales (Leader above UM) (den)</v>
      </c>
      <c r="C8538" s="4" t="str">
        <f>CHOOSE(2, "5462030031", "Jul 26")</f>
        <v>Jul 26</v>
      </c>
      <c r="D8538" s="14">
        <v>12337.634400000001</v>
      </c>
    </row>
    <row r="8539" spans="1:4" x14ac:dyDescent="0.35">
      <c r="A8539" s="5" t="str">
        <f t="shared" si="4386"/>
        <v>Agency</v>
      </c>
      <c r="B8539" s="3" t="str">
        <f t="shared" ref="B8539:B8540" si="4409">CHOOSE(2, "1395000000655", "Total agent earnings")</f>
        <v>Total agent earnings</v>
      </c>
      <c r="C8539" s="4" t="str">
        <f>CHOOSE(2, "5461730030", "Jun 26")</f>
        <v>Jun 26</v>
      </c>
      <c r="D8539" s="14">
        <v>63.0110348336</v>
      </c>
    </row>
    <row r="8540" spans="1:4" x14ac:dyDescent="0.35">
      <c r="A8540" s="5" t="str">
        <f t="shared" si="4386"/>
        <v>Agency</v>
      </c>
      <c r="B8540" s="6" t="str">
        <f t="shared" si="4409"/>
        <v>Total agent earnings</v>
      </c>
      <c r="C8540" s="4" t="str">
        <f>CHOOSE(2, "5462030031", "Jul 26")</f>
        <v>Jul 26</v>
      </c>
      <c r="D8540" s="14">
        <v>30.474607945600003</v>
      </c>
    </row>
    <row r="8541" spans="1:4" x14ac:dyDescent="0.35">
      <c r="A8541" s="5" t="str">
        <f t="shared" si="4386"/>
        <v>Agency</v>
      </c>
      <c r="B8541" s="3" t="str">
        <f t="shared" ref="B8541:B8542" si="4410">CHOOSE(2, "1395000000654", "Total agent earnings in FA or equivalent")</f>
        <v>Total agent earnings in FA or equivalent</v>
      </c>
      <c r="C8541" s="4" t="str">
        <f>CHOOSE(2, "5461730030", "Jun 26")</f>
        <v>Jun 26</v>
      </c>
      <c r="D8541" s="14">
        <v>24.107391851199999</v>
      </c>
    </row>
    <row r="8542" spans="1:4" x14ac:dyDescent="0.35">
      <c r="A8542" s="5" t="str">
        <f t="shared" si="4386"/>
        <v>Agency</v>
      </c>
      <c r="B8542" s="6" t="str">
        <f t="shared" si="4410"/>
        <v>Total agent earnings in FA or equivalent</v>
      </c>
      <c r="C8542" s="4" t="str">
        <f>CHOOSE(2, "5462030031", "Jul 26")</f>
        <v>Jul 26</v>
      </c>
      <c r="D8542" s="14">
        <v>12.589582152000002</v>
      </c>
    </row>
    <row r="8543" spans="1:4" x14ac:dyDescent="0.35">
      <c r="A8543" s="5" t="str">
        <f t="shared" si="4386"/>
        <v>Agency</v>
      </c>
      <c r="B8543" s="3" t="str">
        <f t="shared" ref="B8543:B8544" si="4411">CHOOSE(2, "1395000000653", "Total agent earnings in UM")</f>
        <v>Total agent earnings in UM</v>
      </c>
      <c r="C8543" s="4" t="str">
        <f>CHOOSE(2, "5461730030", "Jun 26")</f>
        <v>Jun 26</v>
      </c>
      <c r="D8543" s="14">
        <v>30.656752392000001</v>
      </c>
    </row>
    <row r="8544" spans="1:4" x14ac:dyDescent="0.35">
      <c r="A8544" s="5" t="str">
        <f t="shared" si="4386"/>
        <v>Agency</v>
      </c>
      <c r="B8544" s="6" t="str">
        <f t="shared" si="4411"/>
        <v>Total agent earnings in UM</v>
      </c>
      <c r="C8544" s="4" t="str">
        <f>CHOOSE(2, "5462030031", "Jul 26")</f>
        <v>Jul 26</v>
      </c>
      <c r="D8544" s="14">
        <v>12.012311819200001</v>
      </c>
    </row>
    <row r="8545" spans="1:4" x14ac:dyDescent="0.35">
      <c r="A8545" s="5" t="str">
        <f t="shared" si="4386"/>
        <v>Agency</v>
      </c>
      <c r="B8545" s="3" t="str">
        <f t="shared" ref="B8545:B8546" si="4412">CHOOSE(2, "1395000000652", "Total agent earnings in Leaders above UM")</f>
        <v>Total agent earnings in Leaders above UM</v>
      </c>
      <c r="C8545" s="4" t="str">
        <f>CHOOSE(2, "5461730030", "Jun 26")</f>
        <v>Jun 26</v>
      </c>
      <c r="D8545" s="14">
        <v>8.2468905903999996</v>
      </c>
    </row>
    <row r="8546" spans="1:4" x14ac:dyDescent="0.35">
      <c r="A8546" s="5" t="str">
        <f t="shared" si="4386"/>
        <v>Agency</v>
      </c>
      <c r="B8546" s="6" t="str">
        <f t="shared" si="4412"/>
        <v>Total agent earnings in Leaders above UM</v>
      </c>
      <c r="C8546" s="4" t="str">
        <f>CHOOSE(2, "5462030031", "Jul 26")</f>
        <v>Jul 26</v>
      </c>
      <c r="D8546" s="14">
        <v>5.8727139744000008</v>
      </c>
    </row>
    <row r="8547" spans="1:4" x14ac:dyDescent="0.35">
      <c r="A8547" s="5" t="str">
        <f t="shared" si="4386"/>
        <v>Agency</v>
      </c>
      <c r="B8547" s="3" t="str">
        <f t="shared" ref="B8547:B8548" si="4413">CHOOSE(2, "1395000000651", "# of Newly Promoted UM")</f>
        <v># of Newly Promoted UM</v>
      </c>
      <c r="C8547" s="4" t="str">
        <f>CHOOSE(2, "5461730030", "Jun 26")</f>
        <v>Jun 26</v>
      </c>
      <c r="D8547" s="14">
        <v>3</v>
      </c>
    </row>
    <row r="8548" spans="1:4" x14ac:dyDescent="0.35">
      <c r="A8548" s="5" t="str">
        <f t="shared" si="4386"/>
        <v>Agency</v>
      </c>
      <c r="B8548" s="6" t="str">
        <f t="shared" si="4413"/>
        <v># of Newly Promoted UM</v>
      </c>
      <c r="C8548" s="4" t="str">
        <f>CHOOSE(2, "5462030031", "Jul 26")</f>
        <v>Jul 26</v>
      </c>
      <c r="D8548" s="14">
        <v>3</v>
      </c>
    </row>
    <row r="8549" spans="1:4" x14ac:dyDescent="0.35">
      <c r="A8549" s="5" t="str">
        <f t="shared" si="4386"/>
        <v>Agency</v>
      </c>
      <c r="B8549" s="3" t="str">
        <f t="shared" ref="B8549:B8550" si="4414">CHOOSE(2, "1395000000650", "# of Newly Promoted Leaders above UM")</f>
        <v># of Newly Promoted Leaders above UM</v>
      </c>
      <c r="C8549" s="4" t="str">
        <f>CHOOSE(2, "5461730030", "Jun 26")</f>
        <v>Jun 26</v>
      </c>
      <c r="D8549" s="14">
        <v>1</v>
      </c>
    </row>
    <row r="8550" spans="1:4" x14ac:dyDescent="0.35">
      <c r="A8550" s="5" t="str">
        <f t="shared" si="4386"/>
        <v>Agency</v>
      </c>
      <c r="B8550" s="6" t="str">
        <f t="shared" si="4414"/>
        <v># of Newly Promoted Leaders above UM</v>
      </c>
      <c r="C8550" s="4" t="str">
        <f>CHOOSE(2, "5462030031", "Jul 26")</f>
        <v>Jul 26</v>
      </c>
      <c r="D8550" s="14">
        <v>0</v>
      </c>
    </row>
    <row r="8551" spans="1:4" x14ac:dyDescent="0.35">
      <c r="A8551" s="5" t="str">
        <f t="shared" si="4386"/>
        <v>Agency</v>
      </c>
      <c r="B8551" s="3" t="str">
        <f t="shared" ref="B8551:B8552" si="4415">CHOOSE(2, "1395000000649", "# of Total Leader Promotions")</f>
        <v># of Total Leader Promotions</v>
      </c>
      <c r="C8551" s="4" t="str">
        <f>CHOOSE(2, "5461730030", "Jun 26")</f>
        <v>Jun 26</v>
      </c>
      <c r="D8551" s="14">
        <v>4</v>
      </c>
    </row>
    <row r="8552" spans="1:4" x14ac:dyDescent="0.35">
      <c r="A8552" s="5" t="str">
        <f t="shared" si="4386"/>
        <v>Agency</v>
      </c>
      <c r="B8552" s="6" t="str">
        <f t="shared" si="4415"/>
        <v># of Total Leader Promotions</v>
      </c>
      <c r="C8552" s="4" t="str">
        <f>CHOOSE(2, "5462030031", "Jul 26")</f>
        <v>Jul 26</v>
      </c>
      <c r="D8552" s="14">
        <v>3</v>
      </c>
    </row>
    <row r="8553" spans="1:4" x14ac:dyDescent="0.35">
      <c r="A8553" s="5" t="str">
        <f t="shared" si="4386"/>
        <v>Agency</v>
      </c>
      <c r="B8553" s="3" t="str">
        <f t="shared" ref="B8553:B8554" si="4416">CHOOSE(2, "1395000000648", "# of Newly Demoted UM")</f>
        <v># of Newly Demoted UM</v>
      </c>
      <c r="C8553" s="4" t="str">
        <f>CHOOSE(2, "5461730030", "Jun 26")</f>
        <v>Jun 26</v>
      </c>
      <c r="D8553" s="14">
        <v>7</v>
      </c>
    </row>
    <row r="8554" spans="1:4" x14ac:dyDescent="0.35">
      <c r="A8554" s="5" t="str">
        <f t="shared" si="4386"/>
        <v>Agency</v>
      </c>
      <c r="B8554" s="6" t="str">
        <f t="shared" si="4416"/>
        <v># of Newly Demoted UM</v>
      </c>
      <c r="C8554" s="4" t="str">
        <f>CHOOSE(2, "5462030031", "Jul 26")</f>
        <v>Jul 26</v>
      </c>
      <c r="D8554" s="14">
        <v>1</v>
      </c>
    </row>
    <row r="8555" spans="1:4" x14ac:dyDescent="0.35">
      <c r="A8555" s="5" t="str">
        <f t="shared" si="4386"/>
        <v>Agency</v>
      </c>
      <c r="B8555" s="3" t="str">
        <f t="shared" ref="B8555:B8556" si="4417">CHOOSE(2, "1395000000647", "# of Newly Demoted Leaders above UM")</f>
        <v># of Newly Demoted Leaders above UM</v>
      </c>
      <c r="C8555" s="4" t="str">
        <f>CHOOSE(2, "5461730030", "Jun 26")</f>
        <v>Jun 26</v>
      </c>
      <c r="D8555" s="14">
        <v>2</v>
      </c>
    </row>
    <row r="8556" spans="1:4" x14ac:dyDescent="0.35">
      <c r="A8556" s="5" t="str">
        <f t="shared" si="4386"/>
        <v>Agency</v>
      </c>
      <c r="B8556" s="6" t="str">
        <f t="shared" si="4417"/>
        <v># of Newly Demoted Leaders above UM</v>
      </c>
      <c r="C8556" s="4" t="str">
        <f>CHOOSE(2, "5462030031", "Jul 26")</f>
        <v>Jul 26</v>
      </c>
      <c r="D8556" s="14">
        <v>0</v>
      </c>
    </row>
    <row r="8557" spans="1:4" x14ac:dyDescent="0.35">
      <c r="A8557" s="5" t="str">
        <f t="shared" si="4386"/>
        <v>Agency</v>
      </c>
      <c r="B8557" s="3" t="str">
        <f t="shared" ref="B8557:B8558" si="4418">CHOOSE(2, "1395000000646", "# of Total Leader Demotions")</f>
        <v># of Total Leader Demotions</v>
      </c>
      <c r="C8557" s="4" t="str">
        <f>CHOOSE(2, "5461730030", "Jun 26")</f>
        <v>Jun 26</v>
      </c>
      <c r="D8557" s="14">
        <v>9</v>
      </c>
    </row>
    <row r="8558" spans="1:4" x14ac:dyDescent="0.35">
      <c r="A8558" s="5" t="str">
        <f t="shared" si="4386"/>
        <v>Agency</v>
      </c>
      <c r="B8558" s="6" t="str">
        <f t="shared" si="4418"/>
        <v># of Total Leader Demotions</v>
      </c>
      <c r="C8558" s="4" t="str">
        <f>CHOOSE(2, "5462030031", "Jul 26")</f>
        <v>Jul 26</v>
      </c>
      <c r="D8558" s="14">
        <v>1</v>
      </c>
    </row>
    <row r="8559" spans="1:4" x14ac:dyDescent="0.35">
      <c r="A8559" s="5" t="str">
        <f t="shared" ref="A8559:A8622" si="4419">CHOOSE(2, "1260000000013", "Agency")</f>
        <v>Agency</v>
      </c>
      <c r="B8559" s="3" t="str">
        <f t="shared" ref="B8559:B8560" si="4420">CHOOSE(2, "1395000000645", "# of agents meeting MOC")</f>
        <v># of agents meeting MOC</v>
      </c>
      <c r="C8559" s="4" t="str">
        <f>CHOOSE(2, "5461730030", "Jun 26")</f>
        <v>Jun 26</v>
      </c>
      <c r="D8559" s="14">
        <v>6</v>
      </c>
    </row>
    <row r="8560" spans="1:4" x14ac:dyDescent="0.35">
      <c r="A8560" s="5" t="str">
        <f t="shared" si="4419"/>
        <v>Agency</v>
      </c>
      <c r="B8560" s="6" t="str">
        <f t="shared" si="4420"/>
        <v># of agents meeting MOC</v>
      </c>
      <c r="C8560" s="4" t="str">
        <f>CHOOSE(2, "5462030031", "Jul 26")</f>
        <v>Jul 26</v>
      </c>
      <c r="D8560" s="14">
        <v>5</v>
      </c>
    </row>
    <row r="8561" spans="1:4" x14ac:dyDescent="0.35">
      <c r="A8561" s="5" t="str">
        <f t="shared" si="4419"/>
        <v>Agency</v>
      </c>
      <c r="B8561" s="3" t="str">
        <f t="shared" ref="B8561:B8562" si="4421">CHOOSE(2, "1395000000644", "# of agents meeting MOC in FA or equivalent")</f>
        <v># of agents meeting MOC in FA or equivalent</v>
      </c>
      <c r="C8561" s="4" t="str">
        <f>CHOOSE(2, "5461730030", "Jun 26")</f>
        <v>Jun 26</v>
      </c>
      <c r="D8561" s="14">
        <v>0</v>
      </c>
    </row>
    <row r="8562" spans="1:4" x14ac:dyDescent="0.35">
      <c r="A8562" s="5" t="str">
        <f t="shared" si="4419"/>
        <v>Agency</v>
      </c>
      <c r="B8562" s="6" t="str">
        <f t="shared" si="4421"/>
        <v># of agents meeting MOC in FA or equivalent</v>
      </c>
      <c r="C8562" s="4" t="str">
        <f>CHOOSE(2, "5462030031", "Jul 26")</f>
        <v>Jul 26</v>
      </c>
      <c r="D8562" s="14">
        <v>0</v>
      </c>
    </row>
    <row r="8563" spans="1:4" x14ac:dyDescent="0.35">
      <c r="A8563" s="5" t="str">
        <f t="shared" si="4419"/>
        <v>Agency</v>
      </c>
      <c r="B8563" s="3" t="str">
        <f t="shared" ref="B8563:B8564" si="4422">CHOOSE(2, "1395000000643", "# of agents meeting MOC in UM")</f>
        <v># of agents meeting MOC in UM</v>
      </c>
      <c r="C8563" s="4" t="str">
        <f>CHOOSE(2, "5461730030", "Jun 26")</f>
        <v>Jun 26</v>
      </c>
      <c r="D8563" s="14">
        <v>4</v>
      </c>
    </row>
    <row r="8564" spans="1:4" x14ac:dyDescent="0.35">
      <c r="A8564" s="5" t="str">
        <f t="shared" si="4419"/>
        <v>Agency</v>
      </c>
      <c r="B8564" s="6" t="str">
        <f t="shared" si="4422"/>
        <v># of agents meeting MOC in UM</v>
      </c>
      <c r="C8564" s="4" t="str">
        <f>CHOOSE(2, "5462030031", "Jul 26")</f>
        <v>Jul 26</v>
      </c>
      <c r="D8564" s="14">
        <v>2</v>
      </c>
    </row>
    <row r="8565" spans="1:4" x14ac:dyDescent="0.35">
      <c r="A8565" s="5" t="str">
        <f t="shared" si="4419"/>
        <v>Agency</v>
      </c>
      <c r="B8565" s="3" t="str">
        <f t="shared" ref="B8565:B8566" si="4423">CHOOSE(2, "1395000000642", "# of agents meeting MOC in Leaders above UM")</f>
        <v># of agents meeting MOC in Leaders above UM</v>
      </c>
      <c r="C8565" s="4" t="str">
        <f>CHOOSE(2, "5461730030", "Jun 26")</f>
        <v>Jun 26</v>
      </c>
      <c r="D8565" s="14">
        <v>2</v>
      </c>
    </row>
    <row r="8566" spans="1:4" x14ac:dyDescent="0.35">
      <c r="A8566" s="5" t="str">
        <f t="shared" si="4419"/>
        <v>Agency</v>
      </c>
      <c r="B8566" s="6" t="str">
        <f t="shared" si="4423"/>
        <v># of agents meeting MOC in Leaders above UM</v>
      </c>
      <c r="C8566" s="4" t="str">
        <f>CHOOSE(2, "5462030031", "Jul 26")</f>
        <v>Jul 26</v>
      </c>
      <c r="D8566" s="14">
        <v>3</v>
      </c>
    </row>
    <row r="8567" spans="1:4" x14ac:dyDescent="0.35">
      <c r="A8567" s="5" t="str">
        <f t="shared" si="4419"/>
        <v>Agency</v>
      </c>
      <c r="B8567" s="3" t="str">
        <f t="shared" ref="B8567:B8568" si="4424">CHOOSE(2, "1395000000641", "New Leaders 3M Activation Rate (by cohort)")</f>
        <v>New Leaders 3M Activation Rate (by cohort)</v>
      </c>
      <c r="C8567" s="4" t="str">
        <f>CHOOSE(2, "5461730030", "Jun 26")</f>
        <v>Jun 26</v>
      </c>
      <c r="D8567" s="14">
        <v>0</v>
      </c>
    </row>
    <row r="8568" spans="1:4" x14ac:dyDescent="0.35">
      <c r="A8568" s="5" t="str">
        <f t="shared" si="4419"/>
        <v>Agency</v>
      </c>
      <c r="B8568" s="6" t="str">
        <f t="shared" si="4424"/>
        <v>New Leaders 3M Activation Rate (by cohort)</v>
      </c>
      <c r="C8568" s="4" t="str">
        <f>CHOOSE(2, "5462030031", "Jul 26")</f>
        <v>Jul 26</v>
      </c>
      <c r="D8568" s="14">
        <v>1</v>
      </c>
    </row>
    <row r="8569" spans="1:4" x14ac:dyDescent="0.35">
      <c r="A8569" s="5" t="str">
        <f t="shared" si="4419"/>
        <v>Agency</v>
      </c>
      <c r="B8569" s="3" t="str">
        <f t="shared" ref="B8569:B8570" si="4425">CHOOSE(2, "1395000000640", "New Leaders 3M Activation Rate (by cohort) (numerator)")</f>
        <v>New Leaders 3M Activation Rate (by cohort) (numerator)</v>
      </c>
      <c r="C8569" s="4" t="str">
        <f>CHOOSE(2, "5461730030", "Jun 26")</f>
        <v>Jun 26</v>
      </c>
      <c r="D8569" s="14">
        <v>0</v>
      </c>
    </row>
    <row r="8570" spans="1:4" x14ac:dyDescent="0.35">
      <c r="A8570" s="5" t="str">
        <f t="shared" si="4419"/>
        <v>Agency</v>
      </c>
      <c r="B8570" s="6" t="str">
        <f t="shared" si="4425"/>
        <v>New Leaders 3M Activation Rate (by cohort) (numerator)</v>
      </c>
      <c r="C8570" s="4" t="str">
        <f>CHOOSE(2, "5462030031", "Jul 26")</f>
        <v>Jul 26</v>
      </c>
      <c r="D8570" s="14">
        <v>1</v>
      </c>
    </row>
    <row r="8571" spans="1:4" x14ac:dyDescent="0.35">
      <c r="A8571" s="5" t="str">
        <f t="shared" si="4419"/>
        <v>Agency</v>
      </c>
      <c r="B8571" s="3" t="str">
        <f t="shared" ref="B8571:B8572" si="4426">CHOOSE(2, "1395000000639", "New Leaders 3M Activation Rate (by cohort) (denominator)")</f>
        <v>New Leaders 3M Activation Rate (by cohort) (denominator)</v>
      </c>
      <c r="C8571" s="4" t="str">
        <f>CHOOSE(2, "5461730030", "Jun 26")</f>
        <v>Jun 26</v>
      </c>
      <c r="D8571" s="14">
        <v>1</v>
      </c>
    </row>
    <row r="8572" spans="1:4" x14ac:dyDescent="0.35">
      <c r="A8572" s="5" t="str">
        <f t="shared" si="4419"/>
        <v>Agency</v>
      </c>
      <c r="B8572" s="6" t="str">
        <f t="shared" si="4426"/>
        <v>New Leaders 3M Activation Rate (by cohort) (denominator)</v>
      </c>
      <c r="C8572" s="4" t="str">
        <f>CHOOSE(2, "5462030031", "Jul 26")</f>
        <v>Jul 26</v>
      </c>
      <c r="D8572" s="14">
        <v>1</v>
      </c>
    </row>
    <row r="8573" spans="1:4" x14ac:dyDescent="0.35">
      <c r="A8573" s="5" t="str">
        <f t="shared" si="4419"/>
        <v>Agency</v>
      </c>
      <c r="B8573" s="3" t="str">
        <f t="shared" ref="B8573:B8574" si="4427">CHOOSE(2, "1395000000638", "# of pro-rated MDRT agents (100%)")</f>
        <v># of pro-rated MDRT agents (100%)</v>
      </c>
      <c r="C8573" s="4" t="str">
        <f>CHOOSE(2, "5461730030", "Jun 26")</f>
        <v>Jun 26</v>
      </c>
      <c r="D8573" s="14">
        <v>10</v>
      </c>
    </row>
    <row r="8574" spans="1:4" x14ac:dyDescent="0.35">
      <c r="A8574" s="5" t="str">
        <f t="shared" si="4419"/>
        <v>Agency</v>
      </c>
      <c r="B8574" s="6" t="str">
        <f t="shared" si="4427"/>
        <v># of pro-rated MDRT agents (100%)</v>
      </c>
      <c r="C8574" s="4" t="str">
        <f>CHOOSE(2, "5462030031", "Jul 26")</f>
        <v>Jul 26</v>
      </c>
      <c r="D8574" s="14">
        <v>16</v>
      </c>
    </row>
    <row r="8575" spans="1:4" x14ac:dyDescent="0.35">
      <c r="A8575" s="5" t="str">
        <f t="shared" si="4419"/>
        <v>Agency</v>
      </c>
      <c r="B8575" s="3" t="str">
        <f t="shared" ref="B8575:B8576" si="4428">CHOOSE(2, "1395000000637", "# of pro-rated MDRT agents (90%-99%)")</f>
        <v># of pro-rated MDRT agents (90%-99%)</v>
      </c>
      <c r="C8575" s="4" t="str">
        <f>CHOOSE(2, "5461730030", "Jun 26")</f>
        <v>Jun 26</v>
      </c>
      <c r="D8575" s="2" t="s">
        <v>5</v>
      </c>
    </row>
    <row r="8576" spans="1:4" x14ac:dyDescent="0.35">
      <c r="A8576" s="5" t="str">
        <f t="shared" si="4419"/>
        <v>Agency</v>
      </c>
      <c r="B8576" s="6" t="str">
        <f t="shared" si="4428"/>
        <v># of pro-rated MDRT agents (90%-99%)</v>
      </c>
      <c r="C8576" s="4" t="str">
        <f>CHOOSE(2, "5462030031", "Jul 26")</f>
        <v>Jul 26</v>
      </c>
      <c r="D8576" s="2" t="s">
        <v>5</v>
      </c>
    </row>
    <row r="8577" spans="1:4" x14ac:dyDescent="0.35">
      <c r="A8577" s="5" t="str">
        <f t="shared" si="4419"/>
        <v>Agency</v>
      </c>
      <c r="B8577" s="3" t="str">
        <f t="shared" ref="B8577:B8578" si="4429">CHOOSE(2, "1395000000636", "# of pro-rated MDRT agents (70%-90%)")</f>
        <v># of pro-rated MDRT agents (70%-90%)</v>
      </c>
      <c r="C8577" s="4" t="str">
        <f>CHOOSE(2, "5461730030", "Jun 26")</f>
        <v>Jun 26</v>
      </c>
      <c r="D8577" s="2" t="s">
        <v>5</v>
      </c>
    </row>
    <row r="8578" spans="1:4" x14ac:dyDescent="0.35">
      <c r="A8578" s="5" t="str">
        <f t="shared" si="4419"/>
        <v>Agency</v>
      </c>
      <c r="B8578" s="6" t="str">
        <f t="shared" si="4429"/>
        <v># of pro-rated MDRT agents (70%-90%)</v>
      </c>
      <c r="C8578" s="4" t="str">
        <f>CHOOSE(2, "5462030031", "Jul 26")</f>
        <v>Jul 26</v>
      </c>
      <c r="D8578" s="2" t="s">
        <v>5</v>
      </c>
    </row>
    <row r="8579" spans="1:4" x14ac:dyDescent="0.35">
      <c r="A8579" s="5" t="str">
        <f t="shared" si="4419"/>
        <v>Agency</v>
      </c>
      <c r="B8579" s="3" t="str">
        <f t="shared" ref="B8579:B8580" si="4430">CHOOSE(2, "1395000000635", "# of pro-rated MDRT agents (&lt;70%)")</f>
        <v># of pro-rated MDRT agents (&lt;70%)</v>
      </c>
      <c r="C8579" s="4" t="str">
        <f>CHOOSE(2, "5461730030", "Jun 26")</f>
        <v>Jun 26</v>
      </c>
      <c r="D8579" s="2" t="s">
        <v>5</v>
      </c>
    </row>
    <row r="8580" spans="1:4" x14ac:dyDescent="0.35">
      <c r="A8580" s="5" t="str">
        <f t="shared" si="4419"/>
        <v>Agency</v>
      </c>
      <c r="B8580" s="6" t="str">
        <f t="shared" si="4430"/>
        <v># of pro-rated MDRT agents (&lt;70%)</v>
      </c>
      <c r="C8580" s="4" t="str">
        <f>CHOOSE(2, "5462030031", "Jul 26")</f>
        <v>Jul 26</v>
      </c>
      <c r="D8580" s="2" t="s">
        <v>5</v>
      </c>
    </row>
    <row r="8581" spans="1:4" x14ac:dyDescent="0.35">
      <c r="A8581" s="5" t="str">
        <f t="shared" si="4419"/>
        <v>Agency</v>
      </c>
      <c r="B8581" s="3" t="str">
        <f t="shared" ref="B8581:B8582" si="4431">CHOOSE(2, "1395000000634", "# of pro-rated MDRT agents (50%-70%)")</f>
        <v># of pro-rated MDRT agents (50%-70%)</v>
      </c>
      <c r="C8581" s="4" t="str">
        <f>CHOOSE(2, "5461730030", "Jun 26")</f>
        <v>Jun 26</v>
      </c>
      <c r="D8581" s="2" t="s">
        <v>5</v>
      </c>
    </row>
    <row r="8582" spans="1:4" x14ac:dyDescent="0.35">
      <c r="A8582" s="5" t="str">
        <f t="shared" si="4419"/>
        <v>Agency</v>
      </c>
      <c r="B8582" s="6" t="str">
        <f t="shared" si="4431"/>
        <v># of pro-rated MDRT agents (50%-70%)</v>
      </c>
      <c r="C8582" s="4" t="str">
        <f>CHOOSE(2, "5462030031", "Jul 26")</f>
        <v>Jul 26</v>
      </c>
      <c r="D8582" s="2" t="s">
        <v>5</v>
      </c>
    </row>
    <row r="8583" spans="1:4" x14ac:dyDescent="0.35">
      <c r="A8583" s="5" t="str">
        <f t="shared" si="4419"/>
        <v>Agency</v>
      </c>
      <c r="B8583" s="3" t="str">
        <f t="shared" ref="B8583:B8584" si="4432">CHOOSE(2, "1395000000633", "# of pro-rated MDRT agents (&lt;50%)")</f>
        <v># of pro-rated MDRT agents (&lt;50%)</v>
      </c>
      <c r="C8583" s="4" t="str">
        <f>CHOOSE(2, "5461730030", "Jun 26")</f>
        <v>Jun 26</v>
      </c>
      <c r="D8583" s="2" t="s">
        <v>5</v>
      </c>
    </row>
    <row r="8584" spans="1:4" x14ac:dyDescent="0.35">
      <c r="A8584" s="5" t="str">
        <f t="shared" si="4419"/>
        <v>Agency</v>
      </c>
      <c r="B8584" s="6" t="str">
        <f t="shared" si="4432"/>
        <v># of pro-rated MDRT agents (&lt;50%)</v>
      </c>
      <c r="C8584" s="4" t="str">
        <f>CHOOSE(2, "5462030031", "Jul 26")</f>
        <v>Jul 26</v>
      </c>
      <c r="D8584" s="2" t="s">
        <v>5</v>
      </c>
    </row>
    <row r="8585" spans="1:4" x14ac:dyDescent="0.35">
      <c r="A8585" s="5" t="str">
        <f t="shared" si="4419"/>
        <v>Agency</v>
      </c>
      <c r="B8585" s="3" t="str">
        <f t="shared" ref="B8585:B8586" si="4433">CHOOSE(2, "1395000000632", "# of pro-rated MDRT agents (70-99%)")</f>
        <v># of pro-rated MDRT agents (70-99%)</v>
      </c>
      <c r="C8585" s="4" t="str">
        <f>CHOOSE(2, "5461730030", "Jun 26")</f>
        <v>Jun 26</v>
      </c>
      <c r="D8585" s="14">
        <v>12</v>
      </c>
    </row>
    <row r="8586" spans="1:4" x14ac:dyDescent="0.35">
      <c r="A8586" s="5" t="str">
        <f t="shared" si="4419"/>
        <v>Agency</v>
      </c>
      <c r="B8586" s="6" t="str">
        <f t="shared" si="4433"/>
        <v># of pro-rated MDRT agents (70-99%)</v>
      </c>
      <c r="C8586" s="4" t="str">
        <f>CHOOSE(2, "5462030031", "Jul 26")</f>
        <v>Jul 26</v>
      </c>
      <c r="D8586" s="14">
        <v>13</v>
      </c>
    </row>
    <row r="8587" spans="1:4" x14ac:dyDescent="0.35">
      <c r="A8587" s="5" t="str">
        <f t="shared" si="4419"/>
        <v>Agency</v>
      </c>
      <c r="B8587" s="3" t="str">
        <f t="shared" ref="B8587:B8588" si="4434">CHOOSE(2, "1395000000631", "# of pro-rated MDRT agents (50-69%)")</f>
        <v># of pro-rated MDRT agents (50-69%)</v>
      </c>
      <c r="C8587" s="4" t="str">
        <f>CHOOSE(2, "5461730030", "Jun 26")</f>
        <v>Jun 26</v>
      </c>
      <c r="D8587" s="14">
        <v>10</v>
      </c>
    </row>
    <row r="8588" spans="1:4" x14ac:dyDescent="0.35">
      <c r="A8588" s="5" t="str">
        <f t="shared" si="4419"/>
        <v>Agency</v>
      </c>
      <c r="B8588" s="6" t="str">
        <f t="shared" si="4434"/>
        <v># of pro-rated MDRT agents (50-69%)</v>
      </c>
      <c r="C8588" s="4" t="str">
        <f>CHOOSE(2, "5462030031", "Jul 26")</f>
        <v>Jul 26</v>
      </c>
      <c r="D8588" s="14">
        <v>9</v>
      </c>
    </row>
    <row r="8589" spans="1:4" x14ac:dyDescent="0.35">
      <c r="A8589" s="5" t="str">
        <f t="shared" si="4419"/>
        <v>Agency</v>
      </c>
      <c r="B8589" s="3" t="str">
        <f t="shared" ref="B8589:B8590" si="4435">CHOOSE(2, "1395000000630", "# of Top-tier agents")</f>
        <v># of Top-tier agents</v>
      </c>
      <c r="C8589" s="4" t="str">
        <f>CHOOSE(2, "5461730030", "Jun 26")</f>
        <v>Jun 26</v>
      </c>
      <c r="D8589" s="14">
        <v>32</v>
      </c>
    </row>
    <row r="8590" spans="1:4" x14ac:dyDescent="0.35">
      <c r="A8590" s="5" t="str">
        <f t="shared" si="4419"/>
        <v>Agency</v>
      </c>
      <c r="B8590" s="6" t="str">
        <f t="shared" si="4435"/>
        <v># of Top-tier agents</v>
      </c>
      <c r="C8590" s="4" t="str">
        <f>CHOOSE(2, "5462030031", "Jul 26")</f>
        <v>Jul 26</v>
      </c>
      <c r="D8590" s="14">
        <v>38</v>
      </c>
    </row>
    <row r="8591" spans="1:4" x14ac:dyDescent="0.35">
      <c r="A8591" s="5" t="str">
        <f t="shared" si="4419"/>
        <v>Agency</v>
      </c>
      <c r="B8591" s="3" t="str">
        <f t="shared" ref="B8591:B8592" si="4436">CHOOSE(2, "1395000000629", "$ APE from pro-rated MDRT agents (100%)")</f>
        <v>$ APE from pro-rated MDRT agents (100%)</v>
      </c>
      <c r="C8591" s="4" t="str">
        <f>CHOOSE(2, "5461730030", "Jun 26")</f>
        <v>Jun 26</v>
      </c>
      <c r="D8591" s="14">
        <v>142325.98000000001</v>
      </c>
    </row>
    <row r="8592" spans="1:4" x14ac:dyDescent="0.35">
      <c r="A8592" s="5" t="str">
        <f t="shared" si="4419"/>
        <v>Agency</v>
      </c>
      <c r="B8592" s="6" t="str">
        <f t="shared" si="4436"/>
        <v>$ APE from pro-rated MDRT agents (100%)</v>
      </c>
      <c r="C8592" s="4" t="str">
        <f>CHOOSE(2, "5462030031", "Jul 26")</f>
        <v>Jul 26</v>
      </c>
      <c r="D8592" s="14">
        <v>92101.8</v>
      </c>
    </row>
    <row r="8593" spans="1:4" x14ac:dyDescent="0.35">
      <c r="A8593" s="5" t="str">
        <f t="shared" si="4419"/>
        <v>Agency</v>
      </c>
      <c r="B8593" s="3" t="str">
        <f t="shared" ref="B8593:B8594" si="4437">CHOOSE(2, "1395000000628", "$ APE from pro-rated MDRT agents (70-99%)")</f>
        <v>$ APE from pro-rated MDRT agents (70-99%)</v>
      </c>
      <c r="C8593" s="4" t="str">
        <f>CHOOSE(2, "5461730030", "Jun 26")</f>
        <v>Jun 26</v>
      </c>
      <c r="D8593" s="14">
        <v>63360.35</v>
      </c>
    </row>
    <row r="8594" spans="1:4" x14ac:dyDescent="0.35">
      <c r="A8594" s="5" t="str">
        <f t="shared" si="4419"/>
        <v>Agency</v>
      </c>
      <c r="B8594" s="6" t="str">
        <f t="shared" si="4437"/>
        <v>$ APE from pro-rated MDRT agents (70-99%)</v>
      </c>
      <c r="C8594" s="4" t="str">
        <f>CHOOSE(2, "5462030031", "Jul 26")</f>
        <v>Jul 26</v>
      </c>
      <c r="D8594" s="14">
        <v>18870.62</v>
      </c>
    </row>
    <row r="8595" spans="1:4" x14ac:dyDescent="0.35">
      <c r="A8595" s="5" t="str">
        <f t="shared" si="4419"/>
        <v>Agency</v>
      </c>
      <c r="B8595" s="3" t="str">
        <f t="shared" ref="B8595:B8596" si="4438">CHOOSE(2, "1395000000627", "$ APE from pro-rated MDRT agents (50-69%)")</f>
        <v>$ APE from pro-rated MDRT agents (50-69%)</v>
      </c>
      <c r="C8595" s="4" t="str">
        <f>CHOOSE(2, "5461730030", "Jun 26")</f>
        <v>Jun 26</v>
      </c>
      <c r="D8595" s="14">
        <v>30033.81</v>
      </c>
    </row>
    <row r="8596" spans="1:4" x14ac:dyDescent="0.35">
      <c r="A8596" s="5" t="str">
        <f t="shared" si="4419"/>
        <v>Agency</v>
      </c>
      <c r="B8596" s="6" t="str">
        <f t="shared" si="4438"/>
        <v>$ APE from pro-rated MDRT agents (50-69%)</v>
      </c>
      <c r="C8596" s="4" t="str">
        <f>CHOOSE(2, "5462030031", "Jul 26")</f>
        <v>Jul 26</v>
      </c>
      <c r="D8596" s="14">
        <v>18134.96</v>
      </c>
    </row>
    <row r="8597" spans="1:4" x14ac:dyDescent="0.35">
      <c r="A8597" s="5" t="str">
        <f t="shared" si="4419"/>
        <v>Agency</v>
      </c>
      <c r="B8597" s="3" t="str">
        <f t="shared" ref="B8597:B8598" si="4439">CHOOSE(2, "1395000000626", "$ APE from Top-tier agents")</f>
        <v>$ APE from Top-tier agents</v>
      </c>
      <c r="C8597" s="4" t="str">
        <f>CHOOSE(2, "5461730030", "Jun 26")</f>
        <v>Jun 26</v>
      </c>
      <c r="D8597" s="14">
        <v>235720.13</v>
      </c>
    </row>
    <row r="8598" spans="1:4" x14ac:dyDescent="0.35">
      <c r="A8598" s="5" t="str">
        <f t="shared" si="4419"/>
        <v>Agency</v>
      </c>
      <c r="B8598" s="6" t="str">
        <f t="shared" si="4439"/>
        <v>$ APE from Top-tier agents</v>
      </c>
      <c r="C8598" s="4" t="str">
        <f>CHOOSE(2, "5462030031", "Jul 26")</f>
        <v>Jul 26</v>
      </c>
      <c r="D8598" s="14">
        <v>129107.37</v>
      </c>
    </row>
    <row r="8599" spans="1:4" x14ac:dyDescent="0.35">
      <c r="A8599" s="5" t="str">
        <f t="shared" si="4419"/>
        <v>Agency</v>
      </c>
      <c r="B8599" s="3" t="str">
        <f t="shared" ref="B8599:B8600" si="4440">CHOOSE(2, "1395000000625", "# of MDRT qualifiers - YTD")</f>
        <v># of MDRT qualifiers - YTD</v>
      </c>
      <c r="C8599" s="4" t="str">
        <f>CHOOSE(2, "5461730030", "Jun 26")</f>
        <v>Jun 26</v>
      </c>
      <c r="D8599" s="14">
        <v>4</v>
      </c>
    </row>
    <row r="8600" spans="1:4" x14ac:dyDescent="0.35">
      <c r="A8600" s="5" t="str">
        <f t="shared" si="4419"/>
        <v>Agency</v>
      </c>
      <c r="B8600" s="6" t="str">
        <f t="shared" si="4440"/>
        <v># of MDRT qualifiers - YTD</v>
      </c>
      <c r="C8600" s="4" t="str">
        <f>CHOOSE(2, "5462030031", "Jul 26")</f>
        <v>Jul 26</v>
      </c>
      <c r="D8600" s="14">
        <v>6</v>
      </c>
    </row>
    <row r="8601" spans="1:4" x14ac:dyDescent="0.35">
      <c r="A8601" s="5" t="str">
        <f t="shared" si="4419"/>
        <v>Agency</v>
      </c>
      <c r="B8601" s="3" t="str">
        <f t="shared" ref="B8601:B8602" si="4441">CHOOSE(2, "1395000000624", "# of MDRT COT qualifiers - YTD")</f>
        <v># of MDRT COT qualifiers - YTD</v>
      </c>
      <c r="C8601" s="4" t="str">
        <f>CHOOSE(2, "5461730030", "Jun 26")</f>
        <v>Jun 26</v>
      </c>
      <c r="D8601" s="14">
        <v>0</v>
      </c>
    </row>
    <row r="8602" spans="1:4" x14ac:dyDescent="0.35">
      <c r="A8602" s="5" t="str">
        <f t="shared" si="4419"/>
        <v>Agency</v>
      </c>
      <c r="B8602" s="6" t="str">
        <f t="shared" si="4441"/>
        <v># of MDRT COT qualifiers - YTD</v>
      </c>
      <c r="C8602" s="4" t="str">
        <f>CHOOSE(2, "5462030031", "Jul 26")</f>
        <v>Jul 26</v>
      </c>
      <c r="D8602" s="14">
        <v>0</v>
      </c>
    </row>
    <row r="8603" spans="1:4" x14ac:dyDescent="0.35">
      <c r="A8603" s="5" t="str">
        <f t="shared" si="4419"/>
        <v>Agency</v>
      </c>
      <c r="B8603" s="3" t="str">
        <f t="shared" ref="B8603:B8604" si="4442">CHOOSE(2, "1395000000623", "# of MDRT TOT qualifiers - YTD")</f>
        <v># of MDRT TOT qualifiers - YTD</v>
      </c>
      <c r="C8603" s="4" t="str">
        <f>CHOOSE(2, "5461730030", "Jun 26")</f>
        <v>Jun 26</v>
      </c>
      <c r="D8603" s="14">
        <v>0</v>
      </c>
    </row>
    <row r="8604" spans="1:4" x14ac:dyDescent="0.35">
      <c r="A8604" s="5" t="str">
        <f t="shared" si="4419"/>
        <v>Agency</v>
      </c>
      <c r="B8604" s="6" t="str">
        <f t="shared" si="4442"/>
        <v># of MDRT TOT qualifiers - YTD</v>
      </c>
      <c r="C8604" s="4" t="str">
        <f>CHOOSE(2, "5462030031", "Jul 26")</f>
        <v>Jul 26</v>
      </c>
      <c r="D8604" s="14">
        <v>0</v>
      </c>
    </row>
    <row r="8605" spans="1:4" x14ac:dyDescent="0.35">
      <c r="A8605" s="5" t="str">
        <f t="shared" si="4419"/>
        <v>Agency</v>
      </c>
      <c r="B8605" s="3" t="str">
        <f t="shared" ref="B8605:B8606" si="4443">CHOOSE(2, "1395000000622", "Manulife Pro Qualifiers - Total")</f>
        <v>Manulife Pro Qualifiers - Total</v>
      </c>
      <c r="C8605" s="4" t="str">
        <f>CHOOSE(2, "5461730030", "Jun 26")</f>
        <v>Jun 26</v>
      </c>
      <c r="D8605" s="2" t="s">
        <v>5</v>
      </c>
    </row>
    <row r="8606" spans="1:4" x14ac:dyDescent="0.35">
      <c r="A8606" s="5" t="str">
        <f t="shared" si="4419"/>
        <v>Agency</v>
      </c>
      <c r="B8606" s="6" t="str">
        <f t="shared" si="4443"/>
        <v>Manulife Pro Qualifiers - Total</v>
      </c>
      <c r="C8606" s="4" t="str">
        <f>CHOOSE(2, "5462030031", "Jul 26")</f>
        <v>Jul 26</v>
      </c>
      <c r="D8606" s="2" t="s">
        <v>5</v>
      </c>
    </row>
    <row r="8607" spans="1:4" x14ac:dyDescent="0.35">
      <c r="A8607" s="5" t="str">
        <f t="shared" si="4419"/>
        <v>Agency</v>
      </c>
      <c r="B8607" s="3" t="str">
        <f t="shared" ref="B8607:B8608" si="4444">CHOOSE(2, "1395000000621", "Manulife Pro Qualifiers - Silver")</f>
        <v>Manulife Pro Qualifiers - Silver</v>
      </c>
      <c r="C8607" s="4" t="str">
        <f>CHOOSE(2, "5461730030", "Jun 26")</f>
        <v>Jun 26</v>
      </c>
      <c r="D8607" s="2" t="s">
        <v>5</v>
      </c>
    </row>
    <row r="8608" spans="1:4" x14ac:dyDescent="0.35">
      <c r="A8608" s="5" t="str">
        <f t="shared" si="4419"/>
        <v>Agency</v>
      </c>
      <c r="B8608" s="6" t="str">
        <f t="shared" si="4444"/>
        <v>Manulife Pro Qualifiers - Silver</v>
      </c>
      <c r="C8608" s="4" t="str">
        <f>CHOOSE(2, "5462030031", "Jul 26")</f>
        <v>Jul 26</v>
      </c>
      <c r="D8608" s="2" t="s">
        <v>5</v>
      </c>
    </row>
    <row r="8609" spans="1:4" x14ac:dyDescent="0.35">
      <c r="A8609" s="5" t="str">
        <f t="shared" si="4419"/>
        <v>Agency</v>
      </c>
      <c r="B8609" s="3" t="str">
        <f t="shared" ref="B8609:B8610" si="4445">CHOOSE(2, "1395000000620", "Manulife Pro Qualifiers - Gold")</f>
        <v>Manulife Pro Qualifiers - Gold</v>
      </c>
      <c r="C8609" s="4" t="str">
        <f>CHOOSE(2, "5461730030", "Jun 26")</f>
        <v>Jun 26</v>
      </c>
      <c r="D8609" s="2" t="s">
        <v>5</v>
      </c>
    </row>
    <row r="8610" spans="1:4" x14ac:dyDescent="0.35">
      <c r="A8610" s="5" t="str">
        <f t="shared" si="4419"/>
        <v>Agency</v>
      </c>
      <c r="B8610" s="6" t="str">
        <f t="shared" si="4445"/>
        <v>Manulife Pro Qualifiers - Gold</v>
      </c>
      <c r="C8610" s="4" t="str">
        <f>CHOOSE(2, "5462030031", "Jul 26")</f>
        <v>Jul 26</v>
      </c>
      <c r="D8610" s="2" t="s">
        <v>5</v>
      </c>
    </row>
    <row r="8611" spans="1:4" x14ac:dyDescent="0.35">
      <c r="A8611" s="5" t="str">
        <f t="shared" si="4419"/>
        <v>Agency</v>
      </c>
      <c r="B8611" s="3" t="str">
        <f t="shared" ref="B8611:B8612" si="4446">CHOOSE(2, "1395000000619", "Manulife Pro Qualifiers  - Platinum")</f>
        <v>Manulife Pro Qualifiers  - Platinum</v>
      </c>
      <c r="C8611" s="4" t="str">
        <f>CHOOSE(2, "5461730030", "Jun 26")</f>
        <v>Jun 26</v>
      </c>
      <c r="D8611" s="2" t="s">
        <v>5</v>
      </c>
    </row>
    <row r="8612" spans="1:4" x14ac:dyDescent="0.35">
      <c r="A8612" s="5" t="str">
        <f t="shared" si="4419"/>
        <v>Agency</v>
      </c>
      <c r="B8612" s="6" t="str">
        <f t="shared" si="4446"/>
        <v>Manulife Pro Qualifiers  - Platinum</v>
      </c>
      <c r="C8612" s="4" t="str">
        <f>CHOOSE(2, "5462030031", "Jul 26")</f>
        <v>Jul 26</v>
      </c>
      <c r="D8612" s="2" t="s">
        <v>5</v>
      </c>
    </row>
    <row r="8613" spans="1:4" x14ac:dyDescent="0.35">
      <c r="A8613" s="5" t="str">
        <f t="shared" si="4419"/>
        <v>Agency</v>
      </c>
      <c r="B8613" s="3" t="str">
        <f t="shared" ref="B8613:B8614" si="4447">CHOOSE(2, "1395000000618", "$ APE from Manulife Pro - Total")</f>
        <v>$ APE from Manulife Pro - Total</v>
      </c>
      <c r="C8613" s="4" t="str">
        <f>CHOOSE(2, "5461730030", "Jun 26")</f>
        <v>Jun 26</v>
      </c>
      <c r="D8613" s="2" t="s">
        <v>5</v>
      </c>
    </row>
    <row r="8614" spans="1:4" x14ac:dyDescent="0.35">
      <c r="A8614" s="5" t="str">
        <f t="shared" si="4419"/>
        <v>Agency</v>
      </c>
      <c r="B8614" s="6" t="str">
        <f t="shared" si="4447"/>
        <v>$ APE from Manulife Pro - Total</v>
      </c>
      <c r="C8614" s="4" t="str">
        <f>CHOOSE(2, "5462030031", "Jul 26")</f>
        <v>Jul 26</v>
      </c>
      <c r="D8614" s="2" t="s">
        <v>5</v>
      </c>
    </row>
    <row r="8615" spans="1:4" x14ac:dyDescent="0.35">
      <c r="A8615" s="5" t="str">
        <f t="shared" si="4419"/>
        <v>Agency</v>
      </c>
      <c r="B8615" s="3" t="str">
        <f t="shared" ref="B8615:B8616" si="4448">CHOOSE(2, "1395000000617", "$ APE from Manulife Pro - Silver")</f>
        <v>$ APE from Manulife Pro - Silver</v>
      </c>
      <c r="C8615" s="4" t="str">
        <f>CHOOSE(2, "5461730030", "Jun 26")</f>
        <v>Jun 26</v>
      </c>
      <c r="D8615" s="2" t="s">
        <v>5</v>
      </c>
    </row>
    <row r="8616" spans="1:4" x14ac:dyDescent="0.35">
      <c r="A8616" s="5" t="str">
        <f t="shared" si="4419"/>
        <v>Agency</v>
      </c>
      <c r="B8616" s="6" t="str">
        <f t="shared" si="4448"/>
        <v>$ APE from Manulife Pro - Silver</v>
      </c>
      <c r="C8616" s="4" t="str">
        <f>CHOOSE(2, "5462030031", "Jul 26")</f>
        <v>Jul 26</v>
      </c>
      <c r="D8616" s="2" t="s">
        <v>5</v>
      </c>
    </row>
    <row r="8617" spans="1:4" x14ac:dyDescent="0.35">
      <c r="A8617" s="5" t="str">
        <f t="shared" si="4419"/>
        <v>Agency</v>
      </c>
      <c r="B8617" s="3" t="str">
        <f t="shared" ref="B8617:B8618" si="4449">CHOOSE(2, "1395000000616", "$ APE from Manulife Pro - Gold")</f>
        <v>$ APE from Manulife Pro - Gold</v>
      </c>
      <c r="C8617" s="4" t="str">
        <f>CHOOSE(2, "5461730030", "Jun 26")</f>
        <v>Jun 26</v>
      </c>
      <c r="D8617" s="2" t="s">
        <v>5</v>
      </c>
    </row>
    <row r="8618" spans="1:4" x14ac:dyDescent="0.35">
      <c r="A8618" s="5" t="str">
        <f t="shared" si="4419"/>
        <v>Agency</v>
      </c>
      <c r="B8618" s="6" t="str">
        <f t="shared" si="4449"/>
        <v>$ APE from Manulife Pro - Gold</v>
      </c>
      <c r="C8618" s="4" t="str">
        <f>CHOOSE(2, "5462030031", "Jul 26")</f>
        <v>Jul 26</v>
      </c>
      <c r="D8618" s="2" t="s">
        <v>5</v>
      </c>
    </row>
    <row r="8619" spans="1:4" x14ac:dyDescent="0.35">
      <c r="A8619" s="5" t="str">
        <f t="shared" si="4419"/>
        <v>Agency</v>
      </c>
      <c r="B8619" s="3" t="str">
        <f t="shared" ref="B8619:B8620" si="4450">CHOOSE(2, "1395000000615", "$ APE from Manulife Pro  - Platinum")</f>
        <v>$ APE from Manulife Pro  - Platinum</v>
      </c>
      <c r="C8619" s="4" t="str">
        <f>CHOOSE(2, "5461730030", "Jun 26")</f>
        <v>Jun 26</v>
      </c>
      <c r="D8619" s="2" t="s">
        <v>5</v>
      </c>
    </row>
    <row r="8620" spans="1:4" x14ac:dyDescent="0.35">
      <c r="A8620" s="5" t="str">
        <f t="shared" si="4419"/>
        <v>Agency</v>
      </c>
      <c r="B8620" s="6" t="str">
        <f t="shared" si="4450"/>
        <v>$ APE from Manulife Pro  - Platinum</v>
      </c>
      <c r="C8620" s="4" t="str">
        <f>CHOOSE(2, "5462030031", "Jul 26")</f>
        <v>Jul 26</v>
      </c>
      <c r="D8620" s="2" t="s">
        <v>5</v>
      </c>
    </row>
    <row r="8621" spans="1:4" x14ac:dyDescent="0.35">
      <c r="A8621" s="5" t="str">
        <f t="shared" si="4419"/>
        <v>Agency</v>
      </c>
      <c r="B8621" s="3" t="str">
        <f t="shared" ref="B8621:B8622" si="4451">CHOOSE(2, "1395000000614", "Issued APE")</f>
        <v>Issued APE</v>
      </c>
      <c r="C8621" s="4" t="str">
        <f>CHOOSE(2, "5461730030", "Jun 26")</f>
        <v>Jun 26</v>
      </c>
      <c r="D8621" s="14">
        <v>329158.01268000004</v>
      </c>
    </row>
    <row r="8622" spans="1:4" x14ac:dyDescent="0.35">
      <c r="A8622" s="5" t="str">
        <f t="shared" si="4419"/>
        <v>Agency</v>
      </c>
      <c r="B8622" s="6" t="str">
        <f t="shared" si="4451"/>
        <v>Issued APE</v>
      </c>
      <c r="C8622" s="4" t="str">
        <f>CHOOSE(2, "5462030031", "Jul 26")</f>
        <v>Jul 26</v>
      </c>
      <c r="D8622" s="14">
        <v>209406.85612000001</v>
      </c>
    </row>
    <row r="8623" spans="1:4" x14ac:dyDescent="0.35">
      <c r="A8623" s="5" t="str">
        <f t="shared" ref="A8623:A8686" si="4452">CHOOSE(2, "1260000000013", "Agency")</f>
        <v>Agency</v>
      </c>
      <c r="B8623" s="3" t="str">
        <f t="shared" ref="B8623:B8624" si="4453">CHOOSE(2, "1395000000613", "Post-MI APE")</f>
        <v>Post-MI APE</v>
      </c>
      <c r="C8623" s="4" t="str">
        <f>CHOOSE(2, "5461730030", "Jun 26")</f>
        <v>Jun 26</v>
      </c>
      <c r="D8623" s="14">
        <v>329158.01268000004</v>
      </c>
    </row>
    <row r="8624" spans="1:4" x14ac:dyDescent="0.35">
      <c r="A8624" s="5" t="str">
        <f t="shared" si="4452"/>
        <v>Agency</v>
      </c>
      <c r="B8624" s="6" t="str">
        <f t="shared" si="4453"/>
        <v>Post-MI APE</v>
      </c>
      <c r="C8624" s="4" t="str">
        <f>CHOOSE(2, "5462030031", "Jul 26")</f>
        <v>Jul 26</v>
      </c>
      <c r="D8624" s="14">
        <v>209406.85612000001</v>
      </c>
    </row>
    <row r="8625" spans="1:4" x14ac:dyDescent="0.35">
      <c r="A8625" s="5" t="str">
        <f t="shared" si="4452"/>
        <v>Agency</v>
      </c>
      <c r="B8625" s="3" t="str">
        <f t="shared" ref="B8625:B8626" si="4454">CHOOSE(2, "1395000000610", "Pre-gap NBV")</f>
        <v>Pre-gap NBV</v>
      </c>
      <c r="C8625" s="4" t="str">
        <f>CHOOSE(2, "5461730030", "Jun 26")</f>
        <v>Jun 26</v>
      </c>
      <c r="D8625" s="14">
        <v>102564.36587488001</v>
      </c>
    </row>
    <row r="8626" spans="1:4" x14ac:dyDescent="0.35">
      <c r="A8626" s="5" t="str">
        <f t="shared" si="4452"/>
        <v>Agency</v>
      </c>
      <c r="B8626" s="6" t="str">
        <f t="shared" si="4454"/>
        <v>Pre-gap NBV</v>
      </c>
      <c r="C8626" s="4" t="str">
        <f>CHOOSE(2, "5462030031", "Jul 26")</f>
        <v>Jul 26</v>
      </c>
      <c r="D8626" s="14">
        <v>57860.665677080004</v>
      </c>
    </row>
    <row r="8627" spans="1:4" x14ac:dyDescent="0.35">
      <c r="A8627" s="5" t="str">
        <f t="shared" si="4452"/>
        <v>Agency</v>
      </c>
      <c r="B8627" s="3" t="str">
        <f t="shared" ref="B8627:B8628" si="4455">CHOOSE(2, "1395000000609", "Pre-gap NBV Margin %")</f>
        <v>Pre-gap NBV Margin %</v>
      </c>
      <c r="C8627" s="4" t="str">
        <f>CHOOSE(2, "5461730030", "Jun 26")</f>
        <v>Jun 26</v>
      </c>
      <c r="D8627" s="14">
        <v>0.31159613900874639</v>
      </c>
    </row>
    <row r="8628" spans="1:4" x14ac:dyDescent="0.35">
      <c r="A8628" s="5" t="str">
        <f t="shared" si="4452"/>
        <v>Agency</v>
      </c>
      <c r="B8628" s="6" t="str">
        <f t="shared" si="4455"/>
        <v>Pre-gap NBV Margin %</v>
      </c>
      <c r="C8628" s="4" t="str">
        <f>CHOOSE(2, "5462030031", "Jul 26")</f>
        <v>Jul 26</v>
      </c>
      <c r="D8628" s="14">
        <v>0.2763074082155319</v>
      </c>
    </row>
    <row r="8629" spans="1:4" x14ac:dyDescent="0.35">
      <c r="A8629" s="5" t="str">
        <f t="shared" si="4452"/>
        <v>Agency</v>
      </c>
      <c r="B8629" s="3" t="str">
        <f t="shared" ref="B8629:B8630" si="4456">CHOOSE(2, "1395000000608", "Post-gap NBV")</f>
        <v>Post-gap NBV</v>
      </c>
      <c r="C8629" s="4" t="str">
        <f>CHOOSE(2, "5461730030", "Jun 26")</f>
        <v>Jun 26</v>
      </c>
      <c r="D8629" s="14">
        <v>102564.36587488001</v>
      </c>
    </row>
    <row r="8630" spans="1:4" x14ac:dyDescent="0.35">
      <c r="A8630" s="5" t="str">
        <f t="shared" si="4452"/>
        <v>Agency</v>
      </c>
      <c r="B8630" s="6" t="str">
        <f t="shared" si="4456"/>
        <v>Post-gap NBV</v>
      </c>
      <c r="C8630" s="4" t="str">
        <f>CHOOSE(2, "5462030031", "Jul 26")</f>
        <v>Jul 26</v>
      </c>
      <c r="D8630" s="14">
        <v>57860.665677080004</v>
      </c>
    </row>
    <row r="8631" spans="1:4" x14ac:dyDescent="0.35">
      <c r="A8631" s="5" t="str">
        <f t="shared" si="4452"/>
        <v>Agency</v>
      </c>
      <c r="B8631" s="3" t="str">
        <f t="shared" ref="B8631:B8632" si="4457">CHOOSE(2, "1395000000607", "Post-gap NBV Margin %")</f>
        <v>Post-gap NBV Margin %</v>
      </c>
      <c r="C8631" s="4" t="str">
        <f>CHOOSE(2, "5461730030", "Jun 26")</f>
        <v>Jun 26</v>
      </c>
      <c r="D8631" s="14">
        <v>0.31159613900874639</v>
      </c>
    </row>
    <row r="8632" spans="1:4" x14ac:dyDescent="0.35">
      <c r="A8632" s="5" t="str">
        <f t="shared" si="4452"/>
        <v>Agency</v>
      </c>
      <c r="B8632" s="6" t="str">
        <f t="shared" si="4457"/>
        <v>Post-gap NBV Margin %</v>
      </c>
      <c r="C8632" s="4" t="str">
        <f>CHOOSE(2, "5462030031", "Jul 26")</f>
        <v>Jul 26</v>
      </c>
      <c r="D8632" s="14">
        <v>0.2763074082155319</v>
      </c>
    </row>
    <row r="8633" spans="1:4" x14ac:dyDescent="0.35">
      <c r="A8633" s="5" t="str">
        <f t="shared" si="4452"/>
        <v>Agency</v>
      </c>
      <c r="B8633" s="3" t="str">
        <f t="shared" ref="B8633:B8634" si="4458">CHOOSE(2, "1395000000606", "NB CSM")</f>
        <v>NB CSM</v>
      </c>
      <c r="C8633" s="4" t="str">
        <f>CHOOSE(2, "5461730030", "Jun 26")</f>
        <v>Jun 26</v>
      </c>
      <c r="D8633" s="14">
        <v>0</v>
      </c>
    </row>
    <row r="8634" spans="1:4" x14ac:dyDescent="0.35">
      <c r="A8634" s="5" t="str">
        <f t="shared" si="4452"/>
        <v>Agency</v>
      </c>
      <c r="B8634" s="6" t="str">
        <f t="shared" si="4458"/>
        <v>NB CSM</v>
      </c>
      <c r="C8634" s="4" t="str">
        <f>CHOOSE(2, "5462030031", "Jul 26")</f>
        <v>Jul 26</v>
      </c>
      <c r="D8634" s="14">
        <v>0</v>
      </c>
    </row>
    <row r="8635" spans="1:4" x14ac:dyDescent="0.35">
      <c r="A8635" s="5" t="str">
        <f t="shared" si="4452"/>
        <v>Agency</v>
      </c>
      <c r="B8635" s="3" t="str">
        <f t="shared" ref="B8635:B8636" si="4459">CHOOSE(2, "1395000000605", "NB CSM Margin %")</f>
        <v>NB CSM Margin %</v>
      </c>
      <c r="C8635" s="4" t="str">
        <f>CHOOSE(2, "5461730030", "Jun 26")</f>
        <v>Jun 26</v>
      </c>
      <c r="D8635" s="14">
        <v>0</v>
      </c>
    </row>
    <row r="8636" spans="1:4" x14ac:dyDescent="0.35">
      <c r="A8636" s="5" t="str">
        <f t="shared" si="4452"/>
        <v>Agency</v>
      </c>
      <c r="B8636" s="6" t="str">
        <f t="shared" si="4459"/>
        <v>NB CSM Margin %</v>
      </c>
      <c r="C8636" s="4" t="str">
        <f>CHOOSE(2, "5462030031", "Jul 26")</f>
        <v>Jul 26</v>
      </c>
      <c r="D8636" s="14">
        <v>0</v>
      </c>
    </row>
    <row r="8637" spans="1:4" x14ac:dyDescent="0.35">
      <c r="A8637" s="5" t="str">
        <f t="shared" si="4452"/>
        <v>Agency</v>
      </c>
      <c r="B8637" s="3" t="str">
        <f t="shared" ref="B8637:B8638" si="4460">CHOOSE(2, "1395000000604", "PRE")</f>
        <v>PRE</v>
      </c>
      <c r="C8637" s="4" t="str">
        <f>CHOOSE(2, "5461730030", "Jun 26")</f>
        <v>Jun 26</v>
      </c>
      <c r="D8637" s="14">
        <v>3585275.3623188413</v>
      </c>
    </row>
    <row r="8638" spans="1:4" x14ac:dyDescent="0.35">
      <c r="A8638" s="5" t="str">
        <f t="shared" si="4452"/>
        <v>Agency</v>
      </c>
      <c r="B8638" s="6" t="str">
        <f t="shared" si="4460"/>
        <v>PRE</v>
      </c>
      <c r="C8638" s="4" t="str">
        <f>CHOOSE(2, "5462030031", "Jul 26")</f>
        <v>Jul 26</v>
      </c>
      <c r="D8638" s="14">
        <v>2704527.5362318847</v>
      </c>
    </row>
    <row r="8639" spans="1:4" x14ac:dyDescent="0.35">
      <c r="A8639" s="5" t="str">
        <f t="shared" si="4452"/>
        <v>Agency</v>
      </c>
      <c r="B8639" s="3" t="str">
        <f t="shared" ref="B8639:B8640" si="4461">CHOOSE(2, "1395000000603", "ContEx")</f>
        <v>ContEx</v>
      </c>
      <c r="C8639" s="4" t="str">
        <f>CHOOSE(2, "5461730030", "Jun 26")</f>
        <v>Jun 26</v>
      </c>
      <c r="D8639" s="14">
        <v>0</v>
      </c>
    </row>
    <row r="8640" spans="1:4" x14ac:dyDescent="0.35">
      <c r="A8640" s="5" t="str">
        <f t="shared" si="4452"/>
        <v>Agency</v>
      </c>
      <c r="B8640" s="6" t="str">
        <f t="shared" si="4461"/>
        <v>ContEx</v>
      </c>
      <c r="C8640" s="4" t="str">
        <f>CHOOSE(2, "5462030031", "Jul 26")</f>
        <v>Jul 26</v>
      </c>
      <c r="D8640" s="14">
        <v>0</v>
      </c>
    </row>
    <row r="8641" spans="1:4" x14ac:dyDescent="0.35">
      <c r="A8641" s="5" t="str">
        <f t="shared" si="4452"/>
        <v>Agency</v>
      </c>
      <c r="B8641" s="3" t="str">
        <f t="shared" ref="B8641:B8642" si="4462">CHOOSE(2, "1395000000602", "% of 6-90 agents")</f>
        <v>% of 6-90 agents</v>
      </c>
      <c r="C8641" s="4" t="str">
        <f>CHOOSE(2, "5461730030", "Jun 26")</f>
        <v>Jun 26</v>
      </c>
      <c r="D8641" s="14">
        <v>0</v>
      </c>
    </row>
    <row r="8642" spans="1:4" x14ac:dyDescent="0.35">
      <c r="A8642" s="5" t="str">
        <f t="shared" si="4452"/>
        <v>Agency</v>
      </c>
      <c r="B8642" s="6" t="str">
        <f t="shared" si="4462"/>
        <v>% of 6-90 agents</v>
      </c>
      <c r="C8642" s="4" t="str">
        <f>CHOOSE(2, "5462030031", "Jul 26")</f>
        <v>Jul 26</v>
      </c>
      <c r="D8642" s="14">
        <v>0</v>
      </c>
    </row>
    <row r="8643" spans="1:4" x14ac:dyDescent="0.35">
      <c r="A8643" s="5" t="str">
        <f t="shared" si="4452"/>
        <v>Agency</v>
      </c>
      <c r="B8643" s="3" t="str">
        <f t="shared" ref="B8643:B8644" si="4463">CHOOSE(2, "1395000000601", "New Recruits 3M Activation Rate")</f>
        <v>New Recruits 3M Activation Rate</v>
      </c>
      <c r="C8643" s="4" t="str">
        <f>CHOOSE(2, "5461730030", "Jun 26")</f>
        <v>Jun 26</v>
      </c>
      <c r="D8643" s="14">
        <v>0.45161290322580644</v>
      </c>
    </row>
    <row r="8644" spans="1:4" x14ac:dyDescent="0.35">
      <c r="A8644" s="5" t="str">
        <f t="shared" si="4452"/>
        <v>Agency</v>
      </c>
      <c r="B8644" s="6" t="str">
        <f t="shared" si="4463"/>
        <v>New Recruits 3M Activation Rate</v>
      </c>
      <c r="C8644" s="4" t="str">
        <f>CHOOSE(2, "5462030031", "Jul 26")</f>
        <v>Jul 26</v>
      </c>
      <c r="D8644" s="14">
        <v>0.5</v>
      </c>
    </row>
    <row r="8645" spans="1:4" x14ac:dyDescent="0.35">
      <c r="A8645" s="5" t="str">
        <f t="shared" si="4452"/>
        <v>Agency</v>
      </c>
      <c r="B8645" s="3" t="str">
        <f t="shared" ref="B8645:B8646" si="4464">CHOOSE(2, "1395000000600", "No. of Recruits from leaders")</f>
        <v>No. of Recruits from leaders</v>
      </c>
      <c r="C8645" s="4" t="str">
        <f>CHOOSE(2, "5461730030", "Jun 26")</f>
        <v>Jun 26</v>
      </c>
      <c r="D8645" s="2" t="s">
        <v>5</v>
      </c>
    </row>
    <row r="8646" spans="1:4" x14ac:dyDescent="0.35">
      <c r="A8646" s="5" t="str">
        <f t="shared" si="4452"/>
        <v>Agency</v>
      </c>
      <c r="B8646" s="6" t="str">
        <f t="shared" si="4464"/>
        <v>No. of Recruits from leaders</v>
      </c>
      <c r="C8646" s="4" t="str">
        <f>CHOOSE(2, "5462030031", "Jul 26")</f>
        <v>Jul 26</v>
      </c>
      <c r="D8646" s="2" t="s">
        <v>5</v>
      </c>
    </row>
    <row r="8647" spans="1:4" x14ac:dyDescent="0.35">
      <c r="A8647" s="5" t="str">
        <f t="shared" si="4452"/>
        <v>Agency</v>
      </c>
      <c r="B8647" s="3" t="str">
        <f t="shared" ref="B8647:B8648" si="4465">CHOOSE(2, "1395000000599", "No. of Recruits per Active Recruiting Leader per month")</f>
        <v>No. of Recruits per Active Recruiting Leader per month</v>
      </c>
      <c r="C8647" s="4" t="str">
        <f>CHOOSE(2, "5461730030", "Jun 26")</f>
        <v>Jun 26</v>
      </c>
      <c r="D8647" s="14">
        <v>0</v>
      </c>
    </row>
    <row r="8648" spans="1:4" x14ac:dyDescent="0.35">
      <c r="A8648" s="5" t="str">
        <f t="shared" si="4452"/>
        <v>Agency</v>
      </c>
      <c r="B8648" s="6" t="str">
        <f t="shared" si="4465"/>
        <v>No. of Recruits per Active Recruiting Leader per month</v>
      </c>
      <c r="C8648" s="4" t="str">
        <f>CHOOSE(2, "5462030031", "Jul 26")</f>
        <v>Jul 26</v>
      </c>
      <c r="D8648" s="14">
        <v>0</v>
      </c>
    </row>
    <row r="8649" spans="1:4" x14ac:dyDescent="0.35">
      <c r="A8649" s="5" t="str">
        <f t="shared" si="4452"/>
        <v>Agency</v>
      </c>
      <c r="B8649" s="3" t="str">
        <f t="shared" ref="B8649:B8650" si="4466">CHOOSE(2, "1395000000598", "PRE as % of APE")</f>
        <v>PRE as % of APE</v>
      </c>
      <c r="C8649" s="4" t="str">
        <f>CHOOSE(2, "5461730030", "Jun 26")</f>
        <v>Jun 26</v>
      </c>
      <c r="D8649" s="14">
        <v>10.89226214828428</v>
      </c>
    </row>
    <row r="8650" spans="1:4" x14ac:dyDescent="0.35">
      <c r="A8650" s="5" t="str">
        <f t="shared" si="4452"/>
        <v>Agency</v>
      </c>
      <c r="B8650" s="6" t="str">
        <f t="shared" si="4466"/>
        <v>PRE as % of APE</v>
      </c>
      <c r="C8650" s="4" t="str">
        <f>CHOOSE(2, "5462030031", "Jul 26")</f>
        <v>Jul 26</v>
      </c>
      <c r="D8650" s="14">
        <v>12.91518141450948</v>
      </c>
    </row>
    <row r="8651" spans="1:4" x14ac:dyDescent="0.35">
      <c r="A8651" s="5" t="str">
        <f t="shared" si="4452"/>
        <v>Agency</v>
      </c>
      <c r="B8651" s="3" t="str">
        <f t="shared" ref="B8651:B8652" si="4467">CHOOSE(2, "1395000000597", "ContEx as % of APE")</f>
        <v>ContEx as % of APE</v>
      </c>
      <c r="C8651" s="4" t="str">
        <f>CHOOSE(2, "5461730030", "Jun 26")</f>
        <v>Jun 26</v>
      </c>
      <c r="D8651" s="14">
        <v>0</v>
      </c>
    </row>
    <row r="8652" spans="1:4" x14ac:dyDescent="0.35">
      <c r="A8652" s="5" t="str">
        <f t="shared" si="4452"/>
        <v>Agency</v>
      </c>
      <c r="B8652" s="6" t="str">
        <f t="shared" si="4467"/>
        <v>ContEx as % of APE</v>
      </c>
      <c r="C8652" s="4" t="str">
        <f>CHOOSE(2, "5462030031", "Jul 26")</f>
        <v>Jul 26</v>
      </c>
      <c r="D8652" s="14">
        <v>0</v>
      </c>
    </row>
    <row r="8653" spans="1:4" x14ac:dyDescent="0.35">
      <c r="A8653" s="5" t="str">
        <f t="shared" si="4452"/>
        <v>Agency</v>
      </c>
      <c r="B8653" s="3" t="str">
        <f t="shared" ref="B8653:B8654" si="4468">CHOOSE(2, "1395000000596", "% of 1-Month Active Agents")</f>
        <v>% of 1-Month Active Agents</v>
      </c>
      <c r="C8653" s="4" t="str">
        <f>CHOOSE(2, "5461730030", "Jun 26")</f>
        <v>Jun 26</v>
      </c>
      <c r="D8653" s="14">
        <v>8.3218390804597697E-2</v>
      </c>
    </row>
    <row r="8654" spans="1:4" x14ac:dyDescent="0.35">
      <c r="A8654" s="5" t="str">
        <f t="shared" si="4452"/>
        <v>Agency</v>
      </c>
      <c r="B8654" s="6" t="str">
        <f t="shared" si="4468"/>
        <v>% of 1-Month Active Agents</v>
      </c>
      <c r="C8654" s="4" t="str">
        <f>CHOOSE(2, "5462030031", "Jul 26")</f>
        <v>Jul 26</v>
      </c>
      <c r="D8654" s="14">
        <v>8.081285444234404E-2</v>
      </c>
    </row>
    <row r="8655" spans="1:4" x14ac:dyDescent="0.35">
      <c r="A8655" s="5" t="str">
        <f t="shared" si="4452"/>
        <v>Agency</v>
      </c>
      <c r="B8655" s="3" t="str">
        <f t="shared" ref="B8655:B8656" si="4469">CHOOSE(2, "1395000000595", "% of 3-Month Active Agents")</f>
        <v>% of 3-Month Active Agents</v>
      </c>
      <c r="C8655" s="4" t="str">
        <f>CHOOSE(2, "5461730030", "Jun 26")</f>
        <v>Jun 26</v>
      </c>
      <c r="D8655" s="14">
        <v>4.1666666666666664E-2</v>
      </c>
    </row>
    <row r="8656" spans="1:4" x14ac:dyDescent="0.35">
      <c r="A8656" s="5" t="str">
        <f t="shared" si="4452"/>
        <v>Agency</v>
      </c>
      <c r="B8656" s="6" t="str">
        <f t="shared" si="4469"/>
        <v>% of 3-Month Active Agents</v>
      </c>
      <c r="C8656" s="4" t="str">
        <f>CHOOSE(2, "5462030031", "Jul 26")</f>
        <v>Jul 26</v>
      </c>
      <c r="D8656" s="14">
        <v>4.7582024568496348E-2</v>
      </c>
    </row>
    <row r="8657" spans="1:4" x14ac:dyDescent="0.35">
      <c r="A8657" s="5" t="str">
        <f t="shared" si="4452"/>
        <v>Agency</v>
      </c>
      <c r="B8657" s="3" t="str">
        <f t="shared" ref="B8657:B8658" si="4470">CHOOSE(2, "1395000000594", "Active agents per active leader")</f>
        <v>Active agents per active leader</v>
      </c>
      <c r="C8657" s="4" t="str">
        <f>CHOOSE(2, "5461730030", "Jun 26")</f>
        <v>Jun 26</v>
      </c>
      <c r="D8657" s="14">
        <v>30.166666666666668</v>
      </c>
    </row>
    <row r="8658" spans="1:4" x14ac:dyDescent="0.35">
      <c r="A8658" s="5" t="str">
        <f t="shared" si="4452"/>
        <v>Agency</v>
      </c>
      <c r="B8658" s="6" t="str">
        <f t="shared" si="4470"/>
        <v>Active agents per active leader</v>
      </c>
      <c r="C8658" s="4" t="str">
        <f>CHOOSE(2, "5462030031", "Jul 26")</f>
        <v>Jul 26</v>
      </c>
      <c r="D8658" s="14">
        <v>6.1071428571428568</v>
      </c>
    </row>
    <row r="8659" spans="1:4" x14ac:dyDescent="0.35">
      <c r="A8659" s="5" t="str">
        <f t="shared" si="4452"/>
        <v>Agency</v>
      </c>
      <c r="B8659" s="3" t="str">
        <f t="shared" ref="B8659:B8660" si="4471">CHOOSE(2, "1395000000593", "Avg. Case count per 1-Month Active Agent")</f>
        <v>Avg. Case count per 1-Month Active Agent</v>
      </c>
      <c r="C8659" s="4" t="str">
        <f>CHOOSE(2, "5461730030", "Jun 26")</f>
        <v>Jun 26</v>
      </c>
      <c r="D8659" s="14">
        <v>1.6906077348066297</v>
      </c>
    </row>
    <row r="8660" spans="1:4" x14ac:dyDescent="0.35">
      <c r="A8660" s="5" t="str">
        <f t="shared" si="4452"/>
        <v>Agency</v>
      </c>
      <c r="B8660" s="6" t="str">
        <f t="shared" si="4471"/>
        <v>Avg. Case count per 1-Month Active Agent</v>
      </c>
      <c r="C8660" s="4" t="str">
        <f>CHOOSE(2, "5462030031", "Jul 26")</f>
        <v>Jul 26</v>
      </c>
      <c r="D8660" s="14">
        <v>1.4444444444444444</v>
      </c>
    </row>
    <row r="8661" spans="1:4" x14ac:dyDescent="0.35">
      <c r="A8661" s="5" t="str">
        <f t="shared" si="4452"/>
        <v>Agency</v>
      </c>
      <c r="B8661" s="3" t="str">
        <f t="shared" ref="B8661:B8662" si="4472">CHOOSE(2, "1395000000592", "Avg. Case size")</f>
        <v>Avg. Case size</v>
      </c>
      <c r="C8661" s="4" t="str">
        <f>CHOOSE(2, "5461730030", "Jun 26")</f>
        <v>Jun 26</v>
      </c>
      <c r="D8661" s="14">
        <v>1075.6797800000002</v>
      </c>
    </row>
    <row r="8662" spans="1:4" x14ac:dyDescent="0.35">
      <c r="A8662" s="5" t="str">
        <f t="shared" si="4452"/>
        <v>Agency</v>
      </c>
      <c r="B8662" s="6" t="str">
        <f t="shared" si="4472"/>
        <v>Avg. Case size</v>
      </c>
      <c r="C8662" s="4" t="str">
        <f>CHOOSE(2, "5462030031", "Jul 26")</f>
        <v>Jul 26</v>
      </c>
      <c r="D8662" s="14">
        <v>847.80103692307694</v>
      </c>
    </row>
    <row r="8663" spans="1:4" x14ac:dyDescent="0.35">
      <c r="A8663" s="5" t="str">
        <f t="shared" si="4452"/>
        <v>Agency</v>
      </c>
      <c r="B8663" s="3" t="str">
        <f t="shared" ref="B8663:B8664" si="4473">CHOOSE(2, "1395000000591", "APE per 1-Month Active Agent")</f>
        <v>APE per 1-Month Active Agent</v>
      </c>
      <c r="C8663" s="4" t="str">
        <f>CHOOSE(2, "5461730030", "Jun 26")</f>
        <v>Jun 26</v>
      </c>
      <c r="D8663" s="14">
        <v>1818.5525562430942</v>
      </c>
    </row>
    <row r="8664" spans="1:4" x14ac:dyDescent="0.35">
      <c r="A8664" s="5" t="str">
        <f t="shared" si="4452"/>
        <v>Agency</v>
      </c>
      <c r="B8664" s="6" t="str">
        <f t="shared" si="4473"/>
        <v>APE per 1-Month Active Agent</v>
      </c>
      <c r="C8664" s="4" t="str">
        <f>CHOOSE(2, "5462030031", "Jul 26")</f>
        <v>Jul 26</v>
      </c>
      <c r="D8664" s="14">
        <v>1224.6014977777779</v>
      </c>
    </row>
    <row r="8665" spans="1:4" x14ac:dyDescent="0.35">
      <c r="A8665" s="5" t="str">
        <f t="shared" si="4452"/>
        <v>Agency</v>
      </c>
      <c r="B8665" s="3" t="str">
        <f t="shared" ref="B8665:B8666" si="4474">CHOOSE(2, "1395000000590", "% Conversion of Proposals to cases")</f>
        <v>% Conversion of Proposals to cases</v>
      </c>
      <c r="C8665" s="4" t="str">
        <f>CHOOSE(2, "5461730030", "Jun 26")</f>
        <v>Jun 26</v>
      </c>
      <c r="D8665" s="14">
        <v>0.92727272727272725</v>
      </c>
    </row>
    <row r="8666" spans="1:4" x14ac:dyDescent="0.35">
      <c r="A8666" s="5" t="str">
        <f t="shared" si="4452"/>
        <v>Agency</v>
      </c>
      <c r="B8666" s="6" t="str">
        <f t="shared" si="4474"/>
        <v>% Conversion of Proposals to cases</v>
      </c>
      <c r="C8666" s="4" t="str">
        <f>CHOOSE(2, "5462030031", "Jul 26")</f>
        <v>Jul 26</v>
      </c>
      <c r="D8666" s="14">
        <v>0.88214285714285712</v>
      </c>
    </row>
    <row r="8667" spans="1:4" x14ac:dyDescent="0.35">
      <c r="A8667" s="5" t="str">
        <f t="shared" si="4452"/>
        <v>Agency</v>
      </c>
      <c r="B8667" s="3" t="str">
        <f t="shared" ref="B8667:B8668" si="4475">CHOOSE(2, "1395000000588", "% APE from Agents in X tenure")</f>
        <v>% APE from Agents in X tenure</v>
      </c>
      <c r="C8667" s="4" t="str">
        <f>CHOOSE(2, "5461730030", "Jun 26")</f>
        <v>Jun 26</v>
      </c>
      <c r="D8667" s="14">
        <v>1</v>
      </c>
    </row>
    <row r="8668" spans="1:4" x14ac:dyDescent="0.35">
      <c r="A8668" s="5" t="str">
        <f t="shared" si="4452"/>
        <v>Agency</v>
      </c>
      <c r="B8668" s="6" t="str">
        <f t="shared" si="4475"/>
        <v>% APE from Agents in X tenure</v>
      </c>
      <c r="C8668" s="4" t="str">
        <f>CHOOSE(2, "5462030031", "Jul 26")</f>
        <v>Jul 26</v>
      </c>
      <c r="D8668" s="14">
        <v>1</v>
      </c>
    </row>
    <row r="8669" spans="1:4" x14ac:dyDescent="0.35">
      <c r="A8669" s="5" t="str">
        <f t="shared" si="4452"/>
        <v>Agency</v>
      </c>
      <c r="B8669" s="3" t="str">
        <f t="shared" ref="B8669:B8670" si="4476">CHOOSE(2, "1395000000587", "% APE from Agents in X tenure in 0-1M")</f>
        <v>% APE from Agents in X tenure in 0-1M</v>
      </c>
      <c r="C8669" s="4" t="str">
        <f>CHOOSE(2, "5461730030", "Jun 26")</f>
        <v>Jun 26</v>
      </c>
      <c r="D8669" s="14">
        <v>9.9999999999999992E-2</v>
      </c>
    </row>
    <row r="8670" spans="1:4" x14ac:dyDescent="0.35">
      <c r="A8670" s="5" t="str">
        <f t="shared" si="4452"/>
        <v>Agency</v>
      </c>
      <c r="B8670" s="6" t="str">
        <f t="shared" si="4476"/>
        <v>% APE from Agents in X tenure in 0-1M</v>
      </c>
      <c r="C8670" s="4" t="str">
        <f>CHOOSE(2, "5462030031", "Jul 26")</f>
        <v>Jul 26</v>
      </c>
      <c r="D8670" s="14">
        <v>0.1</v>
      </c>
    </row>
    <row r="8671" spans="1:4" x14ac:dyDescent="0.35">
      <c r="A8671" s="5" t="str">
        <f t="shared" si="4452"/>
        <v>Agency</v>
      </c>
      <c r="B8671" s="3" t="str">
        <f t="shared" ref="B8671:B8672" si="4477">CHOOSE(2, "1395000000586", "% APE from Agents in X tenure in 2-3M")</f>
        <v>% APE from Agents in X tenure in 2-3M</v>
      </c>
      <c r="C8671" s="4" t="str">
        <f>CHOOSE(2, "5461730030", "Jun 26")</f>
        <v>Jun 26</v>
      </c>
      <c r="D8671" s="14">
        <v>0.19999999999999998</v>
      </c>
    </row>
    <row r="8672" spans="1:4" x14ac:dyDescent="0.35">
      <c r="A8672" s="5" t="str">
        <f t="shared" si="4452"/>
        <v>Agency</v>
      </c>
      <c r="B8672" s="6" t="str">
        <f t="shared" si="4477"/>
        <v>% APE from Agents in X tenure in 2-3M</v>
      </c>
      <c r="C8672" s="4" t="str">
        <f>CHOOSE(2, "5462030031", "Jul 26")</f>
        <v>Jul 26</v>
      </c>
      <c r="D8672" s="14">
        <v>0.2</v>
      </c>
    </row>
    <row r="8673" spans="1:4" x14ac:dyDescent="0.35">
      <c r="A8673" s="5" t="str">
        <f t="shared" si="4452"/>
        <v>Agency</v>
      </c>
      <c r="B8673" s="3" t="str">
        <f t="shared" ref="B8673:B8674" si="4478">CHOOSE(2, "1395000000585", "% APE from Agents in X tenure in 4-12M")</f>
        <v>% APE from Agents in X tenure in 4-12M</v>
      </c>
      <c r="C8673" s="4" t="str">
        <f>CHOOSE(2, "5461730030", "Jun 26")</f>
        <v>Jun 26</v>
      </c>
      <c r="D8673" s="14">
        <v>0.3</v>
      </c>
    </row>
    <row r="8674" spans="1:4" x14ac:dyDescent="0.35">
      <c r="A8674" s="5" t="str">
        <f t="shared" si="4452"/>
        <v>Agency</v>
      </c>
      <c r="B8674" s="6" t="str">
        <f t="shared" si="4478"/>
        <v>% APE from Agents in X tenure in 4-12M</v>
      </c>
      <c r="C8674" s="4" t="str">
        <f>CHOOSE(2, "5462030031", "Jul 26")</f>
        <v>Jul 26</v>
      </c>
      <c r="D8674" s="14">
        <v>0.3</v>
      </c>
    </row>
    <row r="8675" spans="1:4" x14ac:dyDescent="0.35">
      <c r="A8675" s="5" t="str">
        <f t="shared" si="4452"/>
        <v>Agency</v>
      </c>
      <c r="B8675" s="3" t="str">
        <f t="shared" ref="B8675:B8676" si="4479">CHOOSE(2, "1395000000584", "% APE from Agents in X tenure 13+M")</f>
        <v>% APE from Agents in X tenure 13+M</v>
      </c>
      <c r="C8675" s="4" t="str">
        <f>CHOOSE(2, "5461730030", "Jun 26")</f>
        <v>Jun 26</v>
      </c>
      <c r="D8675" s="14">
        <v>0.39999999999999997</v>
      </c>
    </row>
    <row r="8676" spans="1:4" x14ac:dyDescent="0.35">
      <c r="A8676" s="5" t="str">
        <f t="shared" si="4452"/>
        <v>Agency</v>
      </c>
      <c r="B8676" s="6" t="str">
        <f t="shared" si="4479"/>
        <v>% APE from Agents in X tenure 13+M</v>
      </c>
      <c r="C8676" s="4" t="str">
        <f>CHOOSE(2, "5462030031", "Jul 26")</f>
        <v>Jul 26</v>
      </c>
      <c r="D8676" s="14">
        <v>0.4</v>
      </c>
    </row>
    <row r="8677" spans="1:4" x14ac:dyDescent="0.35">
      <c r="A8677" s="5" t="str">
        <f t="shared" si="4452"/>
        <v>Agency</v>
      </c>
      <c r="B8677" s="3" t="str">
        <f t="shared" ref="B8677:B8678" si="4480">CHOOSE(2, "1395000000583", "% APE from pro-rated MDRT agents (100%)")</f>
        <v>% APE from pro-rated MDRT agents (100%)</v>
      </c>
      <c r="C8677" s="4" t="str">
        <f>CHOOSE(2, "5461730030", "Jun 26")</f>
        <v>Jun 26</v>
      </c>
      <c r="D8677" s="14">
        <v>0.43239409194746264</v>
      </c>
    </row>
    <row r="8678" spans="1:4" x14ac:dyDescent="0.35">
      <c r="A8678" s="5" t="str">
        <f t="shared" si="4452"/>
        <v>Agency</v>
      </c>
      <c r="B8678" s="6" t="str">
        <f t="shared" si="4480"/>
        <v>% APE from pro-rated MDRT agents (100%)</v>
      </c>
      <c r="C8678" s="4" t="str">
        <f>CHOOSE(2, "5462030031", "Jul 26")</f>
        <v>Jul 26</v>
      </c>
      <c r="D8678" s="14">
        <v>0.43982227567191651</v>
      </c>
    </row>
    <row r="8679" spans="1:4" x14ac:dyDescent="0.35">
      <c r="A8679" s="5" t="str">
        <f t="shared" si="4452"/>
        <v>Agency</v>
      </c>
      <c r="B8679" s="3" t="str">
        <f t="shared" ref="B8679:B8680" si="4481">CHOOSE(2, "1395000000582", "% APE from pro-rated MDRT agents (70-99%)")</f>
        <v>% APE from pro-rated MDRT agents (70-99%)</v>
      </c>
      <c r="C8679" s="4" t="str">
        <f>CHOOSE(2, "5461730030", "Jun 26")</f>
        <v>Jun 26</v>
      </c>
      <c r="D8679" s="14">
        <v>0.19249219997447697</v>
      </c>
    </row>
    <row r="8680" spans="1:4" x14ac:dyDescent="0.35">
      <c r="A8680" s="5" t="str">
        <f t="shared" si="4452"/>
        <v>Agency</v>
      </c>
      <c r="B8680" s="6" t="str">
        <f t="shared" si="4481"/>
        <v>% APE from pro-rated MDRT agents (70-99%)</v>
      </c>
      <c r="C8680" s="4" t="str">
        <f>CHOOSE(2, "5462030031", "Jul 26")</f>
        <v>Jul 26</v>
      </c>
      <c r="D8680" s="14">
        <v>9.0114623511592398E-2</v>
      </c>
    </row>
    <row r="8681" spans="1:4" x14ac:dyDescent="0.35">
      <c r="A8681" s="5" t="str">
        <f t="shared" si="4452"/>
        <v>Agency</v>
      </c>
      <c r="B8681" s="3" t="str">
        <f t="shared" ref="B8681:B8682" si="4482">CHOOSE(2, "1395000000581", "% APE from pro-rated MDRT agents (50-69%)")</f>
        <v>% APE from pro-rated MDRT agents (50-69%)</v>
      </c>
      <c r="C8681" s="4" t="str">
        <f>CHOOSE(2, "5461730030", "Jun 26")</f>
        <v>Jun 26</v>
      </c>
      <c r="D8681" s="14">
        <v>9.1244353298481573E-2</v>
      </c>
    </row>
    <row r="8682" spans="1:4" x14ac:dyDescent="0.35">
      <c r="A8682" s="5" t="str">
        <f t="shared" si="4452"/>
        <v>Agency</v>
      </c>
      <c r="B8682" s="6" t="str">
        <f t="shared" si="4482"/>
        <v>% APE from pro-rated MDRT agents (50-69%)</v>
      </c>
      <c r="C8682" s="4" t="str">
        <f>CHOOSE(2, "5462030031", "Jul 26")</f>
        <v>Jul 26</v>
      </c>
      <c r="D8682" s="14">
        <v>8.6601558019704053E-2</v>
      </c>
    </row>
    <row r="8683" spans="1:4" x14ac:dyDescent="0.35">
      <c r="A8683" s="5" t="str">
        <f t="shared" si="4452"/>
        <v>Agency</v>
      </c>
      <c r="B8683" s="3" t="str">
        <f t="shared" ref="B8683:B8684" si="4483">CHOOSE(2, "1395000000580", "% APE from Top-tier agents")</f>
        <v>% APE from Top-tier agents</v>
      </c>
      <c r="C8683" s="4" t="str">
        <f>CHOOSE(2, "5461730030", "Jun 26")</f>
        <v>Jun 26</v>
      </c>
      <c r="D8683" s="14">
        <v>0.71613061483987561</v>
      </c>
    </row>
    <row r="8684" spans="1:4" x14ac:dyDescent="0.35">
      <c r="A8684" s="5" t="str">
        <f t="shared" si="4452"/>
        <v>Agency</v>
      </c>
      <c r="B8684" s="6" t="str">
        <f t="shared" si="4483"/>
        <v>% APE from Top-tier agents</v>
      </c>
      <c r="C8684" s="4" t="str">
        <f>CHOOSE(2, "5462030031", "Jul 26")</f>
        <v>Jul 26</v>
      </c>
      <c r="D8684" s="14">
        <v>0.61653840944928462</v>
      </c>
    </row>
    <row r="8685" spans="1:4" x14ac:dyDescent="0.35">
      <c r="A8685" s="5" t="str">
        <f t="shared" si="4452"/>
        <v>Agency</v>
      </c>
      <c r="B8685" s="3" t="str">
        <f t="shared" ref="B8685:B8686" si="4484">CHOOSE(2, "1395000000579", "% of Active Recruiting Leaders")</f>
        <v>% of Active Recruiting Leaders</v>
      </c>
      <c r="C8685" s="4" t="str">
        <f>CHOOSE(2, "5461730030", "Jun 26")</f>
        <v>Jun 26</v>
      </c>
      <c r="D8685" s="14">
        <v>4.5454545454545456E-2</v>
      </c>
    </row>
    <row r="8686" spans="1:4" x14ac:dyDescent="0.35">
      <c r="A8686" s="5" t="str">
        <f t="shared" si="4452"/>
        <v>Agency</v>
      </c>
      <c r="B8686" s="6" t="str">
        <f t="shared" si="4484"/>
        <v>% of Active Recruiting Leaders</v>
      </c>
      <c r="C8686" s="4" t="str">
        <f>CHOOSE(2, "5462030031", "Jul 26")</f>
        <v>Jul 26</v>
      </c>
      <c r="D8686" s="14">
        <v>0.20289855072463769</v>
      </c>
    </row>
    <row r="8687" spans="1:4" x14ac:dyDescent="0.35">
      <c r="A8687" s="5" t="str">
        <f t="shared" ref="A8687:A8750" si="4485">CHOOSE(2, "1260000000013", "Agency")</f>
        <v>Agency</v>
      </c>
      <c r="B8687" s="3" t="str">
        <f t="shared" ref="B8687:B8688" si="4486">CHOOSE(2, "1395000000578", "% of leaders with &gt;1 YTD recruit")</f>
        <v>% of leaders with &gt;1 YTD recruit</v>
      </c>
      <c r="C8687" s="4" t="str">
        <f>CHOOSE(2, "5461730030", "Jun 26")</f>
        <v>Jun 26</v>
      </c>
      <c r="D8687" s="14">
        <v>0.51515151515151514</v>
      </c>
    </row>
    <row r="8688" spans="1:4" x14ac:dyDescent="0.35">
      <c r="A8688" s="5" t="str">
        <f t="shared" si="4485"/>
        <v>Agency</v>
      </c>
      <c r="B8688" s="6" t="str">
        <f t="shared" si="4486"/>
        <v>% of leaders with &gt;1 YTD recruit</v>
      </c>
      <c r="C8688" s="4" t="str">
        <f>CHOOSE(2, "5462030031", "Jul 26")</f>
        <v>Jul 26</v>
      </c>
      <c r="D8688" s="14">
        <v>0.58695652173913049</v>
      </c>
    </row>
    <row r="8689" spans="1:4" x14ac:dyDescent="0.35">
      <c r="A8689" s="5" t="str">
        <f t="shared" si="4485"/>
        <v>Agency</v>
      </c>
      <c r="B8689" s="3" t="str">
        <f t="shared" ref="B8689:B8690" si="4487">CHOOSE(2, "1395000000577", "% of 1-Month Active Top-tier agents")</f>
        <v>% of 1-Month Active Top-tier agents</v>
      </c>
      <c r="C8689" s="4" t="str">
        <f>CHOOSE(2, "5461730030", "Jun 26")</f>
        <v>Jun 26</v>
      </c>
      <c r="D8689" s="14">
        <v>0.84375</v>
      </c>
    </row>
    <row r="8690" spans="1:4" x14ac:dyDescent="0.35">
      <c r="A8690" s="5" t="str">
        <f t="shared" si="4485"/>
        <v>Agency</v>
      </c>
      <c r="B8690" s="6" t="str">
        <f t="shared" si="4487"/>
        <v>% of 1-Month Active Top-tier agents</v>
      </c>
      <c r="C8690" s="4" t="str">
        <f>CHOOSE(2, "5462030031", "Jul 26")</f>
        <v>Jul 26</v>
      </c>
      <c r="D8690" s="14">
        <v>0.71052631578947367</v>
      </c>
    </row>
    <row r="8691" spans="1:4" x14ac:dyDescent="0.35">
      <c r="A8691" s="5" t="str">
        <f t="shared" si="4485"/>
        <v>Agency</v>
      </c>
      <c r="B8691" s="3" t="str">
        <f t="shared" ref="B8691:B8692" si="4488">CHOOSE(2, "1395000000576", "% APE from Manulife Pro - Total")</f>
        <v>% APE from Manulife Pro - Total</v>
      </c>
      <c r="C8691" s="4" t="str">
        <f>CHOOSE(2, "5461730030", "Jun 26")</f>
        <v>Jun 26</v>
      </c>
      <c r="D8691" s="14">
        <v>0</v>
      </c>
    </row>
    <row r="8692" spans="1:4" x14ac:dyDescent="0.35">
      <c r="A8692" s="5" t="str">
        <f t="shared" si="4485"/>
        <v>Agency</v>
      </c>
      <c r="B8692" s="6" t="str">
        <f t="shared" si="4488"/>
        <v>% APE from Manulife Pro - Total</v>
      </c>
      <c r="C8692" s="4" t="str">
        <f>CHOOSE(2, "5462030031", "Jul 26")</f>
        <v>Jul 26</v>
      </c>
      <c r="D8692" s="14">
        <v>0</v>
      </c>
    </row>
    <row r="8693" spans="1:4" x14ac:dyDescent="0.35">
      <c r="A8693" s="5" t="str">
        <f t="shared" si="4485"/>
        <v>Agency</v>
      </c>
      <c r="B8693" s="3" t="str">
        <f t="shared" ref="B8693:B8694" si="4489">CHOOSE(2, "1395000000575", "% of 1-Month Active Agents Manulife Pro Qualifiers - Total")</f>
        <v>% of 1-Month Active Agents Manulife Pro Qualifiers - Total</v>
      </c>
      <c r="C8693" s="4" t="str">
        <f>CHOOSE(2, "5461730030", "Jun 26")</f>
        <v>Jun 26</v>
      </c>
      <c r="D8693" s="14">
        <v>0</v>
      </c>
    </row>
    <row r="8694" spans="1:4" x14ac:dyDescent="0.35">
      <c r="A8694" s="5" t="str">
        <f t="shared" si="4485"/>
        <v>Agency</v>
      </c>
      <c r="B8694" s="6" t="str">
        <f t="shared" si="4489"/>
        <v>% of 1-Month Active Agents Manulife Pro Qualifiers - Total</v>
      </c>
      <c r="C8694" s="4" t="str">
        <f>CHOOSE(2, "5462030031", "Jul 26")</f>
        <v>Jul 26</v>
      </c>
      <c r="D8694" s="14">
        <v>0</v>
      </c>
    </row>
    <row r="8695" spans="1:4" x14ac:dyDescent="0.35">
      <c r="A8695" s="5" t="str">
        <f t="shared" si="4485"/>
        <v>Agency</v>
      </c>
      <c r="B8695" s="3" t="str">
        <f t="shared" ref="B8695:B8696" si="4490">CHOOSE(2, "1395000000574", "% of Newly Demoted UM")</f>
        <v>% of Newly Demoted UM</v>
      </c>
      <c r="C8695" s="4" t="str">
        <f>CHOOSE(2, "5461730030", "Jun 26")</f>
        <v>Jun 26</v>
      </c>
      <c r="D8695" s="14">
        <v>6.0869565217391307E-2</v>
      </c>
    </row>
    <row r="8696" spans="1:4" x14ac:dyDescent="0.35">
      <c r="A8696" s="5" t="str">
        <f t="shared" si="4485"/>
        <v>Agency</v>
      </c>
      <c r="B8696" s="6" t="str">
        <f t="shared" si="4490"/>
        <v>% of Newly Demoted UM</v>
      </c>
      <c r="C8696" s="4" t="str">
        <f>CHOOSE(2, "5462030031", "Jul 26")</f>
        <v>Jul 26</v>
      </c>
      <c r="D8696" s="14">
        <v>8.4033613445378148E-3</v>
      </c>
    </row>
    <row r="8697" spans="1:4" x14ac:dyDescent="0.35">
      <c r="A8697" s="5" t="str">
        <f t="shared" si="4485"/>
        <v>Agency</v>
      </c>
      <c r="B8697" s="3" t="str">
        <f t="shared" ref="B8697:B8698" si="4491">CHOOSE(2, "1395000000573", "% of Newly Demoted Leaders above UM")</f>
        <v>% of Newly Demoted Leaders above UM</v>
      </c>
      <c r="C8697" s="4" t="str">
        <f>CHOOSE(2, "5461730030", "Jun 26")</f>
        <v>Jun 26</v>
      </c>
      <c r="D8697" s="14">
        <v>0.11764705882352941</v>
      </c>
    </row>
    <row r="8698" spans="1:4" x14ac:dyDescent="0.35">
      <c r="A8698" s="5" t="str">
        <f t="shared" si="4485"/>
        <v>Agency</v>
      </c>
      <c r="B8698" s="6" t="str">
        <f t="shared" si="4491"/>
        <v>% of Newly Demoted Leaders above UM</v>
      </c>
      <c r="C8698" s="4" t="str">
        <f>CHOOSE(2, "5462030031", "Jul 26")</f>
        <v>Jul 26</v>
      </c>
      <c r="D8698" s="14">
        <v>0</v>
      </c>
    </row>
    <row r="8699" spans="1:4" x14ac:dyDescent="0.35">
      <c r="A8699" s="5" t="str">
        <f t="shared" si="4485"/>
        <v>Agency</v>
      </c>
      <c r="B8699" s="3" t="str">
        <f t="shared" ref="B8699:B8700" si="4492">CHOOSE(2, "1395000000572", "Avg. Earning per agent")</f>
        <v>Avg. Earning per agent</v>
      </c>
      <c r="C8699" s="4" t="str">
        <f>CHOOSE(2, "5461730030", "Jun 26")</f>
        <v>Jun 26</v>
      </c>
      <c r="D8699" s="14">
        <v>2.8970590728091956E-2</v>
      </c>
    </row>
    <row r="8700" spans="1:4" x14ac:dyDescent="0.35">
      <c r="A8700" s="5" t="str">
        <f t="shared" si="4485"/>
        <v>Agency</v>
      </c>
      <c r="B8700" s="6" t="str">
        <f t="shared" si="4492"/>
        <v>Avg. Earning per agent</v>
      </c>
      <c r="C8700" s="4" t="str">
        <f>CHOOSE(2, "5462030031", "Jul 26")</f>
        <v>Jul 26</v>
      </c>
      <c r="D8700" s="14">
        <v>1.4401988632136107E-2</v>
      </c>
    </row>
    <row r="8701" spans="1:4" x14ac:dyDescent="0.35">
      <c r="A8701" s="5" t="str">
        <f t="shared" si="4485"/>
        <v>Agency</v>
      </c>
      <c r="B8701" s="3" t="str">
        <f t="shared" ref="B8701:B8702" si="4493">CHOOSE(2, "1395000000571", "Avg. Earning per agent in FA or equivalent")</f>
        <v>Avg. Earning per agent in FA or equivalent</v>
      </c>
      <c r="C8701" s="4" t="str">
        <f>CHOOSE(2, "5461730030", "Jun 26")</f>
        <v>Jun 26</v>
      </c>
      <c r="D8701" s="14">
        <v>1.1799996011355849E-2</v>
      </c>
    </row>
    <row r="8702" spans="1:4" x14ac:dyDescent="0.35">
      <c r="A8702" s="5" t="str">
        <f t="shared" si="4485"/>
        <v>Agency</v>
      </c>
      <c r="B8702" s="6" t="str">
        <f t="shared" si="4493"/>
        <v>Avg. Earning per agent in FA or equivalent</v>
      </c>
      <c r="C8702" s="4" t="str">
        <f>CHOOSE(2, "5462030031", "Jul 26")</f>
        <v>Jul 26</v>
      </c>
      <c r="D8702" s="14">
        <v>6.3648039191102138E-3</v>
      </c>
    </row>
    <row r="8703" spans="1:4" x14ac:dyDescent="0.35">
      <c r="A8703" s="5" t="str">
        <f t="shared" si="4485"/>
        <v>Agency</v>
      </c>
      <c r="B8703" s="3" t="str">
        <f t="shared" ref="B8703:B8704" si="4494">CHOOSE(2, "1395000000570", "Avg. Earning per agent in UM")</f>
        <v>Avg. Earning per agent in UM</v>
      </c>
      <c r="C8703" s="4" t="str">
        <f>CHOOSE(2, "5461730030", "Jun 26")</f>
        <v>Jun 26</v>
      </c>
      <c r="D8703" s="14">
        <v>0.26658045558260873</v>
      </c>
    </row>
    <row r="8704" spans="1:4" x14ac:dyDescent="0.35">
      <c r="A8704" s="5" t="str">
        <f t="shared" si="4485"/>
        <v>Agency</v>
      </c>
      <c r="B8704" s="6" t="str">
        <f t="shared" si="4494"/>
        <v>Avg. Earning per agent in UM</v>
      </c>
      <c r="C8704" s="4" t="str">
        <f>CHOOSE(2, "5462030031", "Jul 26")</f>
        <v>Jul 26</v>
      </c>
      <c r="D8704" s="14">
        <v>0.1009437968</v>
      </c>
    </row>
    <row r="8705" spans="1:4" x14ac:dyDescent="0.35">
      <c r="A8705" s="5" t="str">
        <f t="shared" si="4485"/>
        <v>Agency</v>
      </c>
      <c r="B8705" s="3" t="str">
        <f t="shared" ref="B8705:B8706" si="4495">CHOOSE(2, "1395000000569", "Avg. Earning per agent in Leaders above UM")</f>
        <v>Avg. Earning per agent in Leaders above UM</v>
      </c>
      <c r="C8705" s="4" t="str">
        <f>CHOOSE(2, "5461730030", "Jun 26")</f>
        <v>Jun 26</v>
      </c>
      <c r="D8705" s="14">
        <v>0.4851112112</v>
      </c>
    </row>
    <row r="8706" spans="1:4" x14ac:dyDescent="0.35">
      <c r="A8706" s="5" t="str">
        <f t="shared" si="4485"/>
        <v>Agency</v>
      </c>
      <c r="B8706" s="6" t="str">
        <f t="shared" si="4495"/>
        <v>Avg. Earning per agent in Leaders above UM</v>
      </c>
      <c r="C8706" s="4" t="str">
        <f>CHOOSE(2, "5462030031", "Jul 26")</f>
        <v>Jul 26</v>
      </c>
      <c r="D8706" s="14">
        <v>0.30909020917894742</v>
      </c>
    </row>
    <row r="8707" spans="1:4" x14ac:dyDescent="0.35">
      <c r="A8707" s="5" t="str">
        <f t="shared" si="4485"/>
        <v>Agency</v>
      </c>
      <c r="B8707" s="3" t="str">
        <f t="shared" ref="B8707:B8708" si="4496">CHOOSE(2, "1395000000568", "% of 1-Month Active Agents 0-1M")</f>
        <v>% of 1-Month Active Agents 0-1M</v>
      </c>
      <c r="C8707" s="4" t="str">
        <f>CHOOSE(2, "5461730030", "Jun 26")</f>
        <v>Jun 26</v>
      </c>
      <c r="D8707" s="14">
        <v>1.5625E-2</v>
      </c>
    </row>
    <row r="8708" spans="1:4" x14ac:dyDescent="0.35">
      <c r="A8708" s="5" t="str">
        <f t="shared" si="4485"/>
        <v>Agency</v>
      </c>
      <c r="B8708" s="6" t="str">
        <f t="shared" si="4496"/>
        <v>% of 1-Month Active Agents 0-1M</v>
      </c>
      <c r="C8708" s="4" t="str">
        <f>CHOOSE(2, "5462030031", "Jul 26")</f>
        <v>Jul 26</v>
      </c>
      <c r="D8708" s="14">
        <v>5.2631578947368418E-2</v>
      </c>
    </row>
    <row r="8709" spans="1:4" x14ac:dyDescent="0.35">
      <c r="A8709" s="5" t="str">
        <f t="shared" si="4485"/>
        <v>Agency</v>
      </c>
      <c r="B8709" s="3" t="str">
        <f t="shared" ref="B8709:B8710" si="4497">CHOOSE(2, "1395000000567", "% of 1-Month Active Agents in 2-3M")</f>
        <v>% of 1-Month Active Agents in 2-3M</v>
      </c>
      <c r="C8709" s="4" t="str">
        <f>CHOOSE(2, "5461730030", "Jun 26")</f>
        <v>Jun 26</v>
      </c>
      <c r="D8709" s="14">
        <v>0.33333333333333331</v>
      </c>
    </row>
    <row r="8710" spans="1:4" x14ac:dyDescent="0.35">
      <c r="A8710" s="5" t="str">
        <f t="shared" si="4485"/>
        <v>Agency</v>
      </c>
      <c r="B8710" s="6" t="str">
        <f t="shared" si="4497"/>
        <v>% of 1-Month Active Agents in 2-3M</v>
      </c>
      <c r="C8710" s="4" t="str">
        <f>CHOOSE(2, "5462030031", "Jul 26")</f>
        <v>Jul 26</v>
      </c>
      <c r="D8710" s="14">
        <v>0.26666666666666666</v>
      </c>
    </row>
    <row r="8711" spans="1:4" x14ac:dyDescent="0.35">
      <c r="A8711" s="5" t="str">
        <f t="shared" si="4485"/>
        <v>Agency</v>
      </c>
      <c r="B8711" s="3" t="str">
        <f t="shared" ref="B8711:B8712" si="4498">CHOOSE(2, "1395000000566", "% of 1-Month Active Agents 4-12M")</f>
        <v>% of 1-Month Active Agents 4-12M</v>
      </c>
      <c r="C8711" s="4" t="str">
        <f>CHOOSE(2, "5461730030", "Jun 26")</f>
        <v>Jun 26</v>
      </c>
      <c r="D8711" s="14">
        <v>0.12125984251968504</v>
      </c>
    </row>
    <row r="8712" spans="1:4" x14ac:dyDescent="0.35">
      <c r="A8712" s="5" t="str">
        <f t="shared" si="4485"/>
        <v>Agency</v>
      </c>
      <c r="B8712" s="6" t="str">
        <f t="shared" si="4498"/>
        <v>% of 1-Month Active Agents 4-12M</v>
      </c>
      <c r="C8712" s="4" t="str">
        <f>CHOOSE(2, "5462030031", "Jul 26")</f>
        <v>Jul 26</v>
      </c>
      <c r="D8712" s="14">
        <v>0.10034602076124567</v>
      </c>
    </row>
    <row r="8713" spans="1:4" x14ac:dyDescent="0.35">
      <c r="A8713" s="5" t="str">
        <f t="shared" si="4485"/>
        <v>Agency</v>
      </c>
      <c r="B8713" s="3" t="str">
        <f t="shared" ref="B8713:B8714" si="4499">CHOOSE(2, "1395000000565", "% of 1-Month Active Agents 13+M")</f>
        <v>% of 1-Month Active Agents 13+M</v>
      </c>
      <c r="C8713" s="4" t="str">
        <f>CHOOSE(2, "5461730030", "Jun 26")</f>
        <v>Jun 26</v>
      </c>
      <c r="D8713" s="14">
        <v>6.2630480167014613E-2</v>
      </c>
    </row>
    <row r="8714" spans="1:4" x14ac:dyDescent="0.35">
      <c r="A8714" s="5" t="str">
        <f t="shared" si="4485"/>
        <v>Agency</v>
      </c>
      <c r="B8714" s="6" t="str">
        <f t="shared" si="4499"/>
        <v>% of 1-Month Active Agents 13+M</v>
      </c>
      <c r="C8714" s="4" t="str">
        <f>CHOOSE(2, "5462030031", "Jul 26")</f>
        <v>Jul 26</v>
      </c>
      <c r="D8714" s="14">
        <v>6.4492216456634541E-2</v>
      </c>
    </row>
    <row r="8715" spans="1:4" x14ac:dyDescent="0.35">
      <c r="A8715" s="5" t="str">
        <f t="shared" si="4485"/>
        <v>Agency</v>
      </c>
      <c r="B8715" s="3" t="str">
        <f t="shared" ref="B8715:B8716" si="4500">CHOOSE(2, "1395000000564", "% of 3-Month Active Agents 0-1M")</f>
        <v>% of 3-Month Active Agents 0-1M</v>
      </c>
      <c r="C8715" s="4" t="str">
        <f>CHOOSE(2, "5461730030", "Jun 26")</f>
        <v>Jun 26</v>
      </c>
      <c r="D8715" s="14">
        <v>1.5625E-2</v>
      </c>
    </row>
    <row r="8716" spans="1:4" x14ac:dyDescent="0.35">
      <c r="A8716" s="5" t="str">
        <f t="shared" si="4485"/>
        <v>Agency</v>
      </c>
      <c r="B8716" s="6" t="str">
        <f t="shared" si="4500"/>
        <v>% of 3-Month Active Agents 0-1M</v>
      </c>
      <c r="C8716" s="4" t="str">
        <f>CHOOSE(2, "5462030031", "Jul 26")</f>
        <v>Jul 26</v>
      </c>
      <c r="D8716" s="14">
        <v>5.2631578947368418E-2</v>
      </c>
    </row>
    <row r="8717" spans="1:4" x14ac:dyDescent="0.35">
      <c r="A8717" s="5" t="str">
        <f t="shared" si="4485"/>
        <v>Agency</v>
      </c>
      <c r="B8717" s="3" t="str">
        <f t="shared" ref="B8717:B8718" si="4501">CHOOSE(2, "1395000000563", "% of 3-Month Active Agents in 2-3M")</f>
        <v>% of 3-Month Active Agents in 2-3M</v>
      </c>
      <c r="C8717" s="4" t="str">
        <f>CHOOSE(2, "5461730030", "Jun 26")</f>
        <v>Jun 26</v>
      </c>
      <c r="D8717" s="14">
        <v>0.48717948717948717</v>
      </c>
    </row>
    <row r="8718" spans="1:4" x14ac:dyDescent="0.35">
      <c r="A8718" s="5" t="str">
        <f t="shared" si="4485"/>
        <v>Agency</v>
      </c>
      <c r="B8718" s="6" t="str">
        <f t="shared" si="4501"/>
        <v>% of 3-Month Active Agents in 2-3M</v>
      </c>
      <c r="C8718" s="4" t="str">
        <f>CHOOSE(2, "5462030031", "Jul 26")</f>
        <v>Jul 26</v>
      </c>
      <c r="D8718" s="14">
        <v>0.30666666666666664</v>
      </c>
    </row>
    <row r="8719" spans="1:4" x14ac:dyDescent="0.35">
      <c r="A8719" s="5" t="str">
        <f t="shared" si="4485"/>
        <v>Agency</v>
      </c>
      <c r="B8719" s="3" t="str">
        <f t="shared" ref="B8719:B8720" si="4502">CHOOSE(2, "1395000000562", "% of 3-Month Active Agents 4-12M")</f>
        <v>% of 3-Month Active Agents 4-12M</v>
      </c>
      <c r="C8719" s="4" t="str">
        <f>CHOOSE(2, "5461730030", "Jun 26")</f>
        <v>Jun 26</v>
      </c>
      <c r="D8719" s="14">
        <v>0.1921259842519685</v>
      </c>
    </row>
    <row r="8720" spans="1:4" x14ac:dyDescent="0.35">
      <c r="A8720" s="5" t="str">
        <f t="shared" si="4485"/>
        <v>Agency</v>
      </c>
      <c r="B8720" s="6" t="str">
        <f t="shared" si="4502"/>
        <v>% of 3-Month Active Agents 4-12M</v>
      </c>
      <c r="C8720" s="4" t="str">
        <f>CHOOSE(2, "5462030031", "Jul 26")</f>
        <v>Jul 26</v>
      </c>
      <c r="D8720" s="14">
        <v>0.20069204152249134</v>
      </c>
    </row>
    <row r="8721" spans="1:4" x14ac:dyDescent="0.35">
      <c r="A8721" s="5" t="str">
        <f t="shared" si="4485"/>
        <v>Agency</v>
      </c>
      <c r="B8721" s="3" t="str">
        <f t="shared" ref="B8721:B8722" si="4503">CHOOSE(2, "1395000000561", "% of 3-Month Active Agents 13+M")</f>
        <v>% of 3-Month Active Agents 13+M</v>
      </c>
      <c r="C8721" s="4" t="str">
        <f>CHOOSE(2, "5461730030", "Jun 26")</f>
        <v>Jun 26</v>
      </c>
      <c r="D8721" s="14">
        <v>8.9770354906054284E-2</v>
      </c>
    </row>
    <row r="8722" spans="1:4" x14ac:dyDescent="0.35">
      <c r="A8722" s="5" t="str">
        <f t="shared" si="4485"/>
        <v>Agency</v>
      </c>
      <c r="B8722" s="6" t="str">
        <f t="shared" si="4503"/>
        <v>% of 3-Month Active Agents 13+M</v>
      </c>
      <c r="C8722" s="4" t="str">
        <f>CHOOSE(2, "5462030031", "Jul 26")</f>
        <v>Jul 26</v>
      </c>
      <c r="D8722" s="14">
        <v>0.11934766493699037</v>
      </c>
    </row>
    <row r="8723" spans="1:4" x14ac:dyDescent="0.35">
      <c r="A8723" s="5" t="str">
        <f t="shared" si="4485"/>
        <v>Agency</v>
      </c>
      <c r="B8723" s="3" t="str">
        <f t="shared" ref="B8723:B8724" si="4504">CHOOSE(2, "1395000000560", "Avg. Case count per 1-Month Active Agent 0-1M")</f>
        <v>Avg. Case count per 1-Month Active Agent 0-1M</v>
      </c>
      <c r="C8723" s="4" t="str">
        <f>CHOOSE(2, "5461730030", "Jun 26")</f>
        <v>Jun 26</v>
      </c>
      <c r="D8723" s="14">
        <v>1</v>
      </c>
    </row>
    <row r="8724" spans="1:4" x14ac:dyDescent="0.35">
      <c r="A8724" s="5" t="str">
        <f t="shared" si="4485"/>
        <v>Agency</v>
      </c>
      <c r="B8724" s="6" t="str">
        <f t="shared" si="4504"/>
        <v>Avg. Case count per 1-Month Active Agent 0-1M</v>
      </c>
      <c r="C8724" s="4" t="str">
        <f>CHOOSE(2, "5462030031", "Jul 26")</f>
        <v>Jul 26</v>
      </c>
      <c r="D8724" s="14">
        <v>1</v>
      </c>
    </row>
    <row r="8725" spans="1:4" x14ac:dyDescent="0.35">
      <c r="A8725" s="5" t="str">
        <f t="shared" si="4485"/>
        <v>Agency</v>
      </c>
      <c r="B8725" s="3" t="str">
        <f t="shared" ref="B8725:B8726" si="4505">CHOOSE(2, "1395000000559", "Avg. Case count per 1-Month Active Agent in 2-3M")</f>
        <v>Avg. Case count per 1-Month Active Agent in 2-3M</v>
      </c>
      <c r="C8725" s="4" t="str">
        <f>CHOOSE(2, "5461730030", "Jun 26")</f>
        <v>Jun 26</v>
      </c>
      <c r="D8725" s="14">
        <v>1.2307692307692308</v>
      </c>
    </row>
    <row r="8726" spans="1:4" x14ac:dyDescent="0.35">
      <c r="A8726" s="5" t="str">
        <f t="shared" si="4485"/>
        <v>Agency</v>
      </c>
      <c r="B8726" s="6" t="str">
        <f t="shared" si="4505"/>
        <v>Avg. Case count per 1-Month Active Agent in 2-3M</v>
      </c>
      <c r="C8726" s="4" t="str">
        <f>CHOOSE(2, "5462030031", "Jul 26")</f>
        <v>Jul 26</v>
      </c>
      <c r="D8726" s="14">
        <v>1.05</v>
      </c>
    </row>
    <row r="8727" spans="1:4" x14ac:dyDescent="0.35">
      <c r="A8727" s="5" t="str">
        <f t="shared" si="4485"/>
        <v>Agency</v>
      </c>
      <c r="B8727" s="3" t="str">
        <f t="shared" ref="B8727:B8728" si="4506">CHOOSE(2, "1395000000558", "Avg. Case count per 1-Month Active Agent 4-12M")</f>
        <v>Avg. Case count per 1-Month Active Agent 4-12M</v>
      </c>
      <c r="C8727" s="4" t="str">
        <f>CHOOSE(2, "5461730030", "Jun 26")</f>
        <v>Jun 26</v>
      </c>
      <c r="D8727" s="14">
        <v>1.7532467532467533</v>
      </c>
    </row>
    <row r="8728" spans="1:4" x14ac:dyDescent="0.35">
      <c r="A8728" s="5" t="str">
        <f t="shared" si="4485"/>
        <v>Agency</v>
      </c>
      <c r="B8728" s="6" t="str">
        <f t="shared" si="4506"/>
        <v>Avg. Case count per 1-Month Active Agent 4-12M</v>
      </c>
      <c r="C8728" s="4" t="str">
        <f>CHOOSE(2, "5462030031", "Jul 26")</f>
        <v>Jul 26</v>
      </c>
      <c r="D8728" s="14">
        <v>1.5172413793103448</v>
      </c>
    </row>
    <row r="8729" spans="1:4" x14ac:dyDescent="0.35">
      <c r="A8729" s="5" t="str">
        <f t="shared" si="4485"/>
        <v>Agency</v>
      </c>
      <c r="B8729" s="3" t="str">
        <f t="shared" ref="B8729:B8730" si="4507">CHOOSE(2, "1395000000557", "Avg. Case count per 1-Month Active Agent 13+M")</f>
        <v>Avg. Case count per 1-Month Active Agent 13+M</v>
      </c>
      <c r="C8729" s="4" t="str">
        <f>CHOOSE(2, "5461730030", "Jun 26")</f>
        <v>Jun 26</v>
      </c>
      <c r="D8729" s="14">
        <v>1.711111111111111</v>
      </c>
    </row>
    <row r="8730" spans="1:4" x14ac:dyDescent="0.35">
      <c r="A8730" s="5" t="str">
        <f t="shared" si="4485"/>
        <v>Agency</v>
      </c>
      <c r="B8730" s="6" t="str">
        <f t="shared" si="4507"/>
        <v>Avg. Case count per 1-Month Active Agent 13+M</v>
      </c>
      <c r="C8730" s="4" t="str">
        <f>CHOOSE(2, "5462030031", "Jul 26")</f>
        <v>Jul 26</v>
      </c>
      <c r="D8730" s="14">
        <v>1.5172413793103448</v>
      </c>
    </row>
    <row r="8731" spans="1:4" x14ac:dyDescent="0.35">
      <c r="A8731" s="5" t="str">
        <f t="shared" si="4485"/>
        <v>Agency</v>
      </c>
      <c r="B8731" s="3" t="str">
        <f t="shared" ref="B8731:B8732" si="4508">CHOOSE(2, "1395000000556", "Avg. Case size 0-1M")</f>
        <v>Avg. Case size 0-1M</v>
      </c>
      <c r="C8731" s="4" t="str">
        <f>CHOOSE(2, "5461730030", "Jun 26")</f>
        <v>Jun 26</v>
      </c>
      <c r="D8731" s="14">
        <v>32915.801268000003</v>
      </c>
    </row>
    <row r="8732" spans="1:4" x14ac:dyDescent="0.35">
      <c r="A8732" s="5" t="str">
        <f t="shared" si="4485"/>
        <v>Agency</v>
      </c>
      <c r="B8732" s="6" t="str">
        <f t="shared" si="4508"/>
        <v>Avg. Case size 0-1M</v>
      </c>
      <c r="C8732" s="4" t="str">
        <f>CHOOSE(2, "5462030031", "Jul 26")</f>
        <v>Jul 26</v>
      </c>
      <c r="D8732" s="14">
        <v>3490.1142686666667</v>
      </c>
    </row>
    <row r="8733" spans="1:4" x14ac:dyDescent="0.35">
      <c r="A8733" s="5" t="str">
        <f t="shared" si="4485"/>
        <v>Agency</v>
      </c>
      <c r="B8733" s="3" t="str">
        <f t="shared" ref="B8733:B8734" si="4509">CHOOSE(2, "1395000000555", "Avg. Case size in 2-3M")</f>
        <v>Avg. Case size in 2-3M</v>
      </c>
      <c r="C8733" s="4" t="str">
        <f>CHOOSE(2, "5461730030", "Jun 26")</f>
        <v>Jun 26</v>
      </c>
      <c r="D8733" s="14">
        <v>4114.4751585000004</v>
      </c>
    </row>
    <row r="8734" spans="1:4" x14ac:dyDescent="0.35">
      <c r="A8734" s="5" t="str">
        <f t="shared" si="4485"/>
        <v>Agency</v>
      </c>
      <c r="B8734" s="6" t="str">
        <f t="shared" si="4509"/>
        <v>Avg. Case size in 2-3M</v>
      </c>
      <c r="C8734" s="4" t="str">
        <f>CHOOSE(2, "5462030031", "Jul 26")</f>
        <v>Jul 26</v>
      </c>
      <c r="D8734" s="14">
        <v>1994.3510106666668</v>
      </c>
    </row>
    <row r="8735" spans="1:4" x14ac:dyDescent="0.35">
      <c r="A8735" s="5" t="str">
        <f t="shared" si="4485"/>
        <v>Agency</v>
      </c>
      <c r="B8735" s="3" t="str">
        <f t="shared" ref="B8735:B8736" si="4510">CHOOSE(2, "1395000000554", "Avg. Case size 4-12M")</f>
        <v>Avg. Case size 4-12M</v>
      </c>
      <c r="C8735" s="4" t="str">
        <f>CHOOSE(2, "5461730030", "Jun 26")</f>
        <v>Jun 26</v>
      </c>
      <c r="D8735" s="14">
        <v>731.46225040000013</v>
      </c>
    </row>
    <row r="8736" spans="1:4" x14ac:dyDescent="0.35">
      <c r="A8736" s="5" t="str">
        <f t="shared" si="4485"/>
        <v>Agency</v>
      </c>
      <c r="B8736" s="6" t="str">
        <f t="shared" si="4510"/>
        <v>Avg. Case size 4-12M</v>
      </c>
      <c r="C8736" s="4" t="str">
        <f>CHOOSE(2, "5462030031", "Jul 26")</f>
        <v>Jul 26</v>
      </c>
      <c r="D8736" s="14">
        <v>713.88700950000009</v>
      </c>
    </row>
    <row r="8737" spans="1:4" x14ac:dyDescent="0.35">
      <c r="A8737" s="5" t="str">
        <f t="shared" si="4485"/>
        <v>Agency</v>
      </c>
      <c r="B8737" s="3" t="str">
        <f t="shared" ref="B8737:B8738" si="4511">CHOOSE(2, "1395000000553", "Avg. Case size 13+M")</f>
        <v>Avg. Case size 13+M</v>
      </c>
      <c r="C8737" s="4" t="str">
        <f>CHOOSE(2, "5461730030", "Jun 26")</f>
        <v>Jun 26</v>
      </c>
      <c r="D8737" s="14">
        <v>854.95587709090921</v>
      </c>
    </row>
    <row r="8738" spans="1:4" x14ac:dyDescent="0.35">
      <c r="A8738" s="5" t="str">
        <f t="shared" si="4485"/>
        <v>Agency</v>
      </c>
      <c r="B8738" s="6" t="str">
        <f t="shared" si="4511"/>
        <v>Avg. Case size 13+M</v>
      </c>
      <c r="C8738" s="4" t="str">
        <f>CHOOSE(2, "5462030031", "Jul 26")</f>
        <v>Jul 26</v>
      </c>
      <c r="D8738" s="14">
        <v>634.56623066666668</v>
      </c>
    </row>
    <row r="8739" spans="1:4" x14ac:dyDescent="0.35">
      <c r="A8739" s="5" t="str">
        <f t="shared" si="4485"/>
        <v>Agency</v>
      </c>
      <c r="B8739" s="3" t="str">
        <f t="shared" ref="B8739:B8740" si="4512">CHOOSE(2, "1395000000552", "Avg. Case size UM")</f>
        <v>Avg. Case size UM</v>
      </c>
      <c r="C8739" s="4" t="str">
        <f>CHOOSE(2, "5461730030", "Jun 26")</f>
        <v>Jun 26</v>
      </c>
      <c r="D8739" s="14">
        <v>0</v>
      </c>
    </row>
    <row r="8740" spans="1:4" x14ac:dyDescent="0.35">
      <c r="A8740" s="5" t="str">
        <f t="shared" si="4485"/>
        <v>Agency</v>
      </c>
      <c r="B8740" s="6" t="str">
        <f t="shared" si="4512"/>
        <v>Avg. Case size UM</v>
      </c>
      <c r="C8740" s="4" t="str">
        <f>CHOOSE(2, "5462030031", "Jul 26")</f>
        <v>Jul 26</v>
      </c>
      <c r="D8740" s="14">
        <v>0</v>
      </c>
    </row>
    <row r="8741" spans="1:4" x14ac:dyDescent="0.35">
      <c r="A8741" s="5" t="str">
        <f t="shared" si="4485"/>
        <v>Agency</v>
      </c>
      <c r="B8741" s="3" t="str">
        <f t="shared" ref="B8741:B8742" si="4513">CHOOSE(2, "1395000000551", "Avg. Case size Leaders above UM")</f>
        <v>Avg. Case size Leaders above UM</v>
      </c>
      <c r="C8741" s="4" t="str">
        <f>CHOOSE(2, "5461730030", "Jun 26")</f>
        <v>Jun 26</v>
      </c>
      <c r="D8741" s="14">
        <v>0</v>
      </c>
    </row>
    <row r="8742" spans="1:4" x14ac:dyDescent="0.35">
      <c r="A8742" s="5" t="str">
        <f t="shared" si="4485"/>
        <v>Agency</v>
      </c>
      <c r="B8742" s="6" t="str">
        <f t="shared" si="4513"/>
        <v>Avg. Case size Leaders above UM</v>
      </c>
      <c r="C8742" s="4" t="str">
        <f>CHOOSE(2, "5462030031", "Jul 26")</f>
        <v>Jul 26</v>
      </c>
      <c r="D8742" s="14">
        <v>0</v>
      </c>
    </row>
    <row r="8743" spans="1:4" x14ac:dyDescent="0.35">
      <c r="A8743" s="5" t="str">
        <f t="shared" si="4485"/>
        <v>Agency</v>
      </c>
      <c r="B8743" s="3" t="str">
        <f t="shared" ref="B8743:B8744" si="4514">CHOOSE(2, "1395000000550", "Avg. Case size Top-tier agents")</f>
        <v>Avg. Case size Top-tier agents</v>
      </c>
      <c r="C8743" s="4" t="str">
        <f>CHOOSE(2, "5461730030", "Jun 26")</f>
        <v>Jun 26</v>
      </c>
      <c r="D8743" s="14">
        <v>2288.5449514563106</v>
      </c>
    </row>
    <row r="8744" spans="1:4" x14ac:dyDescent="0.35">
      <c r="A8744" s="5" t="str">
        <f t="shared" si="4485"/>
        <v>Agency</v>
      </c>
      <c r="B8744" s="6" t="str">
        <f t="shared" si="4514"/>
        <v>Avg. Case size Top-tier agents</v>
      </c>
      <c r="C8744" s="4" t="str">
        <f>CHOOSE(2, "5462030031", "Jul 26")</f>
        <v>Jul 26</v>
      </c>
      <c r="D8744" s="14">
        <v>2265.0415789473682</v>
      </c>
    </row>
    <row r="8745" spans="1:4" x14ac:dyDescent="0.35">
      <c r="A8745" s="5" t="str">
        <f t="shared" si="4485"/>
        <v>Agency</v>
      </c>
      <c r="B8745" s="3" t="str">
        <f t="shared" ref="B8745:B8746" si="4515">CHOOSE(2, "1395000000549", "Avg. Case size Manulife Pro Qualifiers - Total")</f>
        <v>Avg. Case size Manulife Pro Qualifiers - Total</v>
      </c>
      <c r="C8745" s="4" t="str">
        <f>CHOOSE(2, "5461730030", "Jun 26")</f>
        <v>Jun 26</v>
      </c>
      <c r="D8745" s="14">
        <v>0</v>
      </c>
    </row>
    <row r="8746" spans="1:4" x14ac:dyDescent="0.35">
      <c r="A8746" s="5" t="str">
        <f t="shared" si="4485"/>
        <v>Agency</v>
      </c>
      <c r="B8746" s="6" t="str">
        <f t="shared" si="4515"/>
        <v>Avg. Case size Manulife Pro Qualifiers - Total</v>
      </c>
      <c r="C8746" s="4" t="str">
        <f>CHOOSE(2, "5462030031", "Jul 26")</f>
        <v>Jul 26</v>
      </c>
      <c r="D8746" s="14">
        <v>0</v>
      </c>
    </row>
    <row r="8747" spans="1:4" x14ac:dyDescent="0.35">
      <c r="A8747" s="5" t="str">
        <f t="shared" si="4485"/>
        <v>Agency</v>
      </c>
      <c r="B8747" s="3" t="str">
        <f t="shared" ref="B8747:B8748" si="4516">CHOOSE(2, "1395000000548", "Avg. Case size FA or equivalent")</f>
        <v>Avg. Case size FA or equivalent</v>
      </c>
      <c r="C8747" s="4" t="str">
        <f>CHOOSE(2, "5461730030", "Jun 26")</f>
        <v>Jun 26</v>
      </c>
      <c r="D8747" s="14">
        <v>0</v>
      </c>
    </row>
    <row r="8748" spans="1:4" x14ac:dyDescent="0.35">
      <c r="A8748" s="5" t="str">
        <f t="shared" si="4485"/>
        <v>Agency</v>
      </c>
      <c r="B8748" s="6" t="str">
        <f t="shared" si="4516"/>
        <v>Avg. Case size FA or equivalent</v>
      </c>
      <c r="C8748" s="4" t="str">
        <f>CHOOSE(2, "5462030031", "Jul 26")</f>
        <v>Jul 26</v>
      </c>
      <c r="D8748" s="14">
        <v>0</v>
      </c>
    </row>
    <row r="8749" spans="1:4" x14ac:dyDescent="0.35">
      <c r="A8749" s="5" t="str">
        <f t="shared" si="4485"/>
        <v>Agency</v>
      </c>
      <c r="B8749" s="3" t="str">
        <f t="shared" ref="B8749:B8750" si="4517">CHOOSE(2, "1395000000547", "Avg. Case size pro-rated MDRT agents (&gt;100%)")</f>
        <v>Avg. Case size pro-rated MDRT agents (&gt;100%)</v>
      </c>
      <c r="C8749" s="4" t="str">
        <f>CHOOSE(2, "5461730030", "Jun 26")</f>
        <v>Jun 26</v>
      </c>
      <c r="D8749" s="14">
        <v>3745.4205263157896</v>
      </c>
    </row>
    <row r="8750" spans="1:4" x14ac:dyDescent="0.35">
      <c r="A8750" s="5" t="str">
        <f t="shared" si="4485"/>
        <v>Agency</v>
      </c>
      <c r="B8750" s="6" t="str">
        <f t="shared" si="4517"/>
        <v>Avg. Case size pro-rated MDRT agents (&gt;100%)</v>
      </c>
      <c r="C8750" s="4" t="str">
        <f>CHOOSE(2, "5462030031", "Jul 26")</f>
        <v>Jul 26</v>
      </c>
      <c r="D8750" s="14">
        <v>2878.1812500000001</v>
      </c>
    </row>
    <row r="8751" spans="1:4" x14ac:dyDescent="0.35">
      <c r="A8751" s="5" t="str">
        <f t="shared" ref="A8751:A8784" si="4518">CHOOSE(2, "1260000000013", "Agency")</f>
        <v>Agency</v>
      </c>
      <c r="B8751" s="3" t="str">
        <f t="shared" ref="B8751:B8752" si="4519">CHOOSE(2, "1395000000546", "Avg. Case size pro-rated MDRT agents (70-99%)")</f>
        <v>Avg. Case size pro-rated MDRT agents (70-99%)</v>
      </c>
      <c r="C8751" s="4" t="str">
        <f>CHOOSE(2, "5461730030", "Jun 26")</f>
        <v>Jun 26</v>
      </c>
      <c r="D8751" s="14">
        <v>1408.0077777777778</v>
      </c>
    </row>
    <row r="8752" spans="1:4" x14ac:dyDescent="0.35">
      <c r="A8752" s="5" t="str">
        <f t="shared" si="4518"/>
        <v>Agency</v>
      </c>
      <c r="B8752" s="6" t="str">
        <f t="shared" si="4519"/>
        <v>Avg. Case size pro-rated MDRT agents (70-99%)</v>
      </c>
      <c r="C8752" s="4" t="str">
        <f>CHOOSE(2, "5462030031", "Jul 26")</f>
        <v>Jul 26</v>
      </c>
      <c r="D8752" s="14">
        <v>1451.5861538461538</v>
      </c>
    </row>
    <row r="8753" spans="1:4" x14ac:dyDescent="0.35">
      <c r="A8753" s="5" t="str">
        <f t="shared" si="4518"/>
        <v>Agency</v>
      </c>
      <c r="B8753" s="3" t="str">
        <f t="shared" ref="B8753:B8754" si="4520">CHOOSE(2, "1395000000545", "Avg. Case size pro-rated MDRT agents (50-69%)")</f>
        <v>Avg. Case size pro-rated MDRT agents (50-69%)</v>
      </c>
      <c r="C8753" s="4" t="str">
        <f>CHOOSE(2, "5461730030", "Jun 26")</f>
        <v>Jun 26</v>
      </c>
      <c r="D8753" s="14">
        <v>1501.6905000000002</v>
      </c>
    </row>
    <row r="8754" spans="1:4" x14ac:dyDescent="0.35">
      <c r="A8754" s="5" t="str">
        <f t="shared" si="4518"/>
        <v>Agency</v>
      </c>
      <c r="B8754" s="6" t="str">
        <f t="shared" si="4520"/>
        <v>Avg. Case size pro-rated MDRT agents (50-69%)</v>
      </c>
      <c r="C8754" s="4" t="str">
        <f>CHOOSE(2, "5462030031", "Jul 26")</f>
        <v>Jul 26</v>
      </c>
      <c r="D8754" s="14">
        <v>1511.2466666666667</v>
      </c>
    </row>
    <row r="8755" spans="1:4" x14ac:dyDescent="0.35">
      <c r="A8755" s="5" t="str">
        <f t="shared" si="4518"/>
        <v>Agency</v>
      </c>
      <c r="B8755" s="3" t="str">
        <f t="shared" ref="B8755:B8756" si="4521">CHOOSE(2, "1395000000544", "% of 1-Month Active Agents UM")</f>
        <v>% of 1-Month Active Agents UM</v>
      </c>
      <c r="C8755" s="4" t="str">
        <f>CHOOSE(2, "5461730030", "Jun 26")</f>
        <v>Jun 26</v>
      </c>
      <c r="D8755" s="14">
        <v>0.36521739130434783</v>
      </c>
    </row>
    <row r="8756" spans="1:4" x14ac:dyDescent="0.35">
      <c r="A8756" s="5" t="str">
        <f t="shared" si="4518"/>
        <v>Agency</v>
      </c>
      <c r="B8756" s="6" t="str">
        <f t="shared" si="4521"/>
        <v>% of 1-Month Active Agents UM</v>
      </c>
      <c r="C8756" s="4" t="str">
        <f>CHOOSE(2, "5462030031", "Jul 26")</f>
        <v>Jul 26</v>
      </c>
      <c r="D8756" s="14">
        <v>0.36974789915966388</v>
      </c>
    </row>
    <row r="8757" spans="1:4" x14ac:dyDescent="0.35">
      <c r="A8757" s="5" t="str">
        <f t="shared" si="4518"/>
        <v>Agency</v>
      </c>
      <c r="B8757" s="3" t="str">
        <f t="shared" ref="B8757:B8758" si="4522">CHOOSE(2, "1395000000543", "% of 1-Month Active Agents Leaders above UM")</f>
        <v>% of 1-Month Active Agents Leaders above UM</v>
      </c>
      <c r="C8757" s="4" t="str">
        <f>CHOOSE(2, "5461730030", "Jun 26")</f>
        <v>Jun 26</v>
      </c>
      <c r="D8757" s="14">
        <v>0.47058823529411764</v>
      </c>
    </row>
    <row r="8758" spans="1:4" x14ac:dyDescent="0.35">
      <c r="A8758" s="5" t="str">
        <f t="shared" si="4518"/>
        <v>Agency</v>
      </c>
      <c r="B8758" s="6" t="str">
        <f t="shared" si="4522"/>
        <v>% of 1-Month Active Agents Leaders above UM</v>
      </c>
      <c r="C8758" s="4" t="str">
        <f>CHOOSE(2, "5462030031", "Jul 26")</f>
        <v>Jul 26</v>
      </c>
      <c r="D8758" s="14">
        <v>0.63157894736842102</v>
      </c>
    </row>
    <row r="8759" spans="1:4" x14ac:dyDescent="0.35">
      <c r="A8759" s="5" t="str">
        <f t="shared" si="4518"/>
        <v>Agency</v>
      </c>
      <c r="B8759" s="3" t="str">
        <f t="shared" ref="B8759:B8760" si="4523">CHOOSE(2, "1395000000542", "% of 1-Month Active Agents Top-tier agents")</f>
        <v>% of 1-Month Active Agents Top-tier agents</v>
      </c>
      <c r="C8759" s="4" t="str">
        <f>CHOOSE(2, "5461730030", "Jun 26")</f>
        <v>Jun 26</v>
      </c>
      <c r="D8759" s="14">
        <v>0.84375</v>
      </c>
    </row>
    <row r="8760" spans="1:4" x14ac:dyDescent="0.35">
      <c r="A8760" s="5" t="str">
        <f t="shared" si="4518"/>
        <v>Agency</v>
      </c>
      <c r="B8760" s="6" t="str">
        <f t="shared" si="4523"/>
        <v>% of 1-Month Active Agents Top-tier agents</v>
      </c>
      <c r="C8760" s="4" t="str">
        <f>CHOOSE(2, "5462030031", "Jul 26")</f>
        <v>Jul 26</v>
      </c>
      <c r="D8760" s="14">
        <v>0.71052631578947367</v>
      </c>
    </row>
    <row r="8761" spans="1:4" x14ac:dyDescent="0.35">
      <c r="A8761" s="5" t="str">
        <f t="shared" si="4518"/>
        <v>Agency</v>
      </c>
      <c r="B8761" s="3" t="str">
        <f t="shared" ref="B8761:B8762" si="4524">CHOOSE(2, "1395000000541", "% of 1-Month Active Agents FA or equivalent")</f>
        <v>% of 1-Month Active Agents FA or equivalent</v>
      </c>
      <c r="C8761" s="4" t="str">
        <f>CHOOSE(2, "5461730030", "Jun 26")</f>
        <v>Jun 26</v>
      </c>
      <c r="D8761" s="14">
        <v>6.4121390112579543E-2</v>
      </c>
    </row>
    <row r="8762" spans="1:4" x14ac:dyDescent="0.35">
      <c r="A8762" s="5" t="str">
        <f t="shared" si="4518"/>
        <v>Agency</v>
      </c>
      <c r="B8762" s="6" t="str">
        <f t="shared" si="4524"/>
        <v>% of 1-Month Active Agents FA or equivalent</v>
      </c>
      <c r="C8762" s="4" t="str">
        <f>CHOOSE(2, "5462030031", "Jul 26")</f>
        <v>Jul 26</v>
      </c>
      <c r="D8762" s="14">
        <v>5.8139534883720929E-2</v>
      </c>
    </row>
    <row r="8763" spans="1:4" x14ac:dyDescent="0.35">
      <c r="A8763" s="5" t="str">
        <f t="shared" si="4518"/>
        <v>Agency</v>
      </c>
      <c r="B8763" s="3" t="str">
        <f t="shared" ref="B8763:B8764" si="4525">CHOOSE(2, "1395000000540", "% of 1-Month Active Agents pro-rated MDRT agents (&gt;100%)")</f>
        <v>% of 1-Month Active Agents pro-rated MDRT agents (&gt;100%)</v>
      </c>
      <c r="C8763" s="4" t="str">
        <f>CHOOSE(2, "5461730030", "Jun 26")</f>
        <v>Jun 26</v>
      </c>
      <c r="D8763" s="14">
        <v>0.8</v>
      </c>
    </row>
    <row r="8764" spans="1:4" x14ac:dyDescent="0.35">
      <c r="A8764" s="5" t="str">
        <f t="shared" si="4518"/>
        <v>Agency</v>
      </c>
      <c r="B8764" s="6" t="str">
        <f t="shared" si="4525"/>
        <v>% of 1-Month Active Agents pro-rated MDRT agents (&gt;100%)</v>
      </c>
      <c r="C8764" s="4" t="str">
        <f>CHOOSE(2, "5462030031", "Jul 26")</f>
        <v>Jul 26</v>
      </c>
      <c r="D8764" s="14">
        <v>0.75</v>
      </c>
    </row>
    <row r="8765" spans="1:4" x14ac:dyDescent="0.35">
      <c r="A8765" s="5" t="str">
        <f t="shared" si="4518"/>
        <v>Agency</v>
      </c>
      <c r="B8765" s="3" t="str">
        <f t="shared" ref="B8765:B8766" si="4526">CHOOSE(2, "1395000000539", "% of 1-Month Active Agents pro-rated MDRT agents (70-99%)")</f>
        <v>% of 1-Month Active Agents pro-rated MDRT agents (70-99%)</v>
      </c>
      <c r="C8765" s="4" t="str">
        <f>CHOOSE(2, "5461730030", "Jun 26")</f>
        <v>Jun 26</v>
      </c>
      <c r="D8765" s="14">
        <v>0.83333333333333337</v>
      </c>
    </row>
    <row r="8766" spans="1:4" x14ac:dyDescent="0.35">
      <c r="A8766" s="5" t="str">
        <f t="shared" si="4518"/>
        <v>Agency</v>
      </c>
      <c r="B8766" s="6" t="str">
        <f t="shared" si="4526"/>
        <v>% of 1-Month Active Agents pro-rated MDRT agents (70-99%)</v>
      </c>
      <c r="C8766" s="4" t="str">
        <f>CHOOSE(2, "5462030031", "Jul 26")</f>
        <v>Jul 26</v>
      </c>
      <c r="D8766" s="14">
        <v>0.69230769230769229</v>
      </c>
    </row>
    <row r="8767" spans="1:4" x14ac:dyDescent="0.35">
      <c r="A8767" s="5" t="str">
        <f t="shared" si="4518"/>
        <v>Agency</v>
      </c>
      <c r="B8767" s="3" t="str">
        <f t="shared" ref="B8767:B8768" si="4527">CHOOSE(2, "1395000000538", "% of 1-Month Active Agents pro-rated MDRT agents (50-69%)")</f>
        <v>% of 1-Month Active Agents pro-rated MDRT agents (50-69%)</v>
      </c>
      <c r="C8767" s="4" t="str">
        <f>CHOOSE(2, "5461730030", "Jun 26")</f>
        <v>Jun 26</v>
      </c>
      <c r="D8767" s="14">
        <v>0.9</v>
      </c>
    </row>
    <row r="8768" spans="1:4" x14ac:dyDescent="0.35">
      <c r="A8768" s="5" t="str">
        <f t="shared" si="4518"/>
        <v>Agency</v>
      </c>
      <c r="B8768" s="6" t="str">
        <f t="shared" si="4527"/>
        <v>% of 1-Month Active Agents pro-rated MDRT agents (50-69%)</v>
      </c>
      <c r="C8768" s="4" t="str">
        <f>CHOOSE(2, "5462030031", "Jul 26")</f>
        <v>Jul 26</v>
      </c>
      <c r="D8768" s="14">
        <v>0.66666666666666663</v>
      </c>
    </row>
    <row r="8769" spans="1:4" x14ac:dyDescent="0.35">
      <c r="A8769" s="5" t="str">
        <f t="shared" si="4518"/>
        <v>Agency</v>
      </c>
      <c r="B8769" s="3" t="str">
        <f t="shared" ref="B8769:B8770" si="4528">CHOOSE(2, "1395000000537", "Avg. Case count per 1-Month Active Agent UM")</f>
        <v>Avg. Case count per 1-Month Active Agent UM</v>
      </c>
      <c r="C8769" s="4" t="str">
        <f>CHOOSE(2, "5461730030", "Jun 26")</f>
        <v>Jun 26</v>
      </c>
      <c r="D8769" s="14">
        <v>2.2619047619047619</v>
      </c>
    </row>
    <row r="8770" spans="1:4" x14ac:dyDescent="0.35">
      <c r="A8770" s="5" t="str">
        <f t="shared" si="4518"/>
        <v>Agency</v>
      </c>
      <c r="B8770" s="6" t="str">
        <f t="shared" si="4528"/>
        <v>Avg. Case count per 1-Month Active Agent UM</v>
      </c>
      <c r="C8770" s="4" t="str">
        <f>CHOOSE(2, "5462030031", "Jul 26")</f>
        <v>Jul 26</v>
      </c>
      <c r="D8770" s="14">
        <v>1.8409090909090908</v>
      </c>
    </row>
    <row r="8771" spans="1:4" x14ac:dyDescent="0.35">
      <c r="A8771" s="5" t="str">
        <f t="shared" si="4518"/>
        <v>Agency</v>
      </c>
      <c r="B8771" s="3" t="str">
        <f t="shared" ref="B8771:B8772" si="4529">CHOOSE(2, "1395000000536", "Avg. Case count per 1-Month Active Agent Leaders above UM")</f>
        <v>Avg. Case count per 1-Month Active Agent Leaders above UM</v>
      </c>
      <c r="C8771" s="4" t="str">
        <f>CHOOSE(2, "5461730030", "Jun 26")</f>
        <v>Jun 26</v>
      </c>
      <c r="D8771" s="14">
        <v>1.125</v>
      </c>
    </row>
    <row r="8772" spans="1:4" x14ac:dyDescent="0.35">
      <c r="A8772" s="5" t="str">
        <f t="shared" si="4518"/>
        <v>Agency</v>
      </c>
      <c r="B8772" s="6" t="str">
        <f t="shared" si="4529"/>
        <v>Avg. Case count per 1-Month Active Agent Leaders above UM</v>
      </c>
      <c r="C8772" s="4" t="str">
        <f>CHOOSE(2, "5462030031", "Jul 26")</f>
        <v>Jul 26</v>
      </c>
      <c r="D8772" s="14">
        <v>1.5833333333333333</v>
      </c>
    </row>
    <row r="8773" spans="1:4" x14ac:dyDescent="0.35">
      <c r="A8773" s="5" t="str">
        <f t="shared" si="4518"/>
        <v>Agency</v>
      </c>
      <c r="B8773" s="3" t="str">
        <f t="shared" ref="B8773:B8774" si="4530">CHOOSE(2, "1395000000535", "Avg. Case count per 1-Month Active Agent Top-tier agents")</f>
        <v>Avg. Case count per 1-Month Active Agent Top-tier agents</v>
      </c>
      <c r="C8773" s="4" t="str">
        <f>CHOOSE(2, "5461730030", "Jun 26")</f>
        <v>Jun 26</v>
      </c>
      <c r="D8773" s="14">
        <v>3.8148148148148149</v>
      </c>
    </row>
    <row r="8774" spans="1:4" x14ac:dyDescent="0.35">
      <c r="A8774" s="5" t="str">
        <f t="shared" si="4518"/>
        <v>Agency</v>
      </c>
      <c r="B8774" s="6" t="str">
        <f t="shared" si="4530"/>
        <v>Avg. Case count per 1-Month Active Agent Top-tier agents</v>
      </c>
      <c r="C8774" s="4" t="str">
        <f>CHOOSE(2, "5462030031", "Jul 26")</f>
        <v>Jul 26</v>
      </c>
      <c r="D8774" s="14">
        <v>2.1111111111111112</v>
      </c>
    </row>
    <row r="8775" spans="1:4" x14ac:dyDescent="0.35">
      <c r="A8775" s="5" t="str">
        <f t="shared" si="4518"/>
        <v>Agency</v>
      </c>
      <c r="B8775" s="3" t="str">
        <f t="shared" ref="B8775:B8776" si="4531">CHOOSE(2, "1395000000534", "Avg. Case count per 1-Month Manulife Pro Qualifiers - Total")</f>
        <v>Avg. Case count per 1-Month Manulife Pro Qualifiers - Total</v>
      </c>
      <c r="C8775" s="4" t="str">
        <f>CHOOSE(2, "5461730030", "Jun 26")</f>
        <v>Jun 26</v>
      </c>
      <c r="D8775" s="14">
        <v>0</v>
      </c>
    </row>
    <row r="8776" spans="1:4" x14ac:dyDescent="0.35">
      <c r="A8776" s="5" t="str">
        <f t="shared" si="4518"/>
        <v>Agency</v>
      </c>
      <c r="B8776" s="6" t="str">
        <f t="shared" si="4531"/>
        <v>Avg. Case count per 1-Month Manulife Pro Qualifiers - Total</v>
      </c>
      <c r="C8776" s="4" t="str">
        <f>CHOOSE(2, "5462030031", "Jul 26")</f>
        <v>Jul 26</v>
      </c>
      <c r="D8776" s="14">
        <v>0</v>
      </c>
    </row>
    <row r="8777" spans="1:4" x14ac:dyDescent="0.35">
      <c r="A8777" s="5" t="str">
        <f t="shared" si="4518"/>
        <v>Agency</v>
      </c>
      <c r="B8777" s="3" t="str">
        <f t="shared" ref="B8777:B8778" si="4532">CHOOSE(2, "1395000000533", "Avg. Case count per 1-Month Active Agent FA or equivalent")</f>
        <v>Avg. Case count per 1-Month Active Agent FA or equivalent</v>
      </c>
      <c r="C8777" s="4" t="str">
        <f>CHOOSE(2, "5461730030", "Jun 26")</f>
        <v>Jun 26</v>
      </c>
      <c r="D8777" s="14">
        <v>1.5419847328244274</v>
      </c>
    </row>
    <row r="8778" spans="1:4" x14ac:dyDescent="0.35">
      <c r="A8778" s="5" t="str">
        <f t="shared" si="4518"/>
        <v>Agency</v>
      </c>
      <c r="B8778" s="6" t="str">
        <f t="shared" si="4532"/>
        <v>Avg. Case count per 1-Month Active Agent FA or equivalent</v>
      </c>
      <c r="C8778" s="4" t="str">
        <f>CHOOSE(2, "5462030031", "Jul 26")</f>
        <v>Jul 26</v>
      </c>
      <c r="D8778" s="14">
        <v>1.2782608695652173</v>
      </c>
    </row>
    <row r="8779" spans="1:4" x14ac:dyDescent="0.35">
      <c r="A8779" s="5" t="str">
        <f t="shared" si="4518"/>
        <v>Agency</v>
      </c>
      <c r="B8779" s="3" t="str">
        <f t="shared" ref="B8779:B8780" si="4533">CHOOSE(2, "1395000000532", "Avg. Case count per 1-Month pro-rated MDRT agents (&gt;100%)")</f>
        <v>Avg. Case count per 1-Month pro-rated MDRT agents (&gt;100%)</v>
      </c>
      <c r="C8779" s="4" t="str">
        <f>CHOOSE(2, "5461730030", "Jun 26")</f>
        <v>Jun 26</v>
      </c>
      <c r="D8779" s="14">
        <v>4.75</v>
      </c>
    </row>
    <row r="8780" spans="1:4" x14ac:dyDescent="0.35">
      <c r="A8780" s="5" t="str">
        <f t="shared" si="4518"/>
        <v>Agency</v>
      </c>
      <c r="B8780" s="6" t="str">
        <f t="shared" si="4533"/>
        <v>Avg. Case count per 1-Month pro-rated MDRT agents (&gt;100%)</v>
      </c>
      <c r="C8780" s="4" t="str">
        <f>CHOOSE(2, "5462030031", "Jul 26")</f>
        <v>Jul 26</v>
      </c>
      <c r="D8780" s="14">
        <v>2.6666666666666665</v>
      </c>
    </row>
    <row r="8781" spans="1:4" x14ac:dyDescent="0.35">
      <c r="A8781" s="5" t="str">
        <f t="shared" si="4518"/>
        <v>Agency</v>
      </c>
      <c r="B8781" s="3" t="str">
        <f t="shared" ref="B8781:B8782" si="4534">CHOOSE(2, "1395000000531", "Avg. Case count per 1-Month pro-rated MDRT agents (70-99%)")</f>
        <v>Avg. Case count per 1-Month pro-rated MDRT agents (70-99%)</v>
      </c>
      <c r="C8781" s="4" t="str">
        <f>CHOOSE(2, "5461730030", "Jun 26")</f>
        <v>Jun 26</v>
      </c>
      <c r="D8781" s="14">
        <v>4.5</v>
      </c>
    </row>
    <row r="8782" spans="1:4" x14ac:dyDescent="0.35">
      <c r="A8782" s="5" t="str">
        <f t="shared" si="4518"/>
        <v>Agency</v>
      </c>
      <c r="B8782" s="6" t="str">
        <f t="shared" si="4534"/>
        <v>Avg. Case count per 1-Month pro-rated MDRT agents (70-99%)</v>
      </c>
      <c r="C8782" s="4" t="str">
        <f>CHOOSE(2, "5462030031", "Jul 26")</f>
        <v>Jul 26</v>
      </c>
      <c r="D8782" s="14">
        <v>1.4444444444444444</v>
      </c>
    </row>
    <row r="8783" spans="1:4" x14ac:dyDescent="0.35">
      <c r="A8783" s="5" t="str">
        <f t="shared" si="4518"/>
        <v>Agency</v>
      </c>
      <c r="B8783" s="3" t="str">
        <f t="shared" ref="B8783:B8784" si="4535">CHOOSE(2, "1395000000530", "Avg. Case count per 1-Month pro-rated MDRT agents (50-69%)")</f>
        <v>Avg. Case count per 1-Month pro-rated MDRT agents (50-69%)</v>
      </c>
      <c r="C8783" s="4" t="str">
        <f>CHOOSE(2, "5461730030", "Jun 26")</f>
        <v>Jun 26</v>
      </c>
      <c r="D8783" s="14">
        <v>2.2222222222222223</v>
      </c>
    </row>
    <row r="8784" spans="1:4" x14ac:dyDescent="0.35">
      <c r="A8784" s="6" t="str">
        <f t="shared" si="4518"/>
        <v>Agency</v>
      </c>
      <c r="B8784" s="6" t="str">
        <f t="shared" si="4535"/>
        <v>Avg. Case count per 1-Month pro-rated MDRT agents (50-69%)</v>
      </c>
      <c r="C8784" s="4" t="str">
        <f>CHOOSE(2, "5462030031", "Jul 26")</f>
        <v>Jul 26</v>
      </c>
      <c r="D8784" s="14">
        <v>2</v>
      </c>
    </row>
    <row r="8785" spans="1:4" x14ac:dyDescent="0.35">
      <c r="A8785" s="7" t="str">
        <f t="shared" ref="A8785:A8848" si="4536">CHOOSE(2, "204000000010", "Myanmar")</f>
        <v>Myanmar</v>
      </c>
      <c r="B8785" s="3" t="str">
        <f t="shared" ref="B8785:B8786" si="4537">CHOOSE(2, "1395000000741", "Submitted APE")</f>
        <v>Submitted APE</v>
      </c>
      <c r="C8785" s="4" t="str">
        <f>CHOOSE(2, "5461730030", "Jun 26")</f>
        <v>Jun 26</v>
      </c>
      <c r="D8785" s="14">
        <v>202.64676032608</v>
      </c>
    </row>
    <row r="8786" spans="1:4" x14ac:dyDescent="0.35">
      <c r="A8786" s="8" t="str">
        <f t="shared" si="4536"/>
        <v>Myanmar</v>
      </c>
      <c r="B8786" s="6" t="str">
        <f t="shared" si="4537"/>
        <v>Submitted APE</v>
      </c>
      <c r="C8786" s="4" t="str">
        <f>CHOOSE(2, "5462030031", "Jul 26")</f>
        <v>Jul 26</v>
      </c>
      <c r="D8786" s="14">
        <v>111.24327168528001</v>
      </c>
    </row>
    <row r="8787" spans="1:4" x14ac:dyDescent="0.35">
      <c r="A8787" s="8" t="str">
        <f t="shared" si="4536"/>
        <v>Myanmar</v>
      </c>
      <c r="B8787" s="3" t="str">
        <f t="shared" ref="B8787:B8788" si="4538">CHOOSE(2, "1395000000740", "# of 1-Month Active Agents")</f>
        <v># of 1-Month Active Agents</v>
      </c>
      <c r="C8787" s="4" t="str">
        <f>CHOOSE(2, "5461730030", "Jun 26")</f>
        <v>Jun 26</v>
      </c>
      <c r="D8787" s="14">
        <v>181</v>
      </c>
    </row>
    <row r="8788" spans="1:4" x14ac:dyDescent="0.35">
      <c r="A8788" s="8" t="str">
        <f t="shared" si="4536"/>
        <v>Myanmar</v>
      </c>
      <c r="B8788" s="6" t="str">
        <f t="shared" si="4538"/>
        <v># of 1-Month Active Agents</v>
      </c>
      <c r="C8788" s="4" t="str">
        <f>CHOOSE(2, "5462030031", "Jul 26")</f>
        <v>Jul 26</v>
      </c>
      <c r="D8788" s="14">
        <v>171</v>
      </c>
    </row>
    <row r="8789" spans="1:4" x14ac:dyDescent="0.35">
      <c r="A8789" s="8" t="str">
        <f t="shared" si="4536"/>
        <v>Myanmar</v>
      </c>
      <c r="B8789" s="3" t="str">
        <f t="shared" ref="B8789:B8790" si="4539">CHOOSE(2, "1395000000739", "# of 1-Month Active Agents in 0-1M")</f>
        <v># of 1-Month Active Agents in 0-1M</v>
      </c>
      <c r="C8789" s="4" t="str">
        <f>CHOOSE(2, "5461730030", "Jun 26")</f>
        <v>Jun 26</v>
      </c>
      <c r="D8789" s="14">
        <v>1</v>
      </c>
    </row>
    <row r="8790" spans="1:4" x14ac:dyDescent="0.35">
      <c r="A8790" s="8" t="str">
        <f t="shared" si="4536"/>
        <v>Myanmar</v>
      </c>
      <c r="B8790" s="6" t="str">
        <f t="shared" si="4539"/>
        <v># of 1-Month Active Agents in 0-1M</v>
      </c>
      <c r="C8790" s="4" t="str">
        <f>CHOOSE(2, "5462030031", "Jul 26")</f>
        <v>Jul 26</v>
      </c>
      <c r="D8790" s="14">
        <v>6</v>
      </c>
    </row>
    <row r="8791" spans="1:4" x14ac:dyDescent="0.35">
      <c r="A8791" s="8" t="str">
        <f t="shared" si="4536"/>
        <v>Myanmar</v>
      </c>
      <c r="B8791" s="3" t="str">
        <f t="shared" ref="B8791:B8792" si="4540">CHOOSE(2, "1395000000738", "# of 1-Month Active Agents in 2-3M")</f>
        <v># of 1-Month Active Agents in 2-3M</v>
      </c>
      <c r="C8791" s="4" t="str">
        <f>CHOOSE(2, "5461730030", "Jun 26")</f>
        <v>Jun 26</v>
      </c>
      <c r="D8791" s="14">
        <v>13</v>
      </c>
    </row>
    <row r="8792" spans="1:4" x14ac:dyDescent="0.35">
      <c r="A8792" s="8" t="str">
        <f t="shared" si="4536"/>
        <v>Myanmar</v>
      </c>
      <c r="B8792" s="6" t="str">
        <f t="shared" si="4540"/>
        <v># of 1-Month Active Agents in 2-3M</v>
      </c>
      <c r="C8792" s="4" t="str">
        <f>CHOOSE(2, "5462030031", "Jul 26")</f>
        <v>Jul 26</v>
      </c>
      <c r="D8792" s="14">
        <v>20</v>
      </c>
    </row>
    <row r="8793" spans="1:4" x14ac:dyDescent="0.35">
      <c r="A8793" s="8" t="str">
        <f t="shared" si="4536"/>
        <v>Myanmar</v>
      </c>
      <c r="B8793" s="3" t="str">
        <f t="shared" ref="B8793:B8794" si="4541">CHOOSE(2, "1395000000737", "# of 1-Month Active Agents in 4-12M")</f>
        <v># of 1-Month Active Agents in 4-12M</v>
      </c>
      <c r="C8793" s="4" t="str">
        <f>CHOOSE(2, "5461730030", "Jun 26")</f>
        <v>Jun 26</v>
      </c>
      <c r="D8793" s="14">
        <v>77</v>
      </c>
    </row>
    <row r="8794" spans="1:4" x14ac:dyDescent="0.35">
      <c r="A8794" s="8" t="str">
        <f t="shared" si="4536"/>
        <v>Myanmar</v>
      </c>
      <c r="B8794" s="6" t="str">
        <f t="shared" si="4541"/>
        <v># of 1-Month Active Agents in 4-12M</v>
      </c>
      <c r="C8794" s="4" t="str">
        <f>CHOOSE(2, "5462030031", "Jul 26")</f>
        <v>Jul 26</v>
      </c>
      <c r="D8794" s="14">
        <v>58</v>
      </c>
    </row>
    <row r="8795" spans="1:4" x14ac:dyDescent="0.35">
      <c r="A8795" s="8" t="str">
        <f t="shared" si="4536"/>
        <v>Myanmar</v>
      </c>
      <c r="B8795" s="3" t="str">
        <f t="shared" ref="B8795:B8796" si="4542">CHOOSE(2, "1395000000736", "# of 1-Month Active Agents 13+M")</f>
        <v># of 1-Month Active Agents 13+M</v>
      </c>
      <c r="C8795" s="4" t="str">
        <f>CHOOSE(2, "5461730030", "Jun 26")</f>
        <v>Jun 26</v>
      </c>
      <c r="D8795" s="14">
        <v>90</v>
      </c>
    </row>
    <row r="8796" spans="1:4" x14ac:dyDescent="0.35">
      <c r="A8796" s="8" t="str">
        <f t="shared" si="4536"/>
        <v>Myanmar</v>
      </c>
      <c r="B8796" s="6" t="str">
        <f t="shared" si="4542"/>
        <v># of 1-Month Active Agents 13+M</v>
      </c>
      <c r="C8796" s="4" t="str">
        <f>CHOOSE(2, "5462030031", "Jul 26")</f>
        <v>Jul 26</v>
      </c>
      <c r="D8796" s="14">
        <v>87</v>
      </c>
    </row>
    <row r="8797" spans="1:4" x14ac:dyDescent="0.35">
      <c r="A8797" s="8" t="str">
        <f t="shared" si="4536"/>
        <v>Myanmar</v>
      </c>
      <c r="B8797" s="3" t="str">
        <f t="shared" ref="B8797:B8798" si="4543">CHOOSE(2, "1395000000735", "# of 1-Month Active Agents in FA or equivalent")</f>
        <v># of 1-Month Active Agents in FA or equivalent</v>
      </c>
      <c r="C8797" s="4" t="str">
        <f>CHOOSE(2, "5461730030", "Jun 26")</f>
        <v>Jun 26</v>
      </c>
      <c r="D8797" s="14">
        <v>131</v>
      </c>
    </row>
    <row r="8798" spans="1:4" x14ac:dyDescent="0.35">
      <c r="A8798" s="8" t="str">
        <f t="shared" si="4536"/>
        <v>Myanmar</v>
      </c>
      <c r="B8798" s="6" t="str">
        <f t="shared" si="4543"/>
        <v># of 1-Month Active Agents in FA or equivalent</v>
      </c>
      <c r="C8798" s="4" t="str">
        <f>CHOOSE(2, "5462030031", "Jul 26")</f>
        <v>Jul 26</v>
      </c>
      <c r="D8798" s="14">
        <v>115</v>
      </c>
    </row>
    <row r="8799" spans="1:4" x14ac:dyDescent="0.35">
      <c r="A8799" s="8" t="str">
        <f t="shared" si="4536"/>
        <v>Myanmar</v>
      </c>
      <c r="B8799" s="3" t="str">
        <f t="shared" ref="B8799:B8800" si="4544">CHOOSE(2, "1395000000734", "# of 1-Month Active Agents in UM")</f>
        <v># of 1-Month Active Agents in UM</v>
      </c>
      <c r="C8799" s="4" t="str">
        <f>CHOOSE(2, "5461730030", "Jun 26")</f>
        <v>Jun 26</v>
      </c>
      <c r="D8799" s="14">
        <v>42</v>
      </c>
    </row>
    <row r="8800" spans="1:4" x14ac:dyDescent="0.35">
      <c r="A8800" s="8" t="str">
        <f t="shared" si="4536"/>
        <v>Myanmar</v>
      </c>
      <c r="B8800" s="6" t="str">
        <f t="shared" si="4544"/>
        <v># of 1-Month Active Agents in UM</v>
      </c>
      <c r="C8800" s="4" t="str">
        <f>CHOOSE(2, "5462030031", "Jul 26")</f>
        <v>Jul 26</v>
      </c>
      <c r="D8800" s="14">
        <v>44</v>
      </c>
    </row>
    <row r="8801" spans="1:4" x14ac:dyDescent="0.35">
      <c r="A8801" s="8" t="str">
        <f t="shared" si="4536"/>
        <v>Myanmar</v>
      </c>
      <c r="B8801" s="3" t="str">
        <f t="shared" ref="B8801:B8802" si="4545">CHOOSE(2, "1395000000733", "# of 1-Month Active Agents in Leaders above UM")</f>
        <v># of 1-Month Active Agents in Leaders above UM</v>
      </c>
      <c r="C8801" s="4" t="str">
        <f>CHOOSE(2, "5461730030", "Jun 26")</f>
        <v>Jun 26</v>
      </c>
      <c r="D8801" s="14">
        <v>8</v>
      </c>
    </row>
    <row r="8802" spans="1:4" x14ac:dyDescent="0.35">
      <c r="A8802" s="8" t="str">
        <f t="shared" si="4536"/>
        <v>Myanmar</v>
      </c>
      <c r="B8802" s="6" t="str">
        <f t="shared" si="4545"/>
        <v># of 1-Month Active Agents in Leaders above UM</v>
      </c>
      <c r="C8802" s="4" t="str">
        <f>CHOOSE(2, "5462030031", "Jul 26")</f>
        <v>Jul 26</v>
      </c>
      <c r="D8802" s="14">
        <v>12</v>
      </c>
    </row>
    <row r="8803" spans="1:4" x14ac:dyDescent="0.35">
      <c r="A8803" s="8" t="str">
        <f t="shared" si="4536"/>
        <v>Myanmar</v>
      </c>
      <c r="B8803" s="3" t="str">
        <f t="shared" ref="B8803:B8804" si="4546">CHOOSE(2, "1395000000732", "# of 1-Month Active Top-tier Agents")</f>
        <v># of 1-Month Active Top-tier Agents</v>
      </c>
      <c r="C8803" s="4" t="str">
        <f>CHOOSE(2, "5461730030", "Jun 26")</f>
        <v>Jun 26</v>
      </c>
      <c r="D8803" s="14">
        <v>27</v>
      </c>
    </row>
    <row r="8804" spans="1:4" x14ac:dyDescent="0.35">
      <c r="A8804" s="8" t="str">
        <f t="shared" si="4536"/>
        <v>Myanmar</v>
      </c>
      <c r="B8804" s="6" t="str">
        <f t="shared" si="4546"/>
        <v># of 1-Month Active Top-tier Agents</v>
      </c>
      <c r="C8804" s="4" t="str">
        <f>CHOOSE(2, "5462030031", "Jul 26")</f>
        <v>Jul 26</v>
      </c>
      <c r="D8804" s="14">
        <v>27</v>
      </c>
    </row>
    <row r="8805" spans="1:4" x14ac:dyDescent="0.35">
      <c r="A8805" s="8" t="str">
        <f t="shared" si="4536"/>
        <v>Myanmar</v>
      </c>
      <c r="B8805" s="3" t="str">
        <f t="shared" ref="B8805:B8806" si="4547">CHOOSE(2, "1395000000731", "# of 1-Month Active Agents in pro-rated MDRT agents (&gt;100%)")</f>
        <v># of 1-Month Active Agents in pro-rated MDRT agents (&gt;100%)</v>
      </c>
      <c r="C8805" s="4" t="str">
        <f>CHOOSE(2, "5461730030", "Jun 26")</f>
        <v>Jun 26</v>
      </c>
      <c r="D8805" s="14">
        <v>8</v>
      </c>
    </row>
    <row r="8806" spans="1:4" x14ac:dyDescent="0.35">
      <c r="A8806" s="8" t="str">
        <f t="shared" si="4536"/>
        <v>Myanmar</v>
      </c>
      <c r="B8806" s="6" t="str">
        <f t="shared" si="4547"/>
        <v># of 1-Month Active Agents in pro-rated MDRT agents (&gt;100%)</v>
      </c>
      <c r="C8806" s="4" t="str">
        <f>CHOOSE(2, "5462030031", "Jul 26")</f>
        <v>Jul 26</v>
      </c>
      <c r="D8806" s="14">
        <v>12</v>
      </c>
    </row>
    <row r="8807" spans="1:4" x14ac:dyDescent="0.35">
      <c r="A8807" s="8" t="str">
        <f t="shared" si="4536"/>
        <v>Myanmar</v>
      </c>
      <c r="B8807" s="3" t="str">
        <f t="shared" ref="B8807:B8808" si="4548">CHOOSE(2, "1395000000730", "# of 1-Month Active Agents in pro-rated MDRT agents (70-99%)")</f>
        <v># of 1-Month Active Agents in pro-rated MDRT agents (70-99%)</v>
      </c>
      <c r="C8807" s="4" t="str">
        <f>CHOOSE(2, "5461730030", "Jun 26")</f>
        <v>Jun 26</v>
      </c>
      <c r="D8807" s="14">
        <v>10</v>
      </c>
    </row>
    <row r="8808" spans="1:4" x14ac:dyDescent="0.35">
      <c r="A8808" s="8" t="str">
        <f t="shared" si="4536"/>
        <v>Myanmar</v>
      </c>
      <c r="B8808" s="6" t="str">
        <f t="shared" si="4548"/>
        <v># of 1-Month Active Agents in pro-rated MDRT agents (70-99%)</v>
      </c>
      <c r="C8808" s="4" t="str">
        <f>CHOOSE(2, "5462030031", "Jul 26")</f>
        <v>Jul 26</v>
      </c>
      <c r="D8808" s="14">
        <v>9</v>
      </c>
    </row>
    <row r="8809" spans="1:4" x14ac:dyDescent="0.35">
      <c r="A8809" s="8" t="str">
        <f t="shared" si="4536"/>
        <v>Myanmar</v>
      </c>
      <c r="B8809" s="3" t="str">
        <f t="shared" ref="B8809:B8810" si="4549">CHOOSE(2, "1395000000729", "# of 1-Month Active Agents in pro-rated MDRT agents (50-69%)")</f>
        <v># of 1-Month Active Agents in pro-rated MDRT agents (50-69%)</v>
      </c>
      <c r="C8809" s="4" t="str">
        <f>CHOOSE(2, "5461730030", "Jun 26")</f>
        <v>Jun 26</v>
      </c>
      <c r="D8809" s="14">
        <v>9</v>
      </c>
    </row>
    <row r="8810" spans="1:4" x14ac:dyDescent="0.35">
      <c r="A8810" s="8" t="str">
        <f t="shared" si="4536"/>
        <v>Myanmar</v>
      </c>
      <c r="B8810" s="6" t="str">
        <f t="shared" si="4549"/>
        <v># of 1-Month Active Agents in pro-rated MDRT agents (50-69%)</v>
      </c>
      <c r="C8810" s="4" t="str">
        <f>CHOOSE(2, "5462030031", "Jul 26")</f>
        <v>Jul 26</v>
      </c>
      <c r="D8810" s="14">
        <v>6</v>
      </c>
    </row>
    <row r="8811" spans="1:4" x14ac:dyDescent="0.35">
      <c r="A8811" s="8" t="str">
        <f t="shared" si="4536"/>
        <v>Myanmar</v>
      </c>
      <c r="B8811" s="3" t="str">
        <f t="shared" ref="B8811:B8812" si="4550">CHOOSE(2, "1395000000728", "# of 1-Month Active Agents in Manulife Pro Qualifiers -Total")</f>
        <v># of 1-Month Active Agents in Manulife Pro Qualifiers -Total</v>
      </c>
      <c r="C8811" s="4" t="str">
        <f>CHOOSE(2, "5461730030", "Jun 26")</f>
        <v>Jun 26</v>
      </c>
      <c r="D8811" s="2" t="s">
        <v>5</v>
      </c>
    </row>
    <row r="8812" spans="1:4" x14ac:dyDescent="0.35">
      <c r="A8812" s="8" t="str">
        <f t="shared" si="4536"/>
        <v>Myanmar</v>
      </c>
      <c r="B8812" s="6" t="str">
        <f t="shared" si="4550"/>
        <v># of 1-Month Active Agents in Manulife Pro Qualifiers -Total</v>
      </c>
      <c r="C8812" s="4" t="str">
        <f>CHOOSE(2, "5462030031", "Jul 26")</f>
        <v>Jul 26</v>
      </c>
      <c r="D8812" s="2" t="s">
        <v>5</v>
      </c>
    </row>
    <row r="8813" spans="1:4" x14ac:dyDescent="0.35">
      <c r="A8813" s="8" t="str">
        <f t="shared" si="4536"/>
        <v>Myanmar</v>
      </c>
      <c r="B8813" s="3" t="str">
        <f t="shared" ref="B8813:B8814" si="4551">CHOOSE(2, "1395000000727", "# of 3-Month Active Agents")</f>
        <v># of 3-Month Active Agents</v>
      </c>
      <c r="C8813" s="4" t="str">
        <f>CHOOSE(2, "5461730030", "Jun 26")</f>
        <v>Jun 26</v>
      </c>
      <c r="D8813" s="14">
        <v>271</v>
      </c>
    </row>
    <row r="8814" spans="1:4" x14ac:dyDescent="0.35">
      <c r="A8814" s="8" t="str">
        <f t="shared" si="4536"/>
        <v>Myanmar</v>
      </c>
      <c r="B8814" s="6" t="str">
        <f t="shared" si="4551"/>
        <v># of 3-Month Active Agents</v>
      </c>
      <c r="C8814" s="4" t="str">
        <f>CHOOSE(2, "5462030031", "Jul 26")</f>
        <v>Jul 26</v>
      </c>
      <c r="D8814" s="14">
        <v>306</v>
      </c>
    </row>
    <row r="8815" spans="1:4" x14ac:dyDescent="0.35">
      <c r="A8815" s="8" t="str">
        <f t="shared" si="4536"/>
        <v>Myanmar</v>
      </c>
      <c r="B8815" s="3" t="str">
        <f t="shared" ref="B8815:B8816" si="4552">CHOOSE(2, "1395000000726", "# of 3-Month Active Agents in 0-1M")</f>
        <v># of 3-Month Active Agents in 0-1M</v>
      </c>
      <c r="C8815" s="4" t="str">
        <f>CHOOSE(2, "5461730030", "Jun 26")</f>
        <v>Jun 26</v>
      </c>
      <c r="D8815" s="14">
        <v>1</v>
      </c>
    </row>
    <row r="8816" spans="1:4" x14ac:dyDescent="0.35">
      <c r="A8816" s="8" t="str">
        <f t="shared" si="4536"/>
        <v>Myanmar</v>
      </c>
      <c r="B8816" s="6" t="str">
        <f t="shared" si="4552"/>
        <v># of 3-Month Active Agents in 0-1M</v>
      </c>
      <c r="C8816" s="4" t="str">
        <f>CHOOSE(2, "5462030031", "Jul 26")</f>
        <v>Jul 26</v>
      </c>
      <c r="D8816" s="14">
        <v>6</v>
      </c>
    </row>
    <row r="8817" spans="1:4" x14ac:dyDescent="0.35">
      <c r="A8817" s="8" t="str">
        <f t="shared" si="4536"/>
        <v>Myanmar</v>
      </c>
      <c r="B8817" s="3" t="str">
        <f t="shared" ref="B8817:B8818" si="4553">CHOOSE(2, "1395000000725", "# of 3-Month Active Agents in 2-3M")</f>
        <v># of 3-Month Active Agents in 2-3M</v>
      </c>
      <c r="C8817" s="4" t="str">
        <f>CHOOSE(2, "5461730030", "Jun 26")</f>
        <v>Jun 26</v>
      </c>
      <c r="D8817" s="14">
        <v>19</v>
      </c>
    </row>
    <row r="8818" spans="1:4" x14ac:dyDescent="0.35">
      <c r="A8818" s="8" t="str">
        <f t="shared" si="4536"/>
        <v>Myanmar</v>
      </c>
      <c r="B8818" s="6" t="str">
        <f t="shared" si="4553"/>
        <v># of 3-Month Active Agents in 2-3M</v>
      </c>
      <c r="C8818" s="4" t="str">
        <f>CHOOSE(2, "5462030031", "Jul 26")</f>
        <v>Jul 26</v>
      </c>
      <c r="D8818" s="14">
        <v>23</v>
      </c>
    </row>
    <row r="8819" spans="1:4" x14ac:dyDescent="0.35">
      <c r="A8819" s="8" t="str">
        <f t="shared" si="4536"/>
        <v>Myanmar</v>
      </c>
      <c r="B8819" s="3" t="str">
        <f t="shared" ref="B8819:B8820" si="4554">CHOOSE(2, "1395000000724", "# of 3-Month Active Agents in 4-12M")</f>
        <v># of 3-Month Active Agents in 4-12M</v>
      </c>
      <c r="C8819" s="4" t="str">
        <f>CHOOSE(2, "5461730030", "Jun 26")</f>
        <v>Jun 26</v>
      </c>
      <c r="D8819" s="14">
        <v>122</v>
      </c>
    </row>
    <row r="8820" spans="1:4" x14ac:dyDescent="0.35">
      <c r="A8820" s="8" t="str">
        <f t="shared" si="4536"/>
        <v>Myanmar</v>
      </c>
      <c r="B8820" s="6" t="str">
        <f t="shared" si="4554"/>
        <v># of 3-Month Active Agents in 4-12M</v>
      </c>
      <c r="C8820" s="4" t="str">
        <f>CHOOSE(2, "5462030031", "Jul 26")</f>
        <v>Jul 26</v>
      </c>
      <c r="D8820" s="14">
        <v>116</v>
      </c>
    </row>
    <row r="8821" spans="1:4" x14ac:dyDescent="0.35">
      <c r="A8821" s="8" t="str">
        <f t="shared" si="4536"/>
        <v>Myanmar</v>
      </c>
      <c r="B8821" s="3" t="str">
        <f t="shared" ref="B8821:B8822" si="4555">CHOOSE(2, "1395000000723", "# of 3-Month Active Agents 13+M")</f>
        <v># of 3-Month Active Agents 13+M</v>
      </c>
      <c r="C8821" s="4" t="str">
        <f>CHOOSE(2, "5461730030", "Jun 26")</f>
        <v>Jun 26</v>
      </c>
      <c r="D8821" s="14">
        <v>129</v>
      </c>
    </row>
    <row r="8822" spans="1:4" x14ac:dyDescent="0.35">
      <c r="A8822" s="8" t="str">
        <f t="shared" si="4536"/>
        <v>Myanmar</v>
      </c>
      <c r="B8822" s="6" t="str">
        <f t="shared" si="4555"/>
        <v># of 3-Month Active Agents 13+M</v>
      </c>
      <c r="C8822" s="4" t="str">
        <f>CHOOSE(2, "5462030031", "Jul 26")</f>
        <v>Jul 26</v>
      </c>
      <c r="D8822" s="14">
        <v>161</v>
      </c>
    </row>
    <row r="8823" spans="1:4" x14ac:dyDescent="0.35">
      <c r="A8823" s="8" t="str">
        <f t="shared" si="4536"/>
        <v>Myanmar</v>
      </c>
      <c r="B8823" s="3" t="str">
        <f t="shared" ref="B8823:B8824" si="4556">CHOOSE(2, "1395000000722", "# of 3-Month Active Agents in UM")</f>
        <v># of 3-Month Active Agents in UM</v>
      </c>
      <c r="C8823" s="4" t="str">
        <f>CHOOSE(2, "5461730030", "Jun 26")</f>
        <v>Jun 26</v>
      </c>
      <c r="D8823" s="2" t="s">
        <v>5</v>
      </c>
    </row>
    <row r="8824" spans="1:4" x14ac:dyDescent="0.35">
      <c r="A8824" s="8" t="str">
        <f t="shared" si="4536"/>
        <v>Myanmar</v>
      </c>
      <c r="B8824" s="6" t="str">
        <f t="shared" si="4556"/>
        <v># of 3-Month Active Agents in UM</v>
      </c>
      <c r="C8824" s="4" t="str">
        <f>CHOOSE(2, "5462030031", "Jul 26")</f>
        <v>Jul 26</v>
      </c>
      <c r="D8824" s="2" t="s">
        <v>5</v>
      </c>
    </row>
    <row r="8825" spans="1:4" x14ac:dyDescent="0.35">
      <c r="A8825" s="8" t="str">
        <f t="shared" si="4536"/>
        <v>Myanmar</v>
      </c>
      <c r="B8825" s="3" t="str">
        <f t="shared" ref="B8825:B8826" si="4557">CHOOSE(2, "1395000000721", "# of 3-Month Active Agents in Leaders above UM")</f>
        <v># of 3-Month Active Agents in Leaders above UM</v>
      </c>
      <c r="C8825" s="4" t="str">
        <f>CHOOSE(2, "5461730030", "Jun 26")</f>
        <v>Jun 26</v>
      </c>
      <c r="D8825" s="2" t="s">
        <v>5</v>
      </c>
    </row>
    <row r="8826" spans="1:4" x14ac:dyDescent="0.35">
      <c r="A8826" s="8" t="str">
        <f t="shared" si="4536"/>
        <v>Myanmar</v>
      </c>
      <c r="B8826" s="6" t="str">
        <f t="shared" si="4557"/>
        <v># of 3-Month Active Agents in Leaders above UM</v>
      </c>
      <c r="C8826" s="4" t="str">
        <f>CHOOSE(2, "5462030031", "Jul 26")</f>
        <v>Jul 26</v>
      </c>
      <c r="D8826" s="2" t="s">
        <v>5</v>
      </c>
    </row>
    <row r="8827" spans="1:4" x14ac:dyDescent="0.35">
      <c r="A8827" s="8" t="str">
        <f t="shared" si="4536"/>
        <v>Myanmar</v>
      </c>
      <c r="B8827" s="3" t="str">
        <f t="shared" ref="B8827:B8828" si="4558">CHOOSE(2, "1395000000720", "# of 3-Month Active Agents in FA or equivalent")</f>
        <v># of 3-Month Active Agents in FA or equivalent</v>
      </c>
      <c r="C8827" s="4" t="str">
        <f>CHOOSE(2, "5461730030", "Jun 26")</f>
        <v>Jun 26</v>
      </c>
      <c r="D8827" s="2" t="s">
        <v>5</v>
      </c>
    </row>
    <row r="8828" spans="1:4" x14ac:dyDescent="0.35">
      <c r="A8828" s="8" t="str">
        <f t="shared" si="4536"/>
        <v>Myanmar</v>
      </c>
      <c r="B8828" s="6" t="str">
        <f t="shared" si="4558"/>
        <v># of 3-Month Active Agents in FA or equivalent</v>
      </c>
      <c r="C8828" s="4" t="str">
        <f>CHOOSE(2, "5462030031", "Jul 26")</f>
        <v>Jul 26</v>
      </c>
      <c r="D8828" s="2" t="s">
        <v>5</v>
      </c>
    </row>
    <row r="8829" spans="1:4" x14ac:dyDescent="0.35">
      <c r="A8829" s="8" t="str">
        <f t="shared" si="4536"/>
        <v>Myanmar</v>
      </c>
      <c r="B8829" s="3" t="str">
        <f t="shared" ref="B8829:B8830" si="4559">CHOOSE(2, "1395000000719", "Net Case Count - Agency")</f>
        <v>Net Case Count - Agency</v>
      </c>
      <c r="C8829" s="4" t="str">
        <f>CHOOSE(2, "5461730030", "Jun 26")</f>
        <v>Jun 26</v>
      </c>
      <c r="D8829" s="14">
        <v>306</v>
      </c>
    </row>
    <row r="8830" spans="1:4" x14ac:dyDescent="0.35">
      <c r="A8830" s="8" t="str">
        <f t="shared" si="4536"/>
        <v>Myanmar</v>
      </c>
      <c r="B8830" s="6" t="str">
        <f t="shared" si="4559"/>
        <v>Net Case Count - Agency</v>
      </c>
      <c r="C8830" s="4" t="str">
        <f>CHOOSE(2, "5462030031", "Jul 26")</f>
        <v>Jul 26</v>
      </c>
      <c r="D8830" s="14">
        <v>247</v>
      </c>
    </row>
    <row r="8831" spans="1:4" x14ac:dyDescent="0.35">
      <c r="A8831" s="8" t="str">
        <f t="shared" si="4536"/>
        <v>Myanmar</v>
      </c>
      <c r="B8831" s="3" t="str">
        <f t="shared" ref="B8831:B8832" si="4560">CHOOSE(2, "1395000000718", "Net Case Count - Agency in 0-1M")</f>
        <v>Net Case Count - Agency in 0-1M</v>
      </c>
      <c r="C8831" s="4" t="str">
        <f>CHOOSE(2, "5461730030", "Jun 26")</f>
        <v>Jun 26</v>
      </c>
      <c r="D8831" s="14">
        <v>1</v>
      </c>
    </row>
    <row r="8832" spans="1:4" x14ac:dyDescent="0.35">
      <c r="A8832" s="8" t="str">
        <f t="shared" si="4536"/>
        <v>Myanmar</v>
      </c>
      <c r="B8832" s="6" t="str">
        <f t="shared" si="4560"/>
        <v>Net Case Count - Agency in 0-1M</v>
      </c>
      <c r="C8832" s="4" t="str">
        <f>CHOOSE(2, "5462030031", "Jul 26")</f>
        <v>Jul 26</v>
      </c>
      <c r="D8832" s="14">
        <v>6</v>
      </c>
    </row>
    <row r="8833" spans="1:4" x14ac:dyDescent="0.35">
      <c r="A8833" s="8" t="str">
        <f t="shared" si="4536"/>
        <v>Myanmar</v>
      </c>
      <c r="B8833" s="3" t="str">
        <f t="shared" ref="B8833:B8834" si="4561">CHOOSE(2, "1395000000717", "Net Case Count - Agency in 2-3M")</f>
        <v>Net Case Count - Agency in 2-3M</v>
      </c>
      <c r="C8833" s="4" t="str">
        <f>CHOOSE(2, "5461730030", "Jun 26")</f>
        <v>Jun 26</v>
      </c>
      <c r="D8833" s="14">
        <v>16</v>
      </c>
    </row>
    <row r="8834" spans="1:4" x14ac:dyDescent="0.35">
      <c r="A8834" s="8" t="str">
        <f t="shared" si="4536"/>
        <v>Myanmar</v>
      </c>
      <c r="B8834" s="6" t="str">
        <f t="shared" si="4561"/>
        <v>Net Case Count - Agency in 2-3M</v>
      </c>
      <c r="C8834" s="4" t="str">
        <f>CHOOSE(2, "5462030031", "Jul 26")</f>
        <v>Jul 26</v>
      </c>
      <c r="D8834" s="14">
        <v>21</v>
      </c>
    </row>
    <row r="8835" spans="1:4" x14ac:dyDescent="0.35">
      <c r="A8835" s="8" t="str">
        <f t="shared" si="4536"/>
        <v>Myanmar</v>
      </c>
      <c r="B8835" s="3" t="str">
        <f t="shared" ref="B8835:B8836" si="4562">CHOOSE(2, "1395000000716", "Net Case Count - Agency in 4-12M")</f>
        <v>Net Case Count - Agency in 4-12M</v>
      </c>
      <c r="C8835" s="4" t="str">
        <f>CHOOSE(2, "5461730030", "Jun 26")</f>
        <v>Jun 26</v>
      </c>
      <c r="D8835" s="14">
        <v>135</v>
      </c>
    </row>
    <row r="8836" spans="1:4" x14ac:dyDescent="0.35">
      <c r="A8836" s="8" t="str">
        <f t="shared" si="4536"/>
        <v>Myanmar</v>
      </c>
      <c r="B8836" s="6" t="str">
        <f t="shared" si="4562"/>
        <v>Net Case Count - Agency in 4-12M</v>
      </c>
      <c r="C8836" s="4" t="str">
        <f>CHOOSE(2, "5462030031", "Jul 26")</f>
        <v>Jul 26</v>
      </c>
      <c r="D8836" s="14">
        <v>88</v>
      </c>
    </row>
    <row r="8837" spans="1:4" x14ac:dyDescent="0.35">
      <c r="A8837" s="8" t="str">
        <f t="shared" si="4536"/>
        <v>Myanmar</v>
      </c>
      <c r="B8837" s="3" t="str">
        <f t="shared" ref="B8837:B8838" si="4563">CHOOSE(2, "1395000000715", "Net Case Count - Agency 13+M")</f>
        <v>Net Case Count - Agency 13+M</v>
      </c>
      <c r="C8837" s="4" t="str">
        <f>CHOOSE(2, "5461730030", "Jun 26")</f>
        <v>Jun 26</v>
      </c>
      <c r="D8837" s="14">
        <v>154</v>
      </c>
    </row>
    <row r="8838" spans="1:4" x14ac:dyDescent="0.35">
      <c r="A8838" s="8" t="str">
        <f t="shared" si="4536"/>
        <v>Myanmar</v>
      </c>
      <c r="B8838" s="6" t="str">
        <f t="shared" si="4563"/>
        <v>Net Case Count - Agency 13+M</v>
      </c>
      <c r="C8838" s="4" t="str">
        <f>CHOOSE(2, "5462030031", "Jul 26")</f>
        <v>Jul 26</v>
      </c>
      <c r="D8838" s="14">
        <v>132</v>
      </c>
    </row>
    <row r="8839" spans="1:4" x14ac:dyDescent="0.35">
      <c r="A8839" s="8" t="str">
        <f t="shared" si="4536"/>
        <v>Myanmar</v>
      </c>
      <c r="B8839" s="3" t="str">
        <f t="shared" ref="B8839:B8840" si="4564">CHOOSE(2, "1395000000714", "Net Case Count - Agency in FA or equivalent")</f>
        <v>Net Case Count - Agency in FA or equivalent</v>
      </c>
      <c r="C8839" s="4" t="str">
        <f>CHOOSE(2, "5461730030", "Jun 26")</f>
        <v>Jun 26</v>
      </c>
      <c r="D8839" s="14">
        <v>202</v>
      </c>
    </row>
    <row r="8840" spans="1:4" x14ac:dyDescent="0.35">
      <c r="A8840" s="8" t="str">
        <f t="shared" si="4536"/>
        <v>Myanmar</v>
      </c>
      <c r="B8840" s="6" t="str">
        <f t="shared" si="4564"/>
        <v>Net Case Count - Agency in FA or equivalent</v>
      </c>
      <c r="C8840" s="4" t="str">
        <f>CHOOSE(2, "5462030031", "Jul 26")</f>
        <v>Jul 26</v>
      </c>
      <c r="D8840" s="14">
        <v>147</v>
      </c>
    </row>
    <row r="8841" spans="1:4" x14ac:dyDescent="0.35">
      <c r="A8841" s="8" t="str">
        <f t="shared" si="4536"/>
        <v>Myanmar</v>
      </c>
      <c r="B8841" s="3" t="str">
        <f t="shared" ref="B8841:B8842" si="4565">CHOOSE(2, "1395000000713", "Net Case Count - Agency in UM")</f>
        <v>Net Case Count - Agency in UM</v>
      </c>
      <c r="C8841" s="4" t="str">
        <f>CHOOSE(2, "5461730030", "Jun 26")</f>
        <v>Jun 26</v>
      </c>
      <c r="D8841" s="14">
        <v>95</v>
      </c>
    </row>
    <row r="8842" spans="1:4" x14ac:dyDescent="0.35">
      <c r="A8842" s="8" t="str">
        <f t="shared" si="4536"/>
        <v>Myanmar</v>
      </c>
      <c r="B8842" s="6" t="str">
        <f t="shared" si="4565"/>
        <v>Net Case Count - Agency in UM</v>
      </c>
      <c r="C8842" s="4" t="str">
        <f>CHOOSE(2, "5462030031", "Jul 26")</f>
        <v>Jul 26</v>
      </c>
      <c r="D8842" s="14">
        <v>81</v>
      </c>
    </row>
    <row r="8843" spans="1:4" x14ac:dyDescent="0.35">
      <c r="A8843" s="8" t="str">
        <f t="shared" si="4536"/>
        <v>Myanmar</v>
      </c>
      <c r="B8843" s="3" t="str">
        <f t="shared" ref="B8843:B8844" si="4566">CHOOSE(2, "1395000000712", "Net Case Count - Agency in Leaders above UM")</f>
        <v>Net Case Count - Agency in Leaders above UM</v>
      </c>
      <c r="C8843" s="4" t="str">
        <f>CHOOSE(2, "5461730030", "Jun 26")</f>
        <v>Jun 26</v>
      </c>
      <c r="D8843" s="14">
        <v>9</v>
      </c>
    </row>
    <row r="8844" spans="1:4" x14ac:dyDescent="0.35">
      <c r="A8844" s="8" t="str">
        <f t="shared" si="4536"/>
        <v>Myanmar</v>
      </c>
      <c r="B8844" s="6" t="str">
        <f t="shared" si="4566"/>
        <v>Net Case Count - Agency in Leaders above UM</v>
      </c>
      <c r="C8844" s="4" t="str">
        <f>CHOOSE(2, "5462030031", "Jul 26")</f>
        <v>Jul 26</v>
      </c>
      <c r="D8844" s="14">
        <v>19</v>
      </c>
    </row>
    <row r="8845" spans="1:4" x14ac:dyDescent="0.35">
      <c r="A8845" s="8" t="str">
        <f t="shared" si="4536"/>
        <v>Myanmar</v>
      </c>
      <c r="B8845" s="3" t="str">
        <f t="shared" ref="B8845:B8846" si="4567">CHOOSE(2, "1395000000711", "Net Case Count - Agency in Top-tier Agents")</f>
        <v>Net Case Count - Agency in Top-tier Agents</v>
      </c>
      <c r="C8845" s="4" t="str">
        <f>CHOOSE(2, "5461730030", "Jun 26")</f>
        <v>Jun 26</v>
      </c>
      <c r="D8845" s="14">
        <v>103</v>
      </c>
    </row>
    <row r="8846" spans="1:4" x14ac:dyDescent="0.35">
      <c r="A8846" s="8" t="str">
        <f t="shared" si="4536"/>
        <v>Myanmar</v>
      </c>
      <c r="B8846" s="6" t="str">
        <f t="shared" si="4567"/>
        <v>Net Case Count - Agency in Top-tier Agents</v>
      </c>
      <c r="C8846" s="4" t="str">
        <f>CHOOSE(2, "5462030031", "Jul 26")</f>
        <v>Jul 26</v>
      </c>
      <c r="D8846" s="14">
        <v>57</v>
      </c>
    </row>
    <row r="8847" spans="1:4" x14ac:dyDescent="0.35">
      <c r="A8847" s="8" t="str">
        <f t="shared" si="4536"/>
        <v>Myanmar</v>
      </c>
      <c r="B8847" s="3" t="str">
        <f t="shared" ref="B8847:B8848" si="4568">CHOOSE(2, "1395000000710", "Net Case Count - Agency in pro-rated MDRT agents (&gt;100%)")</f>
        <v>Net Case Count - Agency in pro-rated MDRT agents (&gt;100%)</v>
      </c>
      <c r="C8847" s="4" t="str">
        <f>CHOOSE(2, "5461730030", "Jun 26")</f>
        <v>Jun 26</v>
      </c>
      <c r="D8847" s="14">
        <v>38</v>
      </c>
    </row>
    <row r="8848" spans="1:4" x14ac:dyDescent="0.35">
      <c r="A8848" s="8" t="str">
        <f t="shared" si="4536"/>
        <v>Myanmar</v>
      </c>
      <c r="B8848" s="6" t="str">
        <f t="shared" si="4568"/>
        <v>Net Case Count - Agency in pro-rated MDRT agents (&gt;100%)</v>
      </c>
      <c r="C8848" s="4" t="str">
        <f>CHOOSE(2, "5462030031", "Jul 26")</f>
        <v>Jul 26</v>
      </c>
      <c r="D8848" s="14">
        <v>32</v>
      </c>
    </row>
    <row r="8849" spans="1:4" x14ac:dyDescent="0.35">
      <c r="A8849" s="8" t="str">
        <f t="shared" ref="A8849:A8912" si="4569">CHOOSE(2, "204000000010", "Myanmar")</f>
        <v>Myanmar</v>
      </c>
      <c r="B8849" s="3" t="str">
        <f t="shared" ref="B8849:B8850" si="4570">CHOOSE(2, "1395000000709", "Net Case Count - Agency in pro-rated MDRT agents (70-99%)")</f>
        <v>Net Case Count - Agency in pro-rated MDRT agents (70-99%)</v>
      </c>
      <c r="C8849" s="4" t="str">
        <f>CHOOSE(2, "5461730030", "Jun 26")</f>
        <v>Jun 26</v>
      </c>
      <c r="D8849" s="14">
        <v>45</v>
      </c>
    </row>
    <row r="8850" spans="1:4" x14ac:dyDescent="0.35">
      <c r="A8850" s="8" t="str">
        <f t="shared" si="4569"/>
        <v>Myanmar</v>
      </c>
      <c r="B8850" s="6" t="str">
        <f t="shared" si="4570"/>
        <v>Net Case Count - Agency in pro-rated MDRT agents (70-99%)</v>
      </c>
      <c r="C8850" s="4" t="str">
        <f>CHOOSE(2, "5462030031", "Jul 26")</f>
        <v>Jul 26</v>
      </c>
      <c r="D8850" s="14">
        <v>13</v>
      </c>
    </row>
    <row r="8851" spans="1:4" x14ac:dyDescent="0.35">
      <c r="A8851" s="8" t="str">
        <f t="shared" si="4569"/>
        <v>Myanmar</v>
      </c>
      <c r="B8851" s="3" t="str">
        <f t="shared" ref="B8851:B8852" si="4571">CHOOSE(2, "1395000000708", "Net Case Count - Agency in pro-rated MDRT agents (50-69%)")</f>
        <v>Net Case Count - Agency in pro-rated MDRT agents (50-69%)</v>
      </c>
      <c r="C8851" s="4" t="str">
        <f>CHOOSE(2, "5461730030", "Jun 26")</f>
        <v>Jun 26</v>
      </c>
      <c r="D8851" s="14">
        <v>20</v>
      </c>
    </row>
    <row r="8852" spans="1:4" x14ac:dyDescent="0.35">
      <c r="A8852" s="8" t="str">
        <f t="shared" si="4569"/>
        <v>Myanmar</v>
      </c>
      <c r="B8852" s="6" t="str">
        <f t="shared" si="4571"/>
        <v>Net Case Count - Agency in pro-rated MDRT agents (50-69%)</v>
      </c>
      <c r="C8852" s="4" t="str">
        <f>CHOOSE(2, "5462030031", "Jul 26")</f>
        <v>Jul 26</v>
      </c>
      <c r="D8852" s="14">
        <v>12</v>
      </c>
    </row>
    <row r="8853" spans="1:4" x14ac:dyDescent="0.35">
      <c r="A8853" s="8" t="str">
        <f t="shared" si="4569"/>
        <v>Myanmar</v>
      </c>
      <c r="B8853" s="3" t="str">
        <f t="shared" ref="B8853:B8854" si="4572">CHOOSE(2, "1395000000707", "Net Case Count - Agency in Manulife Pro Qualifiers - Total")</f>
        <v>Net Case Count - Agency in Manulife Pro Qualifiers - Total</v>
      </c>
      <c r="C8853" s="4" t="str">
        <f>CHOOSE(2, "5461730030", "Jun 26")</f>
        <v>Jun 26</v>
      </c>
      <c r="D8853" s="2" t="s">
        <v>5</v>
      </c>
    </row>
    <row r="8854" spans="1:4" x14ac:dyDescent="0.35">
      <c r="A8854" s="8" t="str">
        <f t="shared" si="4569"/>
        <v>Myanmar</v>
      </c>
      <c r="B8854" s="6" t="str">
        <f t="shared" si="4572"/>
        <v>Net Case Count - Agency in Manulife Pro Qualifiers - Total</v>
      </c>
      <c r="C8854" s="4" t="str">
        <f>CHOOSE(2, "5462030031", "Jul 26")</f>
        <v>Jul 26</v>
      </c>
      <c r="D8854" s="2" t="s">
        <v>5</v>
      </c>
    </row>
    <row r="8855" spans="1:4" x14ac:dyDescent="0.35">
      <c r="A8855" s="8" t="str">
        <f t="shared" si="4569"/>
        <v>Myanmar</v>
      </c>
      <c r="B8855" s="3" t="str">
        <f t="shared" ref="B8855:B8856" si="4573">CHOOSE(2, "1395000000706", "No. of Sales Proposal Generated")</f>
        <v>No. of Sales Proposal Generated</v>
      </c>
      <c r="C8855" s="4" t="str">
        <f>CHOOSE(2, "5461730030", "Jun 26")</f>
        <v>Jun 26</v>
      </c>
      <c r="D8855" s="14">
        <v>330</v>
      </c>
    </row>
    <row r="8856" spans="1:4" x14ac:dyDescent="0.35">
      <c r="A8856" s="8" t="str">
        <f t="shared" si="4569"/>
        <v>Myanmar</v>
      </c>
      <c r="B8856" s="6" t="str">
        <f t="shared" si="4573"/>
        <v>No. of Sales Proposal Generated</v>
      </c>
      <c r="C8856" s="4" t="str">
        <f>CHOOSE(2, "5462030031", "Jul 26")</f>
        <v>Jul 26</v>
      </c>
      <c r="D8856" s="14">
        <v>280</v>
      </c>
    </row>
    <row r="8857" spans="1:4" x14ac:dyDescent="0.35">
      <c r="A8857" s="8" t="str">
        <f t="shared" si="4569"/>
        <v>Myanmar</v>
      </c>
      <c r="B8857" s="3" t="str">
        <f t="shared" ref="B8857:B8858" si="4574">CHOOSE(2, "1395000000705", "$ APE from Agents in X tenure")</f>
        <v>$ APE from Agents in X tenure</v>
      </c>
      <c r="C8857" s="4" t="str">
        <f>CHOOSE(2, "5461730030", "Jun 26")</f>
        <v>Jun 26</v>
      </c>
      <c r="D8857" s="14">
        <v>329158.01268000004</v>
      </c>
    </row>
    <row r="8858" spans="1:4" x14ac:dyDescent="0.35">
      <c r="A8858" s="8" t="str">
        <f t="shared" si="4569"/>
        <v>Myanmar</v>
      </c>
      <c r="B8858" s="6" t="str">
        <f t="shared" si="4574"/>
        <v>$ APE from Agents in X tenure</v>
      </c>
      <c r="C8858" s="4" t="str">
        <f>CHOOSE(2, "5462030031", "Jul 26")</f>
        <v>Jul 26</v>
      </c>
      <c r="D8858" s="14">
        <v>209406.85612000001</v>
      </c>
    </row>
    <row r="8859" spans="1:4" x14ac:dyDescent="0.35">
      <c r="A8859" s="8" t="str">
        <f t="shared" si="4569"/>
        <v>Myanmar</v>
      </c>
      <c r="B8859" s="3" t="str">
        <f t="shared" ref="B8859:B8860" si="4575">CHOOSE(2, "1395000000704", "$ APE from Agents in X tenure in 0-1M")</f>
        <v>$ APE from Agents in X tenure in 0-1M</v>
      </c>
      <c r="C8859" s="4" t="str">
        <f>CHOOSE(2, "5461730030", "Jun 26")</f>
        <v>Jun 26</v>
      </c>
      <c r="D8859" s="14">
        <v>32915.801268000003</v>
      </c>
    </row>
    <row r="8860" spans="1:4" x14ac:dyDescent="0.35">
      <c r="A8860" s="8" t="str">
        <f t="shared" si="4569"/>
        <v>Myanmar</v>
      </c>
      <c r="B8860" s="6" t="str">
        <f t="shared" si="4575"/>
        <v>$ APE from Agents in X tenure in 0-1M</v>
      </c>
      <c r="C8860" s="4" t="str">
        <f>CHOOSE(2, "5462030031", "Jul 26")</f>
        <v>Jul 26</v>
      </c>
      <c r="D8860" s="14">
        <v>20940.685612000001</v>
      </c>
    </row>
    <row r="8861" spans="1:4" x14ac:dyDescent="0.35">
      <c r="A8861" s="8" t="str">
        <f t="shared" si="4569"/>
        <v>Myanmar</v>
      </c>
      <c r="B8861" s="3" t="str">
        <f t="shared" ref="B8861:B8862" si="4576">CHOOSE(2, "1395000000703", "$ APE from Agents in X tenure in 2-3M")</f>
        <v>$ APE from Agents in X tenure in 2-3M</v>
      </c>
      <c r="C8861" s="4" t="str">
        <f>CHOOSE(2, "5461730030", "Jun 26")</f>
        <v>Jun 26</v>
      </c>
      <c r="D8861" s="14">
        <v>65831.602536000006</v>
      </c>
    </row>
    <row r="8862" spans="1:4" x14ac:dyDescent="0.35">
      <c r="A8862" s="8" t="str">
        <f t="shared" si="4569"/>
        <v>Myanmar</v>
      </c>
      <c r="B8862" s="6" t="str">
        <f t="shared" si="4576"/>
        <v>$ APE from Agents in X tenure in 2-3M</v>
      </c>
      <c r="C8862" s="4" t="str">
        <f>CHOOSE(2, "5462030031", "Jul 26")</f>
        <v>Jul 26</v>
      </c>
      <c r="D8862" s="14">
        <v>41881.371224000002</v>
      </c>
    </row>
    <row r="8863" spans="1:4" x14ac:dyDescent="0.35">
      <c r="A8863" s="8" t="str">
        <f t="shared" si="4569"/>
        <v>Myanmar</v>
      </c>
      <c r="B8863" s="3" t="str">
        <f t="shared" ref="B8863:B8864" si="4577">CHOOSE(2, "1395000000702", "$ APE from Agents in X tenure in 4-12M")</f>
        <v>$ APE from Agents in X tenure in 4-12M</v>
      </c>
      <c r="C8863" s="4" t="str">
        <f>CHOOSE(2, "5461730030", "Jun 26")</f>
        <v>Jun 26</v>
      </c>
      <c r="D8863" s="14">
        <v>98747.403804000016</v>
      </c>
    </row>
    <row r="8864" spans="1:4" x14ac:dyDescent="0.35">
      <c r="A8864" s="8" t="str">
        <f t="shared" si="4569"/>
        <v>Myanmar</v>
      </c>
      <c r="B8864" s="6" t="str">
        <f t="shared" si="4577"/>
        <v>$ APE from Agents in X tenure in 4-12M</v>
      </c>
      <c r="C8864" s="4" t="str">
        <f>CHOOSE(2, "5462030031", "Jul 26")</f>
        <v>Jul 26</v>
      </c>
      <c r="D8864" s="14">
        <v>62822.056836000003</v>
      </c>
    </row>
    <row r="8865" spans="1:4" x14ac:dyDescent="0.35">
      <c r="A8865" s="8" t="str">
        <f t="shared" si="4569"/>
        <v>Myanmar</v>
      </c>
      <c r="B8865" s="3" t="str">
        <f t="shared" ref="B8865:B8866" si="4578">CHOOSE(2, "1395000000701", "$ APE from Agents in X tenure 13+M")</f>
        <v>$ APE from Agents in X tenure 13+M</v>
      </c>
      <c r="C8865" s="4" t="str">
        <f>CHOOSE(2, "5461730030", "Jun 26")</f>
        <v>Jun 26</v>
      </c>
      <c r="D8865" s="14">
        <v>131663.20507200001</v>
      </c>
    </row>
    <row r="8866" spans="1:4" x14ac:dyDescent="0.35">
      <c r="A8866" s="8" t="str">
        <f t="shared" si="4569"/>
        <v>Myanmar</v>
      </c>
      <c r="B8866" s="6" t="str">
        <f t="shared" si="4578"/>
        <v>$ APE from Agents in X tenure 13+M</v>
      </c>
      <c r="C8866" s="4" t="str">
        <f>CHOOSE(2, "5462030031", "Jul 26")</f>
        <v>Jul 26</v>
      </c>
      <c r="D8866" s="14">
        <v>83762.742448000005</v>
      </c>
    </row>
    <row r="8867" spans="1:4" x14ac:dyDescent="0.35">
      <c r="A8867" s="8" t="str">
        <f t="shared" si="4569"/>
        <v>Myanmar</v>
      </c>
      <c r="B8867" s="3" t="str">
        <f t="shared" ref="B8867:B8868" si="4579">CHOOSE(2, "1395000000700", "Total agent headcount (end of period)")</f>
        <v>Total agent headcount (end of period)</v>
      </c>
      <c r="C8867" s="4" t="str">
        <f>CHOOSE(2, "5461730030", "Jun 26")</f>
        <v>Jun 26</v>
      </c>
      <c r="D8867" s="14">
        <v>2175</v>
      </c>
    </row>
    <row r="8868" spans="1:4" x14ac:dyDescent="0.35">
      <c r="A8868" s="8" t="str">
        <f t="shared" si="4569"/>
        <v>Myanmar</v>
      </c>
      <c r="B8868" s="6" t="str">
        <f t="shared" si="4579"/>
        <v>Total agent headcount (end of period)</v>
      </c>
      <c r="C8868" s="4" t="str">
        <f>CHOOSE(2, "5462030031", "Jul 26")</f>
        <v>Jul 26</v>
      </c>
      <c r="D8868" s="14">
        <v>2116</v>
      </c>
    </row>
    <row r="8869" spans="1:4" x14ac:dyDescent="0.35">
      <c r="A8869" s="8" t="str">
        <f t="shared" si="4569"/>
        <v>Myanmar</v>
      </c>
      <c r="B8869" s="3" t="str">
        <f t="shared" ref="B8869:B8870" si="4580">CHOOSE(2, "1395000000699", "Total agent headcount (end of period) in 0-1M")</f>
        <v>Total agent headcount (end of period) in 0-1M</v>
      </c>
      <c r="C8869" s="4" t="str">
        <f>CHOOSE(2, "5461730030", "Jun 26")</f>
        <v>Jun 26</v>
      </c>
      <c r="D8869" s="14">
        <v>64</v>
      </c>
    </row>
    <row r="8870" spans="1:4" x14ac:dyDescent="0.35">
      <c r="A8870" s="8" t="str">
        <f t="shared" si="4569"/>
        <v>Myanmar</v>
      </c>
      <c r="B8870" s="6" t="str">
        <f t="shared" si="4580"/>
        <v>Total agent headcount (end of period) in 0-1M</v>
      </c>
      <c r="C8870" s="4" t="str">
        <f>CHOOSE(2, "5462030031", "Jul 26")</f>
        <v>Jul 26</v>
      </c>
      <c r="D8870" s="14">
        <v>114</v>
      </c>
    </row>
    <row r="8871" spans="1:4" x14ac:dyDescent="0.35">
      <c r="A8871" s="8" t="str">
        <f t="shared" si="4569"/>
        <v>Myanmar</v>
      </c>
      <c r="B8871" s="3" t="str">
        <f t="shared" ref="B8871:B8872" si="4581">CHOOSE(2, "1395000000698", "Total agent headcount (end of period) in 2-3M")</f>
        <v>Total agent headcount (end of period) in 2-3M</v>
      </c>
      <c r="C8871" s="4" t="str">
        <f>CHOOSE(2, "5461730030", "Jun 26")</f>
        <v>Jun 26</v>
      </c>
      <c r="D8871" s="14">
        <v>39</v>
      </c>
    </row>
    <row r="8872" spans="1:4" x14ac:dyDescent="0.35">
      <c r="A8872" s="8" t="str">
        <f t="shared" si="4569"/>
        <v>Myanmar</v>
      </c>
      <c r="B8872" s="6" t="str">
        <f t="shared" si="4581"/>
        <v>Total agent headcount (end of period) in 2-3M</v>
      </c>
      <c r="C8872" s="4" t="str">
        <f>CHOOSE(2, "5462030031", "Jul 26")</f>
        <v>Jul 26</v>
      </c>
      <c r="D8872" s="14">
        <v>75</v>
      </c>
    </row>
    <row r="8873" spans="1:4" x14ac:dyDescent="0.35">
      <c r="A8873" s="8" t="str">
        <f t="shared" si="4569"/>
        <v>Myanmar</v>
      </c>
      <c r="B8873" s="3" t="str">
        <f t="shared" ref="B8873:B8874" si="4582">CHOOSE(2, "1395000000697", "Total agent headcount (end of period) in 4-12M")</f>
        <v>Total agent headcount (end of period) in 4-12M</v>
      </c>
      <c r="C8873" s="4" t="str">
        <f>CHOOSE(2, "5461730030", "Jun 26")</f>
        <v>Jun 26</v>
      </c>
      <c r="D8873" s="14">
        <v>635</v>
      </c>
    </row>
    <row r="8874" spans="1:4" x14ac:dyDescent="0.35">
      <c r="A8874" s="8" t="str">
        <f t="shared" si="4569"/>
        <v>Myanmar</v>
      </c>
      <c r="B8874" s="6" t="str">
        <f t="shared" si="4582"/>
        <v>Total agent headcount (end of period) in 4-12M</v>
      </c>
      <c r="C8874" s="4" t="str">
        <f>CHOOSE(2, "5462030031", "Jul 26")</f>
        <v>Jul 26</v>
      </c>
      <c r="D8874" s="14">
        <v>578</v>
      </c>
    </row>
    <row r="8875" spans="1:4" x14ac:dyDescent="0.35">
      <c r="A8875" s="8" t="str">
        <f t="shared" si="4569"/>
        <v>Myanmar</v>
      </c>
      <c r="B8875" s="3" t="str">
        <f t="shared" ref="B8875:B8876" si="4583">CHOOSE(2, "1395000000696", "Total agent headcount (end of period) 13+M")</f>
        <v>Total agent headcount (end of period) 13+M</v>
      </c>
      <c r="C8875" s="4" t="str">
        <f>CHOOSE(2, "5461730030", "Jun 26")</f>
        <v>Jun 26</v>
      </c>
      <c r="D8875" s="14">
        <v>1437</v>
      </c>
    </row>
    <row r="8876" spans="1:4" x14ac:dyDescent="0.35">
      <c r="A8876" s="8" t="str">
        <f t="shared" si="4569"/>
        <v>Myanmar</v>
      </c>
      <c r="B8876" s="6" t="str">
        <f t="shared" si="4583"/>
        <v>Total agent headcount (end of period) 13+M</v>
      </c>
      <c r="C8876" s="4" t="str">
        <f>CHOOSE(2, "5462030031", "Jul 26")</f>
        <v>Jul 26</v>
      </c>
      <c r="D8876" s="14">
        <v>1349</v>
      </c>
    </row>
    <row r="8877" spans="1:4" x14ac:dyDescent="0.35">
      <c r="A8877" s="8" t="str">
        <f t="shared" si="4569"/>
        <v>Myanmar</v>
      </c>
      <c r="B8877" s="3" t="str">
        <f t="shared" ref="B8877:B8878" si="4584">CHOOSE(2, "1395000000695", "Total agent headcount (end of period) in FA or equivalent")</f>
        <v>Total agent headcount (end of period) in FA or equivalent</v>
      </c>
      <c r="C8877" s="4" t="str">
        <f>CHOOSE(2, "5461730030", "Jun 26")</f>
        <v>Jun 26</v>
      </c>
      <c r="D8877" s="14">
        <v>2043</v>
      </c>
    </row>
    <row r="8878" spans="1:4" x14ac:dyDescent="0.35">
      <c r="A8878" s="8" t="str">
        <f t="shared" si="4569"/>
        <v>Myanmar</v>
      </c>
      <c r="B8878" s="6" t="str">
        <f t="shared" si="4584"/>
        <v>Total agent headcount (end of period) in FA or equivalent</v>
      </c>
      <c r="C8878" s="4" t="str">
        <f>CHOOSE(2, "5462030031", "Jul 26")</f>
        <v>Jul 26</v>
      </c>
      <c r="D8878" s="14">
        <v>1978</v>
      </c>
    </row>
    <row r="8879" spans="1:4" x14ac:dyDescent="0.35">
      <c r="A8879" s="8" t="str">
        <f t="shared" si="4569"/>
        <v>Myanmar</v>
      </c>
      <c r="B8879" s="3" t="str">
        <f t="shared" ref="B8879:B8880" si="4585">CHOOSE(2, "1395000000694", "Total agent headcount (end of period) in UM")</f>
        <v>Total agent headcount (end of period) in UM</v>
      </c>
      <c r="C8879" s="4" t="str">
        <f>CHOOSE(2, "5461730030", "Jun 26")</f>
        <v>Jun 26</v>
      </c>
      <c r="D8879" s="14">
        <v>115</v>
      </c>
    </row>
    <row r="8880" spans="1:4" x14ac:dyDescent="0.35">
      <c r="A8880" s="8" t="str">
        <f t="shared" si="4569"/>
        <v>Myanmar</v>
      </c>
      <c r="B8880" s="6" t="str">
        <f t="shared" si="4585"/>
        <v>Total agent headcount (end of period) in UM</v>
      </c>
      <c r="C8880" s="4" t="str">
        <f>CHOOSE(2, "5462030031", "Jul 26")</f>
        <v>Jul 26</v>
      </c>
      <c r="D8880" s="14">
        <v>119</v>
      </c>
    </row>
    <row r="8881" spans="1:4" x14ac:dyDescent="0.35">
      <c r="A8881" s="8" t="str">
        <f t="shared" si="4569"/>
        <v>Myanmar</v>
      </c>
      <c r="B8881" s="3" t="str">
        <f t="shared" ref="B8881:B8882" si="4586">CHOOSE(2, "1395000000693", "Total agent headcount (end of period) in Leaders above UM")</f>
        <v>Total agent headcount (end of period) in Leaders above UM</v>
      </c>
      <c r="C8881" s="4" t="str">
        <f>CHOOSE(2, "5461730030", "Jun 26")</f>
        <v>Jun 26</v>
      </c>
      <c r="D8881" s="14">
        <v>17</v>
      </c>
    </row>
    <row r="8882" spans="1:4" x14ac:dyDescent="0.35">
      <c r="A8882" s="8" t="str">
        <f t="shared" si="4569"/>
        <v>Myanmar</v>
      </c>
      <c r="B8882" s="6" t="str">
        <f t="shared" si="4586"/>
        <v>Total agent headcount (end of period) in Leaders above UM</v>
      </c>
      <c r="C8882" s="4" t="str">
        <f>CHOOSE(2, "5462030031", "Jul 26")</f>
        <v>Jul 26</v>
      </c>
      <c r="D8882" s="14">
        <v>19</v>
      </c>
    </row>
    <row r="8883" spans="1:4" x14ac:dyDescent="0.35">
      <c r="A8883" s="8" t="str">
        <f t="shared" si="4569"/>
        <v>Myanmar</v>
      </c>
      <c r="B8883" s="3" t="str">
        <f t="shared" ref="B8883:B8884" si="4587">CHOOSE(2, "1395000000692", "Total agent headcount (end of period) in Top-tier agents")</f>
        <v>Total agent headcount (end of period) in Top-tier agents</v>
      </c>
      <c r="C8883" s="4" t="str">
        <f>CHOOSE(2, "5461730030", "Jun 26")</f>
        <v>Jun 26</v>
      </c>
      <c r="D8883" s="14">
        <v>32</v>
      </c>
    </row>
    <row r="8884" spans="1:4" x14ac:dyDescent="0.35">
      <c r="A8884" s="8" t="str">
        <f t="shared" si="4569"/>
        <v>Myanmar</v>
      </c>
      <c r="B8884" s="6" t="str">
        <f t="shared" si="4587"/>
        <v>Total agent headcount (end of period) in Top-tier agents</v>
      </c>
      <c r="C8884" s="4" t="str">
        <f>CHOOSE(2, "5462030031", "Jul 26")</f>
        <v>Jul 26</v>
      </c>
      <c r="D8884" s="14">
        <v>38</v>
      </c>
    </row>
    <row r="8885" spans="1:4" x14ac:dyDescent="0.35">
      <c r="A8885" s="8" t="str">
        <f t="shared" si="4569"/>
        <v>Myanmar</v>
      </c>
      <c r="B8885" s="3" t="str">
        <f t="shared" ref="B8885:B8886" si="4588">CHOOSE(2, "1395000000691", "Total agent headcount  in pro-rated MDRT agents (&gt;100%)")</f>
        <v>Total agent headcount  in pro-rated MDRT agents (&gt;100%)</v>
      </c>
      <c r="C8885" s="4" t="str">
        <f>CHOOSE(2, "5461730030", "Jun 26")</f>
        <v>Jun 26</v>
      </c>
      <c r="D8885" s="14">
        <v>10</v>
      </c>
    </row>
    <row r="8886" spans="1:4" x14ac:dyDescent="0.35">
      <c r="A8886" s="8" t="str">
        <f t="shared" si="4569"/>
        <v>Myanmar</v>
      </c>
      <c r="B8886" s="6" t="str">
        <f t="shared" si="4588"/>
        <v>Total agent headcount  in pro-rated MDRT agents (&gt;100%)</v>
      </c>
      <c r="C8886" s="4" t="str">
        <f>CHOOSE(2, "5462030031", "Jul 26")</f>
        <v>Jul 26</v>
      </c>
      <c r="D8886" s="14">
        <v>16</v>
      </c>
    </row>
    <row r="8887" spans="1:4" x14ac:dyDescent="0.35">
      <c r="A8887" s="8" t="str">
        <f t="shared" si="4569"/>
        <v>Myanmar</v>
      </c>
      <c r="B8887" s="3" t="str">
        <f t="shared" ref="B8887:B8888" si="4589">CHOOSE(2, "1395000000690", "Total agent headcount  in pro-rated MDRT agents (70-99%)")</f>
        <v>Total agent headcount  in pro-rated MDRT agents (70-99%)</v>
      </c>
      <c r="C8887" s="4" t="str">
        <f>CHOOSE(2, "5461730030", "Jun 26")</f>
        <v>Jun 26</v>
      </c>
      <c r="D8887" s="14">
        <v>12</v>
      </c>
    </row>
    <row r="8888" spans="1:4" x14ac:dyDescent="0.35">
      <c r="A8888" s="8" t="str">
        <f t="shared" si="4569"/>
        <v>Myanmar</v>
      </c>
      <c r="B8888" s="6" t="str">
        <f t="shared" si="4589"/>
        <v>Total agent headcount  in pro-rated MDRT agents (70-99%)</v>
      </c>
      <c r="C8888" s="4" t="str">
        <f>CHOOSE(2, "5462030031", "Jul 26")</f>
        <v>Jul 26</v>
      </c>
      <c r="D8888" s="14">
        <v>13</v>
      </c>
    </row>
    <row r="8889" spans="1:4" x14ac:dyDescent="0.35">
      <c r="A8889" s="8" t="str">
        <f t="shared" si="4569"/>
        <v>Myanmar</v>
      </c>
      <c r="B8889" s="3" t="str">
        <f t="shared" ref="B8889:B8890" si="4590">CHOOSE(2, "1395000000689", "Total agent headcount  in pro-rated MDRT agents (50-69%)")</f>
        <v>Total agent headcount  in pro-rated MDRT agents (50-69%)</v>
      </c>
      <c r="C8889" s="4" t="str">
        <f>CHOOSE(2, "5461730030", "Jun 26")</f>
        <v>Jun 26</v>
      </c>
      <c r="D8889" s="14">
        <v>10</v>
      </c>
    </row>
    <row r="8890" spans="1:4" x14ac:dyDescent="0.35">
      <c r="A8890" s="8" t="str">
        <f t="shared" si="4569"/>
        <v>Myanmar</v>
      </c>
      <c r="B8890" s="6" t="str">
        <f t="shared" si="4590"/>
        <v>Total agent headcount  in pro-rated MDRT agents (50-69%)</v>
      </c>
      <c r="C8890" s="4" t="str">
        <f>CHOOSE(2, "5462030031", "Jul 26")</f>
        <v>Jul 26</v>
      </c>
      <c r="D8890" s="14">
        <v>9</v>
      </c>
    </row>
    <row r="8891" spans="1:4" x14ac:dyDescent="0.35">
      <c r="A8891" s="8" t="str">
        <f t="shared" si="4569"/>
        <v>Myanmar</v>
      </c>
      <c r="B8891" s="3" t="str">
        <f t="shared" ref="B8891:B8892" si="4591">CHOOSE(2, "1395000000688", "Total agent headcount  in Manulife Pro Qualifiers - Total")</f>
        <v>Total agent headcount  in Manulife Pro Qualifiers - Total</v>
      </c>
      <c r="C8891" s="4" t="str">
        <f>CHOOSE(2, "5461730030", "Jun 26")</f>
        <v>Jun 26</v>
      </c>
      <c r="D8891" s="2" t="s">
        <v>5</v>
      </c>
    </row>
    <row r="8892" spans="1:4" x14ac:dyDescent="0.35">
      <c r="A8892" s="8" t="str">
        <f t="shared" si="4569"/>
        <v>Myanmar</v>
      </c>
      <c r="B8892" s="6" t="str">
        <f t="shared" si="4591"/>
        <v>Total agent headcount  in Manulife Pro Qualifiers - Total</v>
      </c>
      <c r="C8892" s="4" t="str">
        <f>CHOOSE(2, "5462030031", "Jul 26")</f>
        <v>Jul 26</v>
      </c>
      <c r="D8892" s="2" t="s">
        <v>5</v>
      </c>
    </row>
    <row r="8893" spans="1:4" x14ac:dyDescent="0.35">
      <c r="A8893" s="8" t="str">
        <f t="shared" si="4569"/>
        <v>Myanmar</v>
      </c>
      <c r="B8893" s="3" t="str">
        <f t="shared" ref="B8893:B8894" si="4592">CHOOSE(2, "1395000000687", "New recruits")</f>
        <v>New recruits</v>
      </c>
      <c r="C8893" s="4" t="str">
        <f>CHOOSE(2, "5461730030", "Jun 26")</f>
        <v>Jun 26</v>
      </c>
      <c r="D8893" s="14">
        <v>64</v>
      </c>
    </row>
    <row r="8894" spans="1:4" x14ac:dyDescent="0.35">
      <c r="A8894" s="8" t="str">
        <f t="shared" si="4569"/>
        <v>Myanmar</v>
      </c>
      <c r="B8894" s="6" t="str">
        <f t="shared" si="4592"/>
        <v>New recruits</v>
      </c>
      <c r="C8894" s="4" t="str">
        <f>CHOOSE(2, "5462030031", "Jul 26")</f>
        <v>Jul 26</v>
      </c>
      <c r="D8894" s="14">
        <v>114</v>
      </c>
    </row>
    <row r="8895" spans="1:4" x14ac:dyDescent="0.35">
      <c r="A8895" s="8" t="str">
        <f t="shared" si="4569"/>
        <v>Myanmar</v>
      </c>
      <c r="B8895" s="3" t="str">
        <f t="shared" ref="B8895:B8896" si="4593">CHOOSE(2, "1395000000686", "New recruits - Leader level")</f>
        <v>New recruits - Leader level</v>
      </c>
      <c r="C8895" s="4" t="str">
        <f>CHOOSE(2, "5461730030", "Jun 26")</f>
        <v>Jun 26</v>
      </c>
      <c r="D8895" s="2" t="s">
        <v>5</v>
      </c>
    </row>
    <row r="8896" spans="1:4" x14ac:dyDescent="0.35">
      <c r="A8896" s="8" t="str">
        <f t="shared" si="4569"/>
        <v>Myanmar</v>
      </c>
      <c r="B8896" s="6" t="str">
        <f t="shared" si="4593"/>
        <v>New recruits - Leader level</v>
      </c>
      <c r="C8896" s="4" t="str">
        <f>CHOOSE(2, "5462030031", "Jul 26")</f>
        <v>Jul 26</v>
      </c>
      <c r="D8896" s="2" t="s">
        <v>5</v>
      </c>
    </row>
    <row r="8897" spans="1:4" x14ac:dyDescent="0.35">
      <c r="A8897" s="8" t="str">
        <f t="shared" si="4569"/>
        <v>Myanmar</v>
      </c>
      <c r="B8897" s="3" t="str">
        <f t="shared" ref="B8897:B8898" si="4594">CHOOSE(2, "1395000000685", "New recruits - FA or equivalent")</f>
        <v>New recruits - FA or equivalent</v>
      </c>
      <c r="C8897" s="4" t="str">
        <f>CHOOSE(2, "5461730030", "Jun 26")</f>
        <v>Jun 26</v>
      </c>
      <c r="D8897" s="14">
        <v>58</v>
      </c>
    </row>
    <row r="8898" spans="1:4" x14ac:dyDescent="0.35">
      <c r="A8898" s="8" t="str">
        <f t="shared" si="4569"/>
        <v>Myanmar</v>
      </c>
      <c r="B8898" s="6" t="str">
        <f t="shared" si="4594"/>
        <v>New recruits - FA or equivalent</v>
      </c>
      <c r="C8898" s="4" t="str">
        <f>CHOOSE(2, "5462030031", "Jul 26")</f>
        <v>Jul 26</v>
      </c>
      <c r="D8898" s="14">
        <v>114</v>
      </c>
    </row>
    <row r="8899" spans="1:4" x14ac:dyDescent="0.35">
      <c r="A8899" s="8" t="str">
        <f t="shared" si="4569"/>
        <v>Myanmar</v>
      </c>
      <c r="B8899" s="3" t="str">
        <f t="shared" ref="B8899:B8900" si="4595">CHOOSE(2, "1395000000684", "New recruits in UM")</f>
        <v>New recruits in UM</v>
      </c>
      <c r="C8899" s="4" t="str">
        <f>CHOOSE(2, "5461730030", "Jun 26")</f>
        <v>Jun 26</v>
      </c>
      <c r="D8899" s="14">
        <v>3</v>
      </c>
    </row>
    <row r="8900" spans="1:4" x14ac:dyDescent="0.35">
      <c r="A8900" s="8" t="str">
        <f t="shared" si="4569"/>
        <v>Myanmar</v>
      </c>
      <c r="B8900" s="6" t="str">
        <f t="shared" si="4595"/>
        <v>New recruits in UM</v>
      </c>
      <c r="C8900" s="4" t="str">
        <f>CHOOSE(2, "5462030031", "Jul 26")</f>
        <v>Jul 26</v>
      </c>
      <c r="D8900" s="14">
        <v>0</v>
      </c>
    </row>
    <row r="8901" spans="1:4" x14ac:dyDescent="0.35">
      <c r="A8901" s="8" t="str">
        <f t="shared" si="4569"/>
        <v>Myanmar</v>
      </c>
      <c r="B8901" s="3" t="str">
        <f t="shared" ref="B8901:B8902" si="4596">CHOOSE(2, "1395000000683", "New recruits in Leaders above UM")</f>
        <v>New recruits in Leaders above UM</v>
      </c>
      <c r="C8901" s="4" t="str">
        <f>CHOOSE(2, "5461730030", "Jun 26")</f>
        <v>Jun 26</v>
      </c>
      <c r="D8901" s="14">
        <v>3</v>
      </c>
    </row>
    <row r="8902" spans="1:4" x14ac:dyDescent="0.35">
      <c r="A8902" s="8" t="str">
        <f t="shared" si="4569"/>
        <v>Myanmar</v>
      </c>
      <c r="B8902" s="6" t="str">
        <f t="shared" si="4596"/>
        <v>New recruits in Leaders above UM</v>
      </c>
      <c r="C8902" s="4" t="str">
        <f>CHOOSE(2, "5462030031", "Jul 26")</f>
        <v>Jul 26</v>
      </c>
      <c r="D8902" s="14">
        <v>0</v>
      </c>
    </row>
    <row r="8903" spans="1:4" x14ac:dyDescent="0.35">
      <c r="A8903" s="8" t="str">
        <f t="shared" si="4569"/>
        <v>Myanmar</v>
      </c>
      <c r="B8903" s="3" t="str">
        <f t="shared" ref="B8903:B8904" si="4597">CHOOSE(2, "1395000000682", "# of 6-90 agents")</f>
        <v># of 6-90 agents</v>
      </c>
      <c r="C8903" s="4" t="str">
        <f>CHOOSE(2, "5461730030", "Jun 26")</f>
        <v>Jun 26</v>
      </c>
      <c r="D8903" s="14">
        <v>0</v>
      </c>
    </row>
    <row r="8904" spans="1:4" x14ac:dyDescent="0.35">
      <c r="A8904" s="8" t="str">
        <f t="shared" si="4569"/>
        <v>Myanmar</v>
      </c>
      <c r="B8904" s="6" t="str">
        <f t="shared" si="4597"/>
        <v># of 6-90 agents</v>
      </c>
      <c r="C8904" s="4" t="str">
        <f>CHOOSE(2, "5462030031", "Jul 26")</f>
        <v>Jul 26</v>
      </c>
      <c r="D8904" s="14">
        <v>0</v>
      </c>
    </row>
    <row r="8905" spans="1:4" x14ac:dyDescent="0.35">
      <c r="A8905" s="8" t="str">
        <f t="shared" si="4569"/>
        <v>Myanmar</v>
      </c>
      <c r="B8905" s="3" t="str">
        <f t="shared" ref="B8905:B8906" si="4598">CHOOSE(2, "1395000000681", "New Recruits 3M Activation #")</f>
        <v>New Recruits 3M Activation #</v>
      </c>
      <c r="C8905" s="4" t="str">
        <f>CHOOSE(2, "5461730030", "Jun 26")</f>
        <v>Jun 26</v>
      </c>
      <c r="D8905" s="14">
        <v>42</v>
      </c>
    </row>
    <row r="8906" spans="1:4" x14ac:dyDescent="0.35">
      <c r="A8906" s="8" t="str">
        <f t="shared" si="4569"/>
        <v>Myanmar</v>
      </c>
      <c r="B8906" s="6" t="str">
        <f t="shared" si="4598"/>
        <v>New Recruits 3M Activation #</v>
      </c>
      <c r="C8906" s="4" t="str">
        <f>CHOOSE(2, "5462030031", "Jul 26")</f>
        <v>Jul 26</v>
      </c>
      <c r="D8906" s="14">
        <v>14</v>
      </c>
    </row>
    <row r="8907" spans="1:4" x14ac:dyDescent="0.35">
      <c r="A8907" s="8" t="str">
        <f t="shared" si="4569"/>
        <v>Myanmar</v>
      </c>
      <c r="B8907" s="3" t="str">
        <f t="shared" ref="B8907:B8908" si="4599">CHOOSE(2, "1395000000680", "No of Terminations")</f>
        <v>No of Terminations</v>
      </c>
      <c r="C8907" s="4" t="str">
        <f>CHOOSE(2, "5461730030", "Jun 26")</f>
        <v>Jun 26</v>
      </c>
      <c r="D8907" s="14">
        <v>29</v>
      </c>
    </row>
    <row r="8908" spans="1:4" x14ac:dyDescent="0.35">
      <c r="A8908" s="8" t="str">
        <f t="shared" si="4569"/>
        <v>Myanmar</v>
      </c>
      <c r="B8908" s="6" t="str">
        <f t="shared" si="4599"/>
        <v>No of Terminations</v>
      </c>
      <c r="C8908" s="4" t="str">
        <f>CHOOSE(2, "5462030031", "Jul 26")</f>
        <v>Jul 26</v>
      </c>
      <c r="D8908" s="14">
        <v>173</v>
      </c>
    </row>
    <row r="8909" spans="1:4" x14ac:dyDescent="0.35">
      <c r="A8909" s="8" t="str">
        <f t="shared" si="4569"/>
        <v>Myanmar</v>
      </c>
      <c r="B8909" s="3" t="str">
        <f t="shared" ref="B8909:B8910" si="4600">CHOOSE(2, "1395000000679", "No of Terminations in FA or equivalent")</f>
        <v>No of Terminations in FA or equivalent</v>
      </c>
      <c r="C8909" s="4" t="str">
        <f>CHOOSE(2, "5461730030", "Jun 26")</f>
        <v>Jun 26</v>
      </c>
      <c r="D8909" s="14">
        <v>28</v>
      </c>
    </row>
    <row r="8910" spans="1:4" x14ac:dyDescent="0.35">
      <c r="A8910" s="8" t="str">
        <f t="shared" si="4569"/>
        <v>Myanmar</v>
      </c>
      <c r="B8910" s="6" t="str">
        <f t="shared" si="4600"/>
        <v>No of Terminations in FA or equivalent</v>
      </c>
      <c r="C8910" s="4" t="str">
        <f>CHOOSE(2, "5462030031", "Jul 26")</f>
        <v>Jul 26</v>
      </c>
      <c r="D8910" s="14">
        <v>171</v>
      </c>
    </row>
    <row r="8911" spans="1:4" x14ac:dyDescent="0.35">
      <c r="A8911" s="8" t="str">
        <f t="shared" si="4569"/>
        <v>Myanmar</v>
      </c>
      <c r="B8911" s="3" t="str">
        <f t="shared" ref="B8911:B8912" si="4601">CHOOSE(2, "1395000000678", "No of Terminations in UM")</f>
        <v>No of Terminations in UM</v>
      </c>
      <c r="C8911" s="4" t="str">
        <f>CHOOSE(2, "5461730030", "Jun 26")</f>
        <v>Jun 26</v>
      </c>
      <c r="D8911" s="14">
        <v>1</v>
      </c>
    </row>
    <row r="8912" spans="1:4" x14ac:dyDescent="0.35">
      <c r="A8912" s="8" t="str">
        <f t="shared" si="4569"/>
        <v>Myanmar</v>
      </c>
      <c r="B8912" s="6" t="str">
        <f t="shared" si="4601"/>
        <v>No of Terminations in UM</v>
      </c>
      <c r="C8912" s="4" t="str">
        <f>CHOOSE(2, "5462030031", "Jul 26")</f>
        <v>Jul 26</v>
      </c>
      <c r="D8912" s="14">
        <v>1</v>
      </c>
    </row>
    <row r="8913" spans="1:4" x14ac:dyDescent="0.35">
      <c r="A8913" s="8" t="str">
        <f t="shared" ref="A8913:A8976" si="4602">CHOOSE(2, "204000000010", "Myanmar")</f>
        <v>Myanmar</v>
      </c>
      <c r="B8913" s="3" t="str">
        <f t="shared" ref="B8913:B8914" si="4603">CHOOSE(2, "1395000000677", "No of Terminations in Leaders above UM")</f>
        <v>No of Terminations in Leaders above UM</v>
      </c>
      <c r="C8913" s="4" t="str">
        <f>CHOOSE(2, "5461730030", "Jun 26")</f>
        <v>Jun 26</v>
      </c>
      <c r="D8913" s="14">
        <v>0</v>
      </c>
    </row>
    <row r="8914" spans="1:4" x14ac:dyDescent="0.35">
      <c r="A8914" s="8" t="str">
        <f t="shared" si="4602"/>
        <v>Myanmar</v>
      </c>
      <c r="B8914" s="6" t="str">
        <f t="shared" si="4603"/>
        <v>No of Terminations in Leaders above UM</v>
      </c>
      <c r="C8914" s="4" t="str">
        <f>CHOOSE(2, "5462030031", "Jul 26")</f>
        <v>Jul 26</v>
      </c>
      <c r="D8914" s="14">
        <v>1</v>
      </c>
    </row>
    <row r="8915" spans="1:4" x14ac:dyDescent="0.35">
      <c r="A8915" s="8" t="str">
        <f t="shared" si="4602"/>
        <v>Myanmar</v>
      </c>
      <c r="B8915" s="3" t="str">
        <f t="shared" ref="B8915:B8916" si="4604">CHOOSE(2, "1395000000676", "No of Terminations in Top-tier Agents")</f>
        <v>No of Terminations in Top-tier Agents</v>
      </c>
      <c r="C8915" s="4" t="str">
        <f>CHOOSE(2, "5461730030", "Jun 26")</f>
        <v>Jun 26</v>
      </c>
      <c r="D8915" s="14">
        <v>0</v>
      </c>
    </row>
    <row r="8916" spans="1:4" x14ac:dyDescent="0.35">
      <c r="A8916" s="8" t="str">
        <f t="shared" si="4602"/>
        <v>Myanmar</v>
      </c>
      <c r="B8916" s="6" t="str">
        <f t="shared" si="4604"/>
        <v>No of Terminations in Top-tier Agents</v>
      </c>
      <c r="C8916" s="4" t="str">
        <f>CHOOSE(2, "5462030031", "Jul 26")</f>
        <v>Jul 26</v>
      </c>
      <c r="D8916" s="14">
        <v>0</v>
      </c>
    </row>
    <row r="8917" spans="1:4" x14ac:dyDescent="0.35">
      <c r="A8917" s="8" t="str">
        <f t="shared" si="4602"/>
        <v>Myanmar</v>
      </c>
      <c r="B8917" s="3" t="str">
        <f t="shared" ref="B8917:B8918" si="4605">CHOOSE(2, "1395000000675", "No of Terminations in pro-rated MDRT agents (&gt;100%)")</f>
        <v>No of Terminations in pro-rated MDRT agents (&gt;100%)</v>
      </c>
      <c r="C8917" s="4" t="str">
        <f>CHOOSE(2, "5461730030", "Jun 26")</f>
        <v>Jun 26</v>
      </c>
      <c r="D8917" s="14">
        <v>0</v>
      </c>
    </row>
    <row r="8918" spans="1:4" x14ac:dyDescent="0.35">
      <c r="A8918" s="8" t="str">
        <f t="shared" si="4602"/>
        <v>Myanmar</v>
      </c>
      <c r="B8918" s="6" t="str">
        <f t="shared" si="4605"/>
        <v>No of Terminations in pro-rated MDRT agents (&gt;100%)</v>
      </c>
      <c r="C8918" s="4" t="str">
        <f>CHOOSE(2, "5462030031", "Jul 26")</f>
        <v>Jul 26</v>
      </c>
      <c r="D8918" s="14">
        <v>0</v>
      </c>
    </row>
    <row r="8919" spans="1:4" x14ac:dyDescent="0.35">
      <c r="A8919" s="8" t="str">
        <f t="shared" si="4602"/>
        <v>Myanmar</v>
      </c>
      <c r="B8919" s="3" t="str">
        <f t="shared" ref="B8919:B8920" si="4606">CHOOSE(2, "1395000000674", "No of Terminations in pro-rated MDRT agents (70-99%)")</f>
        <v>No of Terminations in pro-rated MDRT agents (70-99%)</v>
      </c>
      <c r="C8919" s="4" t="str">
        <f>CHOOSE(2, "5461730030", "Jun 26")</f>
        <v>Jun 26</v>
      </c>
      <c r="D8919" s="14">
        <v>0</v>
      </c>
    </row>
    <row r="8920" spans="1:4" x14ac:dyDescent="0.35">
      <c r="A8920" s="8" t="str">
        <f t="shared" si="4602"/>
        <v>Myanmar</v>
      </c>
      <c r="B8920" s="6" t="str">
        <f t="shared" si="4606"/>
        <v>No of Terminations in pro-rated MDRT agents (70-99%)</v>
      </c>
      <c r="C8920" s="4" t="str">
        <f>CHOOSE(2, "5462030031", "Jul 26")</f>
        <v>Jul 26</v>
      </c>
      <c r="D8920" s="14">
        <v>0</v>
      </c>
    </row>
    <row r="8921" spans="1:4" x14ac:dyDescent="0.35">
      <c r="A8921" s="8" t="str">
        <f t="shared" si="4602"/>
        <v>Myanmar</v>
      </c>
      <c r="B8921" s="3" t="str">
        <f t="shared" ref="B8921:B8922" si="4607">CHOOSE(2, "1395000000673", "No of Terminations in pro-rated MDRT agents (50-69%)")</f>
        <v>No of Terminations in pro-rated MDRT agents (50-69%)</v>
      </c>
      <c r="C8921" s="4" t="str">
        <f>CHOOSE(2, "5461730030", "Jun 26")</f>
        <v>Jun 26</v>
      </c>
      <c r="D8921" s="14">
        <v>0</v>
      </c>
    </row>
    <row r="8922" spans="1:4" x14ac:dyDescent="0.35">
      <c r="A8922" s="8" t="str">
        <f t="shared" si="4602"/>
        <v>Myanmar</v>
      </c>
      <c r="B8922" s="6" t="str">
        <f t="shared" si="4607"/>
        <v>No of Terminations in pro-rated MDRT agents (50-69%)</v>
      </c>
      <c r="C8922" s="4" t="str">
        <f>CHOOSE(2, "5462030031", "Jul 26")</f>
        <v>Jul 26</v>
      </c>
      <c r="D8922" s="14">
        <v>0</v>
      </c>
    </row>
    <row r="8923" spans="1:4" x14ac:dyDescent="0.35">
      <c r="A8923" s="8" t="str">
        <f t="shared" si="4602"/>
        <v>Myanmar</v>
      </c>
      <c r="B8923" s="3" t="str">
        <f t="shared" ref="B8923:B8924" si="4608">CHOOSE(2, "1395000000672", "No of Terminations in Manulife Pro Qualifiers - Total")</f>
        <v>No of Terminations in Manulife Pro Qualifiers - Total</v>
      </c>
      <c r="C8923" s="4" t="str">
        <f>CHOOSE(2, "5461730030", "Jun 26")</f>
        <v>Jun 26</v>
      </c>
      <c r="D8923" s="2" t="s">
        <v>5</v>
      </c>
    </row>
    <row r="8924" spans="1:4" x14ac:dyDescent="0.35">
      <c r="A8924" s="8" t="str">
        <f t="shared" si="4602"/>
        <v>Myanmar</v>
      </c>
      <c r="B8924" s="6" t="str">
        <f t="shared" si="4608"/>
        <v>No of Terminations in Manulife Pro Qualifiers - Total</v>
      </c>
      <c r="C8924" s="4" t="str">
        <f>CHOOSE(2, "5462030031", "Jul 26")</f>
        <v>Jul 26</v>
      </c>
      <c r="D8924" s="2" t="s">
        <v>5</v>
      </c>
    </row>
    <row r="8925" spans="1:4" x14ac:dyDescent="0.35">
      <c r="A8925" s="8" t="str">
        <f t="shared" si="4602"/>
        <v>Myanmar</v>
      </c>
      <c r="B8925" s="3" t="str">
        <f t="shared" ref="B8925:B8926" si="4609">CHOOSE(2, "1395000000671", "First Year Agents Terminated without Sales")</f>
        <v>First Year Agents Terminated without Sales</v>
      </c>
      <c r="C8925" s="4" t="str">
        <f>CHOOSE(2, "5461730030", "Jun 26")</f>
        <v>Jun 26</v>
      </c>
      <c r="D8925" s="14">
        <v>2</v>
      </c>
    </row>
    <row r="8926" spans="1:4" x14ac:dyDescent="0.35">
      <c r="A8926" s="8" t="str">
        <f t="shared" si="4602"/>
        <v>Myanmar</v>
      </c>
      <c r="B8926" s="6" t="str">
        <f t="shared" si="4609"/>
        <v>First Year Agents Terminated without Sales</v>
      </c>
      <c r="C8926" s="4" t="str">
        <f>CHOOSE(2, "5462030031", "Jul 26")</f>
        <v>Jul 26</v>
      </c>
      <c r="D8926" s="14">
        <v>3</v>
      </c>
    </row>
    <row r="8927" spans="1:4" x14ac:dyDescent="0.35">
      <c r="A8927" s="8" t="str">
        <f t="shared" si="4602"/>
        <v>Myanmar</v>
      </c>
      <c r="B8927" s="3" t="str">
        <f t="shared" ref="B8927:B8928" si="4610">CHOOSE(2, "1395000000670", "6mth Agency Retention Ratio")</f>
        <v>6mth Agency Retention Ratio</v>
      </c>
      <c r="C8927" s="4" t="str">
        <f>CHOOSE(2, "5461730030", "Jun 26")</f>
        <v>Jun 26</v>
      </c>
      <c r="D8927" s="14">
        <v>0.94666700000000004</v>
      </c>
    </row>
    <row r="8928" spans="1:4" x14ac:dyDescent="0.35">
      <c r="A8928" s="8" t="str">
        <f t="shared" si="4602"/>
        <v>Myanmar</v>
      </c>
      <c r="B8928" s="6" t="str">
        <f t="shared" si="4610"/>
        <v>6mth Agency Retention Ratio</v>
      </c>
      <c r="C8928" s="4" t="str">
        <f>CHOOSE(2, "5462030031", "Jul 26")</f>
        <v>Jul 26</v>
      </c>
      <c r="D8928" s="14">
        <v>0.950237</v>
      </c>
    </row>
    <row r="8929" spans="1:4" x14ac:dyDescent="0.35">
      <c r="A8929" s="8" t="str">
        <f t="shared" si="4602"/>
        <v>Myanmar</v>
      </c>
      <c r="B8929" s="3" t="str">
        <f t="shared" ref="B8929:B8930" si="4611">CHOOSE(2, "1395000000669", "12mth Agency Retention Ratio")</f>
        <v>12mth Agency Retention Ratio</v>
      </c>
      <c r="C8929" s="4" t="str">
        <f>CHOOSE(2, "5461730030", "Jun 26")</f>
        <v>Jun 26</v>
      </c>
      <c r="D8929" s="14">
        <v>0.84424600000000005</v>
      </c>
    </row>
    <row r="8930" spans="1:4" x14ac:dyDescent="0.35">
      <c r="A8930" s="8" t="str">
        <f t="shared" si="4602"/>
        <v>Myanmar</v>
      </c>
      <c r="B8930" s="6" t="str">
        <f t="shared" si="4611"/>
        <v>12mth Agency Retention Ratio</v>
      </c>
      <c r="C8930" s="4" t="str">
        <f>CHOOSE(2, "5462030031", "Jul 26")</f>
        <v>Jul 26</v>
      </c>
      <c r="D8930" s="14">
        <v>0.85029399999999999</v>
      </c>
    </row>
    <row r="8931" spans="1:4" x14ac:dyDescent="0.35">
      <c r="A8931" s="8" t="str">
        <f t="shared" si="4602"/>
        <v>Myanmar</v>
      </c>
      <c r="B8931" s="3" t="str">
        <f t="shared" ref="B8931:B8932" si="4612">CHOOSE(2, "1395000000668", "24mth Agency Retention Ratio")</f>
        <v>24mth Agency Retention Ratio</v>
      </c>
      <c r="C8931" s="4" t="str">
        <f>CHOOSE(2, "5461730030", "Jun 26")</f>
        <v>Jun 26</v>
      </c>
      <c r="D8931" s="14">
        <v>0.48957299999999998</v>
      </c>
    </row>
    <row r="8932" spans="1:4" x14ac:dyDescent="0.35">
      <c r="A8932" s="8" t="str">
        <f t="shared" si="4602"/>
        <v>Myanmar</v>
      </c>
      <c r="B8932" s="6" t="str">
        <f t="shared" si="4612"/>
        <v>24mth Agency Retention Ratio</v>
      </c>
      <c r="C8932" s="4" t="str">
        <f>CHOOSE(2, "5462030031", "Jul 26")</f>
        <v>Jul 26</v>
      </c>
      <c r="D8932" s="14">
        <v>0.492477</v>
      </c>
    </row>
    <row r="8933" spans="1:4" x14ac:dyDescent="0.35">
      <c r="A8933" s="8" t="str">
        <f t="shared" si="4602"/>
        <v>Myanmar</v>
      </c>
      <c r="B8933" s="3" t="str">
        <f t="shared" ref="B8933:B8934" si="4613">CHOOSE(2, "1395000000667", "Total # of Leaders (end of period)")</f>
        <v>Total # of Leaders (end of period)</v>
      </c>
      <c r="C8933" s="4" t="str">
        <f>CHOOSE(2, "5461730030", "Jun 26")</f>
        <v>Jun 26</v>
      </c>
      <c r="D8933" s="14">
        <v>132</v>
      </c>
    </row>
    <row r="8934" spans="1:4" x14ac:dyDescent="0.35">
      <c r="A8934" s="8" t="str">
        <f t="shared" si="4602"/>
        <v>Myanmar</v>
      </c>
      <c r="B8934" s="6" t="str">
        <f t="shared" si="4613"/>
        <v>Total # of Leaders (end of period)</v>
      </c>
      <c r="C8934" s="4" t="str">
        <f>CHOOSE(2, "5462030031", "Jul 26")</f>
        <v>Jul 26</v>
      </c>
      <c r="D8934" s="14">
        <v>138</v>
      </c>
    </row>
    <row r="8935" spans="1:4" x14ac:dyDescent="0.35">
      <c r="A8935" s="8" t="str">
        <f t="shared" si="4602"/>
        <v>Myanmar</v>
      </c>
      <c r="B8935" s="3" t="str">
        <f t="shared" ref="B8935:B8936" si="4614">CHOOSE(2, "1395000000666", "Total # of Unit Managers")</f>
        <v>Total # of Unit Managers</v>
      </c>
      <c r="C8935" s="4" t="str">
        <f>CHOOSE(2, "5461730030", "Jun 26")</f>
        <v>Jun 26</v>
      </c>
      <c r="D8935" s="14">
        <v>115</v>
      </c>
    </row>
    <row r="8936" spans="1:4" x14ac:dyDescent="0.35">
      <c r="A8936" s="8" t="str">
        <f t="shared" si="4602"/>
        <v>Myanmar</v>
      </c>
      <c r="B8936" s="6" t="str">
        <f t="shared" si="4614"/>
        <v>Total # of Unit Managers</v>
      </c>
      <c r="C8936" s="4" t="str">
        <f>CHOOSE(2, "5462030031", "Jul 26")</f>
        <v>Jul 26</v>
      </c>
      <c r="D8936" s="14">
        <v>119</v>
      </c>
    </row>
    <row r="8937" spans="1:4" x14ac:dyDescent="0.35">
      <c r="A8937" s="8" t="str">
        <f t="shared" si="4602"/>
        <v>Myanmar</v>
      </c>
      <c r="B8937" s="3" t="str">
        <f t="shared" ref="B8937:B8938" si="4615">CHOOSE(2, "1395000000665", "Total # of Leaders above Unit Manager level")</f>
        <v>Total # of Leaders above Unit Manager level</v>
      </c>
      <c r="C8937" s="4" t="str">
        <f>CHOOSE(2, "5461730030", "Jun 26")</f>
        <v>Jun 26</v>
      </c>
      <c r="D8937" s="14">
        <v>17</v>
      </c>
    </row>
    <row r="8938" spans="1:4" x14ac:dyDescent="0.35">
      <c r="A8938" s="8" t="str">
        <f t="shared" si="4602"/>
        <v>Myanmar</v>
      </c>
      <c r="B8938" s="6" t="str">
        <f t="shared" si="4615"/>
        <v>Total # of Leaders above Unit Manager level</v>
      </c>
      <c r="C8938" s="4" t="str">
        <f>CHOOSE(2, "5462030031", "Jul 26")</f>
        <v>Jul 26</v>
      </c>
      <c r="D8938" s="14">
        <v>19</v>
      </c>
    </row>
    <row r="8939" spans="1:4" x14ac:dyDescent="0.35">
      <c r="A8939" s="8" t="str">
        <f t="shared" si="4602"/>
        <v>Myanmar</v>
      </c>
      <c r="B8939" s="3" t="str">
        <f t="shared" ref="B8939:B8940" si="4616">CHOOSE(2, "1395000000664", "Total # of Agents below Unit Manager level (end of period)")</f>
        <v>Total # of Agents below Unit Manager level (end of period)</v>
      </c>
      <c r="C8939" s="4" t="str">
        <f>CHOOSE(2, "5461730030", "Jun 26")</f>
        <v>Jun 26</v>
      </c>
      <c r="D8939" s="14">
        <v>2043</v>
      </c>
    </row>
    <row r="8940" spans="1:4" x14ac:dyDescent="0.35">
      <c r="A8940" s="8" t="str">
        <f t="shared" si="4602"/>
        <v>Myanmar</v>
      </c>
      <c r="B8940" s="6" t="str">
        <f t="shared" si="4616"/>
        <v>Total # of Agents below Unit Manager level (end of period)</v>
      </c>
      <c r="C8940" s="4" t="str">
        <f>CHOOSE(2, "5462030031", "Jul 26")</f>
        <v>Jul 26</v>
      </c>
      <c r="D8940" s="14">
        <v>1978</v>
      </c>
    </row>
    <row r="8941" spans="1:4" x14ac:dyDescent="0.35">
      <c r="A8941" s="8" t="str">
        <f t="shared" si="4602"/>
        <v>Myanmar</v>
      </c>
      <c r="B8941" s="3" t="str">
        <f t="shared" ref="B8941:B8942" si="4617">CHOOSE(2, "1395000000663", "# of Active Recruiting Leaders")</f>
        <v># of Active Recruiting Leaders</v>
      </c>
      <c r="C8941" s="4" t="str">
        <f>CHOOSE(2, "5461730030", "Jun 26")</f>
        <v>Jun 26</v>
      </c>
      <c r="D8941" s="14">
        <v>6</v>
      </c>
    </row>
    <row r="8942" spans="1:4" x14ac:dyDescent="0.35">
      <c r="A8942" s="8" t="str">
        <f t="shared" si="4602"/>
        <v>Myanmar</v>
      </c>
      <c r="B8942" s="6" t="str">
        <f t="shared" si="4617"/>
        <v># of Active Recruiting Leaders</v>
      </c>
      <c r="C8942" s="4" t="str">
        <f>CHOOSE(2, "5462030031", "Jul 26")</f>
        <v>Jul 26</v>
      </c>
      <c r="D8942" s="14">
        <v>28</v>
      </c>
    </row>
    <row r="8943" spans="1:4" x14ac:dyDescent="0.35">
      <c r="A8943" s="8" t="str">
        <f t="shared" si="4602"/>
        <v>Myanmar</v>
      </c>
      <c r="B8943" s="3" t="str">
        <f t="shared" ref="B8943:B8944" si="4618">CHOOSE(2, "1395000000662", "# of leaders with &gt;1 YTD recruit")</f>
        <v># of leaders with &gt;1 YTD recruit</v>
      </c>
      <c r="C8943" s="4" t="str">
        <f>CHOOSE(2, "5461730030", "Jun 26")</f>
        <v>Jun 26</v>
      </c>
      <c r="D8943" s="14">
        <v>68</v>
      </c>
    </row>
    <row r="8944" spans="1:4" x14ac:dyDescent="0.35">
      <c r="A8944" s="8" t="str">
        <f t="shared" si="4602"/>
        <v>Myanmar</v>
      </c>
      <c r="B8944" s="6" t="str">
        <f t="shared" si="4618"/>
        <v># of leaders with &gt;1 YTD recruit</v>
      </c>
      <c r="C8944" s="4" t="str">
        <f>CHOOSE(2, "5462030031", "Jul 26")</f>
        <v>Jul 26</v>
      </c>
      <c r="D8944" s="14">
        <v>81</v>
      </c>
    </row>
    <row r="8945" spans="1:4" x14ac:dyDescent="0.35">
      <c r="A8945" s="8" t="str">
        <f t="shared" si="4602"/>
        <v>Myanmar</v>
      </c>
      <c r="B8945" s="3" t="str">
        <f t="shared" ref="B8945:B8946" si="4619">CHOOSE(2, "1395000000661", "Income ratio from personal sales (UM)")</f>
        <v>Income ratio from personal sales (UM)</v>
      </c>
      <c r="C8945" s="4" t="str">
        <f>CHOOSE(2, "5461730030", "Jun 26")</f>
        <v>Jun 26</v>
      </c>
      <c r="D8945" s="14">
        <v>0.78590734232786041</v>
      </c>
    </row>
    <row r="8946" spans="1:4" x14ac:dyDescent="0.35">
      <c r="A8946" s="8" t="str">
        <f t="shared" si="4602"/>
        <v>Myanmar</v>
      </c>
      <c r="B8946" s="6" t="str">
        <f t="shared" si="4619"/>
        <v>Income ratio from personal sales (UM)</v>
      </c>
      <c r="C8946" s="4" t="str">
        <f>CHOOSE(2, "5462030031", "Jul 26")</f>
        <v>Jul 26</v>
      </c>
      <c r="D8946" s="14">
        <v>0.79180710983520297</v>
      </c>
    </row>
    <row r="8947" spans="1:4" x14ac:dyDescent="0.35">
      <c r="A8947" s="8" t="str">
        <f t="shared" si="4602"/>
        <v>Myanmar</v>
      </c>
      <c r="B8947" s="3" t="str">
        <f t="shared" ref="B8947:B8948" si="4620">CHOOSE(2, "1395000000660", "Income ratio from personal sales (UM) (numerator)")</f>
        <v>Income ratio from personal sales (UM) (numerator)</v>
      </c>
      <c r="C8947" s="4" t="str">
        <f>CHOOSE(2, "5461730030", "Jun 26")</f>
        <v>Jun 26</v>
      </c>
      <c r="D8947" s="14">
        <v>50616.316800000001</v>
      </c>
    </row>
    <row r="8948" spans="1:4" x14ac:dyDescent="0.35">
      <c r="A8948" s="8" t="str">
        <f t="shared" si="4602"/>
        <v>Myanmar</v>
      </c>
      <c r="B8948" s="6" t="str">
        <f t="shared" si="4620"/>
        <v>Income ratio from personal sales (UM) (numerator)</v>
      </c>
      <c r="C8948" s="4" t="str">
        <f>CHOOSE(2, "5462030031", "Jul 26")</f>
        <v>Jul 26</v>
      </c>
      <c r="D8948" s="14">
        <v>19982.004000000001</v>
      </c>
    </row>
    <row r="8949" spans="1:4" x14ac:dyDescent="0.35">
      <c r="A8949" s="8" t="str">
        <f t="shared" si="4602"/>
        <v>Myanmar</v>
      </c>
      <c r="B8949" s="3" t="str">
        <f t="shared" ref="B8949:B8950" si="4621">CHOOSE(2, "1395000000659", "Income ratio from personal sales (UM) (denominator)")</f>
        <v>Income ratio from personal sales (UM) (denominator)</v>
      </c>
      <c r="C8949" s="4" t="str">
        <f>CHOOSE(2, "5461730030", "Jun 26")</f>
        <v>Jun 26</v>
      </c>
      <c r="D8949" s="14">
        <v>64404.942000000003</v>
      </c>
    </row>
    <row r="8950" spans="1:4" x14ac:dyDescent="0.35">
      <c r="A8950" s="8" t="str">
        <f t="shared" si="4602"/>
        <v>Myanmar</v>
      </c>
      <c r="B8950" s="6" t="str">
        <f t="shared" si="4621"/>
        <v>Income ratio from personal sales (UM) (denominator)</v>
      </c>
      <c r="C8950" s="4" t="str">
        <f>CHOOSE(2, "5462030031", "Jul 26")</f>
        <v>Jul 26</v>
      </c>
      <c r="D8950" s="14">
        <v>25235.949199999999</v>
      </c>
    </row>
    <row r="8951" spans="1:4" x14ac:dyDescent="0.35">
      <c r="A8951" s="8" t="str">
        <f t="shared" si="4602"/>
        <v>Myanmar</v>
      </c>
      <c r="B8951" s="3" t="str">
        <f t="shared" ref="B8951:B8952" si="4622">CHOOSE(2, "1395000000658", "Income ratio from personal sales (Leader above UM)")</f>
        <v>Income ratio from personal sales (Leader above UM)</v>
      </c>
      <c r="C8951" s="4" t="str">
        <f>CHOOSE(2, "5461730030", "Jun 26")</f>
        <v>Jun 26</v>
      </c>
      <c r="D8951" s="14">
        <v>0.15226977380563164</v>
      </c>
    </row>
    <row r="8952" spans="1:4" x14ac:dyDescent="0.35">
      <c r="A8952" s="8" t="str">
        <f t="shared" si="4602"/>
        <v>Myanmar</v>
      </c>
      <c r="B8952" s="6" t="str">
        <f t="shared" si="4622"/>
        <v>Income ratio from personal sales (Leader above UM)</v>
      </c>
      <c r="C8952" s="4" t="str">
        <f>CHOOSE(2, "5462030031", "Jul 26")</f>
        <v>Jul 26</v>
      </c>
      <c r="D8952" s="14">
        <v>0.45229827850953336</v>
      </c>
    </row>
    <row r="8953" spans="1:4" x14ac:dyDescent="0.35">
      <c r="A8953" s="8" t="str">
        <f t="shared" si="4602"/>
        <v>Myanmar</v>
      </c>
      <c r="B8953" s="3" t="str">
        <f t="shared" ref="B8953:B8954" si="4623">CHOOSE(2, "1395000000657", "Income ratio from personal sales (Leader above UM) (num)")</f>
        <v>Income ratio from personal sales (Leader above UM) (num)</v>
      </c>
      <c r="C8953" s="4" t="str">
        <f>CHOOSE(2, "5461730030", "Jun 26")</f>
        <v>Jun 26</v>
      </c>
      <c r="D8953" s="14">
        <v>2638.1347999999998</v>
      </c>
    </row>
    <row r="8954" spans="1:4" x14ac:dyDescent="0.35">
      <c r="A8954" s="8" t="str">
        <f t="shared" si="4602"/>
        <v>Myanmar</v>
      </c>
      <c r="B8954" s="6" t="str">
        <f t="shared" si="4623"/>
        <v>Income ratio from personal sales (Leader above UM) (num)</v>
      </c>
      <c r="C8954" s="4" t="str">
        <f>CHOOSE(2, "5462030031", "Jul 26")</f>
        <v>Jul 26</v>
      </c>
      <c r="D8954" s="14">
        <v>5580.2907999999998</v>
      </c>
    </row>
    <row r="8955" spans="1:4" x14ac:dyDescent="0.35">
      <c r="A8955" s="8" t="str">
        <f t="shared" si="4602"/>
        <v>Myanmar</v>
      </c>
      <c r="B8955" s="3" t="str">
        <f t="shared" ref="B8955:B8956" si="4624">CHOOSE(2, "1395000000656", "Income ratio from personal sales (Leader above UM) (den)")</f>
        <v>Income ratio from personal sales (Leader above UM) (den)</v>
      </c>
      <c r="C8955" s="4" t="str">
        <f>CHOOSE(2, "5461730030", "Jun 26")</f>
        <v>Jun 26</v>
      </c>
      <c r="D8955" s="14">
        <v>17325.400399999999</v>
      </c>
    </row>
    <row r="8956" spans="1:4" x14ac:dyDescent="0.35">
      <c r="A8956" s="8" t="str">
        <f t="shared" si="4602"/>
        <v>Myanmar</v>
      </c>
      <c r="B8956" s="6" t="str">
        <f t="shared" si="4624"/>
        <v>Income ratio from personal sales (Leader above UM) (den)</v>
      </c>
      <c r="C8956" s="4" t="str">
        <f>CHOOSE(2, "5462030031", "Jul 26")</f>
        <v>Jul 26</v>
      </c>
      <c r="D8956" s="14">
        <v>12337.634400000001</v>
      </c>
    </row>
    <row r="8957" spans="1:4" x14ac:dyDescent="0.35">
      <c r="A8957" s="8" t="str">
        <f t="shared" si="4602"/>
        <v>Myanmar</v>
      </c>
      <c r="B8957" s="3" t="str">
        <f t="shared" ref="B8957:B8958" si="4625">CHOOSE(2, "1395000000655", "Total agent earnings")</f>
        <v>Total agent earnings</v>
      </c>
      <c r="C8957" s="4" t="str">
        <f>CHOOSE(2, "5461730030", "Jun 26")</f>
        <v>Jun 26</v>
      </c>
      <c r="D8957" s="14">
        <v>63.0110348336</v>
      </c>
    </row>
    <row r="8958" spans="1:4" x14ac:dyDescent="0.35">
      <c r="A8958" s="8" t="str">
        <f t="shared" si="4602"/>
        <v>Myanmar</v>
      </c>
      <c r="B8958" s="6" t="str">
        <f t="shared" si="4625"/>
        <v>Total agent earnings</v>
      </c>
      <c r="C8958" s="4" t="str">
        <f>CHOOSE(2, "5462030031", "Jul 26")</f>
        <v>Jul 26</v>
      </c>
      <c r="D8958" s="14">
        <v>30.474607945600003</v>
      </c>
    </row>
    <row r="8959" spans="1:4" x14ac:dyDescent="0.35">
      <c r="A8959" s="8" t="str">
        <f t="shared" si="4602"/>
        <v>Myanmar</v>
      </c>
      <c r="B8959" s="3" t="str">
        <f t="shared" ref="B8959:B8960" si="4626">CHOOSE(2, "1395000000654", "Total agent earnings in FA or equivalent")</f>
        <v>Total agent earnings in FA or equivalent</v>
      </c>
      <c r="C8959" s="4" t="str">
        <f>CHOOSE(2, "5461730030", "Jun 26")</f>
        <v>Jun 26</v>
      </c>
      <c r="D8959" s="14">
        <v>24.107391851199999</v>
      </c>
    </row>
    <row r="8960" spans="1:4" x14ac:dyDescent="0.35">
      <c r="A8960" s="8" t="str">
        <f t="shared" si="4602"/>
        <v>Myanmar</v>
      </c>
      <c r="B8960" s="6" t="str">
        <f t="shared" si="4626"/>
        <v>Total agent earnings in FA or equivalent</v>
      </c>
      <c r="C8960" s="4" t="str">
        <f>CHOOSE(2, "5462030031", "Jul 26")</f>
        <v>Jul 26</v>
      </c>
      <c r="D8960" s="14">
        <v>12.589582152000002</v>
      </c>
    </row>
    <row r="8961" spans="1:4" x14ac:dyDescent="0.35">
      <c r="A8961" s="8" t="str">
        <f t="shared" si="4602"/>
        <v>Myanmar</v>
      </c>
      <c r="B8961" s="3" t="str">
        <f t="shared" ref="B8961:B8962" si="4627">CHOOSE(2, "1395000000653", "Total agent earnings in UM")</f>
        <v>Total agent earnings in UM</v>
      </c>
      <c r="C8961" s="4" t="str">
        <f>CHOOSE(2, "5461730030", "Jun 26")</f>
        <v>Jun 26</v>
      </c>
      <c r="D8961" s="14">
        <v>30.656752392000001</v>
      </c>
    </row>
    <row r="8962" spans="1:4" x14ac:dyDescent="0.35">
      <c r="A8962" s="8" t="str">
        <f t="shared" si="4602"/>
        <v>Myanmar</v>
      </c>
      <c r="B8962" s="6" t="str">
        <f t="shared" si="4627"/>
        <v>Total agent earnings in UM</v>
      </c>
      <c r="C8962" s="4" t="str">
        <f>CHOOSE(2, "5462030031", "Jul 26")</f>
        <v>Jul 26</v>
      </c>
      <c r="D8962" s="14">
        <v>12.012311819200001</v>
      </c>
    </row>
    <row r="8963" spans="1:4" x14ac:dyDescent="0.35">
      <c r="A8963" s="8" t="str">
        <f t="shared" si="4602"/>
        <v>Myanmar</v>
      </c>
      <c r="B8963" s="3" t="str">
        <f t="shared" ref="B8963:B8964" si="4628">CHOOSE(2, "1395000000652", "Total agent earnings in Leaders above UM")</f>
        <v>Total agent earnings in Leaders above UM</v>
      </c>
      <c r="C8963" s="4" t="str">
        <f>CHOOSE(2, "5461730030", "Jun 26")</f>
        <v>Jun 26</v>
      </c>
      <c r="D8963" s="14">
        <v>8.2468905903999996</v>
      </c>
    </row>
    <row r="8964" spans="1:4" x14ac:dyDescent="0.35">
      <c r="A8964" s="8" t="str">
        <f t="shared" si="4602"/>
        <v>Myanmar</v>
      </c>
      <c r="B8964" s="6" t="str">
        <f t="shared" si="4628"/>
        <v>Total agent earnings in Leaders above UM</v>
      </c>
      <c r="C8964" s="4" t="str">
        <f>CHOOSE(2, "5462030031", "Jul 26")</f>
        <v>Jul 26</v>
      </c>
      <c r="D8964" s="14">
        <v>5.8727139744000008</v>
      </c>
    </row>
    <row r="8965" spans="1:4" x14ac:dyDescent="0.35">
      <c r="A8965" s="8" t="str">
        <f t="shared" si="4602"/>
        <v>Myanmar</v>
      </c>
      <c r="B8965" s="3" t="str">
        <f t="shared" ref="B8965:B8966" si="4629">CHOOSE(2, "1395000000651", "# of Newly Promoted UM")</f>
        <v># of Newly Promoted UM</v>
      </c>
      <c r="C8965" s="4" t="str">
        <f>CHOOSE(2, "5461730030", "Jun 26")</f>
        <v>Jun 26</v>
      </c>
      <c r="D8965" s="14">
        <v>3</v>
      </c>
    </row>
    <row r="8966" spans="1:4" x14ac:dyDescent="0.35">
      <c r="A8966" s="8" t="str">
        <f t="shared" si="4602"/>
        <v>Myanmar</v>
      </c>
      <c r="B8966" s="6" t="str">
        <f t="shared" si="4629"/>
        <v># of Newly Promoted UM</v>
      </c>
      <c r="C8966" s="4" t="str">
        <f>CHOOSE(2, "5462030031", "Jul 26")</f>
        <v>Jul 26</v>
      </c>
      <c r="D8966" s="14">
        <v>3</v>
      </c>
    </row>
    <row r="8967" spans="1:4" x14ac:dyDescent="0.35">
      <c r="A8967" s="8" t="str">
        <f t="shared" si="4602"/>
        <v>Myanmar</v>
      </c>
      <c r="B8967" s="3" t="str">
        <f t="shared" ref="B8967:B8968" si="4630">CHOOSE(2, "1395000000650", "# of Newly Promoted Leaders above UM")</f>
        <v># of Newly Promoted Leaders above UM</v>
      </c>
      <c r="C8967" s="4" t="str">
        <f>CHOOSE(2, "5461730030", "Jun 26")</f>
        <v>Jun 26</v>
      </c>
      <c r="D8967" s="14">
        <v>1</v>
      </c>
    </row>
    <row r="8968" spans="1:4" x14ac:dyDescent="0.35">
      <c r="A8968" s="8" t="str">
        <f t="shared" si="4602"/>
        <v>Myanmar</v>
      </c>
      <c r="B8968" s="6" t="str">
        <f t="shared" si="4630"/>
        <v># of Newly Promoted Leaders above UM</v>
      </c>
      <c r="C8968" s="4" t="str">
        <f>CHOOSE(2, "5462030031", "Jul 26")</f>
        <v>Jul 26</v>
      </c>
      <c r="D8968" s="14">
        <v>0</v>
      </c>
    </row>
    <row r="8969" spans="1:4" x14ac:dyDescent="0.35">
      <c r="A8969" s="8" t="str">
        <f t="shared" si="4602"/>
        <v>Myanmar</v>
      </c>
      <c r="B8969" s="3" t="str">
        <f t="shared" ref="B8969:B8970" si="4631">CHOOSE(2, "1395000000649", "# of Total Leader Promotions")</f>
        <v># of Total Leader Promotions</v>
      </c>
      <c r="C8969" s="4" t="str">
        <f>CHOOSE(2, "5461730030", "Jun 26")</f>
        <v>Jun 26</v>
      </c>
      <c r="D8969" s="14">
        <v>4</v>
      </c>
    </row>
    <row r="8970" spans="1:4" x14ac:dyDescent="0.35">
      <c r="A8970" s="8" t="str">
        <f t="shared" si="4602"/>
        <v>Myanmar</v>
      </c>
      <c r="B8970" s="6" t="str">
        <f t="shared" si="4631"/>
        <v># of Total Leader Promotions</v>
      </c>
      <c r="C8970" s="4" t="str">
        <f>CHOOSE(2, "5462030031", "Jul 26")</f>
        <v>Jul 26</v>
      </c>
      <c r="D8970" s="14">
        <v>3</v>
      </c>
    </row>
    <row r="8971" spans="1:4" x14ac:dyDescent="0.35">
      <c r="A8971" s="8" t="str">
        <f t="shared" si="4602"/>
        <v>Myanmar</v>
      </c>
      <c r="B8971" s="3" t="str">
        <f t="shared" ref="B8971:B8972" si="4632">CHOOSE(2, "1395000000648", "# of Newly Demoted UM")</f>
        <v># of Newly Demoted UM</v>
      </c>
      <c r="C8971" s="4" t="str">
        <f>CHOOSE(2, "5461730030", "Jun 26")</f>
        <v>Jun 26</v>
      </c>
      <c r="D8971" s="14">
        <v>7</v>
      </c>
    </row>
    <row r="8972" spans="1:4" x14ac:dyDescent="0.35">
      <c r="A8972" s="8" t="str">
        <f t="shared" si="4602"/>
        <v>Myanmar</v>
      </c>
      <c r="B8972" s="6" t="str">
        <f t="shared" si="4632"/>
        <v># of Newly Demoted UM</v>
      </c>
      <c r="C8972" s="4" t="str">
        <f>CHOOSE(2, "5462030031", "Jul 26")</f>
        <v>Jul 26</v>
      </c>
      <c r="D8972" s="14">
        <v>1</v>
      </c>
    </row>
    <row r="8973" spans="1:4" x14ac:dyDescent="0.35">
      <c r="A8973" s="8" t="str">
        <f t="shared" si="4602"/>
        <v>Myanmar</v>
      </c>
      <c r="B8973" s="3" t="str">
        <f t="shared" ref="B8973:B8974" si="4633">CHOOSE(2, "1395000000647", "# of Newly Demoted Leaders above UM")</f>
        <v># of Newly Demoted Leaders above UM</v>
      </c>
      <c r="C8973" s="4" t="str">
        <f>CHOOSE(2, "5461730030", "Jun 26")</f>
        <v>Jun 26</v>
      </c>
      <c r="D8973" s="14">
        <v>2</v>
      </c>
    </row>
    <row r="8974" spans="1:4" x14ac:dyDescent="0.35">
      <c r="A8974" s="8" t="str">
        <f t="shared" si="4602"/>
        <v>Myanmar</v>
      </c>
      <c r="B8974" s="6" t="str">
        <f t="shared" si="4633"/>
        <v># of Newly Demoted Leaders above UM</v>
      </c>
      <c r="C8974" s="4" t="str">
        <f>CHOOSE(2, "5462030031", "Jul 26")</f>
        <v>Jul 26</v>
      </c>
      <c r="D8974" s="14">
        <v>0</v>
      </c>
    </row>
    <row r="8975" spans="1:4" x14ac:dyDescent="0.35">
      <c r="A8975" s="8" t="str">
        <f t="shared" si="4602"/>
        <v>Myanmar</v>
      </c>
      <c r="B8975" s="3" t="str">
        <f t="shared" ref="B8975:B8976" si="4634">CHOOSE(2, "1395000000646", "# of Total Leader Demotions")</f>
        <v># of Total Leader Demotions</v>
      </c>
      <c r="C8975" s="4" t="str">
        <f>CHOOSE(2, "5461730030", "Jun 26")</f>
        <v>Jun 26</v>
      </c>
      <c r="D8975" s="14">
        <v>9</v>
      </c>
    </row>
    <row r="8976" spans="1:4" x14ac:dyDescent="0.35">
      <c r="A8976" s="8" t="str">
        <f t="shared" si="4602"/>
        <v>Myanmar</v>
      </c>
      <c r="B8976" s="6" t="str">
        <f t="shared" si="4634"/>
        <v># of Total Leader Demotions</v>
      </c>
      <c r="C8976" s="4" t="str">
        <f>CHOOSE(2, "5462030031", "Jul 26")</f>
        <v>Jul 26</v>
      </c>
      <c r="D8976" s="14">
        <v>1</v>
      </c>
    </row>
    <row r="8977" spans="1:4" x14ac:dyDescent="0.35">
      <c r="A8977" s="8" t="str">
        <f t="shared" ref="A8977:A9040" si="4635">CHOOSE(2, "204000000010", "Myanmar")</f>
        <v>Myanmar</v>
      </c>
      <c r="B8977" s="3" t="str">
        <f t="shared" ref="B8977:B8978" si="4636">CHOOSE(2, "1395000000645", "# of agents meeting MOC")</f>
        <v># of agents meeting MOC</v>
      </c>
      <c r="C8977" s="4" t="str">
        <f>CHOOSE(2, "5461730030", "Jun 26")</f>
        <v>Jun 26</v>
      </c>
      <c r="D8977" s="14">
        <v>6</v>
      </c>
    </row>
    <row r="8978" spans="1:4" x14ac:dyDescent="0.35">
      <c r="A8978" s="8" t="str">
        <f t="shared" si="4635"/>
        <v>Myanmar</v>
      </c>
      <c r="B8978" s="6" t="str">
        <f t="shared" si="4636"/>
        <v># of agents meeting MOC</v>
      </c>
      <c r="C8978" s="4" t="str">
        <f>CHOOSE(2, "5462030031", "Jul 26")</f>
        <v>Jul 26</v>
      </c>
      <c r="D8978" s="14">
        <v>5</v>
      </c>
    </row>
    <row r="8979" spans="1:4" x14ac:dyDescent="0.35">
      <c r="A8979" s="8" t="str">
        <f t="shared" si="4635"/>
        <v>Myanmar</v>
      </c>
      <c r="B8979" s="3" t="str">
        <f t="shared" ref="B8979:B8980" si="4637">CHOOSE(2, "1395000000644", "# of agents meeting MOC in FA or equivalent")</f>
        <v># of agents meeting MOC in FA or equivalent</v>
      </c>
      <c r="C8979" s="4" t="str">
        <f>CHOOSE(2, "5461730030", "Jun 26")</f>
        <v>Jun 26</v>
      </c>
      <c r="D8979" s="14">
        <v>0</v>
      </c>
    </row>
    <row r="8980" spans="1:4" x14ac:dyDescent="0.35">
      <c r="A8980" s="8" t="str">
        <f t="shared" si="4635"/>
        <v>Myanmar</v>
      </c>
      <c r="B8980" s="6" t="str">
        <f t="shared" si="4637"/>
        <v># of agents meeting MOC in FA or equivalent</v>
      </c>
      <c r="C8980" s="4" t="str">
        <f>CHOOSE(2, "5462030031", "Jul 26")</f>
        <v>Jul 26</v>
      </c>
      <c r="D8980" s="14">
        <v>0</v>
      </c>
    </row>
    <row r="8981" spans="1:4" x14ac:dyDescent="0.35">
      <c r="A8981" s="8" t="str">
        <f t="shared" si="4635"/>
        <v>Myanmar</v>
      </c>
      <c r="B8981" s="3" t="str">
        <f t="shared" ref="B8981:B8982" si="4638">CHOOSE(2, "1395000000643", "# of agents meeting MOC in UM")</f>
        <v># of agents meeting MOC in UM</v>
      </c>
      <c r="C8981" s="4" t="str">
        <f>CHOOSE(2, "5461730030", "Jun 26")</f>
        <v>Jun 26</v>
      </c>
      <c r="D8981" s="14">
        <v>4</v>
      </c>
    </row>
    <row r="8982" spans="1:4" x14ac:dyDescent="0.35">
      <c r="A8982" s="8" t="str">
        <f t="shared" si="4635"/>
        <v>Myanmar</v>
      </c>
      <c r="B8982" s="6" t="str">
        <f t="shared" si="4638"/>
        <v># of agents meeting MOC in UM</v>
      </c>
      <c r="C8982" s="4" t="str">
        <f>CHOOSE(2, "5462030031", "Jul 26")</f>
        <v>Jul 26</v>
      </c>
      <c r="D8982" s="14">
        <v>2</v>
      </c>
    </row>
    <row r="8983" spans="1:4" x14ac:dyDescent="0.35">
      <c r="A8983" s="8" t="str">
        <f t="shared" si="4635"/>
        <v>Myanmar</v>
      </c>
      <c r="B8983" s="3" t="str">
        <f t="shared" ref="B8983:B8984" si="4639">CHOOSE(2, "1395000000642", "# of agents meeting MOC in Leaders above UM")</f>
        <v># of agents meeting MOC in Leaders above UM</v>
      </c>
      <c r="C8983" s="4" t="str">
        <f>CHOOSE(2, "5461730030", "Jun 26")</f>
        <v>Jun 26</v>
      </c>
      <c r="D8983" s="14">
        <v>2</v>
      </c>
    </row>
    <row r="8984" spans="1:4" x14ac:dyDescent="0.35">
      <c r="A8984" s="8" t="str">
        <f t="shared" si="4635"/>
        <v>Myanmar</v>
      </c>
      <c r="B8984" s="6" t="str">
        <f t="shared" si="4639"/>
        <v># of agents meeting MOC in Leaders above UM</v>
      </c>
      <c r="C8984" s="4" t="str">
        <f>CHOOSE(2, "5462030031", "Jul 26")</f>
        <v>Jul 26</v>
      </c>
      <c r="D8984" s="14">
        <v>3</v>
      </c>
    </row>
    <row r="8985" spans="1:4" x14ac:dyDescent="0.35">
      <c r="A8985" s="8" t="str">
        <f t="shared" si="4635"/>
        <v>Myanmar</v>
      </c>
      <c r="B8985" s="3" t="str">
        <f t="shared" ref="B8985:B8986" si="4640">CHOOSE(2, "1395000000641", "New Leaders 3M Activation Rate (by cohort)")</f>
        <v>New Leaders 3M Activation Rate (by cohort)</v>
      </c>
      <c r="C8985" s="4" t="str">
        <f>CHOOSE(2, "5461730030", "Jun 26")</f>
        <v>Jun 26</v>
      </c>
      <c r="D8985" s="14">
        <v>0</v>
      </c>
    </row>
    <row r="8986" spans="1:4" x14ac:dyDescent="0.35">
      <c r="A8986" s="8" t="str">
        <f t="shared" si="4635"/>
        <v>Myanmar</v>
      </c>
      <c r="B8986" s="6" t="str">
        <f t="shared" si="4640"/>
        <v>New Leaders 3M Activation Rate (by cohort)</v>
      </c>
      <c r="C8986" s="4" t="str">
        <f>CHOOSE(2, "5462030031", "Jul 26")</f>
        <v>Jul 26</v>
      </c>
      <c r="D8986" s="14">
        <v>1</v>
      </c>
    </row>
    <row r="8987" spans="1:4" x14ac:dyDescent="0.35">
      <c r="A8987" s="8" t="str">
        <f t="shared" si="4635"/>
        <v>Myanmar</v>
      </c>
      <c r="B8987" s="3" t="str">
        <f t="shared" ref="B8987:B8988" si="4641">CHOOSE(2, "1395000000640", "New Leaders 3M Activation Rate (by cohort) (numerator)")</f>
        <v>New Leaders 3M Activation Rate (by cohort) (numerator)</v>
      </c>
      <c r="C8987" s="4" t="str">
        <f>CHOOSE(2, "5461730030", "Jun 26")</f>
        <v>Jun 26</v>
      </c>
      <c r="D8987" s="14">
        <v>0</v>
      </c>
    </row>
    <row r="8988" spans="1:4" x14ac:dyDescent="0.35">
      <c r="A8988" s="8" t="str">
        <f t="shared" si="4635"/>
        <v>Myanmar</v>
      </c>
      <c r="B8988" s="6" t="str">
        <f t="shared" si="4641"/>
        <v>New Leaders 3M Activation Rate (by cohort) (numerator)</v>
      </c>
      <c r="C8988" s="4" t="str">
        <f>CHOOSE(2, "5462030031", "Jul 26")</f>
        <v>Jul 26</v>
      </c>
      <c r="D8988" s="14">
        <v>1</v>
      </c>
    </row>
    <row r="8989" spans="1:4" x14ac:dyDescent="0.35">
      <c r="A8989" s="8" t="str">
        <f t="shared" si="4635"/>
        <v>Myanmar</v>
      </c>
      <c r="B8989" s="3" t="str">
        <f t="shared" ref="B8989:B8990" si="4642">CHOOSE(2, "1395000000639", "New Leaders 3M Activation Rate (by cohort) (denominator)")</f>
        <v>New Leaders 3M Activation Rate (by cohort) (denominator)</v>
      </c>
      <c r="C8989" s="4" t="str">
        <f>CHOOSE(2, "5461730030", "Jun 26")</f>
        <v>Jun 26</v>
      </c>
      <c r="D8989" s="14">
        <v>1</v>
      </c>
    </row>
    <row r="8990" spans="1:4" x14ac:dyDescent="0.35">
      <c r="A8990" s="8" t="str">
        <f t="shared" si="4635"/>
        <v>Myanmar</v>
      </c>
      <c r="B8990" s="6" t="str">
        <f t="shared" si="4642"/>
        <v>New Leaders 3M Activation Rate (by cohort) (denominator)</v>
      </c>
      <c r="C8990" s="4" t="str">
        <f>CHOOSE(2, "5462030031", "Jul 26")</f>
        <v>Jul 26</v>
      </c>
      <c r="D8990" s="14">
        <v>1</v>
      </c>
    </row>
    <row r="8991" spans="1:4" x14ac:dyDescent="0.35">
      <c r="A8991" s="8" t="str">
        <f t="shared" si="4635"/>
        <v>Myanmar</v>
      </c>
      <c r="B8991" s="3" t="str">
        <f t="shared" ref="B8991:B8992" si="4643">CHOOSE(2, "1395000000638", "# of pro-rated MDRT agents (100%)")</f>
        <v># of pro-rated MDRT agents (100%)</v>
      </c>
      <c r="C8991" s="4" t="str">
        <f>CHOOSE(2, "5461730030", "Jun 26")</f>
        <v>Jun 26</v>
      </c>
      <c r="D8991" s="14">
        <v>10</v>
      </c>
    </row>
    <row r="8992" spans="1:4" x14ac:dyDescent="0.35">
      <c r="A8992" s="8" t="str">
        <f t="shared" si="4635"/>
        <v>Myanmar</v>
      </c>
      <c r="B8992" s="6" t="str">
        <f t="shared" si="4643"/>
        <v># of pro-rated MDRT agents (100%)</v>
      </c>
      <c r="C8992" s="4" t="str">
        <f>CHOOSE(2, "5462030031", "Jul 26")</f>
        <v>Jul 26</v>
      </c>
      <c r="D8992" s="14">
        <v>16</v>
      </c>
    </row>
    <row r="8993" spans="1:4" x14ac:dyDescent="0.35">
      <c r="A8993" s="8" t="str">
        <f t="shared" si="4635"/>
        <v>Myanmar</v>
      </c>
      <c r="B8993" s="3" t="str">
        <f t="shared" ref="B8993:B8994" si="4644">CHOOSE(2, "1395000000637", "# of pro-rated MDRT agents (90%-99%)")</f>
        <v># of pro-rated MDRT agents (90%-99%)</v>
      </c>
      <c r="C8993" s="4" t="str">
        <f>CHOOSE(2, "5461730030", "Jun 26")</f>
        <v>Jun 26</v>
      </c>
      <c r="D8993" s="2" t="s">
        <v>5</v>
      </c>
    </row>
    <row r="8994" spans="1:4" x14ac:dyDescent="0.35">
      <c r="A8994" s="8" t="str">
        <f t="shared" si="4635"/>
        <v>Myanmar</v>
      </c>
      <c r="B8994" s="6" t="str">
        <f t="shared" si="4644"/>
        <v># of pro-rated MDRT agents (90%-99%)</v>
      </c>
      <c r="C8994" s="4" t="str">
        <f>CHOOSE(2, "5462030031", "Jul 26")</f>
        <v>Jul 26</v>
      </c>
      <c r="D8994" s="2" t="s">
        <v>5</v>
      </c>
    </row>
    <row r="8995" spans="1:4" x14ac:dyDescent="0.35">
      <c r="A8995" s="8" t="str">
        <f t="shared" si="4635"/>
        <v>Myanmar</v>
      </c>
      <c r="B8995" s="3" t="str">
        <f t="shared" ref="B8995:B8996" si="4645">CHOOSE(2, "1395000000636", "# of pro-rated MDRT agents (70%-90%)")</f>
        <v># of pro-rated MDRT agents (70%-90%)</v>
      </c>
      <c r="C8995" s="4" t="str">
        <f>CHOOSE(2, "5461730030", "Jun 26")</f>
        <v>Jun 26</v>
      </c>
      <c r="D8995" s="2" t="s">
        <v>5</v>
      </c>
    </row>
    <row r="8996" spans="1:4" x14ac:dyDescent="0.35">
      <c r="A8996" s="8" t="str">
        <f t="shared" si="4635"/>
        <v>Myanmar</v>
      </c>
      <c r="B8996" s="6" t="str">
        <f t="shared" si="4645"/>
        <v># of pro-rated MDRT agents (70%-90%)</v>
      </c>
      <c r="C8996" s="4" t="str">
        <f>CHOOSE(2, "5462030031", "Jul 26")</f>
        <v>Jul 26</v>
      </c>
      <c r="D8996" s="2" t="s">
        <v>5</v>
      </c>
    </row>
    <row r="8997" spans="1:4" x14ac:dyDescent="0.35">
      <c r="A8997" s="8" t="str">
        <f t="shared" si="4635"/>
        <v>Myanmar</v>
      </c>
      <c r="B8997" s="3" t="str">
        <f t="shared" ref="B8997:B8998" si="4646">CHOOSE(2, "1395000000635", "# of pro-rated MDRT agents (&lt;70%)")</f>
        <v># of pro-rated MDRT agents (&lt;70%)</v>
      </c>
      <c r="C8997" s="4" t="str">
        <f>CHOOSE(2, "5461730030", "Jun 26")</f>
        <v>Jun 26</v>
      </c>
      <c r="D8997" s="2" t="s">
        <v>5</v>
      </c>
    </row>
    <row r="8998" spans="1:4" x14ac:dyDescent="0.35">
      <c r="A8998" s="8" t="str">
        <f t="shared" si="4635"/>
        <v>Myanmar</v>
      </c>
      <c r="B8998" s="6" t="str">
        <f t="shared" si="4646"/>
        <v># of pro-rated MDRT agents (&lt;70%)</v>
      </c>
      <c r="C8998" s="4" t="str">
        <f>CHOOSE(2, "5462030031", "Jul 26")</f>
        <v>Jul 26</v>
      </c>
      <c r="D8998" s="2" t="s">
        <v>5</v>
      </c>
    </row>
    <row r="8999" spans="1:4" x14ac:dyDescent="0.35">
      <c r="A8999" s="8" t="str">
        <f t="shared" si="4635"/>
        <v>Myanmar</v>
      </c>
      <c r="B8999" s="3" t="str">
        <f t="shared" ref="B8999:B9000" si="4647">CHOOSE(2, "1395000000634", "# of pro-rated MDRT agents (50%-70%)")</f>
        <v># of pro-rated MDRT agents (50%-70%)</v>
      </c>
      <c r="C8999" s="4" t="str">
        <f>CHOOSE(2, "5461730030", "Jun 26")</f>
        <v>Jun 26</v>
      </c>
      <c r="D8999" s="2" t="s">
        <v>5</v>
      </c>
    </row>
    <row r="9000" spans="1:4" x14ac:dyDescent="0.35">
      <c r="A9000" s="8" t="str">
        <f t="shared" si="4635"/>
        <v>Myanmar</v>
      </c>
      <c r="B9000" s="6" t="str">
        <f t="shared" si="4647"/>
        <v># of pro-rated MDRT agents (50%-70%)</v>
      </c>
      <c r="C9000" s="4" t="str">
        <f>CHOOSE(2, "5462030031", "Jul 26")</f>
        <v>Jul 26</v>
      </c>
      <c r="D9000" s="2" t="s">
        <v>5</v>
      </c>
    </row>
    <row r="9001" spans="1:4" x14ac:dyDescent="0.35">
      <c r="A9001" s="8" t="str">
        <f t="shared" si="4635"/>
        <v>Myanmar</v>
      </c>
      <c r="B9001" s="3" t="str">
        <f t="shared" ref="B9001:B9002" si="4648">CHOOSE(2, "1395000000633", "# of pro-rated MDRT agents (&lt;50%)")</f>
        <v># of pro-rated MDRT agents (&lt;50%)</v>
      </c>
      <c r="C9001" s="4" t="str">
        <f>CHOOSE(2, "5461730030", "Jun 26")</f>
        <v>Jun 26</v>
      </c>
      <c r="D9001" s="2" t="s">
        <v>5</v>
      </c>
    </row>
    <row r="9002" spans="1:4" x14ac:dyDescent="0.35">
      <c r="A9002" s="8" t="str">
        <f t="shared" si="4635"/>
        <v>Myanmar</v>
      </c>
      <c r="B9002" s="6" t="str">
        <f t="shared" si="4648"/>
        <v># of pro-rated MDRT agents (&lt;50%)</v>
      </c>
      <c r="C9002" s="4" t="str">
        <f>CHOOSE(2, "5462030031", "Jul 26")</f>
        <v>Jul 26</v>
      </c>
      <c r="D9002" s="2" t="s">
        <v>5</v>
      </c>
    </row>
    <row r="9003" spans="1:4" x14ac:dyDescent="0.35">
      <c r="A9003" s="8" t="str">
        <f t="shared" si="4635"/>
        <v>Myanmar</v>
      </c>
      <c r="B9003" s="3" t="str">
        <f t="shared" ref="B9003:B9004" si="4649">CHOOSE(2, "1395000000632", "# of pro-rated MDRT agents (70-99%)")</f>
        <v># of pro-rated MDRT agents (70-99%)</v>
      </c>
      <c r="C9003" s="4" t="str">
        <f>CHOOSE(2, "5461730030", "Jun 26")</f>
        <v>Jun 26</v>
      </c>
      <c r="D9003" s="14">
        <v>12</v>
      </c>
    </row>
    <row r="9004" spans="1:4" x14ac:dyDescent="0.35">
      <c r="A9004" s="8" t="str">
        <f t="shared" si="4635"/>
        <v>Myanmar</v>
      </c>
      <c r="B9004" s="6" t="str">
        <f t="shared" si="4649"/>
        <v># of pro-rated MDRT agents (70-99%)</v>
      </c>
      <c r="C9004" s="4" t="str">
        <f>CHOOSE(2, "5462030031", "Jul 26")</f>
        <v>Jul 26</v>
      </c>
      <c r="D9004" s="14">
        <v>13</v>
      </c>
    </row>
    <row r="9005" spans="1:4" x14ac:dyDescent="0.35">
      <c r="A9005" s="8" t="str">
        <f t="shared" si="4635"/>
        <v>Myanmar</v>
      </c>
      <c r="B9005" s="3" t="str">
        <f t="shared" ref="B9005:B9006" si="4650">CHOOSE(2, "1395000000631", "# of pro-rated MDRT agents (50-69%)")</f>
        <v># of pro-rated MDRT agents (50-69%)</v>
      </c>
      <c r="C9005" s="4" t="str">
        <f>CHOOSE(2, "5461730030", "Jun 26")</f>
        <v>Jun 26</v>
      </c>
      <c r="D9005" s="14">
        <v>10</v>
      </c>
    </row>
    <row r="9006" spans="1:4" x14ac:dyDescent="0.35">
      <c r="A9006" s="8" t="str">
        <f t="shared" si="4635"/>
        <v>Myanmar</v>
      </c>
      <c r="B9006" s="6" t="str">
        <f t="shared" si="4650"/>
        <v># of pro-rated MDRT agents (50-69%)</v>
      </c>
      <c r="C9006" s="4" t="str">
        <f>CHOOSE(2, "5462030031", "Jul 26")</f>
        <v>Jul 26</v>
      </c>
      <c r="D9006" s="14">
        <v>9</v>
      </c>
    </row>
    <row r="9007" spans="1:4" x14ac:dyDescent="0.35">
      <c r="A9007" s="8" t="str">
        <f t="shared" si="4635"/>
        <v>Myanmar</v>
      </c>
      <c r="B9007" s="3" t="str">
        <f t="shared" ref="B9007:B9008" si="4651">CHOOSE(2, "1395000000630", "# of Top-tier agents")</f>
        <v># of Top-tier agents</v>
      </c>
      <c r="C9007" s="4" t="str">
        <f>CHOOSE(2, "5461730030", "Jun 26")</f>
        <v>Jun 26</v>
      </c>
      <c r="D9007" s="14">
        <v>32</v>
      </c>
    </row>
    <row r="9008" spans="1:4" x14ac:dyDescent="0.35">
      <c r="A9008" s="8" t="str">
        <f t="shared" si="4635"/>
        <v>Myanmar</v>
      </c>
      <c r="B9008" s="6" t="str">
        <f t="shared" si="4651"/>
        <v># of Top-tier agents</v>
      </c>
      <c r="C9008" s="4" t="str">
        <f>CHOOSE(2, "5462030031", "Jul 26")</f>
        <v>Jul 26</v>
      </c>
      <c r="D9008" s="14">
        <v>38</v>
      </c>
    </row>
    <row r="9009" spans="1:4" x14ac:dyDescent="0.35">
      <c r="A9009" s="8" t="str">
        <f t="shared" si="4635"/>
        <v>Myanmar</v>
      </c>
      <c r="B9009" s="3" t="str">
        <f t="shared" ref="B9009:B9010" si="4652">CHOOSE(2, "1395000000629", "$ APE from pro-rated MDRT agents (100%)")</f>
        <v>$ APE from pro-rated MDRT agents (100%)</v>
      </c>
      <c r="C9009" s="4" t="str">
        <f>CHOOSE(2, "5461730030", "Jun 26")</f>
        <v>Jun 26</v>
      </c>
      <c r="D9009" s="14">
        <v>142325.98000000001</v>
      </c>
    </row>
    <row r="9010" spans="1:4" x14ac:dyDescent="0.35">
      <c r="A9010" s="8" t="str">
        <f t="shared" si="4635"/>
        <v>Myanmar</v>
      </c>
      <c r="B9010" s="6" t="str">
        <f t="shared" si="4652"/>
        <v>$ APE from pro-rated MDRT agents (100%)</v>
      </c>
      <c r="C9010" s="4" t="str">
        <f>CHOOSE(2, "5462030031", "Jul 26")</f>
        <v>Jul 26</v>
      </c>
      <c r="D9010" s="14">
        <v>92101.8</v>
      </c>
    </row>
    <row r="9011" spans="1:4" x14ac:dyDescent="0.35">
      <c r="A9011" s="8" t="str">
        <f t="shared" si="4635"/>
        <v>Myanmar</v>
      </c>
      <c r="B9011" s="3" t="str">
        <f t="shared" ref="B9011:B9012" si="4653">CHOOSE(2, "1395000000628", "$ APE from pro-rated MDRT agents (70-99%)")</f>
        <v>$ APE from pro-rated MDRT agents (70-99%)</v>
      </c>
      <c r="C9011" s="4" t="str">
        <f>CHOOSE(2, "5461730030", "Jun 26")</f>
        <v>Jun 26</v>
      </c>
      <c r="D9011" s="14">
        <v>63360.35</v>
      </c>
    </row>
    <row r="9012" spans="1:4" x14ac:dyDescent="0.35">
      <c r="A9012" s="8" t="str">
        <f t="shared" si="4635"/>
        <v>Myanmar</v>
      </c>
      <c r="B9012" s="6" t="str">
        <f t="shared" si="4653"/>
        <v>$ APE from pro-rated MDRT agents (70-99%)</v>
      </c>
      <c r="C9012" s="4" t="str">
        <f>CHOOSE(2, "5462030031", "Jul 26")</f>
        <v>Jul 26</v>
      </c>
      <c r="D9012" s="14">
        <v>18870.62</v>
      </c>
    </row>
    <row r="9013" spans="1:4" x14ac:dyDescent="0.35">
      <c r="A9013" s="8" t="str">
        <f t="shared" si="4635"/>
        <v>Myanmar</v>
      </c>
      <c r="B9013" s="3" t="str">
        <f t="shared" ref="B9013:B9014" si="4654">CHOOSE(2, "1395000000627", "$ APE from pro-rated MDRT agents (50-69%)")</f>
        <v>$ APE from pro-rated MDRT agents (50-69%)</v>
      </c>
      <c r="C9013" s="4" t="str">
        <f>CHOOSE(2, "5461730030", "Jun 26")</f>
        <v>Jun 26</v>
      </c>
      <c r="D9013" s="14">
        <v>30033.81</v>
      </c>
    </row>
    <row r="9014" spans="1:4" x14ac:dyDescent="0.35">
      <c r="A9014" s="8" t="str">
        <f t="shared" si="4635"/>
        <v>Myanmar</v>
      </c>
      <c r="B9014" s="6" t="str">
        <f t="shared" si="4654"/>
        <v>$ APE from pro-rated MDRT agents (50-69%)</v>
      </c>
      <c r="C9014" s="4" t="str">
        <f>CHOOSE(2, "5462030031", "Jul 26")</f>
        <v>Jul 26</v>
      </c>
      <c r="D9014" s="14">
        <v>18134.96</v>
      </c>
    </row>
    <row r="9015" spans="1:4" x14ac:dyDescent="0.35">
      <c r="A9015" s="8" t="str">
        <f t="shared" si="4635"/>
        <v>Myanmar</v>
      </c>
      <c r="B9015" s="3" t="str">
        <f t="shared" ref="B9015:B9016" si="4655">CHOOSE(2, "1395000000626", "$ APE from Top-tier agents")</f>
        <v>$ APE from Top-tier agents</v>
      </c>
      <c r="C9015" s="4" t="str">
        <f>CHOOSE(2, "5461730030", "Jun 26")</f>
        <v>Jun 26</v>
      </c>
      <c r="D9015" s="14">
        <v>235720.13</v>
      </c>
    </row>
    <row r="9016" spans="1:4" x14ac:dyDescent="0.35">
      <c r="A9016" s="8" t="str">
        <f t="shared" si="4635"/>
        <v>Myanmar</v>
      </c>
      <c r="B9016" s="6" t="str">
        <f t="shared" si="4655"/>
        <v>$ APE from Top-tier agents</v>
      </c>
      <c r="C9016" s="4" t="str">
        <f>CHOOSE(2, "5462030031", "Jul 26")</f>
        <v>Jul 26</v>
      </c>
      <c r="D9016" s="14">
        <v>129107.37</v>
      </c>
    </row>
    <row r="9017" spans="1:4" x14ac:dyDescent="0.35">
      <c r="A9017" s="8" t="str">
        <f t="shared" si="4635"/>
        <v>Myanmar</v>
      </c>
      <c r="B9017" s="3" t="str">
        <f t="shared" ref="B9017:B9018" si="4656">CHOOSE(2, "1395000000625", "# of MDRT qualifiers - YTD")</f>
        <v># of MDRT qualifiers - YTD</v>
      </c>
      <c r="C9017" s="4" t="str">
        <f>CHOOSE(2, "5461730030", "Jun 26")</f>
        <v>Jun 26</v>
      </c>
      <c r="D9017" s="14">
        <v>4</v>
      </c>
    </row>
    <row r="9018" spans="1:4" x14ac:dyDescent="0.35">
      <c r="A9018" s="8" t="str">
        <f t="shared" si="4635"/>
        <v>Myanmar</v>
      </c>
      <c r="B9018" s="6" t="str">
        <f t="shared" si="4656"/>
        <v># of MDRT qualifiers - YTD</v>
      </c>
      <c r="C9018" s="4" t="str">
        <f>CHOOSE(2, "5462030031", "Jul 26")</f>
        <v>Jul 26</v>
      </c>
      <c r="D9018" s="14">
        <v>6</v>
      </c>
    </row>
    <row r="9019" spans="1:4" x14ac:dyDescent="0.35">
      <c r="A9019" s="8" t="str">
        <f t="shared" si="4635"/>
        <v>Myanmar</v>
      </c>
      <c r="B9019" s="3" t="str">
        <f t="shared" ref="B9019:B9020" si="4657">CHOOSE(2, "1395000000624", "# of MDRT COT qualifiers - YTD")</f>
        <v># of MDRT COT qualifiers - YTD</v>
      </c>
      <c r="C9019" s="4" t="str">
        <f>CHOOSE(2, "5461730030", "Jun 26")</f>
        <v>Jun 26</v>
      </c>
      <c r="D9019" s="14">
        <v>0</v>
      </c>
    </row>
    <row r="9020" spans="1:4" x14ac:dyDescent="0.35">
      <c r="A9020" s="8" t="str">
        <f t="shared" si="4635"/>
        <v>Myanmar</v>
      </c>
      <c r="B9020" s="6" t="str">
        <f t="shared" si="4657"/>
        <v># of MDRT COT qualifiers - YTD</v>
      </c>
      <c r="C9020" s="4" t="str">
        <f>CHOOSE(2, "5462030031", "Jul 26")</f>
        <v>Jul 26</v>
      </c>
      <c r="D9020" s="14">
        <v>0</v>
      </c>
    </row>
    <row r="9021" spans="1:4" x14ac:dyDescent="0.35">
      <c r="A9021" s="8" t="str">
        <f t="shared" si="4635"/>
        <v>Myanmar</v>
      </c>
      <c r="B9021" s="3" t="str">
        <f t="shared" ref="B9021:B9022" si="4658">CHOOSE(2, "1395000000623", "# of MDRT TOT qualifiers - YTD")</f>
        <v># of MDRT TOT qualifiers - YTD</v>
      </c>
      <c r="C9021" s="4" t="str">
        <f>CHOOSE(2, "5461730030", "Jun 26")</f>
        <v>Jun 26</v>
      </c>
      <c r="D9021" s="14">
        <v>0</v>
      </c>
    </row>
    <row r="9022" spans="1:4" x14ac:dyDescent="0.35">
      <c r="A9022" s="8" t="str">
        <f t="shared" si="4635"/>
        <v>Myanmar</v>
      </c>
      <c r="B9022" s="6" t="str">
        <f t="shared" si="4658"/>
        <v># of MDRT TOT qualifiers - YTD</v>
      </c>
      <c r="C9022" s="4" t="str">
        <f>CHOOSE(2, "5462030031", "Jul 26")</f>
        <v>Jul 26</v>
      </c>
      <c r="D9022" s="14">
        <v>0</v>
      </c>
    </row>
    <row r="9023" spans="1:4" x14ac:dyDescent="0.35">
      <c r="A9023" s="8" t="str">
        <f t="shared" si="4635"/>
        <v>Myanmar</v>
      </c>
      <c r="B9023" s="3" t="str">
        <f t="shared" ref="B9023:B9024" si="4659">CHOOSE(2, "1395000000622", "Manulife Pro Qualifiers - Total")</f>
        <v>Manulife Pro Qualifiers - Total</v>
      </c>
      <c r="C9023" s="4" t="str">
        <f>CHOOSE(2, "5461730030", "Jun 26")</f>
        <v>Jun 26</v>
      </c>
      <c r="D9023" s="2" t="s">
        <v>5</v>
      </c>
    </row>
    <row r="9024" spans="1:4" x14ac:dyDescent="0.35">
      <c r="A9024" s="8" t="str">
        <f t="shared" si="4635"/>
        <v>Myanmar</v>
      </c>
      <c r="B9024" s="6" t="str">
        <f t="shared" si="4659"/>
        <v>Manulife Pro Qualifiers - Total</v>
      </c>
      <c r="C9024" s="4" t="str">
        <f>CHOOSE(2, "5462030031", "Jul 26")</f>
        <v>Jul 26</v>
      </c>
      <c r="D9024" s="2" t="s">
        <v>5</v>
      </c>
    </row>
    <row r="9025" spans="1:4" x14ac:dyDescent="0.35">
      <c r="A9025" s="8" t="str">
        <f t="shared" si="4635"/>
        <v>Myanmar</v>
      </c>
      <c r="B9025" s="3" t="str">
        <f t="shared" ref="B9025:B9026" si="4660">CHOOSE(2, "1395000000621", "Manulife Pro Qualifiers - Silver")</f>
        <v>Manulife Pro Qualifiers - Silver</v>
      </c>
      <c r="C9025" s="4" t="str">
        <f>CHOOSE(2, "5461730030", "Jun 26")</f>
        <v>Jun 26</v>
      </c>
      <c r="D9025" s="2" t="s">
        <v>5</v>
      </c>
    </row>
    <row r="9026" spans="1:4" x14ac:dyDescent="0.35">
      <c r="A9026" s="8" t="str">
        <f t="shared" si="4635"/>
        <v>Myanmar</v>
      </c>
      <c r="B9026" s="6" t="str">
        <f t="shared" si="4660"/>
        <v>Manulife Pro Qualifiers - Silver</v>
      </c>
      <c r="C9026" s="4" t="str">
        <f>CHOOSE(2, "5462030031", "Jul 26")</f>
        <v>Jul 26</v>
      </c>
      <c r="D9026" s="2" t="s">
        <v>5</v>
      </c>
    </row>
    <row r="9027" spans="1:4" x14ac:dyDescent="0.35">
      <c r="A9027" s="8" t="str">
        <f t="shared" si="4635"/>
        <v>Myanmar</v>
      </c>
      <c r="B9027" s="3" t="str">
        <f t="shared" ref="B9027:B9028" si="4661">CHOOSE(2, "1395000000620", "Manulife Pro Qualifiers - Gold")</f>
        <v>Manulife Pro Qualifiers - Gold</v>
      </c>
      <c r="C9027" s="4" t="str">
        <f>CHOOSE(2, "5461730030", "Jun 26")</f>
        <v>Jun 26</v>
      </c>
      <c r="D9027" s="2" t="s">
        <v>5</v>
      </c>
    </row>
    <row r="9028" spans="1:4" x14ac:dyDescent="0.35">
      <c r="A9028" s="8" t="str">
        <f t="shared" si="4635"/>
        <v>Myanmar</v>
      </c>
      <c r="B9028" s="6" t="str">
        <f t="shared" si="4661"/>
        <v>Manulife Pro Qualifiers - Gold</v>
      </c>
      <c r="C9028" s="4" t="str">
        <f>CHOOSE(2, "5462030031", "Jul 26")</f>
        <v>Jul 26</v>
      </c>
      <c r="D9028" s="2" t="s">
        <v>5</v>
      </c>
    </row>
    <row r="9029" spans="1:4" x14ac:dyDescent="0.35">
      <c r="A9029" s="8" t="str">
        <f t="shared" si="4635"/>
        <v>Myanmar</v>
      </c>
      <c r="B9029" s="3" t="str">
        <f t="shared" ref="B9029:B9030" si="4662">CHOOSE(2, "1395000000619", "Manulife Pro Qualifiers  - Platinum")</f>
        <v>Manulife Pro Qualifiers  - Platinum</v>
      </c>
      <c r="C9029" s="4" t="str">
        <f>CHOOSE(2, "5461730030", "Jun 26")</f>
        <v>Jun 26</v>
      </c>
      <c r="D9029" s="2" t="s">
        <v>5</v>
      </c>
    </row>
    <row r="9030" spans="1:4" x14ac:dyDescent="0.35">
      <c r="A9030" s="8" t="str">
        <f t="shared" si="4635"/>
        <v>Myanmar</v>
      </c>
      <c r="B9030" s="6" t="str">
        <f t="shared" si="4662"/>
        <v>Manulife Pro Qualifiers  - Platinum</v>
      </c>
      <c r="C9030" s="4" t="str">
        <f>CHOOSE(2, "5462030031", "Jul 26")</f>
        <v>Jul 26</v>
      </c>
      <c r="D9030" s="2" t="s">
        <v>5</v>
      </c>
    </row>
    <row r="9031" spans="1:4" x14ac:dyDescent="0.35">
      <c r="A9031" s="8" t="str">
        <f t="shared" si="4635"/>
        <v>Myanmar</v>
      </c>
      <c r="B9031" s="3" t="str">
        <f t="shared" ref="B9031:B9032" si="4663">CHOOSE(2, "1395000000618", "$ APE from Manulife Pro - Total")</f>
        <v>$ APE from Manulife Pro - Total</v>
      </c>
      <c r="C9031" s="4" t="str">
        <f>CHOOSE(2, "5461730030", "Jun 26")</f>
        <v>Jun 26</v>
      </c>
      <c r="D9031" s="2" t="s">
        <v>5</v>
      </c>
    </row>
    <row r="9032" spans="1:4" x14ac:dyDescent="0.35">
      <c r="A9032" s="8" t="str">
        <f t="shared" si="4635"/>
        <v>Myanmar</v>
      </c>
      <c r="B9032" s="6" t="str">
        <f t="shared" si="4663"/>
        <v>$ APE from Manulife Pro - Total</v>
      </c>
      <c r="C9032" s="4" t="str">
        <f>CHOOSE(2, "5462030031", "Jul 26")</f>
        <v>Jul 26</v>
      </c>
      <c r="D9032" s="2" t="s">
        <v>5</v>
      </c>
    </row>
    <row r="9033" spans="1:4" x14ac:dyDescent="0.35">
      <c r="A9033" s="8" t="str">
        <f t="shared" si="4635"/>
        <v>Myanmar</v>
      </c>
      <c r="B9033" s="3" t="str">
        <f t="shared" ref="B9033:B9034" si="4664">CHOOSE(2, "1395000000617", "$ APE from Manulife Pro - Silver")</f>
        <v>$ APE from Manulife Pro - Silver</v>
      </c>
      <c r="C9033" s="4" t="str">
        <f>CHOOSE(2, "5461730030", "Jun 26")</f>
        <v>Jun 26</v>
      </c>
      <c r="D9033" s="2" t="s">
        <v>5</v>
      </c>
    </row>
    <row r="9034" spans="1:4" x14ac:dyDescent="0.35">
      <c r="A9034" s="8" t="str">
        <f t="shared" si="4635"/>
        <v>Myanmar</v>
      </c>
      <c r="B9034" s="6" t="str">
        <f t="shared" si="4664"/>
        <v>$ APE from Manulife Pro - Silver</v>
      </c>
      <c r="C9034" s="4" t="str">
        <f>CHOOSE(2, "5462030031", "Jul 26")</f>
        <v>Jul 26</v>
      </c>
      <c r="D9034" s="2" t="s">
        <v>5</v>
      </c>
    </row>
    <row r="9035" spans="1:4" x14ac:dyDescent="0.35">
      <c r="A9035" s="8" t="str">
        <f t="shared" si="4635"/>
        <v>Myanmar</v>
      </c>
      <c r="B9035" s="3" t="str">
        <f t="shared" ref="B9035:B9036" si="4665">CHOOSE(2, "1395000000616", "$ APE from Manulife Pro - Gold")</f>
        <v>$ APE from Manulife Pro - Gold</v>
      </c>
      <c r="C9035" s="4" t="str">
        <f>CHOOSE(2, "5461730030", "Jun 26")</f>
        <v>Jun 26</v>
      </c>
      <c r="D9035" s="2" t="s">
        <v>5</v>
      </c>
    </row>
    <row r="9036" spans="1:4" x14ac:dyDescent="0.35">
      <c r="A9036" s="8" t="str">
        <f t="shared" si="4635"/>
        <v>Myanmar</v>
      </c>
      <c r="B9036" s="6" t="str">
        <f t="shared" si="4665"/>
        <v>$ APE from Manulife Pro - Gold</v>
      </c>
      <c r="C9036" s="4" t="str">
        <f>CHOOSE(2, "5462030031", "Jul 26")</f>
        <v>Jul 26</v>
      </c>
      <c r="D9036" s="2" t="s">
        <v>5</v>
      </c>
    </row>
    <row r="9037" spans="1:4" x14ac:dyDescent="0.35">
      <c r="A9037" s="8" t="str">
        <f t="shared" si="4635"/>
        <v>Myanmar</v>
      </c>
      <c r="B9037" s="3" t="str">
        <f t="shared" ref="B9037:B9038" si="4666">CHOOSE(2, "1395000000615", "$ APE from Manulife Pro  - Platinum")</f>
        <v>$ APE from Manulife Pro  - Platinum</v>
      </c>
      <c r="C9037" s="4" t="str">
        <f>CHOOSE(2, "5461730030", "Jun 26")</f>
        <v>Jun 26</v>
      </c>
      <c r="D9037" s="2" t="s">
        <v>5</v>
      </c>
    </row>
    <row r="9038" spans="1:4" x14ac:dyDescent="0.35">
      <c r="A9038" s="8" t="str">
        <f t="shared" si="4635"/>
        <v>Myanmar</v>
      </c>
      <c r="B9038" s="6" t="str">
        <f t="shared" si="4666"/>
        <v>$ APE from Manulife Pro  - Platinum</v>
      </c>
      <c r="C9038" s="4" t="str">
        <f>CHOOSE(2, "5462030031", "Jul 26")</f>
        <v>Jul 26</v>
      </c>
      <c r="D9038" s="2" t="s">
        <v>5</v>
      </c>
    </row>
    <row r="9039" spans="1:4" x14ac:dyDescent="0.35">
      <c r="A9039" s="8" t="str">
        <f t="shared" si="4635"/>
        <v>Myanmar</v>
      </c>
      <c r="B9039" s="3" t="str">
        <f t="shared" ref="B9039:B9040" si="4667">CHOOSE(2, "1395000000614", "Issued APE")</f>
        <v>Issued APE</v>
      </c>
      <c r="C9039" s="4" t="str">
        <f>CHOOSE(2, "5461730030", "Jun 26")</f>
        <v>Jun 26</v>
      </c>
      <c r="D9039" s="14">
        <v>329158.01268000004</v>
      </c>
    </row>
    <row r="9040" spans="1:4" x14ac:dyDescent="0.35">
      <c r="A9040" s="8" t="str">
        <f t="shared" si="4635"/>
        <v>Myanmar</v>
      </c>
      <c r="B9040" s="6" t="str">
        <f t="shared" si="4667"/>
        <v>Issued APE</v>
      </c>
      <c r="C9040" s="4" t="str">
        <f>CHOOSE(2, "5462030031", "Jul 26")</f>
        <v>Jul 26</v>
      </c>
      <c r="D9040" s="14">
        <v>209406.85612000001</v>
      </c>
    </row>
    <row r="9041" spans="1:4" x14ac:dyDescent="0.35">
      <c r="A9041" s="8" t="str">
        <f t="shared" ref="A9041:A9104" si="4668">CHOOSE(2, "204000000010", "Myanmar")</f>
        <v>Myanmar</v>
      </c>
      <c r="B9041" s="3" t="str">
        <f t="shared" ref="B9041:B9042" si="4669">CHOOSE(2, "1395000000613", "Post-MI APE")</f>
        <v>Post-MI APE</v>
      </c>
      <c r="C9041" s="4" t="str">
        <f>CHOOSE(2, "5461730030", "Jun 26")</f>
        <v>Jun 26</v>
      </c>
      <c r="D9041" s="14">
        <v>329158.01268000004</v>
      </c>
    </row>
    <row r="9042" spans="1:4" x14ac:dyDescent="0.35">
      <c r="A9042" s="8" t="str">
        <f t="shared" si="4668"/>
        <v>Myanmar</v>
      </c>
      <c r="B9042" s="6" t="str">
        <f t="shared" si="4669"/>
        <v>Post-MI APE</v>
      </c>
      <c r="C9042" s="4" t="str">
        <f>CHOOSE(2, "5462030031", "Jul 26")</f>
        <v>Jul 26</v>
      </c>
      <c r="D9042" s="14">
        <v>209406.85612000001</v>
      </c>
    </row>
    <row r="9043" spans="1:4" x14ac:dyDescent="0.35">
      <c r="A9043" s="8" t="str">
        <f t="shared" si="4668"/>
        <v>Myanmar</v>
      </c>
      <c r="B9043" s="3" t="str">
        <f t="shared" ref="B9043:B9044" si="4670">CHOOSE(2, "1395000000610", "Pre-gap NBV")</f>
        <v>Pre-gap NBV</v>
      </c>
      <c r="C9043" s="4" t="str">
        <f>CHOOSE(2, "5461730030", "Jun 26")</f>
        <v>Jun 26</v>
      </c>
      <c r="D9043" s="14">
        <v>102564.36587488001</v>
      </c>
    </row>
    <row r="9044" spans="1:4" x14ac:dyDescent="0.35">
      <c r="A9044" s="8" t="str">
        <f t="shared" si="4668"/>
        <v>Myanmar</v>
      </c>
      <c r="B9044" s="6" t="str">
        <f t="shared" si="4670"/>
        <v>Pre-gap NBV</v>
      </c>
      <c r="C9044" s="4" t="str">
        <f>CHOOSE(2, "5462030031", "Jul 26")</f>
        <v>Jul 26</v>
      </c>
      <c r="D9044" s="14">
        <v>57860.665677080004</v>
      </c>
    </row>
    <row r="9045" spans="1:4" x14ac:dyDescent="0.35">
      <c r="A9045" s="8" t="str">
        <f t="shared" si="4668"/>
        <v>Myanmar</v>
      </c>
      <c r="B9045" s="3" t="str">
        <f t="shared" ref="B9045:B9046" si="4671">CHOOSE(2, "1395000000609", "Pre-gap NBV Margin %")</f>
        <v>Pre-gap NBV Margin %</v>
      </c>
      <c r="C9045" s="4" t="str">
        <f>CHOOSE(2, "5461730030", "Jun 26")</f>
        <v>Jun 26</v>
      </c>
      <c r="D9045" s="14">
        <v>0.31159613900874639</v>
      </c>
    </row>
    <row r="9046" spans="1:4" x14ac:dyDescent="0.35">
      <c r="A9046" s="8" t="str">
        <f t="shared" si="4668"/>
        <v>Myanmar</v>
      </c>
      <c r="B9046" s="6" t="str">
        <f t="shared" si="4671"/>
        <v>Pre-gap NBV Margin %</v>
      </c>
      <c r="C9046" s="4" t="str">
        <f>CHOOSE(2, "5462030031", "Jul 26")</f>
        <v>Jul 26</v>
      </c>
      <c r="D9046" s="14">
        <v>0.2763074082155319</v>
      </c>
    </row>
    <row r="9047" spans="1:4" x14ac:dyDescent="0.35">
      <c r="A9047" s="8" t="str">
        <f t="shared" si="4668"/>
        <v>Myanmar</v>
      </c>
      <c r="B9047" s="3" t="str">
        <f t="shared" ref="B9047:B9048" si="4672">CHOOSE(2, "1395000000608", "Post-gap NBV")</f>
        <v>Post-gap NBV</v>
      </c>
      <c r="C9047" s="4" t="str">
        <f>CHOOSE(2, "5461730030", "Jun 26")</f>
        <v>Jun 26</v>
      </c>
      <c r="D9047" s="14">
        <v>102564.36587488001</v>
      </c>
    </row>
    <row r="9048" spans="1:4" x14ac:dyDescent="0.35">
      <c r="A9048" s="8" t="str">
        <f t="shared" si="4668"/>
        <v>Myanmar</v>
      </c>
      <c r="B9048" s="6" t="str">
        <f t="shared" si="4672"/>
        <v>Post-gap NBV</v>
      </c>
      <c r="C9048" s="4" t="str">
        <f>CHOOSE(2, "5462030031", "Jul 26")</f>
        <v>Jul 26</v>
      </c>
      <c r="D9048" s="14">
        <v>57860.665677080004</v>
      </c>
    </row>
    <row r="9049" spans="1:4" x14ac:dyDescent="0.35">
      <c r="A9049" s="8" t="str">
        <f t="shared" si="4668"/>
        <v>Myanmar</v>
      </c>
      <c r="B9049" s="3" t="str">
        <f t="shared" ref="B9049:B9050" si="4673">CHOOSE(2, "1395000000607", "Post-gap NBV Margin %")</f>
        <v>Post-gap NBV Margin %</v>
      </c>
      <c r="C9049" s="4" t="str">
        <f>CHOOSE(2, "5461730030", "Jun 26")</f>
        <v>Jun 26</v>
      </c>
      <c r="D9049" s="14">
        <v>0.31159613900874639</v>
      </c>
    </row>
    <row r="9050" spans="1:4" x14ac:dyDescent="0.35">
      <c r="A9050" s="8" t="str">
        <f t="shared" si="4668"/>
        <v>Myanmar</v>
      </c>
      <c r="B9050" s="6" t="str">
        <f t="shared" si="4673"/>
        <v>Post-gap NBV Margin %</v>
      </c>
      <c r="C9050" s="4" t="str">
        <f>CHOOSE(2, "5462030031", "Jul 26")</f>
        <v>Jul 26</v>
      </c>
      <c r="D9050" s="14">
        <v>0.2763074082155319</v>
      </c>
    </row>
    <row r="9051" spans="1:4" x14ac:dyDescent="0.35">
      <c r="A9051" s="8" t="str">
        <f t="shared" si="4668"/>
        <v>Myanmar</v>
      </c>
      <c r="B9051" s="3" t="str">
        <f t="shared" ref="B9051:B9052" si="4674">CHOOSE(2, "1395000000606", "NB CSM")</f>
        <v>NB CSM</v>
      </c>
      <c r="C9051" s="4" t="str">
        <f>CHOOSE(2, "5461730030", "Jun 26")</f>
        <v>Jun 26</v>
      </c>
      <c r="D9051" s="14">
        <v>0</v>
      </c>
    </row>
    <row r="9052" spans="1:4" x14ac:dyDescent="0.35">
      <c r="A9052" s="8" t="str">
        <f t="shared" si="4668"/>
        <v>Myanmar</v>
      </c>
      <c r="B9052" s="6" t="str">
        <f t="shared" si="4674"/>
        <v>NB CSM</v>
      </c>
      <c r="C9052" s="4" t="str">
        <f>CHOOSE(2, "5462030031", "Jul 26")</f>
        <v>Jul 26</v>
      </c>
      <c r="D9052" s="14">
        <v>0</v>
      </c>
    </row>
    <row r="9053" spans="1:4" x14ac:dyDescent="0.35">
      <c r="A9053" s="8" t="str">
        <f t="shared" si="4668"/>
        <v>Myanmar</v>
      </c>
      <c r="B9053" s="3" t="str">
        <f t="shared" ref="B9053:B9054" si="4675">CHOOSE(2, "1395000000605", "NB CSM Margin %")</f>
        <v>NB CSM Margin %</v>
      </c>
      <c r="C9053" s="4" t="str">
        <f>CHOOSE(2, "5461730030", "Jun 26")</f>
        <v>Jun 26</v>
      </c>
      <c r="D9053" s="14">
        <v>0</v>
      </c>
    </row>
    <row r="9054" spans="1:4" x14ac:dyDescent="0.35">
      <c r="A9054" s="8" t="str">
        <f t="shared" si="4668"/>
        <v>Myanmar</v>
      </c>
      <c r="B9054" s="6" t="str">
        <f t="shared" si="4675"/>
        <v>NB CSM Margin %</v>
      </c>
      <c r="C9054" s="4" t="str">
        <f>CHOOSE(2, "5462030031", "Jul 26")</f>
        <v>Jul 26</v>
      </c>
      <c r="D9054" s="14">
        <v>0</v>
      </c>
    </row>
    <row r="9055" spans="1:4" x14ac:dyDescent="0.35">
      <c r="A9055" s="8" t="str">
        <f t="shared" si="4668"/>
        <v>Myanmar</v>
      </c>
      <c r="B9055" s="3" t="str">
        <f t="shared" ref="B9055:B9056" si="4676">CHOOSE(2, "1395000000604", "PRE")</f>
        <v>PRE</v>
      </c>
      <c r="C9055" s="4" t="str">
        <f>CHOOSE(2, "5461730030", "Jun 26")</f>
        <v>Jun 26</v>
      </c>
      <c r="D9055" s="14">
        <v>3585275.3623188413</v>
      </c>
    </row>
    <row r="9056" spans="1:4" x14ac:dyDescent="0.35">
      <c r="A9056" s="8" t="str">
        <f t="shared" si="4668"/>
        <v>Myanmar</v>
      </c>
      <c r="B9056" s="6" t="str">
        <f t="shared" si="4676"/>
        <v>PRE</v>
      </c>
      <c r="C9056" s="4" t="str">
        <f>CHOOSE(2, "5462030031", "Jul 26")</f>
        <v>Jul 26</v>
      </c>
      <c r="D9056" s="14">
        <v>2704527.5362318847</v>
      </c>
    </row>
    <row r="9057" spans="1:4" x14ac:dyDescent="0.35">
      <c r="A9057" s="8" t="str">
        <f t="shared" si="4668"/>
        <v>Myanmar</v>
      </c>
      <c r="B9057" s="3" t="str">
        <f t="shared" ref="B9057:B9058" si="4677">CHOOSE(2, "1395000000603", "ContEx")</f>
        <v>ContEx</v>
      </c>
      <c r="C9057" s="4" t="str">
        <f>CHOOSE(2, "5461730030", "Jun 26")</f>
        <v>Jun 26</v>
      </c>
      <c r="D9057" s="14">
        <v>0</v>
      </c>
    </row>
    <row r="9058" spans="1:4" x14ac:dyDescent="0.35">
      <c r="A9058" s="8" t="str">
        <f t="shared" si="4668"/>
        <v>Myanmar</v>
      </c>
      <c r="B9058" s="6" t="str">
        <f t="shared" si="4677"/>
        <v>ContEx</v>
      </c>
      <c r="C9058" s="4" t="str">
        <f>CHOOSE(2, "5462030031", "Jul 26")</f>
        <v>Jul 26</v>
      </c>
      <c r="D9058" s="14">
        <v>0</v>
      </c>
    </row>
    <row r="9059" spans="1:4" x14ac:dyDescent="0.35">
      <c r="A9059" s="8" t="str">
        <f t="shared" si="4668"/>
        <v>Myanmar</v>
      </c>
      <c r="B9059" s="3" t="str">
        <f t="shared" ref="B9059:B9060" si="4678">CHOOSE(2, "1395000000602", "% of 6-90 agents")</f>
        <v>% of 6-90 agents</v>
      </c>
      <c r="C9059" s="4" t="str">
        <f>CHOOSE(2, "5461730030", "Jun 26")</f>
        <v>Jun 26</v>
      </c>
      <c r="D9059" s="14">
        <v>0</v>
      </c>
    </row>
    <row r="9060" spans="1:4" x14ac:dyDescent="0.35">
      <c r="A9060" s="8" t="str">
        <f t="shared" si="4668"/>
        <v>Myanmar</v>
      </c>
      <c r="B9060" s="6" t="str">
        <f t="shared" si="4678"/>
        <v>% of 6-90 agents</v>
      </c>
      <c r="C9060" s="4" t="str">
        <f>CHOOSE(2, "5462030031", "Jul 26")</f>
        <v>Jul 26</v>
      </c>
      <c r="D9060" s="14">
        <v>0</v>
      </c>
    </row>
    <row r="9061" spans="1:4" x14ac:dyDescent="0.35">
      <c r="A9061" s="8" t="str">
        <f t="shared" si="4668"/>
        <v>Myanmar</v>
      </c>
      <c r="B9061" s="3" t="str">
        <f t="shared" ref="B9061:B9062" si="4679">CHOOSE(2, "1395000000601", "New Recruits 3M Activation Rate")</f>
        <v>New Recruits 3M Activation Rate</v>
      </c>
      <c r="C9061" s="4" t="str">
        <f>CHOOSE(2, "5461730030", "Jun 26")</f>
        <v>Jun 26</v>
      </c>
      <c r="D9061" s="14">
        <v>0.45161290322580644</v>
      </c>
    </row>
    <row r="9062" spans="1:4" x14ac:dyDescent="0.35">
      <c r="A9062" s="8" t="str">
        <f t="shared" si="4668"/>
        <v>Myanmar</v>
      </c>
      <c r="B9062" s="6" t="str">
        <f t="shared" si="4679"/>
        <v>New Recruits 3M Activation Rate</v>
      </c>
      <c r="C9062" s="4" t="str">
        <f>CHOOSE(2, "5462030031", "Jul 26")</f>
        <v>Jul 26</v>
      </c>
      <c r="D9062" s="14">
        <v>0.5</v>
      </c>
    </row>
    <row r="9063" spans="1:4" x14ac:dyDescent="0.35">
      <c r="A9063" s="8" t="str">
        <f t="shared" si="4668"/>
        <v>Myanmar</v>
      </c>
      <c r="B9063" s="3" t="str">
        <f t="shared" ref="B9063:B9064" si="4680">CHOOSE(2, "1395000000600", "No. of Recruits from leaders")</f>
        <v>No. of Recruits from leaders</v>
      </c>
      <c r="C9063" s="4" t="str">
        <f>CHOOSE(2, "5461730030", "Jun 26")</f>
        <v>Jun 26</v>
      </c>
      <c r="D9063" s="2" t="s">
        <v>5</v>
      </c>
    </row>
    <row r="9064" spans="1:4" x14ac:dyDescent="0.35">
      <c r="A9064" s="8" t="str">
        <f t="shared" si="4668"/>
        <v>Myanmar</v>
      </c>
      <c r="B9064" s="6" t="str">
        <f t="shared" si="4680"/>
        <v>No. of Recruits from leaders</v>
      </c>
      <c r="C9064" s="4" t="str">
        <f>CHOOSE(2, "5462030031", "Jul 26")</f>
        <v>Jul 26</v>
      </c>
      <c r="D9064" s="2" t="s">
        <v>5</v>
      </c>
    </row>
    <row r="9065" spans="1:4" x14ac:dyDescent="0.35">
      <c r="A9065" s="8" t="str">
        <f t="shared" si="4668"/>
        <v>Myanmar</v>
      </c>
      <c r="B9065" s="3" t="str">
        <f t="shared" ref="B9065:B9066" si="4681">CHOOSE(2, "1395000000599", "No. of Recruits per Active Recruiting Leader per month")</f>
        <v>No. of Recruits per Active Recruiting Leader per month</v>
      </c>
      <c r="C9065" s="4" t="str">
        <f>CHOOSE(2, "5461730030", "Jun 26")</f>
        <v>Jun 26</v>
      </c>
      <c r="D9065" s="14">
        <v>0</v>
      </c>
    </row>
    <row r="9066" spans="1:4" x14ac:dyDescent="0.35">
      <c r="A9066" s="8" t="str">
        <f t="shared" si="4668"/>
        <v>Myanmar</v>
      </c>
      <c r="B9066" s="6" t="str">
        <f t="shared" si="4681"/>
        <v>No. of Recruits per Active Recruiting Leader per month</v>
      </c>
      <c r="C9066" s="4" t="str">
        <f>CHOOSE(2, "5462030031", "Jul 26")</f>
        <v>Jul 26</v>
      </c>
      <c r="D9066" s="14">
        <v>0</v>
      </c>
    </row>
    <row r="9067" spans="1:4" x14ac:dyDescent="0.35">
      <c r="A9067" s="8" t="str">
        <f t="shared" si="4668"/>
        <v>Myanmar</v>
      </c>
      <c r="B9067" s="3" t="str">
        <f t="shared" ref="B9067:B9068" si="4682">CHOOSE(2, "1395000000598", "PRE as % of APE")</f>
        <v>PRE as % of APE</v>
      </c>
      <c r="C9067" s="4" t="str">
        <f>CHOOSE(2, "5461730030", "Jun 26")</f>
        <v>Jun 26</v>
      </c>
      <c r="D9067" s="14">
        <v>10.89226214828428</v>
      </c>
    </row>
    <row r="9068" spans="1:4" x14ac:dyDescent="0.35">
      <c r="A9068" s="8" t="str">
        <f t="shared" si="4668"/>
        <v>Myanmar</v>
      </c>
      <c r="B9068" s="6" t="str">
        <f t="shared" si="4682"/>
        <v>PRE as % of APE</v>
      </c>
      <c r="C9068" s="4" t="str">
        <f>CHOOSE(2, "5462030031", "Jul 26")</f>
        <v>Jul 26</v>
      </c>
      <c r="D9068" s="14">
        <v>12.91518141450948</v>
      </c>
    </row>
    <row r="9069" spans="1:4" x14ac:dyDescent="0.35">
      <c r="A9069" s="8" t="str">
        <f t="shared" si="4668"/>
        <v>Myanmar</v>
      </c>
      <c r="B9069" s="3" t="str">
        <f t="shared" ref="B9069:B9070" si="4683">CHOOSE(2, "1395000000597", "ContEx as % of APE")</f>
        <v>ContEx as % of APE</v>
      </c>
      <c r="C9069" s="4" t="str">
        <f>CHOOSE(2, "5461730030", "Jun 26")</f>
        <v>Jun 26</v>
      </c>
      <c r="D9069" s="14">
        <v>0</v>
      </c>
    </row>
    <row r="9070" spans="1:4" x14ac:dyDescent="0.35">
      <c r="A9070" s="8" t="str">
        <f t="shared" si="4668"/>
        <v>Myanmar</v>
      </c>
      <c r="B9070" s="6" t="str">
        <f t="shared" si="4683"/>
        <v>ContEx as % of APE</v>
      </c>
      <c r="C9070" s="4" t="str">
        <f>CHOOSE(2, "5462030031", "Jul 26")</f>
        <v>Jul 26</v>
      </c>
      <c r="D9070" s="14">
        <v>0</v>
      </c>
    </row>
    <row r="9071" spans="1:4" x14ac:dyDescent="0.35">
      <c r="A9071" s="8" t="str">
        <f t="shared" si="4668"/>
        <v>Myanmar</v>
      </c>
      <c r="B9071" s="3" t="str">
        <f t="shared" ref="B9071:B9072" si="4684">CHOOSE(2, "1395000000596", "% of 1-Month Active Agents")</f>
        <v>% of 1-Month Active Agents</v>
      </c>
      <c r="C9071" s="4" t="str">
        <f>CHOOSE(2, "5461730030", "Jun 26")</f>
        <v>Jun 26</v>
      </c>
      <c r="D9071" s="14">
        <v>8.3218390804597697E-2</v>
      </c>
    </row>
    <row r="9072" spans="1:4" x14ac:dyDescent="0.35">
      <c r="A9072" s="8" t="str">
        <f t="shared" si="4668"/>
        <v>Myanmar</v>
      </c>
      <c r="B9072" s="6" t="str">
        <f t="shared" si="4684"/>
        <v>% of 1-Month Active Agents</v>
      </c>
      <c r="C9072" s="4" t="str">
        <f>CHOOSE(2, "5462030031", "Jul 26")</f>
        <v>Jul 26</v>
      </c>
      <c r="D9072" s="14">
        <v>8.081285444234404E-2</v>
      </c>
    </row>
    <row r="9073" spans="1:4" x14ac:dyDescent="0.35">
      <c r="A9073" s="8" t="str">
        <f t="shared" si="4668"/>
        <v>Myanmar</v>
      </c>
      <c r="B9073" s="3" t="str">
        <f t="shared" ref="B9073:B9074" si="4685">CHOOSE(2, "1395000000595", "% of 3-Month Active Agents")</f>
        <v>% of 3-Month Active Agents</v>
      </c>
      <c r="C9073" s="4" t="str">
        <f>CHOOSE(2, "5461730030", "Jun 26")</f>
        <v>Jun 26</v>
      </c>
      <c r="D9073" s="14">
        <v>4.1666666666666664E-2</v>
      </c>
    </row>
    <row r="9074" spans="1:4" x14ac:dyDescent="0.35">
      <c r="A9074" s="8" t="str">
        <f t="shared" si="4668"/>
        <v>Myanmar</v>
      </c>
      <c r="B9074" s="6" t="str">
        <f t="shared" si="4685"/>
        <v>% of 3-Month Active Agents</v>
      </c>
      <c r="C9074" s="4" t="str">
        <f>CHOOSE(2, "5462030031", "Jul 26")</f>
        <v>Jul 26</v>
      </c>
      <c r="D9074" s="14">
        <v>4.7582024568496348E-2</v>
      </c>
    </row>
    <row r="9075" spans="1:4" x14ac:dyDescent="0.35">
      <c r="A9075" s="8" t="str">
        <f t="shared" si="4668"/>
        <v>Myanmar</v>
      </c>
      <c r="B9075" s="3" t="str">
        <f t="shared" ref="B9075:B9076" si="4686">CHOOSE(2, "1395000000594", "Active agents per active leader")</f>
        <v>Active agents per active leader</v>
      </c>
      <c r="C9075" s="4" t="str">
        <f>CHOOSE(2, "5461730030", "Jun 26")</f>
        <v>Jun 26</v>
      </c>
      <c r="D9075" s="14">
        <v>30.166666666666668</v>
      </c>
    </row>
    <row r="9076" spans="1:4" x14ac:dyDescent="0.35">
      <c r="A9076" s="8" t="str">
        <f t="shared" si="4668"/>
        <v>Myanmar</v>
      </c>
      <c r="B9076" s="6" t="str">
        <f t="shared" si="4686"/>
        <v>Active agents per active leader</v>
      </c>
      <c r="C9076" s="4" t="str">
        <f>CHOOSE(2, "5462030031", "Jul 26")</f>
        <v>Jul 26</v>
      </c>
      <c r="D9076" s="14">
        <v>6.1071428571428568</v>
      </c>
    </row>
    <row r="9077" spans="1:4" x14ac:dyDescent="0.35">
      <c r="A9077" s="8" t="str">
        <f t="shared" si="4668"/>
        <v>Myanmar</v>
      </c>
      <c r="B9077" s="3" t="str">
        <f t="shared" ref="B9077:B9078" si="4687">CHOOSE(2, "1395000000593", "Avg. Case count per 1-Month Active Agent")</f>
        <v>Avg. Case count per 1-Month Active Agent</v>
      </c>
      <c r="C9077" s="4" t="str">
        <f>CHOOSE(2, "5461730030", "Jun 26")</f>
        <v>Jun 26</v>
      </c>
      <c r="D9077" s="14">
        <v>1.6906077348066297</v>
      </c>
    </row>
    <row r="9078" spans="1:4" x14ac:dyDescent="0.35">
      <c r="A9078" s="8" t="str">
        <f t="shared" si="4668"/>
        <v>Myanmar</v>
      </c>
      <c r="B9078" s="6" t="str">
        <f t="shared" si="4687"/>
        <v>Avg. Case count per 1-Month Active Agent</v>
      </c>
      <c r="C9078" s="4" t="str">
        <f>CHOOSE(2, "5462030031", "Jul 26")</f>
        <v>Jul 26</v>
      </c>
      <c r="D9078" s="14">
        <v>1.4444444444444444</v>
      </c>
    </row>
    <row r="9079" spans="1:4" x14ac:dyDescent="0.35">
      <c r="A9079" s="8" t="str">
        <f t="shared" si="4668"/>
        <v>Myanmar</v>
      </c>
      <c r="B9079" s="3" t="str">
        <f t="shared" ref="B9079:B9080" si="4688">CHOOSE(2, "1395000000592", "Avg. Case size")</f>
        <v>Avg. Case size</v>
      </c>
      <c r="C9079" s="4" t="str">
        <f>CHOOSE(2, "5461730030", "Jun 26")</f>
        <v>Jun 26</v>
      </c>
      <c r="D9079" s="14">
        <v>1075.6797800000002</v>
      </c>
    </row>
    <row r="9080" spans="1:4" x14ac:dyDescent="0.35">
      <c r="A9080" s="8" t="str">
        <f t="shared" si="4668"/>
        <v>Myanmar</v>
      </c>
      <c r="B9080" s="6" t="str">
        <f t="shared" si="4688"/>
        <v>Avg. Case size</v>
      </c>
      <c r="C9080" s="4" t="str">
        <f>CHOOSE(2, "5462030031", "Jul 26")</f>
        <v>Jul 26</v>
      </c>
      <c r="D9080" s="14">
        <v>847.80103692307694</v>
      </c>
    </row>
    <row r="9081" spans="1:4" x14ac:dyDescent="0.35">
      <c r="A9081" s="8" t="str">
        <f t="shared" si="4668"/>
        <v>Myanmar</v>
      </c>
      <c r="B9081" s="3" t="str">
        <f t="shared" ref="B9081:B9082" si="4689">CHOOSE(2, "1395000000591", "APE per 1-Month Active Agent")</f>
        <v>APE per 1-Month Active Agent</v>
      </c>
      <c r="C9081" s="4" t="str">
        <f>CHOOSE(2, "5461730030", "Jun 26")</f>
        <v>Jun 26</v>
      </c>
      <c r="D9081" s="14">
        <v>1818.5525562430942</v>
      </c>
    </row>
    <row r="9082" spans="1:4" x14ac:dyDescent="0.35">
      <c r="A9082" s="8" t="str">
        <f t="shared" si="4668"/>
        <v>Myanmar</v>
      </c>
      <c r="B9082" s="6" t="str">
        <f t="shared" si="4689"/>
        <v>APE per 1-Month Active Agent</v>
      </c>
      <c r="C9082" s="4" t="str">
        <f>CHOOSE(2, "5462030031", "Jul 26")</f>
        <v>Jul 26</v>
      </c>
      <c r="D9082" s="14">
        <v>1224.6014977777779</v>
      </c>
    </row>
    <row r="9083" spans="1:4" x14ac:dyDescent="0.35">
      <c r="A9083" s="8" t="str">
        <f t="shared" si="4668"/>
        <v>Myanmar</v>
      </c>
      <c r="B9083" s="3" t="str">
        <f t="shared" ref="B9083:B9084" si="4690">CHOOSE(2, "1395000000590", "% Conversion of Proposals to cases")</f>
        <v>% Conversion of Proposals to cases</v>
      </c>
      <c r="C9083" s="4" t="str">
        <f>CHOOSE(2, "5461730030", "Jun 26")</f>
        <v>Jun 26</v>
      </c>
      <c r="D9083" s="14">
        <v>0.92727272727272725</v>
      </c>
    </row>
    <row r="9084" spans="1:4" x14ac:dyDescent="0.35">
      <c r="A9084" s="8" t="str">
        <f t="shared" si="4668"/>
        <v>Myanmar</v>
      </c>
      <c r="B9084" s="6" t="str">
        <f t="shared" si="4690"/>
        <v>% Conversion of Proposals to cases</v>
      </c>
      <c r="C9084" s="4" t="str">
        <f>CHOOSE(2, "5462030031", "Jul 26")</f>
        <v>Jul 26</v>
      </c>
      <c r="D9084" s="14">
        <v>0.88214285714285712</v>
      </c>
    </row>
    <row r="9085" spans="1:4" x14ac:dyDescent="0.35">
      <c r="A9085" s="8" t="str">
        <f t="shared" si="4668"/>
        <v>Myanmar</v>
      </c>
      <c r="B9085" s="3" t="str">
        <f t="shared" ref="B9085:B9086" si="4691">CHOOSE(2, "1395000000588", "% APE from Agents in X tenure")</f>
        <v>% APE from Agents in X tenure</v>
      </c>
      <c r="C9085" s="4" t="str">
        <f>CHOOSE(2, "5461730030", "Jun 26")</f>
        <v>Jun 26</v>
      </c>
      <c r="D9085" s="14">
        <v>1</v>
      </c>
    </row>
    <row r="9086" spans="1:4" x14ac:dyDescent="0.35">
      <c r="A9086" s="8" t="str">
        <f t="shared" si="4668"/>
        <v>Myanmar</v>
      </c>
      <c r="B9086" s="6" t="str">
        <f t="shared" si="4691"/>
        <v>% APE from Agents in X tenure</v>
      </c>
      <c r="C9086" s="4" t="str">
        <f>CHOOSE(2, "5462030031", "Jul 26")</f>
        <v>Jul 26</v>
      </c>
      <c r="D9086" s="14">
        <v>1</v>
      </c>
    </row>
    <row r="9087" spans="1:4" x14ac:dyDescent="0.35">
      <c r="A9087" s="8" t="str">
        <f t="shared" si="4668"/>
        <v>Myanmar</v>
      </c>
      <c r="B9087" s="3" t="str">
        <f t="shared" ref="B9087:B9088" si="4692">CHOOSE(2, "1395000000587", "% APE from Agents in X tenure in 0-1M")</f>
        <v>% APE from Agents in X tenure in 0-1M</v>
      </c>
      <c r="C9087" s="4" t="str">
        <f>CHOOSE(2, "5461730030", "Jun 26")</f>
        <v>Jun 26</v>
      </c>
      <c r="D9087" s="14">
        <v>9.9999999999999992E-2</v>
      </c>
    </row>
    <row r="9088" spans="1:4" x14ac:dyDescent="0.35">
      <c r="A9088" s="8" t="str">
        <f t="shared" si="4668"/>
        <v>Myanmar</v>
      </c>
      <c r="B9088" s="6" t="str">
        <f t="shared" si="4692"/>
        <v>% APE from Agents in X tenure in 0-1M</v>
      </c>
      <c r="C9088" s="4" t="str">
        <f>CHOOSE(2, "5462030031", "Jul 26")</f>
        <v>Jul 26</v>
      </c>
      <c r="D9088" s="14">
        <v>0.1</v>
      </c>
    </row>
    <row r="9089" spans="1:4" x14ac:dyDescent="0.35">
      <c r="A9089" s="8" t="str">
        <f t="shared" si="4668"/>
        <v>Myanmar</v>
      </c>
      <c r="B9089" s="3" t="str">
        <f t="shared" ref="B9089:B9090" si="4693">CHOOSE(2, "1395000000586", "% APE from Agents in X tenure in 2-3M")</f>
        <v>% APE from Agents in X tenure in 2-3M</v>
      </c>
      <c r="C9089" s="4" t="str">
        <f>CHOOSE(2, "5461730030", "Jun 26")</f>
        <v>Jun 26</v>
      </c>
      <c r="D9089" s="14">
        <v>0.19999999999999998</v>
      </c>
    </row>
    <row r="9090" spans="1:4" x14ac:dyDescent="0.35">
      <c r="A9090" s="8" t="str">
        <f t="shared" si="4668"/>
        <v>Myanmar</v>
      </c>
      <c r="B9090" s="6" t="str">
        <f t="shared" si="4693"/>
        <v>% APE from Agents in X tenure in 2-3M</v>
      </c>
      <c r="C9090" s="4" t="str">
        <f>CHOOSE(2, "5462030031", "Jul 26")</f>
        <v>Jul 26</v>
      </c>
      <c r="D9090" s="14">
        <v>0.2</v>
      </c>
    </row>
    <row r="9091" spans="1:4" x14ac:dyDescent="0.35">
      <c r="A9091" s="8" t="str">
        <f t="shared" si="4668"/>
        <v>Myanmar</v>
      </c>
      <c r="B9091" s="3" t="str">
        <f t="shared" ref="B9091:B9092" si="4694">CHOOSE(2, "1395000000585", "% APE from Agents in X tenure in 4-12M")</f>
        <v>% APE from Agents in X tenure in 4-12M</v>
      </c>
      <c r="C9091" s="4" t="str">
        <f>CHOOSE(2, "5461730030", "Jun 26")</f>
        <v>Jun 26</v>
      </c>
      <c r="D9091" s="14">
        <v>0.3</v>
      </c>
    </row>
    <row r="9092" spans="1:4" x14ac:dyDescent="0.35">
      <c r="A9092" s="8" t="str">
        <f t="shared" si="4668"/>
        <v>Myanmar</v>
      </c>
      <c r="B9092" s="6" t="str">
        <f t="shared" si="4694"/>
        <v>% APE from Agents in X tenure in 4-12M</v>
      </c>
      <c r="C9092" s="4" t="str">
        <f>CHOOSE(2, "5462030031", "Jul 26")</f>
        <v>Jul 26</v>
      </c>
      <c r="D9092" s="14">
        <v>0.3</v>
      </c>
    </row>
    <row r="9093" spans="1:4" x14ac:dyDescent="0.35">
      <c r="A9093" s="8" t="str">
        <f t="shared" si="4668"/>
        <v>Myanmar</v>
      </c>
      <c r="B9093" s="3" t="str">
        <f t="shared" ref="B9093:B9094" si="4695">CHOOSE(2, "1395000000584", "% APE from Agents in X tenure 13+M")</f>
        <v>% APE from Agents in X tenure 13+M</v>
      </c>
      <c r="C9093" s="4" t="str">
        <f>CHOOSE(2, "5461730030", "Jun 26")</f>
        <v>Jun 26</v>
      </c>
      <c r="D9093" s="14">
        <v>0.39999999999999997</v>
      </c>
    </row>
    <row r="9094" spans="1:4" x14ac:dyDescent="0.35">
      <c r="A9094" s="8" t="str">
        <f t="shared" si="4668"/>
        <v>Myanmar</v>
      </c>
      <c r="B9094" s="6" t="str">
        <f t="shared" si="4695"/>
        <v>% APE from Agents in X tenure 13+M</v>
      </c>
      <c r="C9094" s="4" t="str">
        <f>CHOOSE(2, "5462030031", "Jul 26")</f>
        <v>Jul 26</v>
      </c>
      <c r="D9094" s="14">
        <v>0.4</v>
      </c>
    </row>
    <row r="9095" spans="1:4" x14ac:dyDescent="0.35">
      <c r="A9095" s="8" t="str">
        <f t="shared" si="4668"/>
        <v>Myanmar</v>
      </c>
      <c r="B9095" s="3" t="str">
        <f t="shared" ref="B9095:B9096" si="4696">CHOOSE(2, "1395000000583", "% APE from pro-rated MDRT agents (100%)")</f>
        <v>% APE from pro-rated MDRT agents (100%)</v>
      </c>
      <c r="C9095" s="4" t="str">
        <f>CHOOSE(2, "5461730030", "Jun 26")</f>
        <v>Jun 26</v>
      </c>
      <c r="D9095" s="14">
        <v>0.43239409194746264</v>
      </c>
    </row>
    <row r="9096" spans="1:4" x14ac:dyDescent="0.35">
      <c r="A9096" s="8" t="str">
        <f t="shared" si="4668"/>
        <v>Myanmar</v>
      </c>
      <c r="B9096" s="6" t="str">
        <f t="shared" si="4696"/>
        <v>% APE from pro-rated MDRT agents (100%)</v>
      </c>
      <c r="C9096" s="4" t="str">
        <f>CHOOSE(2, "5462030031", "Jul 26")</f>
        <v>Jul 26</v>
      </c>
      <c r="D9096" s="14">
        <v>0.43982227567191651</v>
      </c>
    </row>
    <row r="9097" spans="1:4" x14ac:dyDescent="0.35">
      <c r="A9097" s="8" t="str">
        <f t="shared" si="4668"/>
        <v>Myanmar</v>
      </c>
      <c r="B9097" s="3" t="str">
        <f t="shared" ref="B9097:B9098" si="4697">CHOOSE(2, "1395000000582", "% APE from pro-rated MDRT agents (70-99%)")</f>
        <v>% APE from pro-rated MDRT agents (70-99%)</v>
      </c>
      <c r="C9097" s="4" t="str">
        <f>CHOOSE(2, "5461730030", "Jun 26")</f>
        <v>Jun 26</v>
      </c>
      <c r="D9097" s="14">
        <v>0.19249219997447697</v>
      </c>
    </row>
    <row r="9098" spans="1:4" x14ac:dyDescent="0.35">
      <c r="A9098" s="8" t="str">
        <f t="shared" si="4668"/>
        <v>Myanmar</v>
      </c>
      <c r="B9098" s="6" t="str">
        <f t="shared" si="4697"/>
        <v>% APE from pro-rated MDRT agents (70-99%)</v>
      </c>
      <c r="C9098" s="4" t="str">
        <f>CHOOSE(2, "5462030031", "Jul 26")</f>
        <v>Jul 26</v>
      </c>
      <c r="D9098" s="14">
        <v>9.0114623511592398E-2</v>
      </c>
    </row>
    <row r="9099" spans="1:4" x14ac:dyDescent="0.35">
      <c r="A9099" s="8" t="str">
        <f t="shared" si="4668"/>
        <v>Myanmar</v>
      </c>
      <c r="B9099" s="3" t="str">
        <f t="shared" ref="B9099:B9100" si="4698">CHOOSE(2, "1395000000581", "% APE from pro-rated MDRT agents (50-69%)")</f>
        <v>% APE from pro-rated MDRT agents (50-69%)</v>
      </c>
      <c r="C9099" s="4" t="str">
        <f>CHOOSE(2, "5461730030", "Jun 26")</f>
        <v>Jun 26</v>
      </c>
      <c r="D9099" s="14">
        <v>9.1244353298481573E-2</v>
      </c>
    </row>
    <row r="9100" spans="1:4" x14ac:dyDescent="0.35">
      <c r="A9100" s="8" t="str">
        <f t="shared" si="4668"/>
        <v>Myanmar</v>
      </c>
      <c r="B9100" s="6" t="str">
        <f t="shared" si="4698"/>
        <v>% APE from pro-rated MDRT agents (50-69%)</v>
      </c>
      <c r="C9100" s="4" t="str">
        <f>CHOOSE(2, "5462030031", "Jul 26")</f>
        <v>Jul 26</v>
      </c>
      <c r="D9100" s="14">
        <v>8.6601558019704053E-2</v>
      </c>
    </row>
    <row r="9101" spans="1:4" x14ac:dyDescent="0.35">
      <c r="A9101" s="8" t="str">
        <f t="shared" si="4668"/>
        <v>Myanmar</v>
      </c>
      <c r="B9101" s="3" t="str">
        <f t="shared" ref="B9101:B9102" si="4699">CHOOSE(2, "1395000000580", "% APE from Top-tier agents")</f>
        <v>% APE from Top-tier agents</v>
      </c>
      <c r="C9101" s="4" t="str">
        <f>CHOOSE(2, "5461730030", "Jun 26")</f>
        <v>Jun 26</v>
      </c>
      <c r="D9101" s="14">
        <v>0.71613061483987561</v>
      </c>
    </row>
    <row r="9102" spans="1:4" x14ac:dyDescent="0.35">
      <c r="A9102" s="8" t="str">
        <f t="shared" si="4668"/>
        <v>Myanmar</v>
      </c>
      <c r="B9102" s="6" t="str">
        <f t="shared" si="4699"/>
        <v>% APE from Top-tier agents</v>
      </c>
      <c r="C9102" s="4" t="str">
        <f>CHOOSE(2, "5462030031", "Jul 26")</f>
        <v>Jul 26</v>
      </c>
      <c r="D9102" s="14">
        <v>0.61653840944928462</v>
      </c>
    </row>
    <row r="9103" spans="1:4" x14ac:dyDescent="0.35">
      <c r="A9103" s="8" t="str">
        <f t="shared" si="4668"/>
        <v>Myanmar</v>
      </c>
      <c r="B9103" s="3" t="str">
        <f t="shared" ref="B9103:B9104" si="4700">CHOOSE(2, "1395000000579", "% of Active Recruiting Leaders")</f>
        <v>% of Active Recruiting Leaders</v>
      </c>
      <c r="C9103" s="4" t="str">
        <f>CHOOSE(2, "5461730030", "Jun 26")</f>
        <v>Jun 26</v>
      </c>
      <c r="D9103" s="14">
        <v>4.5454545454545456E-2</v>
      </c>
    </row>
    <row r="9104" spans="1:4" x14ac:dyDescent="0.35">
      <c r="A9104" s="8" t="str">
        <f t="shared" si="4668"/>
        <v>Myanmar</v>
      </c>
      <c r="B9104" s="6" t="str">
        <f t="shared" si="4700"/>
        <v>% of Active Recruiting Leaders</v>
      </c>
      <c r="C9104" s="4" t="str">
        <f>CHOOSE(2, "5462030031", "Jul 26")</f>
        <v>Jul 26</v>
      </c>
      <c r="D9104" s="14">
        <v>0.20289855072463769</v>
      </c>
    </row>
    <row r="9105" spans="1:4" x14ac:dyDescent="0.35">
      <c r="A9105" s="8" t="str">
        <f t="shared" ref="A9105:A9168" si="4701">CHOOSE(2, "204000000010", "Myanmar")</f>
        <v>Myanmar</v>
      </c>
      <c r="B9105" s="3" t="str">
        <f t="shared" ref="B9105:B9106" si="4702">CHOOSE(2, "1395000000578", "% of leaders with &gt;1 YTD recruit")</f>
        <v>% of leaders with &gt;1 YTD recruit</v>
      </c>
      <c r="C9105" s="4" t="str">
        <f>CHOOSE(2, "5461730030", "Jun 26")</f>
        <v>Jun 26</v>
      </c>
      <c r="D9105" s="14">
        <v>0.51515151515151514</v>
      </c>
    </row>
    <row r="9106" spans="1:4" x14ac:dyDescent="0.35">
      <c r="A9106" s="8" t="str">
        <f t="shared" si="4701"/>
        <v>Myanmar</v>
      </c>
      <c r="B9106" s="6" t="str">
        <f t="shared" si="4702"/>
        <v>% of leaders with &gt;1 YTD recruit</v>
      </c>
      <c r="C9106" s="4" t="str">
        <f>CHOOSE(2, "5462030031", "Jul 26")</f>
        <v>Jul 26</v>
      </c>
      <c r="D9106" s="14">
        <v>0.58695652173913049</v>
      </c>
    </row>
    <row r="9107" spans="1:4" x14ac:dyDescent="0.35">
      <c r="A9107" s="8" t="str">
        <f t="shared" si="4701"/>
        <v>Myanmar</v>
      </c>
      <c r="B9107" s="3" t="str">
        <f t="shared" ref="B9107:B9108" si="4703">CHOOSE(2, "1395000000577", "% of 1-Month Active Top-tier agents")</f>
        <v>% of 1-Month Active Top-tier agents</v>
      </c>
      <c r="C9107" s="4" t="str">
        <f>CHOOSE(2, "5461730030", "Jun 26")</f>
        <v>Jun 26</v>
      </c>
      <c r="D9107" s="14">
        <v>0.84375</v>
      </c>
    </row>
    <row r="9108" spans="1:4" x14ac:dyDescent="0.35">
      <c r="A9108" s="8" t="str">
        <f t="shared" si="4701"/>
        <v>Myanmar</v>
      </c>
      <c r="B9108" s="6" t="str">
        <f t="shared" si="4703"/>
        <v>% of 1-Month Active Top-tier agents</v>
      </c>
      <c r="C9108" s="4" t="str">
        <f>CHOOSE(2, "5462030031", "Jul 26")</f>
        <v>Jul 26</v>
      </c>
      <c r="D9108" s="14">
        <v>0.71052631578947367</v>
      </c>
    </row>
    <row r="9109" spans="1:4" x14ac:dyDescent="0.35">
      <c r="A9109" s="8" t="str">
        <f t="shared" si="4701"/>
        <v>Myanmar</v>
      </c>
      <c r="B9109" s="3" t="str">
        <f t="shared" ref="B9109:B9110" si="4704">CHOOSE(2, "1395000000576", "% APE from Manulife Pro - Total")</f>
        <v>% APE from Manulife Pro - Total</v>
      </c>
      <c r="C9109" s="4" t="str">
        <f>CHOOSE(2, "5461730030", "Jun 26")</f>
        <v>Jun 26</v>
      </c>
      <c r="D9109" s="14">
        <v>0</v>
      </c>
    </row>
    <row r="9110" spans="1:4" x14ac:dyDescent="0.35">
      <c r="A9110" s="8" t="str">
        <f t="shared" si="4701"/>
        <v>Myanmar</v>
      </c>
      <c r="B9110" s="6" t="str">
        <f t="shared" si="4704"/>
        <v>% APE from Manulife Pro - Total</v>
      </c>
      <c r="C9110" s="4" t="str">
        <f>CHOOSE(2, "5462030031", "Jul 26")</f>
        <v>Jul 26</v>
      </c>
      <c r="D9110" s="14">
        <v>0</v>
      </c>
    </row>
    <row r="9111" spans="1:4" x14ac:dyDescent="0.35">
      <c r="A9111" s="8" t="str">
        <f t="shared" si="4701"/>
        <v>Myanmar</v>
      </c>
      <c r="B9111" s="3" t="str">
        <f t="shared" ref="B9111:B9112" si="4705">CHOOSE(2, "1395000000575", "% of 1-Month Active Agents Manulife Pro Qualifiers - Total")</f>
        <v>% of 1-Month Active Agents Manulife Pro Qualifiers - Total</v>
      </c>
      <c r="C9111" s="4" t="str">
        <f>CHOOSE(2, "5461730030", "Jun 26")</f>
        <v>Jun 26</v>
      </c>
      <c r="D9111" s="14">
        <v>0</v>
      </c>
    </row>
    <row r="9112" spans="1:4" x14ac:dyDescent="0.35">
      <c r="A9112" s="8" t="str">
        <f t="shared" si="4701"/>
        <v>Myanmar</v>
      </c>
      <c r="B9112" s="6" t="str">
        <f t="shared" si="4705"/>
        <v>% of 1-Month Active Agents Manulife Pro Qualifiers - Total</v>
      </c>
      <c r="C9112" s="4" t="str">
        <f>CHOOSE(2, "5462030031", "Jul 26")</f>
        <v>Jul 26</v>
      </c>
      <c r="D9112" s="14">
        <v>0</v>
      </c>
    </row>
    <row r="9113" spans="1:4" x14ac:dyDescent="0.35">
      <c r="A9113" s="8" t="str">
        <f t="shared" si="4701"/>
        <v>Myanmar</v>
      </c>
      <c r="B9113" s="3" t="str">
        <f t="shared" ref="B9113:B9114" si="4706">CHOOSE(2, "1395000000574", "% of Newly Demoted UM")</f>
        <v>% of Newly Demoted UM</v>
      </c>
      <c r="C9113" s="4" t="str">
        <f>CHOOSE(2, "5461730030", "Jun 26")</f>
        <v>Jun 26</v>
      </c>
      <c r="D9113" s="14">
        <v>6.0869565217391307E-2</v>
      </c>
    </row>
    <row r="9114" spans="1:4" x14ac:dyDescent="0.35">
      <c r="A9114" s="8" t="str">
        <f t="shared" si="4701"/>
        <v>Myanmar</v>
      </c>
      <c r="B9114" s="6" t="str">
        <f t="shared" si="4706"/>
        <v>% of Newly Demoted UM</v>
      </c>
      <c r="C9114" s="4" t="str">
        <f>CHOOSE(2, "5462030031", "Jul 26")</f>
        <v>Jul 26</v>
      </c>
      <c r="D9114" s="14">
        <v>8.4033613445378148E-3</v>
      </c>
    </row>
    <row r="9115" spans="1:4" x14ac:dyDescent="0.35">
      <c r="A9115" s="8" t="str">
        <f t="shared" si="4701"/>
        <v>Myanmar</v>
      </c>
      <c r="B9115" s="3" t="str">
        <f t="shared" ref="B9115:B9116" si="4707">CHOOSE(2, "1395000000573", "% of Newly Demoted Leaders above UM")</f>
        <v>% of Newly Demoted Leaders above UM</v>
      </c>
      <c r="C9115" s="4" t="str">
        <f>CHOOSE(2, "5461730030", "Jun 26")</f>
        <v>Jun 26</v>
      </c>
      <c r="D9115" s="14">
        <v>0.11764705882352941</v>
      </c>
    </row>
    <row r="9116" spans="1:4" x14ac:dyDescent="0.35">
      <c r="A9116" s="8" t="str">
        <f t="shared" si="4701"/>
        <v>Myanmar</v>
      </c>
      <c r="B9116" s="6" t="str">
        <f t="shared" si="4707"/>
        <v>% of Newly Demoted Leaders above UM</v>
      </c>
      <c r="C9116" s="4" t="str">
        <f>CHOOSE(2, "5462030031", "Jul 26")</f>
        <v>Jul 26</v>
      </c>
      <c r="D9116" s="14">
        <v>0</v>
      </c>
    </row>
    <row r="9117" spans="1:4" x14ac:dyDescent="0.35">
      <c r="A9117" s="8" t="str">
        <f t="shared" si="4701"/>
        <v>Myanmar</v>
      </c>
      <c r="B9117" s="3" t="str">
        <f t="shared" ref="B9117:B9118" si="4708">CHOOSE(2, "1395000000572", "Avg. Earning per agent")</f>
        <v>Avg. Earning per agent</v>
      </c>
      <c r="C9117" s="4" t="str">
        <f>CHOOSE(2, "5461730030", "Jun 26")</f>
        <v>Jun 26</v>
      </c>
      <c r="D9117" s="14">
        <v>2.8970590728091956E-2</v>
      </c>
    </row>
    <row r="9118" spans="1:4" x14ac:dyDescent="0.35">
      <c r="A9118" s="8" t="str">
        <f t="shared" si="4701"/>
        <v>Myanmar</v>
      </c>
      <c r="B9118" s="6" t="str">
        <f t="shared" si="4708"/>
        <v>Avg. Earning per agent</v>
      </c>
      <c r="C9118" s="4" t="str">
        <f>CHOOSE(2, "5462030031", "Jul 26")</f>
        <v>Jul 26</v>
      </c>
      <c r="D9118" s="14">
        <v>1.4401988632136107E-2</v>
      </c>
    </row>
    <row r="9119" spans="1:4" x14ac:dyDescent="0.35">
      <c r="A9119" s="8" t="str">
        <f t="shared" si="4701"/>
        <v>Myanmar</v>
      </c>
      <c r="B9119" s="3" t="str">
        <f t="shared" ref="B9119:B9120" si="4709">CHOOSE(2, "1395000000571", "Avg. Earning per agent in FA or equivalent")</f>
        <v>Avg. Earning per agent in FA or equivalent</v>
      </c>
      <c r="C9119" s="4" t="str">
        <f>CHOOSE(2, "5461730030", "Jun 26")</f>
        <v>Jun 26</v>
      </c>
      <c r="D9119" s="14">
        <v>1.1799996011355849E-2</v>
      </c>
    </row>
    <row r="9120" spans="1:4" x14ac:dyDescent="0.35">
      <c r="A9120" s="8" t="str">
        <f t="shared" si="4701"/>
        <v>Myanmar</v>
      </c>
      <c r="B9120" s="6" t="str">
        <f t="shared" si="4709"/>
        <v>Avg. Earning per agent in FA or equivalent</v>
      </c>
      <c r="C9120" s="4" t="str">
        <f>CHOOSE(2, "5462030031", "Jul 26")</f>
        <v>Jul 26</v>
      </c>
      <c r="D9120" s="14">
        <v>6.3648039191102138E-3</v>
      </c>
    </row>
    <row r="9121" spans="1:4" x14ac:dyDescent="0.35">
      <c r="A9121" s="8" t="str">
        <f t="shared" si="4701"/>
        <v>Myanmar</v>
      </c>
      <c r="B9121" s="3" t="str">
        <f t="shared" ref="B9121:B9122" si="4710">CHOOSE(2, "1395000000570", "Avg. Earning per agent in UM")</f>
        <v>Avg. Earning per agent in UM</v>
      </c>
      <c r="C9121" s="4" t="str">
        <f>CHOOSE(2, "5461730030", "Jun 26")</f>
        <v>Jun 26</v>
      </c>
      <c r="D9121" s="14">
        <v>0.26658045558260873</v>
      </c>
    </row>
    <row r="9122" spans="1:4" x14ac:dyDescent="0.35">
      <c r="A9122" s="8" t="str">
        <f t="shared" si="4701"/>
        <v>Myanmar</v>
      </c>
      <c r="B9122" s="6" t="str">
        <f t="shared" si="4710"/>
        <v>Avg. Earning per agent in UM</v>
      </c>
      <c r="C9122" s="4" t="str">
        <f>CHOOSE(2, "5462030031", "Jul 26")</f>
        <v>Jul 26</v>
      </c>
      <c r="D9122" s="14">
        <v>0.1009437968</v>
      </c>
    </row>
    <row r="9123" spans="1:4" x14ac:dyDescent="0.35">
      <c r="A9123" s="8" t="str">
        <f t="shared" si="4701"/>
        <v>Myanmar</v>
      </c>
      <c r="B9123" s="3" t="str">
        <f t="shared" ref="B9123:B9124" si="4711">CHOOSE(2, "1395000000569", "Avg. Earning per agent in Leaders above UM")</f>
        <v>Avg. Earning per agent in Leaders above UM</v>
      </c>
      <c r="C9123" s="4" t="str">
        <f>CHOOSE(2, "5461730030", "Jun 26")</f>
        <v>Jun 26</v>
      </c>
      <c r="D9123" s="14">
        <v>0.4851112112</v>
      </c>
    </row>
    <row r="9124" spans="1:4" x14ac:dyDescent="0.35">
      <c r="A9124" s="8" t="str">
        <f t="shared" si="4701"/>
        <v>Myanmar</v>
      </c>
      <c r="B9124" s="6" t="str">
        <f t="shared" si="4711"/>
        <v>Avg. Earning per agent in Leaders above UM</v>
      </c>
      <c r="C9124" s="4" t="str">
        <f>CHOOSE(2, "5462030031", "Jul 26")</f>
        <v>Jul 26</v>
      </c>
      <c r="D9124" s="14">
        <v>0.30909020917894742</v>
      </c>
    </row>
    <row r="9125" spans="1:4" x14ac:dyDescent="0.35">
      <c r="A9125" s="8" t="str">
        <f t="shared" si="4701"/>
        <v>Myanmar</v>
      </c>
      <c r="B9125" s="3" t="str">
        <f t="shared" ref="B9125:B9126" si="4712">CHOOSE(2, "1395000000568", "% of 1-Month Active Agents 0-1M")</f>
        <v>% of 1-Month Active Agents 0-1M</v>
      </c>
      <c r="C9125" s="4" t="str">
        <f>CHOOSE(2, "5461730030", "Jun 26")</f>
        <v>Jun 26</v>
      </c>
      <c r="D9125" s="14">
        <v>1.5625E-2</v>
      </c>
    </row>
    <row r="9126" spans="1:4" x14ac:dyDescent="0.35">
      <c r="A9126" s="8" t="str">
        <f t="shared" si="4701"/>
        <v>Myanmar</v>
      </c>
      <c r="B9126" s="6" t="str">
        <f t="shared" si="4712"/>
        <v>% of 1-Month Active Agents 0-1M</v>
      </c>
      <c r="C9126" s="4" t="str">
        <f>CHOOSE(2, "5462030031", "Jul 26")</f>
        <v>Jul 26</v>
      </c>
      <c r="D9126" s="14">
        <v>5.2631578947368418E-2</v>
      </c>
    </row>
    <row r="9127" spans="1:4" x14ac:dyDescent="0.35">
      <c r="A9127" s="8" t="str">
        <f t="shared" si="4701"/>
        <v>Myanmar</v>
      </c>
      <c r="B9127" s="3" t="str">
        <f t="shared" ref="B9127:B9128" si="4713">CHOOSE(2, "1395000000567", "% of 1-Month Active Agents in 2-3M")</f>
        <v>% of 1-Month Active Agents in 2-3M</v>
      </c>
      <c r="C9127" s="4" t="str">
        <f>CHOOSE(2, "5461730030", "Jun 26")</f>
        <v>Jun 26</v>
      </c>
      <c r="D9127" s="14">
        <v>0.33333333333333331</v>
      </c>
    </row>
    <row r="9128" spans="1:4" x14ac:dyDescent="0.35">
      <c r="A9128" s="8" t="str">
        <f t="shared" si="4701"/>
        <v>Myanmar</v>
      </c>
      <c r="B9128" s="6" t="str">
        <f t="shared" si="4713"/>
        <v>% of 1-Month Active Agents in 2-3M</v>
      </c>
      <c r="C9128" s="4" t="str">
        <f>CHOOSE(2, "5462030031", "Jul 26")</f>
        <v>Jul 26</v>
      </c>
      <c r="D9128" s="14">
        <v>0.26666666666666666</v>
      </c>
    </row>
    <row r="9129" spans="1:4" x14ac:dyDescent="0.35">
      <c r="A9129" s="8" t="str">
        <f t="shared" si="4701"/>
        <v>Myanmar</v>
      </c>
      <c r="B9129" s="3" t="str">
        <f t="shared" ref="B9129:B9130" si="4714">CHOOSE(2, "1395000000566", "% of 1-Month Active Agents 4-12M")</f>
        <v>% of 1-Month Active Agents 4-12M</v>
      </c>
      <c r="C9129" s="4" t="str">
        <f>CHOOSE(2, "5461730030", "Jun 26")</f>
        <v>Jun 26</v>
      </c>
      <c r="D9129" s="14">
        <v>0.12125984251968504</v>
      </c>
    </row>
    <row r="9130" spans="1:4" x14ac:dyDescent="0.35">
      <c r="A9130" s="8" t="str">
        <f t="shared" si="4701"/>
        <v>Myanmar</v>
      </c>
      <c r="B9130" s="6" t="str">
        <f t="shared" si="4714"/>
        <v>% of 1-Month Active Agents 4-12M</v>
      </c>
      <c r="C9130" s="4" t="str">
        <f>CHOOSE(2, "5462030031", "Jul 26")</f>
        <v>Jul 26</v>
      </c>
      <c r="D9130" s="14">
        <v>0.10034602076124567</v>
      </c>
    </row>
    <row r="9131" spans="1:4" x14ac:dyDescent="0.35">
      <c r="A9131" s="8" t="str">
        <f t="shared" si="4701"/>
        <v>Myanmar</v>
      </c>
      <c r="B9131" s="3" t="str">
        <f t="shared" ref="B9131:B9132" si="4715">CHOOSE(2, "1395000000565", "% of 1-Month Active Agents 13+M")</f>
        <v>% of 1-Month Active Agents 13+M</v>
      </c>
      <c r="C9131" s="4" t="str">
        <f>CHOOSE(2, "5461730030", "Jun 26")</f>
        <v>Jun 26</v>
      </c>
      <c r="D9131" s="14">
        <v>6.2630480167014613E-2</v>
      </c>
    </row>
    <row r="9132" spans="1:4" x14ac:dyDescent="0.35">
      <c r="A9132" s="8" t="str">
        <f t="shared" si="4701"/>
        <v>Myanmar</v>
      </c>
      <c r="B9132" s="6" t="str">
        <f t="shared" si="4715"/>
        <v>% of 1-Month Active Agents 13+M</v>
      </c>
      <c r="C9132" s="4" t="str">
        <f>CHOOSE(2, "5462030031", "Jul 26")</f>
        <v>Jul 26</v>
      </c>
      <c r="D9132" s="14">
        <v>6.4492216456634541E-2</v>
      </c>
    </row>
    <row r="9133" spans="1:4" x14ac:dyDescent="0.35">
      <c r="A9133" s="8" t="str">
        <f t="shared" si="4701"/>
        <v>Myanmar</v>
      </c>
      <c r="B9133" s="3" t="str">
        <f t="shared" ref="B9133:B9134" si="4716">CHOOSE(2, "1395000000564", "% of 3-Month Active Agents 0-1M")</f>
        <v>% of 3-Month Active Agents 0-1M</v>
      </c>
      <c r="C9133" s="4" t="str">
        <f>CHOOSE(2, "5461730030", "Jun 26")</f>
        <v>Jun 26</v>
      </c>
      <c r="D9133" s="14">
        <v>1.5625E-2</v>
      </c>
    </row>
    <row r="9134" spans="1:4" x14ac:dyDescent="0.35">
      <c r="A9134" s="8" t="str">
        <f t="shared" si="4701"/>
        <v>Myanmar</v>
      </c>
      <c r="B9134" s="6" t="str">
        <f t="shared" si="4716"/>
        <v>% of 3-Month Active Agents 0-1M</v>
      </c>
      <c r="C9134" s="4" t="str">
        <f>CHOOSE(2, "5462030031", "Jul 26")</f>
        <v>Jul 26</v>
      </c>
      <c r="D9134" s="14">
        <v>5.2631578947368418E-2</v>
      </c>
    </row>
    <row r="9135" spans="1:4" x14ac:dyDescent="0.35">
      <c r="A9135" s="8" t="str">
        <f t="shared" si="4701"/>
        <v>Myanmar</v>
      </c>
      <c r="B9135" s="3" t="str">
        <f t="shared" ref="B9135:B9136" si="4717">CHOOSE(2, "1395000000563", "% of 3-Month Active Agents in 2-3M")</f>
        <v>% of 3-Month Active Agents in 2-3M</v>
      </c>
      <c r="C9135" s="4" t="str">
        <f>CHOOSE(2, "5461730030", "Jun 26")</f>
        <v>Jun 26</v>
      </c>
      <c r="D9135" s="14">
        <v>0.48717948717948717</v>
      </c>
    </row>
    <row r="9136" spans="1:4" x14ac:dyDescent="0.35">
      <c r="A9136" s="8" t="str">
        <f t="shared" si="4701"/>
        <v>Myanmar</v>
      </c>
      <c r="B9136" s="6" t="str">
        <f t="shared" si="4717"/>
        <v>% of 3-Month Active Agents in 2-3M</v>
      </c>
      <c r="C9136" s="4" t="str">
        <f>CHOOSE(2, "5462030031", "Jul 26")</f>
        <v>Jul 26</v>
      </c>
      <c r="D9136" s="14">
        <v>0.30666666666666664</v>
      </c>
    </row>
    <row r="9137" spans="1:4" x14ac:dyDescent="0.35">
      <c r="A9137" s="8" t="str">
        <f t="shared" si="4701"/>
        <v>Myanmar</v>
      </c>
      <c r="B9137" s="3" t="str">
        <f t="shared" ref="B9137:B9138" si="4718">CHOOSE(2, "1395000000562", "% of 3-Month Active Agents 4-12M")</f>
        <v>% of 3-Month Active Agents 4-12M</v>
      </c>
      <c r="C9137" s="4" t="str">
        <f>CHOOSE(2, "5461730030", "Jun 26")</f>
        <v>Jun 26</v>
      </c>
      <c r="D9137" s="14">
        <v>0.1921259842519685</v>
      </c>
    </row>
    <row r="9138" spans="1:4" x14ac:dyDescent="0.35">
      <c r="A9138" s="8" t="str">
        <f t="shared" si="4701"/>
        <v>Myanmar</v>
      </c>
      <c r="B9138" s="6" t="str">
        <f t="shared" si="4718"/>
        <v>% of 3-Month Active Agents 4-12M</v>
      </c>
      <c r="C9138" s="4" t="str">
        <f>CHOOSE(2, "5462030031", "Jul 26")</f>
        <v>Jul 26</v>
      </c>
      <c r="D9138" s="14">
        <v>0.20069204152249134</v>
      </c>
    </row>
    <row r="9139" spans="1:4" x14ac:dyDescent="0.35">
      <c r="A9139" s="8" t="str">
        <f t="shared" si="4701"/>
        <v>Myanmar</v>
      </c>
      <c r="B9139" s="3" t="str">
        <f t="shared" ref="B9139:B9140" si="4719">CHOOSE(2, "1395000000561", "% of 3-Month Active Agents 13+M")</f>
        <v>% of 3-Month Active Agents 13+M</v>
      </c>
      <c r="C9139" s="4" t="str">
        <f>CHOOSE(2, "5461730030", "Jun 26")</f>
        <v>Jun 26</v>
      </c>
      <c r="D9139" s="14">
        <v>8.9770354906054284E-2</v>
      </c>
    </row>
    <row r="9140" spans="1:4" x14ac:dyDescent="0.35">
      <c r="A9140" s="8" t="str">
        <f t="shared" si="4701"/>
        <v>Myanmar</v>
      </c>
      <c r="B9140" s="6" t="str">
        <f t="shared" si="4719"/>
        <v>% of 3-Month Active Agents 13+M</v>
      </c>
      <c r="C9140" s="4" t="str">
        <f>CHOOSE(2, "5462030031", "Jul 26")</f>
        <v>Jul 26</v>
      </c>
      <c r="D9140" s="14">
        <v>0.11934766493699037</v>
      </c>
    </row>
    <row r="9141" spans="1:4" x14ac:dyDescent="0.35">
      <c r="A9141" s="8" t="str">
        <f t="shared" si="4701"/>
        <v>Myanmar</v>
      </c>
      <c r="B9141" s="3" t="str">
        <f t="shared" ref="B9141:B9142" si="4720">CHOOSE(2, "1395000000560", "Avg. Case count per 1-Month Active Agent 0-1M")</f>
        <v>Avg. Case count per 1-Month Active Agent 0-1M</v>
      </c>
      <c r="C9141" s="4" t="str">
        <f>CHOOSE(2, "5461730030", "Jun 26")</f>
        <v>Jun 26</v>
      </c>
      <c r="D9141" s="14">
        <v>1</v>
      </c>
    </row>
    <row r="9142" spans="1:4" x14ac:dyDescent="0.35">
      <c r="A9142" s="8" t="str">
        <f t="shared" si="4701"/>
        <v>Myanmar</v>
      </c>
      <c r="B9142" s="6" t="str">
        <f t="shared" si="4720"/>
        <v>Avg. Case count per 1-Month Active Agent 0-1M</v>
      </c>
      <c r="C9142" s="4" t="str">
        <f>CHOOSE(2, "5462030031", "Jul 26")</f>
        <v>Jul 26</v>
      </c>
      <c r="D9142" s="14">
        <v>1</v>
      </c>
    </row>
    <row r="9143" spans="1:4" x14ac:dyDescent="0.35">
      <c r="A9143" s="8" t="str">
        <f t="shared" si="4701"/>
        <v>Myanmar</v>
      </c>
      <c r="B9143" s="3" t="str">
        <f t="shared" ref="B9143:B9144" si="4721">CHOOSE(2, "1395000000559", "Avg. Case count per 1-Month Active Agent in 2-3M")</f>
        <v>Avg. Case count per 1-Month Active Agent in 2-3M</v>
      </c>
      <c r="C9143" s="4" t="str">
        <f>CHOOSE(2, "5461730030", "Jun 26")</f>
        <v>Jun 26</v>
      </c>
      <c r="D9143" s="14">
        <v>1.2307692307692308</v>
      </c>
    </row>
    <row r="9144" spans="1:4" x14ac:dyDescent="0.35">
      <c r="A9144" s="8" t="str">
        <f t="shared" si="4701"/>
        <v>Myanmar</v>
      </c>
      <c r="B9144" s="6" t="str">
        <f t="shared" si="4721"/>
        <v>Avg. Case count per 1-Month Active Agent in 2-3M</v>
      </c>
      <c r="C9144" s="4" t="str">
        <f>CHOOSE(2, "5462030031", "Jul 26")</f>
        <v>Jul 26</v>
      </c>
      <c r="D9144" s="14">
        <v>1.05</v>
      </c>
    </row>
    <row r="9145" spans="1:4" x14ac:dyDescent="0.35">
      <c r="A9145" s="8" t="str">
        <f t="shared" si="4701"/>
        <v>Myanmar</v>
      </c>
      <c r="B9145" s="3" t="str">
        <f t="shared" ref="B9145:B9146" si="4722">CHOOSE(2, "1395000000558", "Avg. Case count per 1-Month Active Agent 4-12M")</f>
        <v>Avg. Case count per 1-Month Active Agent 4-12M</v>
      </c>
      <c r="C9145" s="4" t="str">
        <f>CHOOSE(2, "5461730030", "Jun 26")</f>
        <v>Jun 26</v>
      </c>
      <c r="D9145" s="14">
        <v>1.7532467532467533</v>
      </c>
    </row>
    <row r="9146" spans="1:4" x14ac:dyDescent="0.35">
      <c r="A9146" s="8" t="str">
        <f t="shared" si="4701"/>
        <v>Myanmar</v>
      </c>
      <c r="B9146" s="6" t="str">
        <f t="shared" si="4722"/>
        <v>Avg. Case count per 1-Month Active Agent 4-12M</v>
      </c>
      <c r="C9146" s="4" t="str">
        <f>CHOOSE(2, "5462030031", "Jul 26")</f>
        <v>Jul 26</v>
      </c>
      <c r="D9146" s="14">
        <v>1.5172413793103448</v>
      </c>
    </row>
    <row r="9147" spans="1:4" x14ac:dyDescent="0.35">
      <c r="A9147" s="8" t="str">
        <f t="shared" si="4701"/>
        <v>Myanmar</v>
      </c>
      <c r="B9147" s="3" t="str">
        <f t="shared" ref="B9147:B9148" si="4723">CHOOSE(2, "1395000000557", "Avg. Case count per 1-Month Active Agent 13+M")</f>
        <v>Avg. Case count per 1-Month Active Agent 13+M</v>
      </c>
      <c r="C9147" s="4" t="str">
        <f>CHOOSE(2, "5461730030", "Jun 26")</f>
        <v>Jun 26</v>
      </c>
      <c r="D9147" s="14">
        <v>1.711111111111111</v>
      </c>
    </row>
    <row r="9148" spans="1:4" x14ac:dyDescent="0.35">
      <c r="A9148" s="8" t="str">
        <f t="shared" si="4701"/>
        <v>Myanmar</v>
      </c>
      <c r="B9148" s="6" t="str">
        <f t="shared" si="4723"/>
        <v>Avg. Case count per 1-Month Active Agent 13+M</v>
      </c>
      <c r="C9148" s="4" t="str">
        <f>CHOOSE(2, "5462030031", "Jul 26")</f>
        <v>Jul 26</v>
      </c>
      <c r="D9148" s="14">
        <v>1.5172413793103448</v>
      </c>
    </row>
    <row r="9149" spans="1:4" x14ac:dyDescent="0.35">
      <c r="A9149" s="8" t="str">
        <f t="shared" si="4701"/>
        <v>Myanmar</v>
      </c>
      <c r="B9149" s="3" t="str">
        <f t="shared" ref="B9149:B9150" si="4724">CHOOSE(2, "1395000000556", "Avg. Case size 0-1M")</f>
        <v>Avg. Case size 0-1M</v>
      </c>
      <c r="C9149" s="4" t="str">
        <f>CHOOSE(2, "5461730030", "Jun 26")</f>
        <v>Jun 26</v>
      </c>
      <c r="D9149" s="14">
        <v>32915.801268000003</v>
      </c>
    </row>
    <row r="9150" spans="1:4" x14ac:dyDescent="0.35">
      <c r="A9150" s="8" t="str">
        <f t="shared" si="4701"/>
        <v>Myanmar</v>
      </c>
      <c r="B9150" s="6" t="str">
        <f t="shared" si="4724"/>
        <v>Avg. Case size 0-1M</v>
      </c>
      <c r="C9150" s="4" t="str">
        <f>CHOOSE(2, "5462030031", "Jul 26")</f>
        <v>Jul 26</v>
      </c>
      <c r="D9150" s="14">
        <v>3490.1142686666667</v>
      </c>
    </row>
    <row r="9151" spans="1:4" x14ac:dyDescent="0.35">
      <c r="A9151" s="8" t="str">
        <f t="shared" si="4701"/>
        <v>Myanmar</v>
      </c>
      <c r="B9151" s="3" t="str">
        <f t="shared" ref="B9151:B9152" si="4725">CHOOSE(2, "1395000000555", "Avg. Case size in 2-3M")</f>
        <v>Avg. Case size in 2-3M</v>
      </c>
      <c r="C9151" s="4" t="str">
        <f>CHOOSE(2, "5461730030", "Jun 26")</f>
        <v>Jun 26</v>
      </c>
      <c r="D9151" s="14">
        <v>4114.4751585000004</v>
      </c>
    </row>
    <row r="9152" spans="1:4" x14ac:dyDescent="0.35">
      <c r="A9152" s="8" t="str">
        <f t="shared" si="4701"/>
        <v>Myanmar</v>
      </c>
      <c r="B9152" s="6" t="str">
        <f t="shared" si="4725"/>
        <v>Avg. Case size in 2-3M</v>
      </c>
      <c r="C9152" s="4" t="str">
        <f>CHOOSE(2, "5462030031", "Jul 26")</f>
        <v>Jul 26</v>
      </c>
      <c r="D9152" s="14">
        <v>1994.3510106666668</v>
      </c>
    </row>
    <row r="9153" spans="1:4" x14ac:dyDescent="0.35">
      <c r="A9153" s="8" t="str">
        <f t="shared" si="4701"/>
        <v>Myanmar</v>
      </c>
      <c r="B9153" s="3" t="str">
        <f t="shared" ref="B9153:B9154" si="4726">CHOOSE(2, "1395000000554", "Avg. Case size 4-12M")</f>
        <v>Avg. Case size 4-12M</v>
      </c>
      <c r="C9153" s="4" t="str">
        <f>CHOOSE(2, "5461730030", "Jun 26")</f>
        <v>Jun 26</v>
      </c>
      <c r="D9153" s="14">
        <v>731.46225040000013</v>
      </c>
    </row>
    <row r="9154" spans="1:4" x14ac:dyDescent="0.35">
      <c r="A9154" s="8" t="str">
        <f t="shared" si="4701"/>
        <v>Myanmar</v>
      </c>
      <c r="B9154" s="6" t="str">
        <f t="shared" si="4726"/>
        <v>Avg. Case size 4-12M</v>
      </c>
      <c r="C9154" s="4" t="str">
        <f>CHOOSE(2, "5462030031", "Jul 26")</f>
        <v>Jul 26</v>
      </c>
      <c r="D9154" s="14">
        <v>713.88700950000009</v>
      </c>
    </row>
    <row r="9155" spans="1:4" x14ac:dyDescent="0.35">
      <c r="A9155" s="8" t="str">
        <f t="shared" si="4701"/>
        <v>Myanmar</v>
      </c>
      <c r="B9155" s="3" t="str">
        <f t="shared" ref="B9155:B9156" si="4727">CHOOSE(2, "1395000000553", "Avg. Case size 13+M")</f>
        <v>Avg. Case size 13+M</v>
      </c>
      <c r="C9155" s="4" t="str">
        <f>CHOOSE(2, "5461730030", "Jun 26")</f>
        <v>Jun 26</v>
      </c>
      <c r="D9155" s="14">
        <v>854.95587709090921</v>
      </c>
    </row>
    <row r="9156" spans="1:4" x14ac:dyDescent="0.35">
      <c r="A9156" s="8" t="str">
        <f t="shared" si="4701"/>
        <v>Myanmar</v>
      </c>
      <c r="B9156" s="6" t="str">
        <f t="shared" si="4727"/>
        <v>Avg. Case size 13+M</v>
      </c>
      <c r="C9156" s="4" t="str">
        <f>CHOOSE(2, "5462030031", "Jul 26")</f>
        <v>Jul 26</v>
      </c>
      <c r="D9156" s="14">
        <v>634.56623066666668</v>
      </c>
    </row>
    <row r="9157" spans="1:4" x14ac:dyDescent="0.35">
      <c r="A9157" s="8" t="str">
        <f t="shared" si="4701"/>
        <v>Myanmar</v>
      </c>
      <c r="B9157" s="3" t="str">
        <f t="shared" ref="B9157:B9158" si="4728">CHOOSE(2, "1395000000552", "Avg. Case size UM")</f>
        <v>Avg. Case size UM</v>
      </c>
      <c r="C9157" s="4" t="str">
        <f>CHOOSE(2, "5461730030", "Jun 26")</f>
        <v>Jun 26</v>
      </c>
      <c r="D9157" s="14">
        <v>0</v>
      </c>
    </row>
    <row r="9158" spans="1:4" x14ac:dyDescent="0.35">
      <c r="A9158" s="8" t="str">
        <f t="shared" si="4701"/>
        <v>Myanmar</v>
      </c>
      <c r="B9158" s="6" t="str">
        <f t="shared" si="4728"/>
        <v>Avg. Case size UM</v>
      </c>
      <c r="C9158" s="4" t="str">
        <f>CHOOSE(2, "5462030031", "Jul 26")</f>
        <v>Jul 26</v>
      </c>
      <c r="D9158" s="14">
        <v>0</v>
      </c>
    </row>
    <row r="9159" spans="1:4" x14ac:dyDescent="0.35">
      <c r="A9159" s="8" t="str">
        <f t="shared" si="4701"/>
        <v>Myanmar</v>
      </c>
      <c r="B9159" s="3" t="str">
        <f t="shared" ref="B9159:B9160" si="4729">CHOOSE(2, "1395000000551", "Avg. Case size Leaders above UM")</f>
        <v>Avg. Case size Leaders above UM</v>
      </c>
      <c r="C9159" s="4" t="str">
        <f>CHOOSE(2, "5461730030", "Jun 26")</f>
        <v>Jun 26</v>
      </c>
      <c r="D9159" s="14">
        <v>0</v>
      </c>
    </row>
    <row r="9160" spans="1:4" x14ac:dyDescent="0.35">
      <c r="A9160" s="8" t="str">
        <f t="shared" si="4701"/>
        <v>Myanmar</v>
      </c>
      <c r="B9160" s="6" t="str">
        <f t="shared" si="4729"/>
        <v>Avg. Case size Leaders above UM</v>
      </c>
      <c r="C9160" s="4" t="str">
        <f>CHOOSE(2, "5462030031", "Jul 26")</f>
        <v>Jul 26</v>
      </c>
      <c r="D9160" s="14">
        <v>0</v>
      </c>
    </row>
    <row r="9161" spans="1:4" x14ac:dyDescent="0.35">
      <c r="A9161" s="8" t="str">
        <f t="shared" si="4701"/>
        <v>Myanmar</v>
      </c>
      <c r="B9161" s="3" t="str">
        <f t="shared" ref="B9161:B9162" si="4730">CHOOSE(2, "1395000000550", "Avg. Case size Top-tier agents")</f>
        <v>Avg. Case size Top-tier agents</v>
      </c>
      <c r="C9161" s="4" t="str">
        <f>CHOOSE(2, "5461730030", "Jun 26")</f>
        <v>Jun 26</v>
      </c>
      <c r="D9161" s="14">
        <v>2288.5449514563106</v>
      </c>
    </row>
    <row r="9162" spans="1:4" x14ac:dyDescent="0.35">
      <c r="A9162" s="8" t="str">
        <f t="shared" si="4701"/>
        <v>Myanmar</v>
      </c>
      <c r="B9162" s="6" t="str">
        <f t="shared" si="4730"/>
        <v>Avg. Case size Top-tier agents</v>
      </c>
      <c r="C9162" s="4" t="str">
        <f>CHOOSE(2, "5462030031", "Jul 26")</f>
        <v>Jul 26</v>
      </c>
      <c r="D9162" s="14">
        <v>2265.0415789473682</v>
      </c>
    </row>
    <row r="9163" spans="1:4" x14ac:dyDescent="0.35">
      <c r="A9163" s="8" t="str">
        <f t="shared" si="4701"/>
        <v>Myanmar</v>
      </c>
      <c r="B9163" s="3" t="str">
        <f t="shared" ref="B9163:B9164" si="4731">CHOOSE(2, "1395000000549", "Avg. Case size Manulife Pro Qualifiers - Total")</f>
        <v>Avg. Case size Manulife Pro Qualifiers - Total</v>
      </c>
      <c r="C9163" s="4" t="str">
        <f>CHOOSE(2, "5461730030", "Jun 26")</f>
        <v>Jun 26</v>
      </c>
      <c r="D9163" s="14">
        <v>0</v>
      </c>
    </row>
    <row r="9164" spans="1:4" x14ac:dyDescent="0.35">
      <c r="A9164" s="8" t="str">
        <f t="shared" si="4701"/>
        <v>Myanmar</v>
      </c>
      <c r="B9164" s="6" t="str">
        <f t="shared" si="4731"/>
        <v>Avg. Case size Manulife Pro Qualifiers - Total</v>
      </c>
      <c r="C9164" s="4" t="str">
        <f>CHOOSE(2, "5462030031", "Jul 26")</f>
        <v>Jul 26</v>
      </c>
      <c r="D9164" s="14">
        <v>0</v>
      </c>
    </row>
    <row r="9165" spans="1:4" x14ac:dyDescent="0.35">
      <c r="A9165" s="8" t="str">
        <f t="shared" si="4701"/>
        <v>Myanmar</v>
      </c>
      <c r="B9165" s="3" t="str">
        <f t="shared" ref="B9165:B9166" si="4732">CHOOSE(2, "1395000000548", "Avg. Case size FA or equivalent")</f>
        <v>Avg. Case size FA or equivalent</v>
      </c>
      <c r="C9165" s="4" t="str">
        <f>CHOOSE(2, "5461730030", "Jun 26")</f>
        <v>Jun 26</v>
      </c>
      <c r="D9165" s="14">
        <v>0</v>
      </c>
    </row>
    <row r="9166" spans="1:4" x14ac:dyDescent="0.35">
      <c r="A9166" s="8" t="str">
        <f t="shared" si="4701"/>
        <v>Myanmar</v>
      </c>
      <c r="B9166" s="6" t="str">
        <f t="shared" si="4732"/>
        <v>Avg. Case size FA or equivalent</v>
      </c>
      <c r="C9166" s="4" t="str">
        <f>CHOOSE(2, "5462030031", "Jul 26")</f>
        <v>Jul 26</v>
      </c>
      <c r="D9166" s="14">
        <v>0</v>
      </c>
    </row>
    <row r="9167" spans="1:4" x14ac:dyDescent="0.35">
      <c r="A9167" s="8" t="str">
        <f t="shared" si="4701"/>
        <v>Myanmar</v>
      </c>
      <c r="B9167" s="3" t="str">
        <f t="shared" ref="B9167:B9168" si="4733">CHOOSE(2, "1395000000547", "Avg. Case size pro-rated MDRT agents (&gt;100%)")</f>
        <v>Avg. Case size pro-rated MDRT agents (&gt;100%)</v>
      </c>
      <c r="C9167" s="4" t="str">
        <f>CHOOSE(2, "5461730030", "Jun 26")</f>
        <v>Jun 26</v>
      </c>
      <c r="D9167" s="14">
        <v>3745.4205263157896</v>
      </c>
    </row>
    <row r="9168" spans="1:4" x14ac:dyDescent="0.35">
      <c r="A9168" s="8" t="str">
        <f t="shared" si="4701"/>
        <v>Myanmar</v>
      </c>
      <c r="B9168" s="6" t="str">
        <f t="shared" si="4733"/>
        <v>Avg. Case size pro-rated MDRT agents (&gt;100%)</v>
      </c>
      <c r="C9168" s="4" t="str">
        <f>CHOOSE(2, "5462030031", "Jul 26")</f>
        <v>Jul 26</v>
      </c>
      <c r="D9168" s="14">
        <v>2878.1812500000001</v>
      </c>
    </row>
    <row r="9169" spans="1:4" x14ac:dyDescent="0.35">
      <c r="A9169" s="8" t="str">
        <f t="shared" ref="A9169:A9202" si="4734">CHOOSE(2, "204000000010", "Myanmar")</f>
        <v>Myanmar</v>
      </c>
      <c r="B9169" s="3" t="str">
        <f t="shared" ref="B9169:B9170" si="4735">CHOOSE(2, "1395000000546", "Avg. Case size pro-rated MDRT agents (70-99%)")</f>
        <v>Avg. Case size pro-rated MDRT agents (70-99%)</v>
      </c>
      <c r="C9169" s="4" t="str">
        <f>CHOOSE(2, "5461730030", "Jun 26")</f>
        <v>Jun 26</v>
      </c>
      <c r="D9169" s="14">
        <v>1408.0077777777778</v>
      </c>
    </row>
    <row r="9170" spans="1:4" x14ac:dyDescent="0.35">
      <c r="A9170" s="8" t="str">
        <f t="shared" si="4734"/>
        <v>Myanmar</v>
      </c>
      <c r="B9170" s="6" t="str">
        <f t="shared" si="4735"/>
        <v>Avg. Case size pro-rated MDRT agents (70-99%)</v>
      </c>
      <c r="C9170" s="4" t="str">
        <f>CHOOSE(2, "5462030031", "Jul 26")</f>
        <v>Jul 26</v>
      </c>
      <c r="D9170" s="14">
        <v>1451.5861538461538</v>
      </c>
    </row>
    <row r="9171" spans="1:4" x14ac:dyDescent="0.35">
      <c r="A9171" s="8" t="str">
        <f t="shared" si="4734"/>
        <v>Myanmar</v>
      </c>
      <c r="B9171" s="3" t="str">
        <f t="shared" ref="B9171:B9172" si="4736">CHOOSE(2, "1395000000545", "Avg. Case size pro-rated MDRT agents (50-69%)")</f>
        <v>Avg. Case size pro-rated MDRT agents (50-69%)</v>
      </c>
      <c r="C9171" s="4" t="str">
        <f>CHOOSE(2, "5461730030", "Jun 26")</f>
        <v>Jun 26</v>
      </c>
      <c r="D9171" s="14">
        <v>1501.6905000000002</v>
      </c>
    </row>
    <row r="9172" spans="1:4" x14ac:dyDescent="0.35">
      <c r="A9172" s="8" t="str">
        <f t="shared" si="4734"/>
        <v>Myanmar</v>
      </c>
      <c r="B9172" s="6" t="str">
        <f t="shared" si="4736"/>
        <v>Avg. Case size pro-rated MDRT agents (50-69%)</v>
      </c>
      <c r="C9172" s="4" t="str">
        <f>CHOOSE(2, "5462030031", "Jul 26")</f>
        <v>Jul 26</v>
      </c>
      <c r="D9172" s="14">
        <v>1511.2466666666667</v>
      </c>
    </row>
    <row r="9173" spans="1:4" x14ac:dyDescent="0.35">
      <c r="A9173" s="8" t="str">
        <f t="shared" si="4734"/>
        <v>Myanmar</v>
      </c>
      <c r="B9173" s="3" t="str">
        <f t="shared" ref="B9173:B9174" si="4737">CHOOSE(2, "1395000000544", "% of 1-Month Active Agents UM")</f>
        <v>% of 1-Month Active Agents UM</v>
      </c>
      <c r="C9173" s="4" t="str">
        <f>CHOOSE(2, "5461730030", "Jun 26")</f>
        <v>Jun 26</v>
      </c>
      <c r="D9173" s="14">
        <v>0.36521739130434783</v>
      </c>
    </row>
    <row r="9174" spans="1:4" x14ac:dyDescent="0.35">
      <c r="A9174" s="8" t="str">
        <f t="shared" si="4734"/>
        <v>Myanmar</v>
      </c>
      <c r="B9174" s="6" t="str">
        <f t="shared" si="4737"/>
        <v>% of 1-Month Active Agents UM</v>
      </c>
      <c r="C9174" s="4" t="str">
        <f>CHOOSE(2, "5462030031", "Jul 26")</f>
        <v>Jul 26</v>
      </c>
      <c r="D9174" s="14">
        <v>0.36974789915966388</v>
      </c>
    </row>
    <row r="9175" spans="1:4" x14ac:dyDescent="0.35">
      <c r="A9175" s="8" t="str">
        <f t="shared" si="4734"/>
        <v>Myanmar</v>
      </c>
      <c r="B9175" s="3" t="str">
        <f t="shared" ref="B9175:B9176" si="4738">CHOOSE(2, "1395000000543", "% of 1-Month Active Agents Leaders above UM")</f>
        <v>% of 1-Month Active Agents Leaders above UM</v>
      </c>
      <c r="C9175" s="4" t="str">
        <f>CHOOSE(2, "5461730030", "Jun 26")</f>
        <v>Jun 26</v>
      </c>
      <c r="D9175" s="14">
        <v>0.47058823529411764</v>
      </c>
    </row>
    <row r="9176" spans="1:4" x14ac:dyDescent="0.35">
      <c r="A9176" s="8" t="str">
        <f t="shared" si="4734"/>
        <v>Myanmar</v>
      </c>
      <c r="B9176" s="6" t="str">
        <f t="shared" si="4738"/>
        <v>% of 1-Month Active Agents Leaders above UM</v>
      </c>
      <c r="C9176" s="4" t="str">
        <f>CHOOSE(2, "5462030031", "Jul 26")</f>
        <v>Jul 26</v>
      </c>
      <c r="D9176" s="14">
        <v>0.63157894736842102</v>
      </c>
    </row>
    <row r="9177" spans="1:4" x14ac:dyDescent="0.35">
      <c r="A9177" s="8" t="str">
        <f t="shared" si="4734"/>
        <v>Myanmar</v>
      </c>
      <c r="B9177" s="3" t="str">
        <f t="shared" ref="B9177:B9178" si="4739">CHOOSE(2, "1395000000542", "% of 1-Month Active Agents Top-tier agents")</f>
        <v>% of 1-Month Active Agents Top-tier agents</v>
      </c>
      <c r="C9177" s="4" t="str">
        <f>CHOOSE(2, "5461730030", "Jun 26")</f>
        <v>Jun 26</v>
      </c>
      <c r="D9177" s="14">
        <v>0.84375</v>
      </c>
    </row>
    <row r="9178" spans="1:4" x14ac:dyDescent="0.35">
      <c r="A9178" s="8" t="str">
        <f t="shared" si="4734"/>
        <v>Myanmar</v>
      </c>
      <c r="B9178" s="6" t="str">
        <f t="shared" si="4739"/>
        <v>% of 1-Month Active Agents Top-tier agents</v>
      </c>
      <c r="C9178" s="4" t="str">
        <f>CHOOSE(2, "5462030031", "Jul 26")</f>
        <v>Jul 26</v>
      </c>
      <c r="D9178" s="14">
        <v>0.71052631578947367</v>
      </c>
    </row>
    <row r="9179" spans="1:4" x14ac:dyDescent="0.35">
      <c r="A9179" s="8" t="str">
        <f t="shared" si="4734"/>
        <v>Myanmar</v>
      </c>
      <c r="B9179" s="3" t="str">
        <f t="shared" ref="B9179:B9180" si="4740">CHOOSE(2, "1395000000541", "% of 1-Month Active Agents FA or equivalent")</f>
        <v>% of 1-Month Active Agents FA or equivalent</v>
      </c>
      <c r="C9179" s="4" t="str">
        <f>CHOOSE(2, "5461730030", "Jun 26")</f>
        <v>Jun 26</v>
      </c>
      <c r="D9179" s="14">
        <v>6.4121390112579543E-2</v>
      </c>
    </row>
    <row r="9180" spans="1:4" x14ac:dyDescent="0.35">
      <c r="A9180" s="8" t="str">
        <f t="shared" si="4734"/>
        <v>Myanmar</v>
      </c>
      <c r="B9180" s="6" t="str">
        <f t="shared" si="4740"/>
        <v>% of 1-Month Active Agents FA or equivalent</v>
      </c>
      <c r="C9180" s="4" t="str">
        <f>CHOOSE(2, "5462030031", "Jul 26")</f>
        <v>Jul 26</v>
      </c>
      <c r="D9180" s="14">
        <v>5.8139534883720929E-2</v>
      </c>
    </row>
    <row r="9181" spans="1:4" x14ac:dyDescent="0.35">
      <c r="A9181" s="8" t="str">
        <f t="shared" si="4734"/>
        <v>Myanmar</v>
      </c>
      <c r="B9181" s="3" t="str">
        <f t="shared" ref="B9181:B9182" si="4741">CHOOSE(2, "1395000000540", "% of 1-Month Active Agents pro-rated MDRT agents (&gt;100%)")</f>
        <v>% of 1-Month Active Agents pro-rated MDRT agents (&gt;100%)</v>
      </c>
      <c r="C9181" s="4" t="str">
        <f>CHOOSE(2, "5461730030", "Jun 26")</f>
        <v>Jun 26</v>
      </c>
      <c r="D9181" s="14">
        <v>0.8</v>
      </c>
    </row>
    <row r="9182" spans="1:4" x14ac:dyDescent="0.35">
      <c r="A9182" s="8" t="str">
        <f t="shared" si="4734"/>
        <v>Myanmar</v>
      </c>
      <c r="B9182" s="6" t="str">
        <f t="shared" si="4741"/>
        <v>% of 1-Month Active Agents pro-rated MDRT agents (&gt;100%)</v>
      </c>
      <c r="C9182" s="4" t="str">
        <f>CHOOSE(2, "5462030031", "Jul 26")</f>
        <v>Jul 26</v>
      </c>
      <c r="D9182" s="14">
        <v>0.75</v>
      </c>
    </row>
    <row r="9183" spans="1:4" x14ac:dyDescent="0.35">
      <c r="A9183" s="8" t="str">
        <f t="shared" si="4734"/>
        <v>Myanmar</v>
      </c>
      <c r="B9183" s="3" t="str">
        <f t="shared" ref="B9183:B9184" si="4742">CHOOSE(2, "1395000000539", "% of 1-Month Active Agents pro-rated MDRT agents (70-99%)")</f>
        <v>% of 1-Month Active Agents pro-rated MDRT agents (70-99%)</v>
      </c>
      <c r="C9183" s="4" t="str">
        <f>CHOOSE(2, "5461730030", "Jun 26")</f>
        <v>Jun 26</v>
      </c>
      <c r="D9183" s="14">
        <v>0.83333333333333337</v>
      </c>
    </row>
    <row r="9184" spans="1:4" x14ac:dyDescent="0.35">
      <c r="A9184" s="8" t="str">
        <f t="shared" si="4734"/>
        <v>Myanmar</v>
      </c>
      <c r="B9184" s="6" t="str">
        <f t="shared" si="4742"/>
        <v>% of 1-Month Active Agents pro-rated MDRT agents (70-99%)</v>
      </c>
      <c r="C9184" s="4" t="str">
        <f>CHOOSE(2, "5462030031", "Jul 26")</f>
        <v>Jul 26</v>
      </c>
      <c r="D9184" s="14">
        <v>0.69230769230769229</v>
      </c>
    </row>
    <row r="9185" spans="1:4" x14ac:dyDescent="0.35">
      <c r="A9185" s="8" t="str">
        <f t="shared" si="4734"/>
        <v>Myanmar</v>
      </c>
      <c r="B9185" s="3" t="str">
        <f t="shared" ref="B9185:B9186" si="4743">CHOOSE(2, "1395000000538", "% of 1-Month Active Agents pro-rated MDRT agents (50-69%)")</f>
        <v>% of 1-Month Active Agents pro-rated MDRT agents (50-69%)</v>
      </c>
      <c r="C9185" s="4" t="str">
        <f>CHOOSE(2, "5461730030", "Jun 26")</f>
        <v>Jun 26</v>
      </c>
      <c r="D9185" s="14">
        <v>0.9</v>
      </c>
    </row>
    <row r="9186" spans="1:4" x14ac:dyDescent="0.35">
      <c r="A9186" s="8" t="str">
        <f t="shared" si="4734"/>
        <v>Myanmar</v>
      </c>
      <c r="B9186" s="6" t="str">
        <f t="shared" si="4743"/>
        <v>% of 1-Month Active Agents pro-rated MDRT agents (50-69%)</v>
      </c>
      <c r="C9186" s="4" t="str">
        <f>CHOOSE(2, "5462030031", "Jul 26")</f>
        <v>Jul 26</v>
      </c>
      <c r="D9186" s="14">
        <v>0.66666666666666663</v>
      </c>
    </row>
    <row r="9187" spans="1:4" x14ac:dyDescent="0.35">
      <c r="A9187" s="8" t="str">
        <f t="shared" si="4734"/>
        <v>Myanmar</v>
      </c>
      <c r="B9187" s="3" t="str">
        <f t="shared" ref="B9187:B9188" si="4744">CHOOSE(2, "1395000000537", "Avg. Case count per 1-Month Active Agent UM")</f>
        <v>Avg. Case count per 1-Month Active Agent UM</v>
      </c>
      <c r="C9187" s="4" t="str">
        <f>CHOOSE(2, "5461730030", "Jun 26")</f>
        <v>Jun 26</v>
      </c>
      <c r="D9187" s="14">
        <v>2.2619047619047619</v>
      </c>
    </row>
    <row r="9188" spans="1:4" x14ac:dyDescent="0.35">
      <c r="A9188" s="8" t="str">
        <f t="shared" si="4734"/>
        <v>Myanmar</v>
      </c>
      <c r="B9188" s="6" t="str">
        <f t="shared" si="4744"/>
        <v>Avg. Case count per 1-Month Active Agent UM</v>
      </c>
      <c r="C9188" s="4" t="str">
        <f>CHOOSE(2, "5462030031", "Jul 26")</f>
        <v>Jul 26</v>
      </c>
      <c r="D9188" s="14">
        <v>1.8409090909090908</v>
      </c>
    </row>
    <row r="9189" spans="1:4" x14ac:dyDescent="0.35">
      <c r="A9189" s="8" t="str">
        <f t="shared" si="4734"/>
        <v>Myanmar</v>
      </c>
      <c r="B9189" s="3" t="str">
        <f t="shared" ref="B9189:B9190" si="4745">CHOOSE(2, "1395000000536", "Avg. Case count per 1-Month Active Agent Leaders above UM")</f>
        <v>Avg. Case count per 1-Month Active Agent Leaders above UM</v>
      </c>
      <c r="C9189" s="4" t="str">
        <f>CHOOSE(2, "5461730030", "Jun 26")</f>
        <v>Jun 26</v>
      </c>
      <c r="D9189" s="14">
        <v>1.125</v>
      </c>
    </row>
    <row r="9190" spans="1:4" x14ac:dyDescent="0.35">
      <c r="A9190" s="8" t="str">
        <f t="shared" si="4734"/>
        <v>Myanmar</v>
      </c>
      <c r="B9190" s="6" t="str">
        <f t="shared" si="4745"/>
        <v>Avg. Case count per 1-Month Active Agent Leaders above UM</v>
      </c>
      <c r="C9190" s="4" t="str">
        <f>CHOOSE(2, "5462030031", "Jul 26")</f>
        <v>Jul 26</v>
      </c>
      <c r="D9190" s="14">
        <v>1.5833333333333333</v>
      </c>
    </row>
    <row r="9191" spans="1:4" x14ac:dyDescent="0.35">
      <c r="A9191" s="8" t="str">
        <f t="shared" si="4734"/>
        <v>Myanmar</v>
      </c>
      <c r="B9191" s="3" t="str">
        <f t="shared" ref="B9191:B9192" si="4746">CHOOSE(2, "1395000000535", "Avg. Case count per 1-Month Active Agent Top-tier agents")</f>
        <v>Avg. Case count per 1-Month Active Agent Top-tier agents</v>
      </c>
      <c r="C9191" s="4" t="str">
        <f>CHOOSE(2, "5461730030", "Jun 26")</f>
        <v>Jun 26</v>
      </c>
      <c r="D9191" s="14">
        <v>3.8148148148148149</v>
      </c>
    </row>
    <row r="9192" spans="1:4" x14ac:dyDescent="0.35">
      <c r="A9192" s="8" t="str">
        <f t="shared" si="4734"/>
        <v>Myanmar</v>
      </c>
      <c r="B9192" s="6" t="str">
        <f t="shared" si="4746"/>
        <v>Avg. Case count per 1-Month Active Agent Top-tier agents</v>
      </c>
      <c r="C9192" s="4" t="str">
        <f>CHOOSE(2, "5462030031", "Jul 26")</f>
        <v>Jul 26</v>
      </c>
      <c r="D9192" s="14">
        <v>2.1111111111111112</v>
      </c>
    </row>
    <row r="9193" spans="1:4" x14ac:dyDescent="0.35">
      <c r="A9193" s="8" t="str">
        <f t="shared" si="4734"/>
        <v>Myanmar</v>
      </c>
      <c r="B9193" s="3" t="str">
        <f t="shared" ref="B9193:B9194" si="4747">CHOOSE(2, "1395000000534", "Avg. Case count per 1-Month Manulife Pro Qualifiers - Total")</f>
        <v>Avg. Case count per 1-Month Manulife Pro Qualifiers - Total</v>
      </c>
      <c r="C9193" s="4" t="str">
        <f>CHOOSE(2, "5461730030", "Jun 26")</f>
        <v>Jun 26</v>
      </c>
      <c r="D9193" s="14">
        <v>0</v>
      </c>
    </row>
    <row r="9194" spans="1:4" x14ac:dyDescent="0.35">
      <c r="A9194" s="8" t="str">
        <f t="shared" si="4734"/>
        <v>Myanmar</v>
      </c>
      <c r="B9194" s="6" t="str">
        <f t="shared" si="4747"/>
        <v>Avg. Case count per 1-Month Manulife Pro Qualifiers - Total</v>
      </c>
      <c r="C9194" s="4" t="str">
        <f>CHOOSE(2, "5462030031", "Jul 26")</f>
        <v>Jul 26</v>
      </c>
      <c r="D9194" s="14">
        <v>0</v>
      </c>
    </row>
    <row r="9195" spans="1:4" x14ac:dyDescent="0.35">
      <c r="A9195" s="8" t="str">
        <f t="shared" si="4734"/>
        <v>Myanmar</v>
      </c>
      <c r="B9195" s="3" t="str">
        <f t="shared" ref="B9195:B9196" si="4748">CHOOSE(2, "1395000000533", "Avg. Case count per 1-Month Active Agent FA or equivalent")</f>
        <v>Avg. Case count per 1-Month Active Agent FA or equivalent</v>
      </c>
      <c r="C9195" s="4" t="str">
        <f>CHOOSE(2, "5461730030", "Jun 26")</f>
        <v>Jun 26</v>
      </c>
      <c r="D9195" s="14">
        <v>1.5419847328244274</v>
      </c>
    </row>
    <row r="9196" spans="1:4" x14ac:dyDescent="0.35">
      <c r="A9196" s="8" t="str">
        <f t="shared" si="4734"/>
        <v>Myanmar</v>
      </c>
      <c r="B9196" s="6" t="str">
        <f t="shared" si="4748"/>
        <v>Avg. Case count per 1-Month Active Agent FA or equivalent</v>
      </c>
      <c r="C9196" s="4" t="str">
        <f>CHOOSE(2, "5462030031", "Jul 26")</f>
        <v>Jul 26</v>
      </c>
      <c r="D9196" s="14">
        <v>1.2782608695652173</v>
      </c>
    </row>
    <row r="9197" spans="1:4" x14ac:dyDescent="0.35">
      <c r="A9197" s="8" t="str">
        <f t="shared" si="4734"/>
        <v>Myanmar</v>
      </c>
      <c r="B9197" s="3" t="str">
        <f t="shared" ref="B9197:B9198" si="4749">CHOOSE(2, "1395000000532", "Avg. Case count per 1-Month pro-rated MDRT agents (&gt;100%)")</f>
        <v>Avg. Case count per 1-Month pro-rated MDRT agents (&gt;100%)</v>
      </c>
      <c r="C9197" s="4" t="str">
        <f>CHOOSE(2, "5461730030", "Jun 26")</f>
        <v>Jun 26</v>
      </c>
      <c r="D9197" s="14">
        <v>4.75</v>
      </c>
    </row>
    <row r="9198" spans="1:4" x14ac:dyDescent="0.35">
      <c r="A9198" s="8" t="str">
        <f t="shared" si="4734"/>
        <v>Myanmar</v>
      </c>
      <c r="B9198" s="6" t="str">
        <f t="shared" si="4749"/>
        <v>Avg. Case count per 1-Month pro-rated MDRT agents (&gt;100%)</v>
      </c>
      <c r="C9198" s="4" t="str">
        <f>CHOOSE(2, "5462030031", "Jul 26")</f>
        <v>Jul 26</v>
      </c>
      <c r="D9198" s="14">
        <v>2.6666666666666665</v>
      </c>
    </row>
    <row r="9199" spans="1:4" x14ac:dyDescent="0.35">
      <c r="A9199" s="8" t="str">
        <f t="shared" si="4734"/>
        <v>Myanmar</v>
      </c>
      <c r="B9199" s="3" t="str">
        <f t="shared" ref="B9199:B9200" si="4750">CHOOSE(2, "1395000000531", "Avg. Case count per 1-Month pro-rated MDRT agents (70-99%)")</f>
        <v>Avg. Case count per 1-Month pro-rated MDRT agents (70-99%)</v>
      </c>
      <c r="C9199" s="4" t="str">
        <f>CHOOSE(2, "5461730030", "Jun 26")</f>
        <v>Jun 26</v>
      </c>
      <c r="D9199" s="14">
        <v>4.5</v>
      </c>
    </row>
    <row r="9200" spans="1:4" x14ac:dyDescent="0.35">
      <c r="A9200" s="8" t="str">
        <f t="shared" si="4734"/>
        <v>Myanmar</v>
      </c>
      <c r="B9200" s="6" t="str">
        <f t="shared" si="4750"/>
        <v>Avg. Case count per 1-Month pro-rated MDRT agents (70-99%)</v>
      </c>
      <c r="C9200" s="4" t="str">
        <f>CHOOSE(2, "5462030031", "Jul 26")</f>
        <v>Jul 26</v>
      </c>
      <c r="D9200" s="14">
        <v>1.4444444444444444</v>
      </c>
    </row>
    <row r="9201" spans="1:4" x14ac:dyDescent="0.35">
      <c r="A9201" s="8" t="str">
        <f t="shared" si="4734"/>
        <v>Myanmar</v>
      </c>
      <c r="B9201" s="3" t="str">
        <f t="shared" ref="B9201:B9202" si="4751">CHOOSE(2, "1395000000530", "Avg. Case count per 1-Month pro-rated MDRT agents (50-69%)")</f>
        <v>Avg. Case count per 1-Month pro-rated MDRT agents (50-69%)</v>
      </c>
      <c r="C9201" s="4" t="str">
        <f>CHOOSE(2, "5461730030", "Jun 26")</f>
        <v>Jun 26</v>
      </c>
      <c r="D9201" s="14">
        <v>2.2222222222222223</v>
      </c>
    </row>
    <row r="9202" spans="1:4" x14ac:dyDescent="0.35">
      <c r="A9202" s="9" t="str">
        <f t="shared" si="4734"/>
        <v>Myanmar</v>
      </c>
      <c r="B9202" s="6" t="str">
        <f t="shared" si="4751"/>
        <v>Avg. Case count per 1-Month pro-rated MDRT agents (50-69%)</v>
      </c>
      <c r="C9202" s="4" t="str">
        <f>CHOOSE(2, "5462030031", "Jul 26")</f>
        <v>Jul 26</v>
      </c>
      <c r="D9202" s="14">
        <v>2</v>
      </c>
    </row>
    <row r="9203" spans="1:4" x14ac:dyDescent="0.35">
      <c r="A9203" s="10" t="str">
        <f t="shared" ref="A9203:A9266" si="4752">CHOOSE(2, "204000000000", "All BU")</f>
        <v>All BU</v>
      </c>
      <c r="B9203" s="3" t="str">
        <f t="shared" ref="B9203:B9204" si="4753">CHOOSE(2, "1395000000741", "Submitted APE")</f>
        <v>Submitted APE</v>
      </c>
      <c r="C9203" s="4" t="str">
        <f>CHOOSE(2, "5461730030", "Jun 26")</f>
        <v>Jun 26</v>
      </c>
      <c r="D9203" s="14">
        <v>164203684.06591764</v>
      </c>
    </row>
    <row r="9204" spans="1:4" x14ac:dyDescent="0.35">
      <c r="A9204" s="11" t="str">
        <f t="shared" si="4752"/>
        <v>All BU</v>
      </c>
      <c r="B9204" s="6" t="str">
        <f t="shared" si="4753"/>
        <v>Submitted APE</v>
      </c>
      <c r="C9204" s="4" t="str">
        <f>CHOOSE(2, "5462030031", "Jul 26")</f>
        <v>Jul 26</v>
      </c>
      <c r="D9204" s="14">
        <v>103449355.93071336</v>
      </c>
    </row>
    <row r="9205" spans="1:4" x14ac:dyDescent="0.35">
      <c r="A9205" s="11" t="str">
        <f t="shared" si="4752"/>
        <v>All BU</v>
      </c>
      <c r="B9205" s="3" t="str">
        <f t="shared" ref="B9205:B9206" si="4754">CHOOSE(2, "1395000000740", "# of 1-Month Active Agents")</f>
        <v># of 1-Month Active Agents</v>
      </c>
      <c r="C9205" s="4" t="str">
        <f>CHOOSE(2, "5461730030", "Jun 26")</f>
        <v>Jun 26</v>
      </c>
      <c r="D9205" s="14">
        <v>18562</v>
      </c>
    </row>
    <row r="9206" spans="1:4" x14ac:dyDescent="0.35">
      <c r="A9206" s="11" t="str">
        <f t="shared" si="4752"/>
        <v>All BU</v>
      </c>
      <c r="B9206" s="6" t="str">
        <f t="shared" si="4754"/>
        <v># of 1-Month Active Agents</v>
      </c>
      <c r="C9206" s="4" t="str">
        <f>CHOOSE(2, "5462030031", "Jul 26")</f>
        <v>Jul 26</v>
      </c>
      <c r="D9206" s="14">
        <v>16485</v>
      </c>
    </row>
    <row r="9207" spans="1:4" x14ac:dyDescent="0.35">
      <c r="A9207" s="11" t="str">
        <f t="shared" si="4752"/>
        <v>All BU</v>
      </c>
      <c r="B9207" s="3" t="str">
        <f t="shared" ref="B9207:B9208" si="4755">CHOOSE(2, "1395000000739", "# of 1-Month Active Agents in 0-1M")</f>
        <v># of 1-Month Active Agents in 0-1M</v>
      </c>
      <c r="C9207" s="4" t="str">
        <f>CHOOSE(2, "5461730030", "Jun 26")</f>
        <v>Jun 26</v>
      </c>
      <c r="D9207" s="14">
        <v>910</v>
      </c>
    </row>
    <row r="9208" spans="1:4" x14ac:dyDescent="0.35">
      <c r="A9208" s="11" t="str">
        <f t="shared" si="4752"/>
        <v>All BU</v>
      </c>
      <c r="B9208" s="6" t="str">
        <f t="shared" si="4755"/>
        <v># of 1-Month Active Agents in 0-1M</v>
      </c>
      <c r="C9208" s="4" t="str">
        <f>CHOOSE(2, "5462030031", "Jul 26")</f>
        <v>Jul 26</v>
      </c>
      <c r="D9208" s="14">
        <v>702</v>
      </c>
    </row>
    <row r="9209" spans="1:4" x14ac:dyDescent="0.35">
      <c r="A9209" s="11" t="str">
        <f t="shared" si="4752"/>
        <v>All BU</v>
      </c>
      <c r="B9209" s="3" t="str">
        <f t="shared" ref="B9209:B9210" si="4756">CHOOSE(2, "1395000000738", "# of 1-Month Active Agents in 2-3M")</f>
        <v># of 1-Month Active Agents in 2-3M</v>
      </c>
      <c r="C9209" s="4" t="str">
        <f>CHOOSE(2, "5461730030", "Jun 26")</f>
        <v>Jun 26</v>
      </c>
      <c r="D9209" s="14">
        <v>1268</v>
      </c>
    </row>
    <row r="9210" spans="1:4" x14ac:dyDescent="0.35">
      <c r="A9210" s="11" t="str">
        <f t="shared" si="4752"/>
        <v>All BU</v>
      </c>
      <c r="B9210" s="6" t="str">
        <f t="shared" si="4756"/>
        <v># of 1-Month Active Agents in 2-3M</v>
      </c>
      <c r="C9210" s="4" t="str">
        <f>CHOOSE(2, "5462030031", "Jul 26")</f>
        <v>Jul 26</v>
      </c>
      <c r="D9210" s="14">
        <v>1334</v>
      </c>
    </row>
    <row r="9211" spans="1:4" x14ac:dyDescent="0.35">
      <c r="A9211" s="11" t="str">
        <f t="shared" si="4752"/>
        <v>All BU</v>
      </c>
      <c r="B9211" s="3" t="str">
        <f t="shared" ref="B9211:B9212" si="4757">CHOOSE(2, "1395000000737", "# of 1-Month Active Agents in 4-12M")</f>
        <v># of 1-Month Active Agents in 4-12M</v>
      </c>
      <c r="C9211" s="4" t="str">
        <f>CHOOSE(2, "5461730030", "Jun 26")</f>
        <v>Jun 26</v>
      </c>
      <c r="D9211" s="14">
        <v>2693</v>
      </c>
    </row>
    <row r="9212" spans="1:4" x14ac:dyDescent="0.35">
      <c r="A9212" s="11" t="str">
        <f t="shared" si="4752"/>
        <v>All BU</v>
      </c>
      <c r="B9212" s="6" t="str">
        <f t="shared" si="4757"/>
        <v># of 1-Month Active Agents in 4-12M</v>
      </c>
      <c r="C9212" s="4" t="str">
        <f>CHOOSE(2, "5462030031", "Jul 26")</f>
        <v>Jul 26</v>
      </c>
      <c r="D9212" s="14">
        <v>2775</v>
      </c>
    </row>
    <row r="9213" spans="1:4" x14ac:dyDescent="0.35">
      <c r="A9213" s="11" t="str">
        <f t="shared" si="4752"/>
        <v>All BU</v>
      </c>
      <c r="B9213" s="3" t="str">
        <f t="shared" ref="B9213:B9214" si="4758">CHOOSE(2, "1395000000736", "# of 1-Month Active Agents 13+M")</f>
        <v># of 1-Month Active Agents 13+M</v>
      </c>
      <c r="C9213" s="4" t="str">
        <f>CHOOSE(2, "5461730030", "Jun 26")</f>
        <v>Jun 26</v>
      </c>
      <c r="D9213" s="14">
        <v>13691</v>
      </c>
    </row>
    <row r="9214" spans="1:4" x14ac:dyDescent="0.35">
      <c r="A9214" s="11" t="str">
        <f t="shared" si="4752"/>
        <v>All BU</v>
      </c>
      <c r="B9214" s="6" t="str">
        <f t="shared" si="4758"/>
        <v># of 1-Month Active Agents 13+M</v>
      </c>
      <c r="C9214" s="4" t="str">
        <f>CHOOSE(2, "5462030031", "Jul 26")</f>
        <v>Jul 26</v>
      </c>
      <c r="D9214" s="14">
        <v>15788</v>
      </c>
    </row>
    <row r="9215" spans="1:4" x14ac:dyDescent="0.35">
      <c r="A9215" s="11" t="str">
        <f t="shared" si="4752"/>
        <v>All BU</v>
      </c>
      <c r="B9215" s="3" t="str">
        <f t="shared" ref="B9215:B9216" si="4759">CHOOSE(2, "1395000000735", "# of 1-Month Active Agents in FA or equivalent")</f>
        <v># of 1-Month Active Agents in FA or equivalent</v>
      </c>
      <c r="C9215" s="4" t="str">
        <f>CHOOSE(2, "5461730030", "Jun 26")</f>
        <v>Jun 26</v>
      </c>
      <c r="D9215" s="14">
        <v>10588</v>
      </c>
    </row>
    <row r="9216" spans="1:4" x14ac:dyDescent="0.35">
      <c r="A9216" s="11" t="str">
        <f t="shared" si="4752"/>
        <v>All BU</v>
      </c>
      <c r="B9216" s="6" t="str">
        <f t="shared" si="4759"/>
        <v># of 1-Month Active Agents in FA or equivalent</v>
      </c>
      <c r="C9216" s="4" t="str">
        <f>CHOOSE(2, "5462030031", "Jul 26")</f>
        <v>Jul 26</v>
      </c>
      <c r="D9216" s="14">
        <v>12343</v>
      </c>
    </row>
    <row r="9217" spans="1:4" x14ac:dyDescent="0.35">
      <c r="A9217" s="11" t="str">
        <f t="shared" si="4752"/>
        <v>All BU</v>
      </c>
      <c r="B9217" s="3" t="str">
        <f t="shared" ref="B9217:B9218" si="4760">CHOOSE(2, "1395000000734", "# of 1-Month Active Agents in UM")</f>
        <v># of 1-Month Active Agents in UM</v>
      </c>
      <c r="C9217" s="4" t="str">
        <f>CHOOSE(2, "5461730030", "Jun 26")</f>
        <v>Jun 26</v>
      </c>
      <c r="D9217" s="14">
        <v>1952</v>
      </c>
    </row>
    <row r="9218" spans="1:4" x14ac:dyDescent="0.35">
      <c r="A9218" s="11" t="str">
        <f t="shared" si="4752"/>
        <v>All BU</v>
      </c>
      <c r="B9218" s="6" t="str">
        <f t="shared" si="4760"/>
        <v># of 1-Month Active Agents in UM</v>
      </c>
      <c r="C9218" s="4" t="str">
        <f>CHOOSE(2, "5462030031", "Jul 26")</f>
        <v>Jul 26</v>
      </c>
      <c r="D9218" s="14">
        <v>2561</v>
      </c>
    </row>
    <row r="9219" spans="1:4" x14ac:dyDescent="0.35">
      <c r="A9219" s="11" t="str">
        <f t="shared" si="4752"/>
        <v>All BU</v>
      </c>
      <c r="B9219" s="3" t="str">
        <f t="shared" ref="B9219:B9220" si="4761">CHOOSE(2, "1395000000733", "# of 1-Month Active Agents in Leaders above UM")</f>
        <v># of 1-Month Active Agents in Leaders above UM</v>
      </c>
      <c r="C9219" s="4" t="str">
        <f>CHOOSE(2, "5461730030", "Jun 26")</f>
        <v>Jun 26</v>
      </c>
      <c r="D9219" s="14">
        <v>1468</v>
      </c>
    </row>
    <row r="9220" spans="1:4" x14ac:dyDescent="0.35">
      <c r="A9220" s="11" t="str">
        <f t="shared" si="4752"/>
        <v>All BU</v>
      </c>
      <c r="B9220" s="6" t="str">
        <f t="shared" si="4761"/>
        <v># of 1-Month Active Agents in Leaders above UM</v>
      </c>
      <c r="C9220" s="4" t="str">
        <f>CHOOSE(2, "5462030031", "Jul 26")</f>
        <v>Jul 26</v>
      </c>
      <c r="D9220" s="14">
        <v>2194</v>
      </c>
    </row>
    <row r="9221" spans="1:4" x14ac:dyDescent="0.35">
      <c r="A9221" s="11" t="str">
        <f t="shared" si="4752"/>
        <v>All BU</v>
      </c>
      <c r="B9221" s="3" t="str">
        <f t="shared" ref="B9221:B9222" si="4762">CHOOSE(2, "1395000000732", "# of 1-Month Active Top-tier Agents")</f>
        <v># of 1-Month Active Top-tier Agents</v>
      </c>
      <c r="C9221" s="4" t="str">
        <f>CHOOSE(2, "5461730030", "Jun 26")</f>
        <v>Jun 26</v>
      </c>
      <c r="D9221" s="14">
        <v>4931</v>
      </c>
    </row>
    <row r="9222" spans="1:4" x14ac:dyDescent="0.35">
      <c r="A9222" s="11" t="str">
        <f t="shared" si="4752"/>
        <v>All BU</v>
      </c>
      <c r="B9222" s="6" t="str">
        <f t="shared" si="4762"/>
        <v># of 1-Month Active Top-tier Agents</v>
      </c>
      <c r="C9222" s="4" t="str">
        <f>CHOOSE(2, "5462030031", "Jul 26")</f>
        <v>Jul 26</v>
      </c>
      <c r="D9222" s="14">
        <v>6906</v>
      </c>
    </row>
    <row r="9223" spans="1:4" x14ac:dyDescent="0.35">
      <c r="A9223" s="11" t="str">
        <f t="shared" si="4752"/>
        <v>All BU</v>
      </c>
      <c r="B9223" s="3" t="str">
        <f t="shared" ref="B9223:B9224" si="4763">CHOOSE(2, "1395000000731", "# of 1-Month Active Agents in pro-rated MDRT agents (&gt;100%)")</f>
        <v># of 1-Month Active Agents in pro-rated MDRT agents (&gt;100%)</v>
      </c>
      <c r="C9223" s="4" t="str">
        <f>CHOOSE(2, "5461730030", "Jun 26")</f>
        <v>Jun 26</v>
      </c>
      <c r="D9223" s="14">
        <v>2857</v>
      </c>
    </row>
    <row r="9224" spans="1:4" x14ac:dyDescent="0.35">
      <c r="A9224" s="11" t="str">
        <f t="shared" si="4752"/>
        <v>All BU</v>
      </c>
      <c r="B9224" s="6" t="str">
        <f t="shared" si="4763"/>
        <v># of 1-Month Active Agents in pro-rated MDRT agents (&gt;100%)</v>
      </c>
      <c r="C9224" s="4" t="str">
        <f>CHOOSE(2, "5462030031", "Jul 26")</f>
        <v>Jul 26</v>
      </c>
      <c r="D9224" s="14">
        <v>3869</v>
      </c>
    </row>
    <row r="9225" spans="1:4" x14ac:dyDescent="0.35">
      <c r="A9225" s="11" t="str">
        <f t="shared" si="4752"/>
        <v>All BU</v>
      </c>
      <c r="B9225" s="3" t="str">
        <f t="shared" ref="B9225:B9226" si="4764">CHOOSE(2, "1395000000730", "# of 1-Month Active Agents in pro-rated MDRT agents (70-99%)")</f>
        <v># of 1-Month Active Agents in pro-rated MDRT agents (70-99%)</v>
      </c>
      <c r="C9225" s="4" t="str">
        <f>CHOOSE(2, "5461730030", "Jun 26")</f>
        <v>Jun 26</v>
      </c>
      <c r="D9225" s="14">
        <v>1035</v>
      </c>
    </row>
    <row r="9226" spans="1:4" x14ac:dyDescent="0.35">
      <c r="A9226" s="11" t="str">
        <f t="shared" si="4752"/>
        <v>All BU</v>
      </c>
      <c r="B9226" s="6" t="str">
        <f t="shared" si="4764"/>
        <v># of 1-Month Active Agents in pro-rated MDRT agents (70-99%)</v>
      </c>
      <c r="C9226" s="4" t="str">
        <f>CHOOSE(2, "5462030031", "Jul 26")</f>
        <v>Jul 26</v>
      </c>
      <c r="D9226" s="14">
        <v>1503</v>
      </c>
    </row>
    <row r="9227" spans="1:4" x14ac:dyDescent="0.35">
      <c r="A9227" s="11" t="str">
        <f t="shared" si="4752"/>
        <v>All BU</v>
      </c>
      <c r="B9227" s="3" t="str">
        <f t="shared" ref="B9227:B9228" si="4765">CHOOSE(2, "1395000000729", "# of 1-Month Active Agents in pro-rated MDRT agents (50-69%)")</f>
        <v># of 1-Month Active Agents in pro-rated MDRT agents (50-69%)</v>
      </c>
      <c r="C9227" s="4" t="str">
        <f>CHOOSE(2, "5461730030", "Jun 26")</f>
        <v>Jun 26</v>
      </c>
      <c r="D9227" s="14">
        <v>1039</v>
      </c>
    </row>
    <row r="9228" spans="1:4" x14ac:dyDescent="0.35">
      <c r="A9228" s="11" t="str">
        <f t="shared" si="4752"/>
        <v>All BU</v>
      </c>
      <c r="B9228" s="6" t="str">
        <f t="shared" si="4765"/>
        <v># of 1-Month Active Agents in pro-rated MDRT agents (50-69%)</v>
      </c>
      <c r="C9228" s="4" t="str">
        <f>CHOOSE(2, "5462030031", "Jul 26")</f>
        <v>Jul 26</v>
      </c>
      <c r="D9228" s="14">
        <v>1534</v>
      </c>
    </row>
    <row r="9229" spans="1:4" x14ac:dyDescent="0.35">
      <c r="A9229" s="11" t="str">
        <f t="shared" si="4752"/>
        <v>All BU</v>
      </c>
      <c r="B9229" s="3" t="str">
        <f t="shared" ref="B9229:B9230" si="4766">CHOOSE(2, "1395000000728", "# of 1-Month Active Agents in Manulife Pro Qualifiers -Total")</f>
        <v># of 1-Month Active Agents in Manulife Pro Qualifiers -Total</v>
      </c>
      <c r="C9229" s="4" t="str">
        <f>CHOOSE(2, "5461730030", "Jun 26")</f>
        <v>Jun 26</v>
      </c>
      <c r="D9229" s="14">
        <v>1422</v>
      </c>
    </row>
    <row r="9230" spans="1:4" x14ac:dyDescent="0.35">
      <c r="A9230" s="11" t="str">
        <f t="shared" si="4752"/>
        <v>All BU</v>
      </c>
      <c r="B9230" s="6" t="str">
        <f t="shared" si="4766"/>
        <v># of 1-Month Active Agents in Manulife Pro Qualifiers -Total</v>
      </c>
      <c r="C9230" s="4" t="str">
        <f>CHOOSE(2, "5462030031", "Jul 26")</f>
        <v>Jul 26</v>
      </c>
      <c r="D9230" s="14">
        <v>1304</v>
      </c>
    </row>
    <row r="9231" spans="1:4" x14ac:dyDescent="0.35">
      <c r="A9231" s="11" t="str">
        <f t="shared" si="4752"/>
        <v>All BU</v>
      </c>
      <c r="B9231" s="3" t="str">
        <f t="shared" ref="B9231:B9232" si="4767">CHOOSE(2, "1395000000727", "# of 3-Month Active Agents")</f>
        <v># of 3-Month Active Agents</v>
      </c>
      <c r="C9231" s="4" t="str">
        <f>CHOOSE(2, "5461730030", "Jun 26")</f>
        <v>Jun 26</v>
      </c>
      <c r="D9231" s="14">
        <v>23581</v>
      </c>
    </row>
    <row r="9232" spans="1:4" x14ac:dyDescent="0.35">
      <c r="A9232" s="11" t="str">
        <f t="shared" si="4752"/>
        <v>All BU</v>
      </c>
      <c r="B9232" s="6" t="str">
        <f t="shared" si="4767"/>
        <v># of 3-Month Active Agents</v>
      </c>
      <c r="C9232" s="4" t="str">
        <f>CHOOSE(2, "5462030031", "Jul 26")</f>
        <v>Jul 26</v>
      </c>
      <c r="D9232" s="14">
        <v>23994</v>
      </c>
    </row>
    <row r="9233" spans="1:4" x14ac:dyDescent="0.35">
      <c r="A9233" s="11" t="str">
        <f t="shared" si="4752"/>
        <v>All BU</v>
      </c>
      <c r="B9233" s="3" t="str">
        <f t="shared" ref="B9233:B9234" si="4768">CHOOSE(2, "1395000000726", "# of 3-Month Active Agents in 0-1M")</f>
        <v># of 3-Month Active Agents in 0-1M</v>
      </c>
      <c r="C9233" s="4" t="str">
        <f>CHOOSE(2, "5461730030", "Jun 26")</f>
        <v>Jun 26</v>
      </c>
      <c r="D9233" s="14">
        <v>619</v>
      </c>
    </row>
    <row r="9234" spans="1:4" x14ac:dyDescent="0.35">
      <c r="A9234" s="11" t="str">
        <f t="shared" si="4752"/>
        <v>All BU</v>
      </c>
      <c r="B9234" s="6" t="str">
        <f t="shared" si="4768"/>
        <v># of 3-Month Active Agents in 0-1M</v>
      </c>
      <c r="C9234" s="4" t="str">
        <f>CHOOSE(2, "5462030031", "Jul 26")</f>
        <v>Jul 26</v>
      </c>
      <c r="D9234" s="14">
        <v>529</v>
      </c>
    </row>
    <row r="9235" spans="1:4" x14ac:dyDescent="0.35">
      <c r="A9235" s="11" t="str">
        <f t="shared" si="4752"/>
        <v>All BU</v>
      </c>
      <c r="B9235" s="3" t="str">
        <f t="shared" ref="B9235:B9236" si="4769">CHOOSE(2, "1395000000725", "# of 3-Month Active Agents in 2-3M")</f>
        <v># of 3-Month Active Agents in 2-3M</v>
      </c>
      <c r="C9235" s="4" t="str">
        <f>CHOOSE(2, "5461730030", "Jun 26")</f>
        <v>Jun 26</v>
      </c>
      <c r="D9235" s="14">
        <v>1863</v>
      </c>
    </row>
    <row r="9236" spans="1:4" x14ac:dyDescent="0.35">
      <c r="A9236" s="11" t="str">
        <f t="shared" si="4752"/>
        <v>All BU</v>
      </c>
      <c r="B9236" s="6" t="str">
        <f t="shared" si="4769"/>
        <v># of 3-Month Active Agents in 2-3M</v>
      </c>
      <c r="C9236" s="4" t="str">
        <f>CHOOSE(2, "5462030031", "Jul 26")</f>
        <v>Jul 26</v>
      </c>
      <c r="D9236" s="14">
        <v>2022</v>
      </c>
    </row>
    <row r="9237" spans="1:4" x14ac:dyDescent="0.35">
      <c r="A9237" s="11" t="str">
        <f t="shared" si="4752"/>
        <v>All BU</v>
      </c>
      <c r="B9237" s="3" t="str">
        <f t="shared" ref="B9237:B9238" si="4770">CHOOSE(2, "1395000000724", "# of 3-Month Active Agents in 4-12M")</f>
        <v># of 3-Month Active Agents in 4-12M</v>
      </c>
      <c r="C9237" s="4" t="str">
        <f>CHOOSE(2, "5461730030", "Jun 26")</f>
        <v>Jun 26</v>
      </c>
      <c r="D9237" s="14">
        <v>4310</v>
      </c>
    </row>
    <row r="9238" spans="1:4" x14ac:dyDescent="0.35">
      <c r="A9238" s="11" t="str">
        <f t="shared" si="4752"/>
        <v>All BU</v>
      </c>
      <c r="B9238" s="6" t="str">
        <f t="shared" si="4770"/>
        <v># of 3-Month Active Agents in 4-12M</v>
      </c>
      <c r="C9238" s="4" t="str">
        <f>CHOOSE(2, "5462030031", "Jul 26")</f>
        <v>Jul 26</v>
      </c>
      <c r="D9238" s="14">
        <v>4363</v>
      </c>
    </row>
    <row r="9239" spans="1:4" x14ac:dyDescent="0.35">
      <c r="A9239" s="11" t="str">
        <f t="shared" si="4752"/>
        <v>All BU</v>
      </c>
      <c r="B9239" s="3" t="str">
        <f t="shared" ref="B9239:B9240" si="4771">CHOOSE(2, "1395000000723", "# of 3-Month Active Agents 13+M")</f>
        <v># of 3-Month Active Agents 13+M</v>
      </c>
      <c r="C9239" s="4" t="str">
        <f>CHOOSE(2, "5461730030", "Jun 26")</f>
        <v>Jun 26</v>
      </c>
      <c r="D9239" s="14">
        <v>16789</v>
      </c>
    </row>
    <row r="9240" spans="1:4" x14ac:dyDescent="0.35">
      <c r="A9240" s="11" t="str">
        <f t="shared" si="4752"/>
        <v>All BU</v>
      </c>
      <c r="B9240" s="6" t="str">
        <f t="shared" si="4771"/>
        <v># of 3-Month Active Agents 13+M</v>
      </c>
      <c r="C9240" s="4" t="str">
        <f>CHOOSE(2, "5462030031", "Jul 26")</f>
        <v>Jul 26</v>
      </c>
      <c r="D9240" s="14">
        <v>17080</v>
      </c>
    </row>
    <row r="9241" spans="1:4" x14ac:dyDescent="0.35">
      <c r="A9241" s="11" t="str">
        <f t="shared" si="4752"/>
        <v>All BU</v>
      </c>
      <c r="B9241" s="3" t="str">
        <f t="shared" ref="B9241:B9242" si="4772">CHOOSE(2, "1395000000722", "# of 3-Month Active Agents in UM")</f>
        <v># of 3-Month Active Agents in UM</v>
      </c>
      <c r="C9241" s="4" t="str">
        <f>CHOOSE(2, "5461730030", "Jun 26")</f>
        <v>Jun 26</v>
      </c>
      <c r="D9241" s="14">
        <v>9</v>
      </c>
    </row>
    <row r="9242" spans="1:4" x14ac:dyDescent="0.35">
      <c r="A9242" s="11" t="str">
        <f t="shared" si="4752"/>
        <v>All BU</v>
      </c>
      <c r="B9242" s="6" t="str">
        <f t="shared" si="4772"/>
        <v># of 3-Month Active Agents in UM</v>
      </c>
      <c r="C9242" s="4" t="str">
        <f>CHOOSE(2, "5462030031", "Jul 26")</f>
        <v>Jul 26</v>
      </c>
      <c r="D9242" s="14">
        <v>16</v>
      </c>
    </row>
    <row r="9243" spans="1:4" x14ac:dyDescent="0.35">
      <c r="A9243" s="11" t="str">
        <f t="shared" si="4752"/>
        <v>All BU</v>
      </c>
      <c r="B9243" s="3" t="str">
        <f t="shared" ref="B9243:B9244" si="4773">CHOOSE(2, "1395000000721", "# of 3-Month Active Agents in Leaders above UM")</f>
        <v># of 3-Month Active Agents in Leaders above UM</v>
      </c>
      <c r="C9243" s="4" t="str">
        <f>CHOOSE(2, "5461730030", "Jun 26")</f>
        <v>Jun 26</v>
      </c>
      <c r="D9243" s="14">
        <v>2</v>
      </c>
    </row>
    <row r="9244" spans="1:4" x14ac:dyDescent="0.35">
      <c r="A9244" s="11" t="str">
        <f t="shared" si="4752"/>
        <v>All BU</v>
      </c>
      <c r="B9244" s="6" t="str">
        <f t="shared" si="4773"/>
        <v># of 3-Month Active Agents in Leaders above UM</v>
      </c>
      <c r="C9244" s="4" t="str">
        <f>CHOOSE(2, "5462030031", "Jul 26")</f>
        <v>Jul 26</v>
      </c>
      <c r="D9244" s="14">
        <v>3</v>
      </c>
    </row>
    <row r="9245" spans="1:4" x14ac:dyDescent="0.35">
      <c r="A9245" s="11" t="str">
        <f t="shared" si="4752"/>
        <v>All BU</v>
      </c>
      <c r="B9245" s="3" t="str">
        <f t="shared" ref="B9245:B9246" si="4774">CHOOSE(2, "1395000000720", "# of 3-Month Active Agents in FA or equivalent")</f>
        <v># of 3-Month Active Agents in FA or equivalent</v>
      </c>
      <c r="C9245" s="4" t="str">
        <f>CHOOSE(2, "5461730030", "Jun 26")</f>
        <v>Jun 26</v>
      </c>
      <c r="D9245" s="14">
        <v>103</v>
      </c>
    </row>
    <row r="9246" spans="1:4" x14ac:dyDescent="0.35">
      <c r="A9246" s="11" t="str">
        <f t="shared" si="4752"/>
        <v>All BU</v>
      </c>
      <c r="B9246" s="6" t="str">
        <f t="shared" si="4774"/>
        <v># of 3-Month Active Agents in FA or equivalent</v>
      </c>
      <c r="C9246" s="4" t="str">
        <f>CHOOSE(2, "5462030031", "Jul 26")</f>
        <v>Jul 26</v>
      </c>
      <c r="D9246" s="14">
        <v>111</v>
      </c>
    </row>
    <row r="9247" spans="1:4" x14ac:dyDescent="0.35">
      <c r="A9247" s="11" t="str">
        <f t="shared" si="4752"/>
        <v>All BU</v>
      </c>
      <c r="B9247" s="3" t="str">
        <f t="shared" ref="B9247:B9248" si="4775">CHOOSE(2, "1395000000719", "Net Case Count - Agency")</f>
        <v>Net Case Count - Agency</v>
      </c>
      <c r="C9247" s="4" t="str">
        <f>CHOOSE(2, "5461730030", "Jun 26")</f>
        <v>Jun 26</v>
      </c>
      <c r="D9247" s="14">
        <v>32919.4</v>
      </c>
    </row>
    <row r="9248" spans="1:4" x14ac:dyDescent="0.35">
      <c r="A9248" s="11" t="str">
        <f t="shared" si="4752"/>
        <v>All BU</v>
      </c>
      <c r="B9248" s="6" t="str">
        <f t="shared" si="4775"/>
        <v>Net Case Count - Agency</v>
      </c>
      <c r="C9248" s="4" t="str">
        <f>CHOOSE(2, "5462030031", "Jul 26")</f>
        <v>Jul 26</v>
      </c>
      <c r="D9248" s="14">
        <v>29814.2</v>
      </c>
    </row>
    <row r="9249" spans="1:4" x14ac:dyDescent="0.35">
      <c r="A9249" s="11" t="str">
        <f t="shared" si="4752"/>
        <v>All BU</v>
      </c>
      <c r="B9249" s="3" t="str">
        <f t="shared" ref="B9249:B9250" si="4776">CHOOSE(2, "1395000000718", "Net Case Count - Agency in 0-1M")</f>
        <v>Net Case Count - Agency in 0-1M</v>
      </c>
      <c r="C9249" s="4" t="str">
        <f>CHOOSE(2, "5461730030", "Jun 26")</f>
        <v>Jun 26</v>
      </c>
      <c r="D9249" s="14">
        <v>926</v>
      </c>
    </row>
    <row r="9250" spans="1:4" x14ac:dyDescent="0.35">
      <c r="A9250" s="11" t="str">
        <f t="shared" si="4752"/>
        <v>All BU</v>
      </c>
      <c r="B9250" s="6" t="str">
        <f t="shared" si="4776"/>
        <v>Net Case Count - Agency in 0-1M</v>
      </c>
      <c r="C9250" s="4" t="str">
        <f>CHOOSE(2, "5462030031", "Jul 26")</f>
        <v>Jul 26</v>
      </c>
      <c r="D9250" s="14">
        <v>1166.7</v>
      </c>
    </row>
    <row r="9251" spans="1:4" x14ac:dyDescent="0.35">
      <c r="A9251" s="11" t="str">
        <f t="shared" si="4752"/>
        <v>All BU</v>
      </c>
      <c r="B9251" s="3" t="str">
        <f t="shared" ref="B9251:B9252" si="4777">CHOOSE(2, "1395000000717", "Net Case Count - Agency in 2-3M")</f>
        <v>Net Case Count - Agency in 2-3M</v>
      </c>
      <c r="C9251" s="4" t="str">
        <f>CHOOSE(2, "5461730030", "Jun 26")</f>
        <v>Jun 26</v>
      </c>
      <c r="D9251" s="14">
        <v>1897.5</v>
      </c>
    </row>
    <row r="9252" spans="1:4" x14ac:dyDescent="0.35">
      <c r="A9252" s="11" t="str">
        <f t="shared" si="4752"/>
        <v>All BU</v>
      </c>
      <c r="B9252" s="6" t="str">
        <f t="shared" si="4777"/>
        <v>Net Case Count - Agency in 2-3M</v>
      </c>
      <c r="C9252" s="4" t="str">
        <f>CHOOSE(2, "5462030031", "Jul 26")</f>
        <v>Jul 26</v>
      </c>
      <c r="D9252" s="14">
        <v>2461</v>
      </c>
    </row>
    <row r="9253" spans="1:4" x14ac:dyDescent="0.35">
      <c r="A9253" s="11" t="str">
        <f t="shared" si="4752"/>
        <v>All BU</v>
      </c>
      <c r="B9253" s="3" t="str">
        <f t="shared" ref="B9253:B9254" si="4778">CHOOSE(2, "1395000000716", "Net Case Count - Agency in 4-12M")</f>
        <v>Net Case Count - Agency in 4-12M</v>
      </c>
      <c r="C9253" s="4" t="str">
        <f>CHOOSE(2, "5461730030", "Jun 26")</f>
        <v>Jun 26</v>
      </c>
      <c r="D9253" s="14">
        <v>3781.6</v>
      </c>
    </row>
    <row r="9254" spans="1:4" x14ac:dyDescent="0.35">
      <c r="A9254" s="11" t="str">
        <f t="shared" si="4752"/>
        <v>All BU</v>
      </c>
      <c r="B9254" s="6" t="str">
        <f t="shared" si="4778"/>
        <v>Net Case Count - Agency in 4-12M</v>
      </c>
      <c r="C9254" s="4" t="str">
        <f>CHOOSE(2, "5462030031", "Jul 26")</f>
        <v>Jul 26</v>
      </c>
      <c r="D9254" s="14">
        <v>5592.8</v>
      </c>
    </row>
    <row r="9255" spans="1:4" x14ac:dyDescent="0.35">
      <c r="A9255" s="11" t="str">
        <f t="shared" si="4752"/>
        <v>All BU</v>
      </c>
      <c r="B9255" s="3" t="str">
        <f t="shared" ref="B9255:B9256" si="4779">CHOOSE(2, "1395000000715", "Net Case Count - Agency 13+M")</f>
        <v>Net Case Count - Agency 13+M</v>
      </c>
      <c r="C9255" s="4" t="str">
        <f>CHOOSE(2, "5461730030", "Jun 26")</f>
        <v>Jun 26</v>
      </c>
      <c r="D9255" s="14">
        <v>29222.3</v>
      </c>
    </row>
    <row r="9256" spans="1:4" x14ac:dyDescent="0.35">
      <c r="A9256" s="11" t="str">
        <f t="shared" si="4752"/>
        <v>All BU</v>
      </c>
      <c r="B9256" s="6" t="str">
        <f t="shared" si="4779"/>
        <v>Net Case Count - Agency 13+M</v>
      </c>
      <c r="C9256" s="4" t="str">
        <f>CHOOSE(2, "5462030031", "Jul 26")</f>
        <v>Jul 26</v>
      </c>
      <c r="D9256" s="14">
        <v>45366.2</v>
      </c>
    </row>
    <row r="9257" spans="1:4" x14ac:dyDescent="0.35">
      <c r="A9257" s="11" t="str">
        <f t="shared" si="4752"/>
        <v>All BU</v>
      </c>
      <c r="B9257" s="3" t="str">
        <f t="shared" ref="B9257:B9258" si="4780">CHOOSE(2, "1395000000714", "Net Case Count - Agency in FA or equivalent")</f>
        <v>Net Case Count - Agency in FA or equivalent</v>
      </c>
      <c r="C9257" s="4" t="str">
        <f>CHOOSE(2, "5461730030", "Jun 26")</f>
        <v>Jun 26</v>
      </c>
      <c r="D9257" s="14">
        <v>19594.900000000001</v>
      </c>
    </row>
    <row r="9258" spans="1:4" x14ac:dyDescent="0.35">
      <c r="A9258" s="11" t="str">
        <f t="shared" si="4752"/>
        <v>All BU</v>
      </c>
      <c r="B9258" s="6" t="str">
        <f t="shared" si="4780"/>
        <v>Net Case Count - Agency in FA or equivalent</v>
      </c>
      <c r="C9258" s="4" t="str">
        <f>CHOOSE(2, "5462030031", "Jul 26")</f>
        <v>Jul 26</v>
      </c>
      <c r="D9258" s="14">
        <v>31594.799999999999</v>
      </c>
    </row>
    <row r="9259" spans="1:4" x14ac:dyDescent="0.35">
      <c r="A9259" s="11" t="str">
        <f t="shared" si="4752"/>
        <v>All BU</v>
      </c>
      <c r="B9259" s="3" t="str">
        <f t="shared" ref="B9259:B9260" si="4781">CHOOSE(2, "1395000000713", "Net Case Count - Agency in UM")</f>
        <v>Net Case Count - Agency in UM</v>
      </c>
      <c r="C9259" s="4" t="str">
        <f>CHOOSE(2, "5461730030", "Jun 26")</f>
        <v>Jun 26</v>
      </c>
      <c r="D9259" s="14">
        <v>4392.3</v>
      </c>
    </row>
    <row r="9260" spans="1:4" x14ac:dyDescent="0.35">
      <c r="A9260" s="11" t="str">
        <f t="shared" si="4752"/>
        <v>All BU</v>
      </c>
      <c r="B9260" s="6" t="str">
        <f t="shared" si="4781"/>
        <v>Net Case Count - Agency in UM</v>
      </c>
      <c r="C9260" s="4" t="str">
        <f>CHOOSE(2, "5462030031", "Jul 26")</f>
        <v>Jul 26</v>
      </c>
      <c r="D9260" s="14">
        <v>8390.5</v>
      </c>
    </row>
    <row r="9261" spans="1:4" x14ac:dyDescent="0.35">
      <c r="A9261" s="11" t="str">
        <f t="shared" si="4752"/>
        <v>All BU</v>
      </c>
      <c r="B9261" s="3" t="str">
        <f t="shared" ref="B9261:B9262" si="4782">CHOOSE(2, "1395000000712", "Net Case Count - Agency in Leaders above UM")</f>
        <v>Net Case Count - Agency in Leaders above UM</v>
      </c>
      <c r="C9261" s="4" t="str">
        <f>CHOOSE(2, "5461730030", "Jun 26")</f>
        <v>Jun 26</v>
      </c>
      <c r="D9261" s="14">
        <v>3471.2</v>
      </c>
    </row>
    <row r="9262" spans="1:4" x14ac:dyDescent="0.35">
      <c r="A9262" s="11" t="str">
        <f t="shared" si="4752"/>
        <v>All BU</v>
      </c>
      <c r="B9262" s="6" t="str">
        <f t="shared" si="4782"/>
        <v>Net Case Count - Agency in Leaders above UM</v>
      </c>
      <c r="C9262" s="4" t="str">
        <f>CHOOSE(2, "5462030031", "Jul 26")</f>
        <v>Jul 26</v>
      </c>
      <c r="D9262" s="14">
        <v>8920.9</v>
      </c>
    </row>
    <row r="9263" spans="1:4" x14ac:dyDescent="0.35">
      <c r="A9263" s="11" t="str">
        <f t="shared" si="4752"/>
        <v>All BU</v>
      </c>
      <c r="B9263" s="3" t="str">
        <f t="shared" ref="B9263:B9264" si="4783">CHOOSE(2, "1395000000711", "Net Case Count - Agency in Top-tier Agents")</f>
        <v>Net Case Count - Agency in Top-tier Agents</v>
      </c>
      <c r="C9263" s="4" t="str">
        <f>CHOOSE(2, "5461730030", "Jun 26")</f>
        <v>Jun 26</v>
      </c>
      <c r="D9263" s="14">
        <v>14179.4</v>
      </c>
    </row>
    <row r="9264" spans="1:4" x14ac:dyDescent="0.35">
      <c r="A9264" s="11" t="str">
        <f t="shared" si="4752"/>
        <v>All BU</v>
      </c>
      <c r="B9264" s="6" t="str">
        <f t="shared" si="4783"/>
        <v>Net Case Count - Agency in Top-tier Agents</v>
      </c>
      <c r="C9264" s="4" t="str">
        <f>CHOOSE(2, "5462030031", "Jul 26")</f>
        <v>Jul 26</v>
      </c>
      <c r="D9264" s="14">
        <v>29604.5</v>
      </c>
    </row>
    <row r="9265" spans="1:4" x14ac:dyDescent="0.35">
      <c r="A9265" s="11" t="str">
        <f t="shared" si="4752"/>
        <v>All BU</v>
      </c>
      <c r="B9265" s="3" t="str">
        <f t="shared" ref="B9265:B9266" si="4784">CHOOSE(2, "1395000000710", "Net Case Count - Agency in pro-rated MDRT agents (&gt;100%)")</f>
        <v>Net Case Count - Agency in pro-rated MDRT agents (&gt;100%)</v>
      </c>
      <c r="C9265" s="4" t="str">
        <f>CHOOSE(2, "5461730030", "Jun 26")</f>
        <v>Jun 26</v>
      </c>
      <c r="D9265" s="14">
        <v>9357.7999999999993</v>
      </c>
    </row>
    <row r="9266" spans="1:4" x14ac:dyDescent="0.35">
      <c r="A9266" s="11" t="str">
        <f t="shared" si="4752"/>
        <v>All BU</v>
      </c>
      <c r="B9266" s="6" t="str">
        <f t="shared" si="4784"/>
        <v>Net Case Count - Agency in pro-rated MDRT agents (&gt;100%)</v>
      </c>
      <c r="C9266" s="4" t="str">
        <f>CHOOSE(2, "5462030031", "Jul 26")</f>
        <v>Jul 26</v>
      </c>
      <c r="D9266" s="14">
        <v>19015.900000000001</v>
      </c>
    </row>
    <row r="9267" spans="1:4" x14ac:dyDescent="0.35">
      <c r="A9267" s="11" t="str">
        <f t="shared" ref="A9267:A9330" si="4785">CHOOSE(2, "204000000000", "All BU")</f>
        <v>All BU</v>
      </c>
      <c r="B9267" s="3" t="str">
        <f t="shared" ref="B9267:B9268" si="4786">CHOOSE(2, "1395000000709", "Net Case Count - Agency in pro-rated MDRT agents (70-99%)")</f>
        <v>Net Case Count - Agency in pro-rated MDRT agents (70-99%)</v>
      </c>
      <c r="C9267" s="4" t="str">
        <f>CHOOSE(2, "5461730030", "Jun 26")</f>
        <v>Jun 26</v>
      </c>
      <c r="D9267" s="14">
        <v>2480.5</v>
      </c>
    </row>
    <row r="9268" spans="1:4" x14ac:dyDescent="0.35">
      <c r="A9268" s="11" t="str">
        <f t="shared" si="4785"/>
        <v>All BU</v>
      </c>
      <c r="B9268" s="6" t="str">
        <f t="shared" si="4786"/>
        <v>Net Case Count - Agency in pro-rated MDRT agents (70-99%)</v>
      </c>
      <c r="C9268" s="4" t="str">
        <f>CHOOSE(2, "5462030031", "Jul 26")</f>
        <v>Jul 26</v>
      </c>
      <c r="D9268" s="14">
        <v>5306.2</v>
      </c>
    </row>
    <row r="9269" spans="1:4" x14ac:dyDescent="0.35">
      <c r="A9269" s="11" t="str">
        <f t="shared" si="4785"/>
        <v>All BU</v>
      </c>
      <c r="B9269" s="3" t="str">
        <f t="shared" ref="B9269:B9270" si="4787">CHOOSE(2, "1395000000708", "Net Case Count - Agency in pro-rated MDRT agents (50-69%)")</f>
        <v>Net Case Count - Agency in pro-rated MDRT agents (50-69%)</v>
      </c>
      <c r="C9269" s="4" t="str">
        <f>CHOOSE(2, "5461730030", "Jun 26")</f>
        <v>Jun 26</v>
      </c>
      <c r="D9269" s="14">
        <v>2339.1</v>
      </c>
    </row>
    <row r="9270" spans="1:4" x14ac:dyDescent="0.35">
      <c r="A9270" s="11" t="str">
        <f t="shared" si="4785"/>
        <v>All BU</v>
      </c>
      <c r="B9270" s="6" t="str">
        <f t="shared" si="4787"/>
        <v>Net Case Count - Agency in pro-rated MDRT agents (50-69%)</v>
      </c>
      <c r="C9270" s="4" t="str">
        <f>CHOOSE(2, "5462030031", "Jul 26")</f>
        <v>Jul 26</v>
      </c>
      <c r="D9270" s="14">
        <v>5280.4</v>
      </c>
    </row>
    <row r="9271" spans="1:4" x14ac:dyDescent="0.35">
      <c r="A9271" s="11" t="str">
        <f t="shared" si="4785"/>
        <v>All BU</v>
      </c>
      <c r="B9271" s="3" t="str">
        <f t="shared" ref="B9271:B9272" si="4788">CHOOSE(2, "1395000000707", "Net Case Count - Agency in Manulife Pro Qualifiers - Total")</f>
        <v>Net Case Count - Agency in Manulife Pro Qualifiers - Total</v>
      </c>
      <c r="C9271" s="4" t="str">
        <f>CHOOSE(2, "5461730030", "Jun 26")</f>
        <v>Jun 26</v>
      </c>
      <c r="D9271" s="14">
        <v>3199.5</v>
      </c>
    </row>
    <row r="9272" spans="1:4" x14ac:dyDescent="0.35">
      <c r="A9272" s="11" t="str">
        <f t="shared" si="4785"/>
        <v>All BU</v>
      </c>
      <c r="B9272" s="6" t="str">
        <f t="shared" si="4788"/>
        <v>Net Case Count - Agency in Manulife Pro Qualifiers - Total</v>
      </c>
      <c r="C9272" s="4" t="str">
        <f>CHOOSE(2, "5462030031", "Jul 26")</f>
        <v>Jul 26</v>
      </c>
      <c r="D9272" s="14">
        <v>2883.5</v>
      </c>
    </row>
    <row r="9273" spans="1:4" x14ac:dyDescent="0.35">
      <c r="A9273" s="11" t="str">
        <f t="shared" si="4785"/>
        <v>All BU</v>
      </c>
      <c r="B9273" s="3" t="str">
        <f t="shared" ref="B9273:B9274" si="4789">CHOOSE(2, "1395000000706", "No. of Sales Proposal Generated")</f>
        <v>No. of Sales Proposal Generated</v>
      </c>
      <c r="C9273" s="4" t="str">
        <f>CHOOSE(2, "5461730030", "Jun 26")</f>
        <v>Jun 26</v>
      </c>
      <c r="D9273" s="14">
        <v>118662</v>
      </c>
    </row>
    <row r="9274" spans="1:4" x14ac:dyDescent="0.35">
      <c r="A9274" s="11" t="str">
        <f t="shared" si="4785"/>
        <v>All BU</v>
      </c>
      <c r="B9274" s="6" t="str">
        <f t="shared" si="4789"/>
        <v>No. of Sales Proposal Generated</v>
      </c>
      <c r="C9274" s="4" t="str">
        <f>CHOOSE(2, "5462030031", "Jul 26")</f>
        <v>Jul 26</v>
      </c>
      <c r="D9274" s="14">
        <v>126962</v>
      </c>
    </row>
    <row r="9275" spans="1:4" x14ac:dyDescent="0.35">
      <c r="A9275" s="11" t="str">
        <f t="shared" si="4785"/>
        <v>All BU</v>
      </c>
      <c r="B9275" s="3" t="str">
        <f t="shared" ref="B9275:B9276" si="4790">CHOOSE(2, "1395000000705", "$ APE from Agents in X tenure")</f>
        <v>$ APE from Agents in X tenure</v>
      </c>
      <c r="C9275" s="4" t="str">
        <f>CHOOSE(2, "5461730030", "Jun 26")</f>
        <v>Jun 26</v>
      </c>
      <c r="D9275" s="14">
        <v>166573999.20980957</v>
      </c>
    </row>
    <row r="9276" spans="1:4" x14ac:dyDescent="0.35">
      <c r="A9276" s="11" t="str">
        <f t="shared" si="4785"/>
        <v>All BU</v>
      </c>
      <c r="B9276" s="6" t="str">
        <f t="shared" si="4790"/>
        <v>$ APE from Agents in X tenure</v>
      </c>
      <c r="C9276" s="4" t="str">
        <f>CHOOSE(2, "5462030031", "Jul 26")</f>
        <v>Jul 26</v>
      </c>
      <c r="D9276" s="14">
        <v>116310805.68053223</v>
      </c>
    </row>
    <row r="9277" spans="1:4" x14ac:dyDescent="0.35">
      <c r="A9277" s="11" t="str">
        <f t="shared" si="4785"/>
        <v>All BU</v>
      </c>
      <c r="B9277" s="3" t="str">
        <f t="shared" ref="B9277:B9278" si="4791">CHOOSE(2, "1395000000704", "$ APE from Agents in X tenure in 0-1M")</f>
        <v>$ APE from Agents in X tenure in 0-1M</v>
      </c>
      <c r="C9277" s="4" t="str">
        <f>CHOOSE(2, "5461730030", "Jun 26")</f>
        <v>Jun 26</v>
      </c>
      <c r="D9277" s="14">
        <v>16657399.920980956</v>
      </c>
    </row>
    <row r="9278" spans="1:4" x14ac:dyDescent="0.35">
      <c r="A9278" s="11" t="str">
        <f t="shared" si="4785"/>
        <v>All BU</v>
      </c>
      <c r="B9278" s="6" t="str">
        <f t="shared" si="4791"/>
        <v>$ APE from Agents in X tenure in 0-1M</v>
      </c>
      <c r="C9278" s="4" t="str">
        <f>CHOOSE(2, "5462030031", "Jul 26")</f>
        <v>Jul 26</v>
      </c>
      <c r="D9278" s="14">
        <v>11631080.568053223</v>
      </c>
    </row>
    <row r="9279" spans="1:4" x14ac:dyDescent="0.35">
      <c r="A9279" s="11" t="str">
        <f t="shared" si="4785"/>
        <v>All BU</v>
      </c>
      <c r="B9279" s="3" t="str">
        <f t="shared" ref="B9279:B9280" si="4792">CHOOSE(2, "1395000000703", "$ APE from Agents in X tenure in 2-3M")</f>
        <v>$ APE from Agents in X tenure in 2-3M</v>
      </c>
      <c r="C9279" s="4" t="str">
        <f>CHOOSE(2, "5461730030", "Jun 26")</f>
        <v>Jun 26</v>
      </c>
      <c r="D9279" s="14">
        <v>33314799.841961913</v>
      </c>
    </row>
    <row r="9280" spans="1:4" x14ac:dyDescent="0.35">
      <c r="A9280" s="11" t="str">
        <f t="shared" si="4785"/>
        <v>All BU</v>
      </c>
      <c r="B9280" s="6" t="str">
        <f t="shared" si="4792"/>
        <v>$ APE from Agents in X tenure in 2-3M</v>
      </c>
      <c r="C9280" s="4" t="str">
        <f>CHOOSE(2, "5462030031", "Jul 26")</f>
        <v>Jul 26</v>
      </c>
      <c r="D9280" s="14">
        <v>23262161.136106446</v>
      </c>
    </row>
    <row r="9281" spans="1:4" x14ac:dyDescent="0.35">
      <c r="A9281" s="11" t="str">
        <f t="shared" si="4785"/>
        <v>All BU</v>
      </c>
      <c r="B9281" s="3" t="str">
        <f t="shared" ref="B9281:B9282" si="4793">CHOOSE(2, "1395000000702", "$ APE from Agents in X tenure in 4-12M")</f>
        <v>$ APE from Agents in X tenure in 4-12M</v>
      </c>
      <c r="C9281" s="4" t="str">
        <f>CHOOSE(2, "5461730030", "Jun 26")</f>
        <v>Jun 26</v>
      </c>
      <c r="D9281" s="14">
        <v>49972199.762942858</v>
      </c>
    </row>
    <row r="9282" spans="1:4" x14ac:dyDescent="0.35">
      <c r="A9282" s="11" t="str">
        <f t="shared" si="4785"/>
        <v>All BU</v>
      </c>
      <c r="B9282" s="6" t="str">
        <f t="shared" si="4793"/>
        <v>$ APE from Agents in X tenure in 4-12M</v>
      </c>
      <c r="C9282" s="4" t="str">
        <f>CHOOSE(2, "5462030031", "Jul 26")</f>
        <v>Jul 26</v>
      </c>
      <c r="D9282" s="14">
        <v>34893241.70415967</v>
      </c>
    </row>
    <row r="9283" spans="1:4" x14ac:dyDescent="0.35">
      <c r="A9283" s="11" t="str">
        <f t="shared" si="4785"/>
        <v>All BU</v>
      </c>
      <c r="B9283" s="3" t="str">
        <f t="shared" ref="B9283:B9284" si="4794">CHOOSE(2, "1395000000701", "$ APE from Agents in X tenure 13+M")</f>
        <v>$ APE from Agents in X tenure 13+M</v>
      </c>
      <c r="C9283" s="4" t="str">
        <f>CHOOSE(2, "5461730030", "Jun 26")</f>
        <v>Jun 26</v>
      </c>
      <c r="D9283" s="14">
        <v>66629599.683923826</v>
      </c>
    </row>
    <row r="9284" spans="1:4" x14ac:dyDescent="0.35">
      <c r="A9284" s="11" t="str">
        <f t="shared" si="4785"/>
        <v>All BU</v>
      </c>
      <c r="B9284" s="6" t="str">
        <f t="shared" si="4794"/>
        <v>$ APE from Agents in X tenure 13+M</v>
      </c>
      <c r="C9284" s="4" t="str">
        <f>CHOOSE(2, "5462030031", "Jul 26")</f>
        <v>Jul 26</v>
      </c>
      <c r="D9284" s="14">
        <v>46524322.272212893</v>
      </c>
    </row>
    <row r="9285" spans="1:4" x14ac:dyDescent="0.35">
      <c r="A9285" s="11" t="str">
        <f t="shared" si="4785"/>
        <v>All BU</v>
      </c>
      <c r="B9285" s="3" t="str">
        <f t="shared" ref="B9285:B9286" si="4795">CHOOSE(2, "1395000000700", "Total agent headcount (end of period)")</f>
        <v>Total agent headcount (end of period)</v>
      </c>
      <c r="C9285" s="4" t="str">
        <f>CHOOSE(2, "5461730030", "Jun 26")</f>
        <v>Jun 26</v>
      </c>
      <c r="D9285" s="14">
        <v>105674</v>
      </c>
    </row>
    <row r="9286" spans="1:4" x14ac:dyDescent="0.35">
      <c r="A9286" s="11" t="str">
        <f t="shared" si="4785"/>
        <v>All BU</v>
      </c>
      <c r="B9286" s="6" t="str">
        <f t="shared" si="4795"/>
        <v>Total agent headcount (end of period)</v>
      </c>
      <c r="C9286" s="4" t="str">
        <f>CHOOSE(2, "5462030031", "Jul 26")</f>
        <v>Jul 26</v>
      </c>
      <c r="D9286" s="14">
        <v>106911</v>
      </c>
    </row>
    <row r="9287" spans="1:4" x14ac:dyDescent="0.35">
      <c r="A9287" s="11" t="str">
        <f t="shared" si="4785"/>
        <v>All BU</v>
      </c>
      <c r="B9287" s="3" t="str">
        <f t="shared" ref="B9287:B9288" si="4796">CHOOSE(2, "1395000000699", "Total agent headcount (end of period) in 0-1M")</f>
        <v>Total agent headcount (end of period) in 0-1M</v>
      </c>
      <c r="C9287" s="4" t="str">
        <f>CHOOSE(2, "5461730030", "Jun 26")</f>
        <v>Jun 26</v>
      </c>
      <c r="D9287" s="14">
        <v>2371</v>
      </c>
    </row>
    <row r="9288" spans="1:4" x14ac:dyDescent="0.35">
      <c r="A9288" s="11" t="str">
        <f t="shared" si="4785"/>
        <v>All BU</v>
      </c>
      <c r="B9288" s="6" t="str">
        <f t="shared" si="4796"/>
        <v>Total agent headcount (end of period) in 0-1M</v>
      </c>
      <c r="C9288" s="4" t="str">
        <f>CHOOSE(2, "5462030031", "Jul 26")</f>
        <v>Jul 26</v>
      </c>
      <c r="D9288" s="14">
        <v>2531</v>
      </c>
    </row>
    <row r="9289" spans="1:4" x14ac:dyDescent="0.35">
      <c r="A9289" s="11" t="str">
        <f t="shared" si="4785"/>
        <v>All BU</v>
      </c>
      <c r="B9289" s="3" t="str">
        <f t="shared" ref="B9289:B9290" si="4797">CHOOSE(2, "1395000000698", "Total agent headcount (end of period) in 2-3M")</f>
        <v>Total agent headcount (end of period) in 2-3M</v>
      </c>
      <c r="C9289" s="4" t="str">
        <f>CHOOSE(2, "5461730030", "Jun 26")</f>
        <v>Jun 26</v>
      </c>
      <c r="D9289" s="14">
        <v>4184</v>
      </c>
    </row>
    <row r="9290" spans="1:4" x14ac:dyDescent="0.35">
      <c r="A9290" s="11" t="str">
        <f t="shared" si="4785"/>
        <v>All BU</v>
      </c>
      <c r="B9290" s="6" t="str">
        <f t="shared" si="4797"/>
        <v>Total agent headcount (end of period) in 2-3M</v>
      </c>
      <c r="C9290" s="4" t="str">
        <f>CHOOSE(2, "5462030031", "Jul 26")</f>
        <v>Jul 26</v>
      </c>
      <c r="D9290" s="14">
        <v>4424</v>
      </c>
    </row>
    <row r="9291" spans="1:4" x14ac:dyDescent="0.35">
      <c r="A9291" s="11" t="str">
        <f t="shared" si="4785"/>
        <v>All BU</v>
      </c>
      <c r="B9291" s="3" t="str">
        <f t="shared" ref="B9291:B9292" si="4798">CHOOSE(2, "1395000000697", "Total agent headcount (end of period) in 4-12M")</f>
        <v>Total agent headcount (end of period) in 4-12M</v>
      </c>
      <c r="C9291" s="4" t="str">
        <f>CHOOSE(2, "5461730030", "Jun 26")</f>
        <v>Jun 26</v>
      </c>
      <c r="D9291" s="14">
        <v>17313</v>
      </c>
    </row>
    <row r="9292" spans="1:4" x14ac:dyDescent="0.35">
      <c r="A9292" s="11" t="str">
        <f t="shared" si="4785"/>
        <v>All BU</v>
      </c>
      <c r="B9292" s="6" t="str">
        <f t="shared" si="4798"/>
        <v>Total agent headcount (end of period) in 4-12M</v>
      </c>
      <c r="C9292" s="4" t="str">
        <f>CHOOSE(2, "5462030031", "Jul 26")</f>
        <v>Jul 26</v>
      </c>
      <c r="D9292" s="14">
        <v>16985</v>
      </c>
    </row>
    <row r="9293" spans="1:4" x14ac:dyDescent="0.35">
      <c r="A9293" s="11" t="str">
        <f t="shared" si="4785"/>
        <v>All BU</v>
      </c>
      <c r="B9293" s="3" t="str">
        <f t="shared" ref="B9293:B9294" si="4799">CHOOSE(2, "1395000000696", "Total agent headcount (end of period) 13+M")</f>
        <v>Total agent headcount (end of period) 13+M</v>
      </c>
      <c r="C9293" s="4" t="str">
        <f>CHOOSE(2, "5461730030", "Jun 26")</f>
        <v>Jun 26</v>
      </c>
      <c r="D9293" s="14">
        <v>74311</v>
      </c>
    </row>
    <row r="9294" spans="1:4" x14ac:dyDescent="0.35">
      <c r="A9294" s="11" t="str">
        <f t="shared" si="4785"/>
        <v>All BU</v>
      </c>
      <c r="B9294" s="6" t="str">
        <f t="shared" si="4799"/>
        <v>Total agent headcount (end of period) 13+M</v>
      </c>
      <c r="C9294" s="4" t="str">
        <f>CHOOSE(2, "5462030031", "Jul 26")</f>
        <v>Jul 26</v>
      </c>
      <c r="D9294" s="14">
        <v>75647</v>
      </c>
    </row>
    <row r="9295" spans="1:4" x14ac:dyDescent="0.35">
      <c r="A9295" s="11" t="str">
        <f t="shared" si="4785"/>
        <v>All BU</v>
      </c>
      <c r="B9295" s="3" t="str">
        <f t="shared" ref="B9295:B9296" si="4800">CHOOSE(2, "1395000000695", "Total agent headcount (end of period) in FA or equivalent")</f>
        <v>Total agent headcount (end of period) in FA or equivalent</v>
      </c>
      <c r="C9295" s="4" t="str">
        <f>CHOOSE(2, "5461730030", "Jun 26")</f>
        <v>Jun 26</v>
      </c>
      <c r="D9295" s="14">
        <v>89173</v>
      </c>
    </row>
    <row r="9296" spans="1:4" x14ac:dyDescent="0.35">
      <c r="A9296" s="11" t="str">
        <f t="shared" si="4785"/>
        <v>All BU</v>
      </c>
      <c r="B9296" s="6" t="str">
        <f t="shared" si="4800"/>
        <v>Total agent headcount (end of period) in FA or equivalent</v>
      </c>
      <c r="C9296" s="4" t="str">
        <f>CHOOSE(2, "5462030031", "Jul 26")</f>
        <v>Jul 26</v>
      </c>
      <c r="D9296" s="14">
        <v>90318</v>
      </c>
    </row>
    <row r="9297" spans="1:4" x14ac:dyDescent="0.35">
      <c r="A9297" s="11" t="str">
        <f t="shared" si="4785"/>
        <v>All BU</v>
      </c>
      <c r="B9297" s="3" t="str">
        <f t="shared" ref="B9297:B9298" si="4801">CHOOSE(2, "1395000000694", "Total agent headcount (end of period) in UM")</f>
        <v>Total agent headcount (end of period) in UM</v>
      </c>
      <c r="C9297" s="4" t="str">
        <f>CHOOSE(2, "5461730030", "Jun 26")</f>
        <v>Jun 26</v>
      </c>
      <c r="D9297" s="14">
        <v>5325</v>
      </c>
    </row>
    <row r="9298" spans="1:4" x14ac:dyDescent="0.35">
      <c r="A9298" s="11" t="str">
        <f t="shared" si="4785"/>
        <v>All BU</v>
      </c>
      <c r="B9298" s="6" t="str">
        <f t="shared" si="4801"/>
        <v>Total agent headcount (end of period) in UM</v>
      </c>
      <c r="C9298" s="4" t="str">
        <f>CHOOSE(2, "5462030031", "Jul 26")</f>
        <v>Jul 26</v>
      </c>
      <c r="D9298" s="14">
        <v>5466</v>
      </c>
    </row>
    <row r="9299" spans="1:4" x14ac:dyDescent="0.35">
      <c r="A9299" s="11" t="str">
        <f t="shared" si="4785"/>
        <v>All BU</v>
      </c>
      <c r="B9299" s="3" t="str">
        <f t="shared" ref="B9299:B9300" si="4802">CHOOSE(2, "1395000000693", "Total agent headcount (end of period) in Leaders above UM")</f>
        <v>Total agent headcount (end of period) in Leaders above UM</v>
      </c>
      <c r="C9299" s="4" t="str">
        <f>CHOOSE(2, "5461730030", "Jun 26")</f>
        <v>Jun 26</v>
      </c>
      <c r="D9299" s="14">
        <v>3652</v>
      </c>
    </row>
    <row r="9300" spans="1:4" x14ac:dyDescent="0.35">
      <c r="A9300" s="11" t="str">
        <f t="shared" si="4785"/>
        <v>All BU</v>
      </c>
      <c r="B9300" s="6" t="str">
        <f t="shared" si="4802"/>
        <v>Total agent headcount (end of period) in Leaders above UM</v>
      </c>
      <c r="C9300" s="4" t="str">
        <f>CHOOSE(2, "5462030031", "Jul 26")</f>
        <v>Jul 26</v>
      </c>
      <c r="D9300" s="14">
        <v>3770</v>
      </c>
    </row>
    <row r="9301" spans="1:4" x14ac:dyDescent="0.35">
      <c r="A9301" s="11" t="str">
        <f t="shared" si="4785"/>
        <v>All BU</v>
      </c>
      <c r="B9301" s="3" t="str">
        <f t="shared" ref="B9301:B9302" si="4803">CHOOSE(2, "1395000000692", "Total agent headcount (end of period) in Top-tier agents")</f>
        <v>Total agent headcount (end of period) in Top-tier agents</v>
      </c>
      <c r="C9301" s="4" t="str">
        <f>CHOOSE(2, "5461730030", "Jun 26")</f>
        <v>Jun 26</v>
      </c>
      <c r="D9301" s="14">
        <v>8890</v>
      </c>
    </row>
    <row r="9302" spans="1:4" x14ac:dyDescent="0.35">
      <c r="A9302" s="11" t="str">
        <f t="shared" si="4785"/>
        <v>All BU</v>
      </c>
      <c r="B9302" s="6" t="str">
        <f t="shared" si="4803"/>
        <v>Total agent headcount (end of period) in Top-tier agents</v>
      </c>
      <c r="C9302" s="4" t="str">
        <f>CHOOSE(2, "5462030031", "Jul 26")</f>
        <v>Jul 26</v>
      </c>
      <c r="D9302" s="14">
        <v>8461</v>
      </c>
    </row>
    <row r="9303" spans="1:4" x14ac:dyDescent="0.35">
      <c r="A9303" s="11" t="str">
        <f t="shared" si="4785"/>
        <v>All BU</v>
      </c>
      <c r="B9303" s="3" t="str">
        <f t="shared" ref="B9303:B9304" si="4804">CHOOSE(2, "1395000000691", "Total agent headcount  in pro-rated MDRT agents (&gt;100%)")</f>
        <v>Total agent headcount  in pro-rated MDRT agents (&gt;100%)</v>
      </c>
      <c r="C9303" s="4" t="str">
        <f>CHOOSE(2, "5461730030", "Jun 26")</f>
        <v>Jun 26</v>
      </c>
      <c r="D9303" s="14">
        <v>4935</v>
      </c>
    </row>
    <row r="9304" spans="1:4" x14ac:dyDescent="0.35">
      <c r="A9304" s="11" t="str">
        <f t="shared" si="4785"/>
        <v>All BU</v>
      </c>
      <c r="B9304" s="6" t="str">
        <f t="shared" si="4804"/>
        <v>Total agent headcount  in pro-rated MDRT agents (&gt;100%)</v>
      </c>
      <c r="C9304" s="4" t="str">
        <f>CHOOSE(2, "5462030031", "Jul 26")</f>
        <v>Jul 26</v>
      </c>
      <c r="D9304" s="14">
        <v>4477</v>
      </c>
    </row>
    <row r="9305" spans="1:4" x14ac:dyDescent="0.35">
      <c r="A9305" s="11" t="str">
        <f t="shared" si="4785"/>
        <v>All BU</v>
      </c>
      <c r="B9305" s="3" t="str">
        <f t="shared" ref="B9305:B9306" si="4805">CHOOSE(2, "1395000000690", "Total agent headcount  in pro-rated MDRT agents (70-99%)")</f>
        <v>Total agent headcount  in pro-rated MDRT agents (70-99%)</v>
      </c>
      <c r="C9305" s="4" t="str">
        <f>CHOOSE(2, "5461730030", "Jun 26")</f>
        <v>Jun 26</v>
      </c>
      <c r="D9305" s="14">
        <v>1921</v>
      </c>
    </row>
    <row r="9306" spans="1:4" x14ac:dyDescent="0.35">
      <c r="A9306" s="11" t="str">
        <f t="shared" si="4785"/>
        <v>All BU</v>
      </c>
      <c r="B9306" s="6" t="str">
        <f t="shared" si="4805"/>
        <v>Total agent headcount  in pro-rated MDRT agents (70-99%)</v>
      </c>
      <c r="C9306" s="4" t="str">
        <f>CHOOSE(2, "5462030031", "Jul 26")</f>
        <v>Jul 26</v>
      </c>
      <c r="D9306" s="14">
        <v>1922</v>
      </c>
    </row>
    <row r="9307" spans="1:4" x14ac:dyDescent="0.35">
      <c r="A9307" s="11" t="str">
        <f t="shared" si="4785"/>
        <v>All BU</v>
      </c>
      <c r="B9307" s="3" t="str">
        <f t="shared" ref="B9307:B9308" si="4806">CHOOSE(2, "1395000000689", "Total agent headcount  in pro-rated MDRT agents (50-69%)")</f>
        <v>Total agent headcount  in pro-rated MDRT agents (50-69%)</v>
      </c>
      <c r="C9307" s="4" t="str">
        <f>CHOOSE(2, "5461730030", "Jun 26")</f>
        <v>Jun 26</v>
      </c>
      <c r="D9307" s="14">
        <v>2034</v>
      </c>
    </row>
    <row r="9308" spans="1:4" x14ac:dyDescent="0.35">
      <c r="A9308" s="11" t="str">
        <f t="shared" si="4785"/>
        <v>All BU</v>
      </c>
      <c r="B9308" s="6" t="str">
        <f t="shared" si="4806"/>
        <v>Total agent headcount  in pro-rated MDRT agents (50-69%)</v>
      </c>
      <c r="C9308" s="4" t="str">
        <f>CHOOSE(2, "5462030031", "Jul 26")</f>
        <v>Jul 26</v>
      </c>
      <c r="D9308" s="14">
        <v>2062</v>
      </c>
    </row>
    <row r="9309" spans="1:4" x14ac:dyDescent="0.35">
      <c r="A9309" s="11" t="str">
        <f t="shared" si="4785"/>
        <v>All BU</v>
      </c>
      <c r="B9309" s="3" t="str">
        <f t="shared" ref="B9309:B9310" si="4807">CHOOSE(2, "1395000000688", "Total agent headcount  in Manulife Pro Qualifiers - Total")</f>
        <v>Total agent headcount  in Manulife Pro Qualifiers - Total</v>
      </c>
      <c r="C9309" s="4" t="str">
        <f>CHOOSE(2, "5461730030", "Jun 26")</f>
        <v>Jun 26</v>
      </c>
      <c r="D9309" s="14">
        <v>3809</v>
      </c>
    </row>
    <row r="9310" spans="1:4" x14ac:dyDescent="0.35">
      <c r="A9310" s="11" t="str">
        <f t="shared" si="4785"/>
        <v>All BU</v>
      </c>
      <c r="B9310" s="6" t="str">
        <f t="shared" si="4807"/>
        <v>Total agent headcount  in Manulife Pro Qualifiers - Total</v>
      </c>
      <c r="C9310" s="4" t="str">
        <f>CHOOSE(2, "5462030031", "Jul 26")</f>
        <v>Jul 26</v>
      </c>
      <c r="D9310" s="14">
        <v>3613</v>
      </c>
    </row>
    <row r="9311" spans="1:4" x14ac:dyDescent="0.35">
      <c r="A9311" s="11" t="str">
        <f t="shared" si="4785"/>
        <v>All BU</v>
      </c>
      <c r="B9311" s="3" t="str">
        <f t="shared" ref="B9311:B9312" si="4808">CHOOSE(2, "1395000000687", "New recruits")</f>
        <v>New recruits</v>
      </c>
      <c r="C9311" s="4" t="str">
        <f>CHOOSE(2, "5461730030", "Jun 26")</f>
        <v>Jun 26</v>
      </c>
      <c r="D9311" s="14">
        <v>2737</v>
      </c>
    </row>
    <row r="9312" spans="1:4" x14ac:dyDescent="0.35">
      <c r="A9312" s="11" t="str">
        <f t="shared" si="4785"/>
        <v>All BU</v>
      </c>
      <c r="B9312" s="6" t="str">
        <f t="shared" si="4808"/>
        <v>New recruits</v>
      </c>
      <c r="C9312" s="4" t="str">
        <f>CHOOSE(2, "5462030031", "Jul 26")</f>
        <v>Jul 26</v>
      </c>
      <c r="D9312" s="14">
        <v>2798</v>
      </c>
    </row>
    <row r="9313" spans="1:4" x14ac:dyDescent="0.35">
      <c r="A9313" s="11" t="str">
        <f t="shared" si="4785"/>
        <v>All BU</v>
      </c>
      <c r="B9313" s="3" t="str">
        <f t="shared" ref="B9313:B9314" si="4809">CHOOSE(2, "1395000000686", "New recruits - Leader level")</f>
        <v>New recruits - Leader level</v>
      </c>
      <c r="C9313" s="4" t="str">
        <f>CHOOSE(2, "5461730030", "Jun 26")</f>
        <v>Jun 26</v>
      </c>
      <c r="D9313" s="2" t="s">
        <v>5</v>
      </c>
    </row>
    <row r="9314" spans="1:4" x14ac:dyDescent="0.35">
      <c r="A9314" s="11" t="str">
        <f t="shared" si="4785"/>
        <v>All BU</v>
      </c>
      <c r="B9314" s="6" t="str">
        <f t="shared" si="4809"/>
        <v>New recruits - Leader level</v>
      </c>
      <c r="C9314" s="4" t="str">
        <f>CHOOSE(2, "5462030031", "Jul 26")</f>
        <v>Jul 26</v>
      </c>
      <c r="D9314" s="2" t="s">
        <v>5</v>
      </c>
    </row>
    <row r="9315" spans="1:4" x14ac:dyDescent="0.35">
      <c r="A9315" s="11" t="str">
        <f t="shared" si="4785"/>
        <v>All BU</v>
      </c>
      <c r="B9315" s="3" t="str">
        <f t="shared" ref="B9315:B9316" si="4810">CHOOSE(2, "1395000000685", "New recruits - FA or equivalent")</f>
        <v>New recruits - FA or equivalent</v>
      </c>
      <c r="C9315" s="4" t="str">
        <f>CHOOSE(2, "5461730030", "Jun 26")</f>
        <v>Jun 26</v>
      </c>
      <c r="D9315" s="14">
        <v>2222</v>
      </c>
    </row>
    <row r="9316" spans="1:4" x14ac:dyDescent="0.35">
      <c r="A9316" s="11" t="str">
        <f t="shared" si="4785"/>
        <v>All BU</v>
      </c>
      <c r="B9316" s="6" t="str">
        <f t="shared" si="4810"/>
        <v>New recruits - FA or equivalent</v>
      </c>
      <c r="C9316" s="4" t="str">
        <f>CHOOSE(2, "5462030031", "Jul 26")</f>
        <v>Jul 26</v>
      </c>
      <c r="D9316" s="14">
        <v>2366</v>
      </c>
    </row>
    <row r="9317" spans="1:4" x14ac:dyDescent="0.35">
      <c r="A9317" s="11" t="str">
        <f t="shared" si="4785"/>
        <v>All BU</v>
      </c>
      <c r="B9317" s="3" t="str">
        <f t="shared" ref="B9317:B9318" si="4811">CHOOSE(2, "1395000000684", "New recruits in UM")</f>
        <v>New recruits in UM</v>
      </c>
      <c r="C9317" s="4" t="str">
        <f>CHOOSE(2, "5461730030", "Jun 26")</f>
        <v>Jun 26</v>
      </c>
      <c r="D9317" s="14">
        <v>83</v>
      </c>
    </row>
    <row r="9318" spans="1:4" x14ac:dyDescent="0.35">
      <c r="A9318" s="11" t="str">
        <f t="shared" si="4785"/>
        <v>All BU</v>
      </c>
      <c r="B9318" s="6" t="str">
        <f t="shared" si="4811"/>
        <v>New recruits in UM</v>
      </c>
      <c r="C9318" s="4" t="str">
        <f>CHOOSE(2, "5462030031", "Jul 26")</f>
        <v>Jul 26</v>
      </c>
      <c r="D9318" s="14">
        <v>94</v>
      </c>
    </row>
    <row r="9319" spans="1:4" x14ac:dyDescent="0.35">
      <c r="A9319" s="11" t="str">
        <f t="shared" si="4785"/>
        <v>All BU</v>
      </c>
      <c r="B9319" s="3" t="str">
        <f t="shared" ref="B9319:B9320" si="4812">CHOOSE(2, "1395000000683", "New recruits in Leaders above UM")</f>
        <v>New recruits in Leaders above UM</v>
      </c>
      <c r="C9319" s="4" t="str">
        <f>CHOOSE(2, "5461730030", "Jun 26")</f>
        <v>Jun 26</v>
      </c>
      <c r="D9319" s="14">
        <v>47</v>
      </c>
    </row>
    <row r="9320" spans="1:4" x14ac:dyDescent="0.35">
      <c r="A9320" s="11" t="str">
        <f t="shared" si="4785"/>
        <v>All BU</v>
      </c>
      <c r="B9320" s="6" t="str">
        <f t="shared" si="4812"/>
        <v>New recruits in Leaders above UM</v>
      </c>
      <c r="C9320" s="4" t="str">
        <f>CHOOSE(2, "5462030031", "Jul 26")</f>
        <v>Jul 26</v>
      </c>
      <c r="D9320" s="14">
        <v>44</v>
      </c>
    </row>
    <row r="9321" spans="1:4" x14ac:dyDescent="0.35">
      <c r="A9321" s="11" t="str">
        <f t="shared" si="4785"/>
        <v>All BU</v>
      </c>
      <c r="B9321" s="3" t="str">
        <f t="shared" ref="B9321:B9322" si="4813">CHOOSE(2, "1395000000682", "# of 6-90 agents")</f>
        <v># of 6-90 agents</v>
      </c>
      <c r="C9321" s="4" t="str">
        <f>CHOOSE(2, "5461730030", "Jun 26")</f>
        <v>Jun 26</v>
      </c>
      <c r="D9321" s="14">
        <v>301</v>
      </c>
    </row>
    <row r="9322" spans="1:4" x14ac:dyDescent="0.35">
      <c r="A9322" s="11" t="str">
        <f t="shared" si="4785"/>
        <v>All BU</v>
      </c>
      <c r="B9322" s="6" t="str">
        <f t="shared" si="4813"/>
        <v># of 6-90 agents</v>
      </c>
      <c r="C9322" s="4" t="str">
        <f>CHOOSE(2, "5462030031", "Jul 26")</f>
        <v>Jul 26</v>
      </c>
      <c r="D9322" s="14">
        <v>335</v>
      </c>
    </row>
    <row r="9323" spans="1:4" x14ac:dyDescent="0.35">
      <c r="A9323" s="11" t="str">
        <f t="shared" si="4785"/>
        <v>All BU</v>
      </c>
      <c r="B9323" s="3" t="str">
        <f t="shared" ref="B9323:B9324" si="4814">CHOOSE(2, "1395000000681", "New Recruits 3M Activation #")</f>
        <v>New Recruits 3M Activation #</v>
      </c>
      <c r="C9323" s="4" t="str">
        <f>CHOOSE(2, "5461730030", "Jun 26")</f>
        <v>Jun 26</v>
      </c>
      <c r="D9323" s="14">
        <v>1537.44</v>
      </c>
    </row>
    <row r="9324" spans="1:4" x14ac:dyDescent="0.35">
      <c r="A9324" s="11" t="str">
        <f t="shared" si="4785"/>
        <v>All BU</v>
      </c>
      <c r="B9324" s="6" t="str">
        <f t="shared" si="4814"/>
        <v>New Recruits 3M Activation #</v>
      </c>
      <c r="C9324" s="4" t="str">
        <f>CHOOSE(2, "5462030031", "Jul 26")</f>
        <v>Jul 26</v>
      </c>
      <c r="D9324" s="14">
        <v>1242</v>
      </c>
    </row>
    <row r="9325" spans="1:4" x14ac:dyDescent="0.35">
      <c r="A9325" s="11" t="str">
        <f t="shared" si="4785"/>
        <v>All BU</v>
      </c>
      <c r="B9325" s="3" t="str">
        <f t="shared" ref="B9325:B9326" si="4815">CHOOSE(2, "1395000000680", "No of Terminations")</f>
        <v>No of Terminations</v>
      </c>
      <c r="C9325" s="4" t="str">
        <f>CHOOSE(2, "5461730030", "Jun 26")</f>
        <v>Jun 26</v>
      </c>
      <c r="D9325" s="14">
        <v>2367</v>
      </c>
    </row>
    <row r="9326" spans="1:4" x14ac:dyDescent="0.35">
      <c r="A9326" s="11" t="str">
        <f t="shared" si="4785"/>
        <v>All BU</v>
      </c>
      <c r="B9326" s="6" t="str">
        <f t="shared" si="4815"/>
        <v>No of Terminations</v>
      </c>
      <c r="C9326" s="4" t="str">
        <f>CHOOSE(2, "5462030031", "Jul 26")</f>
        <v>Jul 26</v>
      </c>
      <c r="D9326" s="14">
        <v>1626</v>
      </c>
    </row>
    <row r="9327" spans="1:4" x14ac:dyDescent="0.35">
      <c r="A9327" s="11" t="str">
        <f t="shared" si="4785"/>
        <v>All BU</v>
      </c>
      <c r="B9327" s="3" t="str">
        <f t="shared" ref="B9327:B9328" si="4816">CHOOSE(2, "1395000000679", "No of Terminations in FA or equivalent")</f>
        <v>No of Terminations in FA or equivalent</v>
      </c>
      <c r="C9327" s="4" t="str">
        <f>CHOOSE(2, "5461730030", "Jun 26")</f>
        <v>Jun 26</v>
      </c>
      <c r="D9327" s="14">
        <v>2226</v>
      </c>
    </row>
    <row r="9328" spans="1:4" x14ac:dyDescent="0.35">
      <c r="A9328" s="11" t="str">
        <f t="shared" si="4785"/>
        <v>All BU</v>
      </c>
      <c r="B9328" s="6" t="str">
        <f t="shared" si="4816"/>
        <v>No of Terminations in FA or equivalent</v>
      </c>
      <c r="C9328" s="4" t="str">
        <f>CHOOSE(2, "5462030031", "Jul 26")</f>
        <v>Jul 26</v>
      </c>
      <c r="D9328" s="14">
        <v>1113</v>
      </c>
    </row>
    <row r="9329" spans="1:4" x14ac:dyDescent="0.35">
      <c r="A9329" s="11" t="str">
        <f t="shared" si="4785"/>
        <v>All BU</v>
      </c>
      <c r="B9329" s="3" t="str">
        <f t="shared" ref="B9329:B9330" si="4817">CHOOSE(2, "1395000000678", "No of Terminations in UM")</f>
        <v>No of Terminations in UM</v>
      </c>
      <c r="C9329" s="4" t="str">
        <f>CHOOSE(2, "5461730030", "Jun 26")</f>
        <v>Jun 26</v>
      </c>
      <c r="D9329" s="14">
        <v>28</v>
      </c>
    </row>
    <row r="9330" spans="1:4" x14ac:dyDescent="0.35">
      <c r="A9330" s="11" t="str">
        <f t="shared" si="4785"/>
        <v>All BU</v>
      </c>
      <c r="B9330" s="6" t="str">
        <f t="shared" si="4817"/>
        <v>No of Terminations in UM</v>
      </c>
      <c r="C9330" s="4" t="str">
        <f>CHOOSE(2, "5462030031", "Jul 26")</f>
        <v>Jul 26</v>
      </c>
      <c r="D9330" s="14">
        <v>25</v>
      </c>
    </row>
    <row r="9331" spans="1:4" x14ac:dyDescent="0.35">
      <c r="A9331" s="11" t="str">
        <f t="shared" ref="A9331:A9394" si="4818">CHOOSE(2, "204000000000", "All BU")</f>
        <v>All BU</v>
      </c>
      <c r="B9331" s="3" t="str">
        <f t="shared" ref="B9331:B9332" si="4819">CHOOSE(2, "1395000000677", "No of Terminations in Leaders above UM")</f>
        <v>No of Terminations in Leaders above UM</v>
      </c>
      <c r="C9331" s="4" t="str">
        <f>CHOOSE(2, "5461730030", "Jun 26")</f>
        <v>Jun 26</v>
      </c>
      <c r="D9331" s="14">
        <v>20</v>
      </c>
    </row>
    <row r="9332" spans="1:4" x14ac:dyDescent="0.35">
      <c r="A9332" s="11" t="str">
        <f t="shared" si="4818"/>
        <v>All BU</v>
      </c>
      <c r="B9332" s="6" t="str">
        <f t="shared" si="4819"/>
        <v>No of Terminations in Leaders above UM</v>
      </c>
      <c r="C9332" s="4" t="str">
        <f>CHOOSE(2, "5462030031", "Jul 26")</f>
        <v>Jul 26</v>
      </c>
      <c r="D9332" s="14">
        <v>13</v>
      </c>
    </row>
    <row r="9333" spans="1:4" x14ac:dyDescent="0.35">
      <c r="A9333" s="11" t="str">
        <f t="shared" si="4818"/>
        <v>All BU</v>
      </c>
      <c r="B9333" s="3" t="str">
        <f t="shared" ref="B9333:B9334" si="4820">CHOOSE(2, "1395000000676", "No of Terminations in Top-tier Agents")</f>
        <v>No of Terminations in Top-tier Agents</v>
      </c>
      <c r="C9333" s="4" t="str">
        <f>CHOOSE(2, "5461730030", "Jun 26")</f>
        <v>Jun 26</v>
      </c>
      <c r="D9333" s="14">
        <v>4</v>
      </c>
    </row>
    <row r="9334" spans="1:4" x14ac:dyDescent="0.35">
      <c r="A9334" s="11" t="str">
        <f t="shared" si="4818"/>
        <v>All BU</v>
      </c>
      <c r="B9334" s="6" t="str">
        <f t="shared" si="4820"/>
        <v>No of Terminations in Top-tier Agents</v>
      </c>
      <c r="C9334" s="4" t="str">
        <f>CHOOSE(2, "5462030031", "Jul 26")</f>
        <v>Jul 26</v>
      </c>
      <c r="D9334" s="14">
        <v>5</v>
      </c>
    </row>
    <row r="9335" spans="1:4" x14ac:dyDescent="0.35">
      <c r="A9335" s="11" t="str">
        <f t="shared" si="4818"/>
        <v>All BU</v>
      </c>
      <c r="B9335" s="3" t="str">
        <f t="shared" ref="B9335:B9336" si="4821">CHOOSE(2, "1395000000675", "No of Terminations in pro-rated MDRT agents (&gt;100%)")</f>
        <v>No of Terminations in pro-rated MDRT agents (&gt;100%)</v>
      </c>
      <c r="C9335" s="4" t="str">
        <f>CHOOSE(2, "5461730030", "Jun 26")</f>
        <v>Jun 26</v>
      </c>
      <c r="D9335" s="14">
        <v>1</v>
      </c>
    </row>
    <row r="9336" spans="1:4" x14ac:dyDescent="0.35">
      <c r="A9336" s="11" t="str">
        <f t="shared" si="4818"/>
        <v>All BU</v>
      </c>
      <c r="B9336" s="6" t="str">
        <f t="shared" si="4821"/>
        <v>No of Terminations in pro-rated MDRT agents (&gt;100%)</v>
      </c>
      <c r="C9336" s="4" t="str">
        <f>CHOOSE(2, "5462030031", "Jul 26")</f>
        <v>Jul 26</v>
      </c>
      <c r="D9336" s="14">
        <v>1</v>
      </c>
    </row>
    <row r="9337" spans="1:4" x14ac:dyDescent="0.35">
      <c r="A9337" s="11" t="str">
        <f t="shared" si="4818"/>
        <v>All BU</v>
      </c>
      <c r="B9337" s="3" t="str">
        <f t="shared" ref="B9337:B9338" si="4822">CHOOSE(2, "1395000000674", "No of Terminations in pro-rated MDRT agents (70-99%)")</f>
        <v>No of Terminations in pro-rated MDRT agents (70-99%)</v>
      </c>
      <c r="C9337" s="4" t="str">
        <f>CHOOSE(2, "5461730030", "Jun 26")</f>
        <v>Jun 26</v>
      </c>
      <c r="D9337" s="14">
        <v>1</v>
      </c>
    </row>
    <row r="9338" spans="1:4" x14ac:dyDescent="0.35">
      <c r="A9338" s="11" t="str">
        <f t="shared" si="4818"/>
        <v>All BU</v>
      </c>
      <c r="B9338" s="6" t="str">
        <f t="shared" si="4822"/>
        <v>No of Terminations in pro-rated MDRT agents (70-99%)</v>
      </c>
      <c r="C9338" s="4" t="str">
        <f>CHOOSE(2, "5462030031", "Jul 26")</f>
        <v>Jul 26</v>
      </c>
      <c r="D9338" s="14">
        <v>3</v>
      </c>
    </row>
    <row r="9339" spans="1:4" x14ac:dyDescent="0.35">
      <c r="A9339" s="11" t="str">
        <f t="shared" si="4818"/>
        <v>All BU</v>
      </c>
      <c r="B9339" s="3" t="str">
        <f t="shared" ref="B9339:B9340" si="4823">CHOOSE(2, "1395000000673", "No of Terminations in pro-rated MDRT agents (50-69%)")</f>
        <v>No of Terminations in pro-rated MDRT agents (50-69%)</v>
      </c>
      <c r="C9339" s="4" t="str">
        <f>CHOOSE(2, "5461730030", "Jun 26")</f>
        <v>Jun 26</v>
      </c>
      <c r="D9339" s="14">
        <v>2</v>
      </c>
    </row>
    <row r="9340" spans="1:4" x14ac:dyDescent="0.35">
      <c r="A9340" s="11" t="str">
        <f t="shared" si="4818"/>
        <v>All BU</v>
      </c>
      <c r="B9340" s="6" t="str">
        <f t="shared" si="4823"/>
        <v>No of Terminations in pro-rated MDRT agents (50-69%)</v>
      </c>
      <c r="C9340" s="4" t="str">
        <f>CHOOSE(2, "5462030031", "Jul 26")</f>
        <v>Jul 26</v>
      </c>
      <c r="D9340" s="14">
        <v>1</v>
      </c>
    </row>
    <row r="9341" spans="1:4" x14ac:dyDescent="0.35">
      <c r="A9341" s="11" t="str">
        <f t="shared" si="4818"/>
        <v>All BU</v>
      </c>
      <c r="B9341" s="3" t="str">
        <f t="shared" ref="B9341:B9342" si="4824">CHOOSE(2, "1395000000672", "No of Terminations in Manulife Pro Qualifiers - Total")</f>
        <v>No of Terminations in Manulife Pro Qualifiers - Total</v>
      </c>
      <c r="C9341" s="4" t="str">
        <f>CHOOSE(2, "5461730030", "Jun 26")</f>
        <v>Jun 26</v>
      </c>
      <c r="D9341" s="14">
        <v>3</v>
      </c>
    </row>
    <row r="9342" spans="1:4" x14ac:dyDescent="0.35">
      <c r="A9342" s="11" t="str">
        <f t="shared" si="4818"/>
        <v>All BU</v>
      </c>
      <c r="B9342" s="6" t="str">
        <f t="shared" si="4824"/>
        <v>No of Terminations in Manulife Pro Qualifiers - Total</v>
      </c>
      <c r="C9342" s="4" t="str">
        <f>CHOOSE(2, "5462030031", "Jul 26")</f>
        <v>Jul 26</v>
      </c>
      <c r="D9342" s="14">
        <v>6</v>
      </c>
    </row>
    <row r="9343" spans="1:4" x14ac:dyDescent="0.35">
      <c r="A9343" s="11" t="str">
        <f t="shared" si="4818"/>
        <v>All BU</v>
      </c>
      <c r="B9343" s="3" t="str">
        <f t="shared" ref="B9343:B9344" si="4825">CHOOSE(2, "1395000000671", "First Year Agents Terminated without Sales")</f>
        <v>First Year Agents Terminated without Sales</v>
      </c>
      <c r="C9343" s="4" t="str">
        <f>CHOOSE(2, "5461730030", "Jun 26")</f>
        <v>Jun 26</v>
      </c>
      <c r="D9343" s="14">
        <v>631</v>
      </c>
    </row>
    <row r="9344" spans="1:4" x14ac:dyDescent="0.35">
      <c r="A9344" s="11" t="str">
        <f t="shared" si="4818"/>
        <v>All BU</v>
      </c>
      <c r="B9344" s="6" t="str">
        <f t="shared" si="4825"/>
        <v>First Year Agents Terminated without Sales</v>
      </c>
      <c r="C9344" s="4" t="str">
        <f>CHOOSE(2, "5462030031", "Jul 26")</f>
        <v>Jul 26</v>
      </c>
      <c r="D9344" s="14">
        <v>174</v>
      </c>
    </row>
    <row r="9345" spans="1:4" x14ac:dyDescent="0.35">
      <c r="A9345" s="11" t="str">
        <f t="shared" si="4818"/>
        <v>All BU</v>
      </c>
      <c r="B9345" s="3" t="str">
        <f t="shared" ref="B9345:B9346" si="4826">CHOOSE(2, "1395000000670", "6mth Agency Retention Ratio")</f>
        <v>6mth Agency Retention Ratio</v>
      </c>
      <c r="C9345" s="4" t="str">
        <f>CHOOSE(2, "5461730030", "Jun 26")</f>
        <v>Jun 26</v>
      </c>
      <c r="D9345" s="14">
        <v>9.2568260000000002</v>
      </c>
    </row>
    <row r="9346" spans="1:4" x14ac:dyDescent="0.35">
      <c r="A9346" s="11" t="str">
        <f t="shared" si="4818"/>
        <v>All BU</v>
      </c>
      <c r="B9346" s="6" t="str">
        <f t="shared" si="4826"/>
        <v>6mth Agency Retention Ratio</v>
      </c>
      <c r="C9346" s="4" t="str">
        <f>CHOOSE(2, "5462030031", "Jul 26")</f>
        <v>Jul 26</v>
      </c>
      <c r="D9346" s="14">
        <v>9.265865999999999</v>
      </c>
    </row>
    <row r="9347" spans="1:4" x14ac:dyDescent="0.35">
      <c r="A9347" s="11" t="str">
        <f t="shared" si="4818"/>
        <v>All BU</v>
      </c>
      <c r="B9347" s="3" t="str">
        <f t="shared" ref="B9347:B9348" si="4827">CHOOSE(2, "1395000000669", "12mth Agency Retention Ratio")</f>
        <v>12mth Agency Retention Ratio</v>
      </c>
      <c r="C9347" s="4" t="str">
        <f>CHOOSE(2, "5461730030", "Jun 26")</f>
        <v>Jun 26</v>
      </c>
      <c r="D9347" s="14">
        <v>6.7006039999999993</v>
      </c>
    </row>
    <row r="9348" spans="1:4" x14ac:dyDescent="0.35">
      <c r="A9348" s="11" t="str">
        <f t="shared" si="4818"/>
        <v>All BU</v>
      </c>
      <c r="B9348" s="6" t="str">
        <f t="shared" si="4827"/>
        <v>12mth Agency Retention Ratio</v>
      </c>
      <c r="C9348" s="4" t="str">
        <f>CHOOSE(2, "5462030031", "Jul 26")</f>
        <v>Jul 26</v>
      </c>
      <c r="D9348" s="14">
        <v>6.7897819999999998</v>
      </c>
    </row>
    <row r="9349" spans="1:4" x14ac:dyDescent="0.35">
      <c r="A9349" s="11" t="str">
        <f t="shared" si="4818"/>
        <v>All BU</v>
      </c>
      <c r="B9349" s="3" t="str">
        <f t="shared" ref="B9349:B9350" si="4828">CHOOSE(2, "1395000000668", "24mth Agency Retention Ratio")</f>
        <v>24mth Agency Retention Ratio</v>
      </c>
      <c r="C9349" s="4" t="str">
        <f>CHOOSE(2, "5461730030", "Jun 26")</f>
        <v>Jun 26</v>
      </c>
      <c r="D9349" s="14">
        <v>3.4944220000000001</v>
      </c>
    </row>
    <row r="9350" spans="1:4" x14ac:dyDescent="0.35">
      <c r="A9350" s="11" t="str">
        <f t="shared" si="4818"/>
        <v>All BU</v>
      </c>
      <c r="B9350" s="6" t="str">
        <f t="shared" si="4828"/>
        <v>24mth Agency Retention Ratio</v>
      </c>
      <c r="C9350" s="4" t="str">
        <f>CHOOSE(2, "5462030031", "Jul 26")</f>
        <v>Jul 26</v>
      </c>
      <c r="D9350" s="14">
        <v>3.4638770000000001</v>
      </c>
    </row>
    <row r="9351" spans="1:4" x14ac:dyDescent="0.35">
      <c r="A9351" s="11" t="str">
        <f t="shared" si="4818"/>
        <v>All BU</v>
      </c>
      <c r="B9351" s="3" t="str">
        <f t="shared" ref="B9351:B9352" si="4829">CHOOSE(2, "1395000000667", "Total # of Leaders (end of period)")</f>
        <v>Total # of Leaders (end of period)</v>
      </c>
      <c r="C9351" s="4" t="str">
        <f>CHOOSE(2, "5461730030", "Jun 26")</f>
        <v>Jun 26</v>
      </c>
      <c r="D9351" s="14">
        <v>10238</v>
      </c>
    </row>
    <row r="9352" spans="1:4" x14ac:dyDescent="0.35">
      <c r="A9352" s="11" t="str">
        <f t="shared" si="4818"/>
        <v>All BU</v>
      </c>
      <c r="B9352" s="6" t="str">
        <f t="shared" si="4829"/>
        <v>Total # of Leaders (end of period)</v>
      </c>
      <c r="C9352" s="4" t="str">
        <f>CHOOSE(2, "5462030031", "Jul 26")</f>
        <v>Jul 26</v>
      </c>
      <c r="D9352" s="14">
        <v>10222</v>
      </c>
    </row>
    <row r="9353" spans="1:4" x14ac:dyDescent="0.35">
      <c r="A9353" s="11" t="str">
        <f t="shared" si="4818"/>
        <v>All BU</v>
      </c>
      <c r="B9353" s="3" t="str">
        <f t="shared" ref="B9353:B9354" si="4830">CHOOSE(2, "1395000000666", "Total # of Unit Managers")</f>
        <v>Total # of Unit Managers</v>
      </c>
      <c r="C9353" s="4" t="str">
        <f>CHOOSE(2, "5461730030", "Jun 26")</f>
        <v>Jun 26</v>
      </c>
      <c r="D9353" s="14">
        <v>5982</v>
      </c>
    </row>
    <row r="9354" spans="1:4" x14ac:dyDescent="0.35">
      <c r="A9354" s="11" t="str">
        <f t="shared" si="4818"/>
        <v>All BU</v>
      </c>
      <c r="B9354" s="6" t="str">
        <f t="shared" si="4830"/>
        <v>Total # of Unit Managers</v>
      </c>
      <c r="C9354" s="4" t="str">
        <f>CHOOSE(2, "5462030031", "Jul 26")</f>
        <v>Jul 26</v>
      </c>
      <c r="D9354" s="14">
        <v>6108</v>
      </c>
    </row>
    <row r="9355" spans="1:4" x14ac:dyDescent="0.35">
      <c r="A9355" s="11" t="str">
        <f t="shared" si="4818"/>
        <v>All BU</v>
      </c>
      <c r="B9355" s="3" t="str">
        <f t="shared" ref="B9355:B9356" si="4831">CHOOSE(2, "1395000000665", "Total # of Leaders above Unit Manager level")</f>
        <v>Total # of Leaders above Unit Manager level</v>
      </c>
      <c r="C9355" s="4" t="str">
        <f>CHOOSE(2, "5461730030", "Jun 26")</f>
        <v>Jun 26</v>
      </c>
      <c r="D9355" s="14">
        <v>4256</v>
      </c>
    </row>
    <row r="9356" spans="1:4" x14ac:dyDescent="0.35">
      <c r="A9356" s="11" t="str">
        <f t="shared" si="4818"/>
        <v>All BU</v>
      </c>
      <c r="B9356" s="6" t="str">
        <f t="shared" si="4831"/>
        <v>Total # of Leaders above Unit Manager level</v>
      </c>
      <c r="C9356" s="4" t="str">
        <f>CHOOSE(2, "5462030031", "Jul 26")</f>
        <v>Jul 26</v>
      </c>
      <c r="D9356" s="14">
        <v>4374</v>
      </c>
    </row>
    <row r="9357" spans="1:4" x14ac:dyDescent="0.35">
      <c r="A9357" s="11" t="str">
        <f t="shared" si="4818"/>
        <v>All BU</v>
      </c>
      <c r="B9357" s="3" t="str">
        <f t="shared" ref="B9357:B9358" si="4832">CHOOSE(2, "1395000000664", "Total # of Agents below Unit Manager level (end of period)")</f>
        <v>Total # of Agents below Unit Manager level (end of period)</v>
      </c>
      <c r="C9357" s="4" t="str">
        <f>CHOOSE(2, "5461730030", "Jun 26")</f>
        <v>Jun 26</v>
      </c>
      <c r="D9357" s="14">
        <v>86640</v>
      </c>
    </row>
    <row r="9358" spans="1:4" x14ac:dyDescent="0.35">
      <c r="A9358" s="11" t="str">
        <f t="shared" si="4818"/>
        <v>All BU</v>
      </c>
      <c r="B9358" s="6" t="str">
        <f t="shared" si="4832"/>
        <v>Total # of Agents below Unit Manager level (end of period)</v>
      </c>
      <c r="C9358" s="4" t="str">
        <f>CHOOSE(2, "5462030031", "Jul 26")</f>
        <v>Jul 26</v>
      </c>
      <c r="D9358" s="14">
        <v>87772</v>
      </c>
    </row>
    <row r="9359" spans="1:4" x14ac:dyDescent="0.35">
      <c r="A9359" s="11" t="str">
        <f t="shared" si="4818"/>
        <v>All BU</v>
      </c>
      <c r="B9359" s="3" t="str">
        <f t="shared" ref="B9359:B9360" si="4833">CHOOSE(2, "1395000000663", "# of Active Recruiting Leaders")</f>
        <v># of Active Recruiting Leaders</v>
      </c>
      <c r="C9359" s="4" t="str">
        <f>CHOOSE(2, "5461730030", "Jun 26")</f>
        <v>Jun 26</v>
      </c>
      <c r="D9359" s="14">
        <v>1222</v>
      </c>
    </row>
    <row r="9360" spans="1:4" x14ac:dyDescent="0.35">
      <c r="A9360" s="11" t="str">
        <f t="shared" si="4818"/>
        <v>All BU</v>
      </c>
      <c r="B9360" s="6" t="str">
        <f t="shared" si="4833"/>
        <v># of Active Recruiting Leaders</v>
      </c>
      <c r="C9360" s="4" t="str">
        <f>CHOOSE(2, "5462030031", "Jul 26")</f>
        <v>Jul 26</v>
      </c>
      <c r="D9360" s="14">
        <v>1205</v>
      </c>
    </row>
    <row r="9361" spans="1:4" x14ac:dyDescent="0.35">
      <c r="A9361" s="11" t="str">
        <f t="shared" si="4818"/>
        <v>All BU</v>
      </c>
      <c r="B9361" s="3" t="str">
        <f t="shared" ref="B9361:B9362" si="4834">CHOOSE(2, "1395000000662", "# of leaders with &gt;1 YTD recruit")</f>
        <v># of leaders with &gt;1 YTD recruit</v>
      </c>
      <c r="C9361" s="4" t="str">
        <f>CHOOSE(2, "5461730030", "Jun 26")</f>
        <v>Jun 26</v>
      </c>
      <c r="D9361" s="14">
        <v>4390</v>
      </c>
    </row>
    <row r="9362" spans="1:4" x14ac:dyDescent="0.35">
      <c r="A9362" s="11" t="str">
        <f t="shared" si="4818"/>
        <v>All BU</v>
      </c>
      <c r="B9362" s="6" t="str">
        <f t="shared" si="4834"/>
        <v># of leaders with &gt;1 YTD recruit</v>
      </c>
      <c r="C9362" s="4" t="str">
        <f>CHOOSE(2, "5462030031", "Jul 26")</f>
        <v>Jul 26</v>
      </c>
      <c r="D9362" s="14">
        <v>5018</v>
      </c>
    </row>
    <row r="9363" spans="1:4" x14ac:dyDescent="0.35">
      <c r="A9363" s="11" t="str">
        <f t="shared" si="4818"/>
        <v>All BU</v>
      </c>
      <c r="B9363" s="3" t="str">
        <f t="shared" ref="B9363:B9364" si="4835">CHOOSE(2, "1395000000661", "Income ratio from personal sales (UM)")</f>
        <v>Income ratio from personal sales (UM)</v>
      </c>
      <c r="C9363" s="4" t="str">
        <f>CHOOSE(2, "5461730030", "Jun 26")</f>
        <v>Jun 26</v>
      </c>
      <c r="D9363" s="14">
        <v>0.77443059072465281</v>
      </c>
    </row>
    <row r="9364" spans="1:4" x14ac:dyDescent="0.35">
      <c r="A9364" s="11" t="str">
        <f t="shared" si="4818"/>
        <v>All BU</v>
      </c>
      <c r="B9364" s="6" t="str">
        <f t="shared" si="4835"/>
        <v>Income ratio from personal sales (UM)</v>
      </c>
      <c r="C9364" s="4" t="str">
        <f>CHOOSE(2, "5462030031", "Jul 26")</f>
        <v>Jul 26</v>
      </c>
      <c r="D9364" s="14">
        <v>0.85534978035358977</v>
      </c>
    </row>
    <row r="9365" spans="1:4" x14ac:dyDescent="0.35">
      <c r="A9365" s="11" t="str">
        <f t="shared" si="4818"/>
        <v>All BU</v>
      </c>
      <c r="B9365" s="3" t="str">
        <f t="shared" ref="B9365:B9366" si="4836">CHOOSE(2, "1395000000660", "Income ratio from personal sales (UM) (numerator)")</f>
        <v>Income ratio from personal sales (UM) (numerator)</v>
      </c>
      <c r="C9365" s="4" t="str">
        <f>CHOOSE(2, "5461730030", "Jun 26")</f>
        <v>Jun 26</v>
      </c>
      <c r="D9365" s="14">
        <v>54552496.258168995</v>
      </c>
    </row>
    <row r="9366" spans="1:4" x14ac:dyDescent="0.35">
      <c r="A9366" s="11" t="str">
        <f t="shared" si="4818"/>
        <v>All BU</v>
      </c>
      <c r="B9366" s="6" t="str">
        <f t="shared" si="4836"/>
        <v>Income ratio from personal sales (UM) (numerator)</v>
      </c>
      <c r="C9366" s="4" t="str">
        <f>CHOOSE(2, "5462030031", "Jul 26")</f>
        <v>Jul 26</v>
      </c>
      <c r="D9366" s="14">
        <v>58745717.854396001</v>
      </c>
    </row>
    <row r="9367" spans="1:4" x14ac:dyDescent="0.35">
      <c r="A9367" s="11" t="str">
        <f t="shared" si="4818"/>
        <v>All BU</v>
      </c>
      <c r="B9367" s="3" t="str">
        <f t="shared" ref="B9367:B9368" si="4837">CHOOSE(2, "1395000000659", "Income ratio from personal sales (UM) (denominator)")</f>
        <v>Income ratio from personal sales (UM) (denominator)</v>
      </c>
      <c r="C9367" s="4" t="str">
        <f>CHOOSE(2, "5461730030", "Jun 26")</f>
        <v>Jun 26</v>
      </c>
      <c r="D9367" s="14">
        <v>70442073.068321005</v>
      </c>
    </row>
    <row r="9368" spans="1:4" x14ac:dyDescent="0.35">
      <c r="A9368" s="11" t="str">
        <f t="shared" si="4818"/>
        <v>All BU</v>
      </c>
      <c r="B9368" s="6" t="str">
        <f t="shared" si="4837"/>
        <v>Income ratio from personal sales (UM) (denominator)</v>
      </c>
      <c r="C9368" s="4" t="str">
        <f>CHOOSE(2, "5462030031", "Jul 26")</f>
        <v>Jul 26</v>
      </c>
      <c r="D9368" s="14">
        <v>68680344.817662001</v>
      </c>
    </row>
    <row r="9369" spans="1:4" x14ac:dyDescent="0.35">
      <c r="A9369" s="11" t="str">
        <f t="shared" si="4818"/>
        <v>All BU</v>
      </c>
      <c r="B9369" s="3" t="str">
        <f t="shared" ref="B9369:B9370" si="4838">CHOOSE(2, "1395000000658", "Income ratio from personal sales (Leader above UM)")</f>
        <v>Income ratio from personal sales (Leader above UM)</v>
      </c>
      <c r="C9369" s="4" t="str">
        <f>CHOOSE(2, "5461730030", "Jun 26")</f>
        <v>Jun 26</v>
      </c>
      <c r="D9369" s="14">
        <v>0.50553510268554536</v>
      </c>
    </row>
    <row r="9370" spans="1:4" x14ac:dyDescent="0.35">
      <c r="A9370" s="11" t="str">
        <f t="shared" si="4818"/>
        <v>All BU</v>
      </c>
      <c r="B9370" s="6" t="str">
        <f t="shared" si="4838"/>
        <v>Income ratio from personal sales (Leader above UM)</v>
      </c>
      <c r="C9370" s="4" t="str">
        <f>CHOOSE(2, "5462030031", "Jul 26")</f>
        <v>Jul 26</v>
      </c>
      <c r="D9370" s="14">
        <v>0.46083739689974557</v>
      </c>
    </row>
    <row r="9371" spans="1:4" x14ac:dyDescent="0.35">
      <c r="A9371" s="11" t="str">
        <f t="shared" si="4818"/>
        <v>All BU</v>
      </c>
      <c r="B9371" s="3" t="str">
        <f t="shared" ref="B9371:B9372" si="4839">CHOOSE(2, "1395000000657", "Income ratio from personal sales (Leader above UM) (num)")</f>
        <v>Income ratio from personal sales (Leader above UM) (num)</v>
      </c>
      <c r="C9371" s="4" t="str">
        <f>CHOOSE(2, "5461730030", "Jun 26")</f>
        <v>Jun 26</v>
      </c>
      <c r="D9371" s="14">
        <v>75512213.700054988</v>
      </c>
    </row>
    <row r="9372" spans="1:4" x14ac:dyDescent="0.35">
      <c r="A9372" s="11" t="str">
        <f t="shared" si="4818"/>
        <v>All BU</v>
      </c>
      <c r="B9372" s="6" t="str">
        <f t="shared" si="4839"/>
        <v>Income ratio from personal sales (Leader above UM) (num)</v>
      </c>
      <c r="C9372" s="4" t="str">
        <f>CHOOSE(2, "5462030031", "Jul 26")</f>
        <v>Jul 26</v>
      </c>
      <c r="D9372" s="14">
        <v>84100020.863211006</v>
      </c>
    </row>
    <row r="9373" spans="1:4" x14ac:dyDescent="0.35">
      <c r="A9373" s="11" t="str">
        <f t="shared" si="4818"/>
        <v>All BU</v>
      </c>
      <c r="B9373" s="3" t="str">
        <f t="shared" ref="B9373:B9374" si="4840">CHOOSE(2, "1395000000656", "Income ratio from personal sales (Leader above UM) (den)")</f>
        <v>Income ratio from personal sales (Leader above UM) (den)</v>
      </c>
      <c r="C9373" s="4" t="str">
        <f>CHOOSE(2, "5461730030", "Jun 26")</f>
        <v>Jun 26</v>
      </c>
      <c r="D9373" s="14">
        <v>149370861.28918204</v>
      </c>
    </row>
    <row r="9374" spans="1:4" x14ac:dyDescent="0.35">
      <c r="A9374" s="11" t="str">
        <f t="shared" si="4818"/>
        <v>All BU</v>
      </c>
      <c r="B9374" s="6" t="str">
        <f t="shared" si="4840"/>
        <v>Income ratio from personal sales (Leader above UM) (den)</v>
      </c>
      <c r="C9374" s="4" t="str">
        <f>CHOOSE(2, "5462030031", "Jul 26")</f>
        <v>Jul 26</v>
      </c>
      <c r="D9374" s="14">
        <v>182493915.270307</v>
      </c>
    </row>
    <row r="9375" spans="1:4" x14ac:dyDescent="0.35">
      <c r="A9375" s="11" t="str">
        <f t="shared" si="4818"/>
        <v>All BU</v>
      </c>
      <c r="B9375" s="3" t="str">
        <f t="shared" ref="B9375:B9376" si="4841">CHOOSE(2, "1395000000655", "Total agent earnings")</f>
        <v>Total agent earnings</v>
      </c>
      <c r="C9375" s="4" t="str">
        <f>CHOOSE(2, "5461730030", "Jun 26")</f>
        <v>Jun 26</v>
      </c>
      <c r="D9375" s="14">
        <v>361845562.16798574</v>
      </c>
    </row>
    <row r="9376" spans="1:4" x14ac:dyDescent="0.35">
      <c r="A9376" s="11" t="str">
        <f t="shared" si="4818"/>
        <v>All BU</v>
      </c>
      <c r="B9376" s="6" t="str">
        <f t="shared" si="4841"/>
        <v>Total agent earnings</v>
      </c>
      <c r="C9376" s="4" t="str">
        <f>CHOOSE(2, "5462030031", "Jul 26")</f>
        <v>Jul 26</v>
      </c>
      <c r="D9376" s="14">
        <v>404863848.60903496</v>
      </c>
    </row>
    <row r="9377" spans="1:4" x14ac:dyDescent="0.35">
      <c r="A9377" s="11" t="str">
        <f t="shared" si="4818"/>
        <v>All BU</v>
      </c>
      <c r="B9377" s="3" t="str">
        <f t="shared" ref="B9377:B9378" si="4842">CHOOSE(2, "1395000000654", "Total agent earnings in FA or equivalent")</f>
        <v>Total agent earnings in FA or equivalent</v>
      </c>
      <c r="C9377" s="4" t="str">
        <f>CHOOSE(2, "5461730030", "Jun 26")</f>
        <v>Jun 26</v>
      </c>
      <c r="D9377" s="14">
        <v>147911162.42269367</v>
      </c>
    </row>
    <row r="9378" spans="1:4" x14ac:dyDescent="0.35">
      <c r="A9378" s="11" t="str">
        <f t="shared" si="4818"/>
        <v>All BU</v>
      </c>
      <c r="B9378" s="6" t="str">
        <f t="shared" si="4842"/>
        <v>Total agent earnings in FA or equivalent</v>
      </c>
      <c r="C9378" s="4" t="str">
        <f>CHOOSE(2, "5462030031", "Jul 26")</f>
        <v>Jul 26</v>
      </c>
      <c r="D9378" s="14">
        <v>157270751.32821903</v>
      </c>
    </row>
    <row r="9379" spans="1:4" x14ac:dyDescent="0.35">
      <c r="A9379" s="11" t="str">
        <f t="shared" si="4818"/>
        <v>All BU</v>
      </c>
      <c r="B9379" s="3" t="str">
        <f t="shared" ref="B9379:B9380" si="4843">CHOOSE(2, "1395000000653", "Total agent earnings in UM")</f>
        <v>Total agent earnings in UM</v>
      </c>
      <c r="C9379" s="4" t="str">
        <f>CHOOSE(2, "5461730030", "Jun 26")</f>
        <v>Jun 26</v>
      </c>
      <c r="D9379" s="14">
        <v>67018328.29447151</v>
      </c>
    </row>
    <row r="9380" spans="1:4" x14ac:dyDescent="0.35">
      <c r="A9380" s="11" t="str">
        <f t="shared" si="4818"/>
        <v>All BU</v>
      </c>
      <c r="B9380" s="6" t="str">
        <f t="shared" si="4843"/>
        <v>Total agent earnings in UM</v>
      </c>
      <c r="C9380" s="4" t="str">
        <f>CHOOSE(2, "5462030031", "Jul 26")</f>
        <v>Jul 26</v>
      </c>
      <c r="D9380" s="14">
        <v>67020362.934617713</v>
      </c>
    </row>
    <row r="9381" spans="1:4" x14ac:dyDescent="0.35">
      <c r="A9381" s="11" t="str">
        <f t="shared" si="4818"/>
        <v>All BU</v>
      </c>
      <c r="B9381" s="3" t="str">
        <f t="shared" ref="B9381:B9382" si="4844">CHOOSE(2, "1395000000652", "Total agent earnings in Leaders above UM")</f>
        <v>Total agent earnings in Leaders above UM</v>
      </c>
      <c r="C9381" s="4" t="str">
        <f>CHOOSE(2, "5461730030", "Jun 26")</f>
        <v>Jun 26</v>
      </c>
      <c r="D9381" s="14">
        <v>146916071.45082051</v>
      </c>
    </row>
    <row r="9382" spans="1:4" x14ac:dyDescent="0.35">
      <c r="A9382" s="11" t="str">
        <f t="shared" si="4818"/>
        <v>All BU</v>
      </c>
      <c r="B9382" s="6" t="str">
        <f t="shared" si="4844"/>
        <v>Total agent earnings in Leaders above UM</v>
      </c>
      <c r="C9382" s="4" t="str">
        <f>CHOOSE(2, "5462030031", "Jul 26")</f>
        <v>Jul 26</v>
      </c>
      <c r="D9382" s="14">
        <v>180572734.34619817</v>
      </c>
    </row>
    <row r="9383" spans="1:4" x14ac:dyDescent="0.35">
      <c r="A9383" s="11" t="str">
        <f t="shared" si="4818"/>
        <v>All BU</v>
      </c>
      <c r="B9383" s="3" t="str">
        <f t="shared" ref="B9383:B9384" si="4845">CHOOSE(2, "1395000000651", "# of Newly Promoted UM")</f>
        <v># of Newly Promoted UM</v>
      </c>
      <c r="C9383" s="4" t="str">
        <f>CHOOSE(2, "5461730030", "Jun 26")</f>
        <v>Jun 26</v>
      </c>
      <c r="D9383" s="14">
        <v>107</v>
      </c>
    </row>
    <row r="9384" spans="1:4" x14ac:dyDescent="0.35">
      <c r="A9384" s="11" t="str">
        <f t="shared" si="4818"/>
        <v>All BU</v>
      </c>
      <c r="B9384" s="6" t="str">
        <f t="shared" si="4845"/>
        <v># of Newly Promoted UM</v>
      </c>
      <c r="C9384" s="4" t="str">
        <f>CHOOSE(2, "5462030031", "Jul 26")</f>
        <v>Jul 26</v>
      </c>
      <c r="D9384" s="14">
        <v>435</v>
      </c>
    </row>
    <row r="9385" spans="1:4" x14ac:dyDescent="0.35">
      <c r="A9385" s="11" t="str">
        <f t="shared" si="4818"/>
        <v>All BU</v>
      </c>
      <c r="B9385" s="3" t="str">
        <f t="shared" ref="B9385:B9386" si="4846">CHOOSE(2, "1395000000650", "# of Newly Promoted Leaders above UM")</f>
        <v># of Newly Promoted Leaders above UM</v>
      </c>
      <c r="C9385" s="4" t="str">
        <f>CHOOSE(2, "5461730030", "Jun 26")</f>
        <v>Jun 26</v>
      </c>
      <c r="D9385" s="14">
        <v>26</v>
      </c>
    </row>
    <row r="9386" spans="1:4" x14ac:dyDescent="0.35">
      <c r="A9386" s="11" t="str">
        <f t="shared" si="4818"/>
        <v>All BU</v>
      </c>
      <c r="B9386" s="6" t="str">
        <f t="shared" si="4846"/>
        <v># of Newly Promoted Leaders above UM</v>
      </c>
      <c r="C9386" s="4" t="str">
        <f>CHOOSE(2, "5462030031", "Jul 26")</f>
        <v>Jul 26</v>
      </c>
      <c r="D9386" s="14">
        <v>128</v>
      </c>
    </row>
    <row r="9387" spans="1:4" x14ac:dyDescent="0.35">
      <c r="A9387" s="11" t="str">
        <f t="shared" si="4818"/>
        <v>All BU</v>
      </c>
      <c r="B9387" s="3" t="str">
        <f t="shared" ref="B9387:B9388" si="4847">CHOOSE(2, "1395000000649", "# of Total Leader Promotions")</f>
        <v># of Total Leader Promotions</v>
      </c>
      <c r="C9387" s="4" t="str">
        <f>CHOOSE(2, "5461730030", "Jun 26")</f>
        <v>Jun 26</v>
      </c>
      <c r="D9387" s="14">
        <v>133</v>
      </c>
    </row>
    <row r="9388" spans="1:4" x14ac:dyDescent="0.35">
      <c r="A9388" s="11" t="str">
        <f t="shared" si="4818"/>
        <v>All BU</v>
      </c>
      <c r="B9388" s="6" t="str">
        <f t="shared" si="4847"/>
        <v># of Total Leader Promotions</v>
      </c>
      <c r="C9388" s="4" t="str">
        <f>CHOOSE(2, "5462030031", "Jul 26")</f>
        <v>Jul 26</v>
      </c>
      <c r="D9388" s="14">
        <v>563</v>
      </c>
    </row>
    <row r="9389" spans="1:4" x14ac:dyDescent="0.35">
      <c r="A9389" s="11" t="str">
        <f t="shared" si="4818"/>
        <v>All BU</v>
      </c>
      <c r="B9389" s="3" t="str">
        <f t="shared" ref="B9389:B9390" si="4848">CHOOSE(2, "1395000000648", "# of Newly Demoted UM")</f>
        <v># of Newly Demoted UM</v>
      </c>
      <c r="C9389" s="4" t="str">
        <f>CHOOSE(2, "5461730030", "Jun 26")</f>
        <v>Jun 26</v>
      </c>
      <c r="D9389" s="14">
        <v>34</v>
      </c>
    </row>
    <row r="9390" spans="1:4" x14ac:dyDescent="0.35">
      <c r="A9390" s="11" t="str">
        <f t="shared" si="4818"/>
        <v>All BU</v>
      </c>
      <c r="B9390" s="6" t="str">
        <f t="shared" si="4848"/>
        <v># of Newly Demoted UM</v>
      </c>
      <c r="C9390" s="4" t="str">
        <f>CHOOSE(2, "5462030031", "Jul 26")</f>
        <v>Jul 26</v>
      </c>
      <c r="D9390" s="14">
        <v>89</v>
      </c>
    </row>
    <row r="9391" spans="1:4" x14ac:dyDescent="0.35">
      <c r="A9391" s="11" t="str">
        <f t="shared" si="4818"/>
        <v>All BU</v>
      </c>
      <c r="B9391" s="3" t="str">
        <f t="shared" ref="B9391:B9392" si="4849">CHOOSE(2, "1395000000647", "# of Newly Demoted Leaders above UM")</f>
        <v># of Newly Demoted Leaders above UM</v>
      </c>
      <c r="C9391" s="4" t="str">
        <f>CHOOSE(2, "5461730030", "Jun 26")</f>
        <v>Jun 26</v>
      </c>
      <c r="D9391" s="14">
        <v>15</v>
      </c>
    </row>
    <row r="9392" spans="1:4" x14ac:dyDescent="0.35">
      <c r="A9392" s="11" t="str">
        <f t="shared" si="4818"/>
        <v>All BU</v>
      </c>
      <c r="B9392" s="6" t="str">
        <f t="shared" si="4849"/>
        <v># of Newly Demoted Leaders above UM</v>
      </c>
      <c r="C9392" s="4" t="str">
        <f>CHOOSE(2, "5462030031", "Jul 26")</f>
        <v>Jul 26</v>
      </c>
      <c r="D9392" s="14">
        <v>103</v>
      </c>
    </row>
    <row r="9393" spans="1:4" x14ac:dyDescent="0.35">
      <c r="A9393" s="11" t="str">
        <f t="shared" si="4818"/>
        <v>All BU</v>
      </c>
      <c r="B9393" s="3" t="str">
        <f t="shared" ref="B9393:B9394" si="4850">CHOOSE(2, "1395000000646", "# of Total Leader Demotions")</f>
        <v># of Total Leader Demotions</v>
      </c>
      <c r="C9393" s="4" t="str">
        <f>CHOOSE(2, "5461730030", "Jun 26")</f>
        <v>Jun 26</v>
      </c>
      <c r="D9393" s="14">
        <v>49</v>
      </c>
    </row>
    <row r="9394" spans="1:4" x14ac:dyDescent="0.35">
      <c r="A9394" s="11" t="str">
        <f t="shared" si="4818"/>
        <v>All BU</v>
      </c>
      <c r="B9394" s="6" t="str">
        <f t="shared" si="4850"/>
        <v># of Total Leader Demotions</v>
      </c>
      <c r="C9394" s="4" t="str">
        <f>CHOOSE(2, "5462030031", "Jul 26")</f>
        <v>Jul 26</v>
      </c>
      <c r="D9394" s="14">
        <v>192</v>
      </c>
    </row>
    <row r="9395" spans="1:4" x14ac:dyDescent="0.35">
      <c r="A9395" s="11" t="str">
        <f t="shared" ref="A9395:A9458" si="4851">CHOOSE(2, "204000000000", "All BU")</f>
        <v>All BU</v>
      </c>
      <c r="B9395" s="3" t="str">
        <f t="shared" ref="B9395:B9396" si="4852">CHOOSE(2, "1395000000645", "# of agents meeting MOC")</f>
        <v># of agents meeting MOC</v>
      </c>
      <c r="C9395" s="4" t="str">
        <f>CHOOSE(2, "5461730030", "Jun 26")</f>
        <v>Jun 26</v>
      </c>
      <c r="D9395" s="14">
        <v>92497</v>
      </c>
    </row>
    <row r="9396" spans="1:4" x14ac:dyDescent="0.35">
      <c r="A9396" s="11" t="str">
        <f t="shared" si="4851"/>
        <v>All BU</v>
      </c>
      <c r="B9396" s="6" t="str">
        <f t="shared" si="4852"/>
        <v># of agents meeting MOC</v>
      </c>
      <c r="C9396" s="4" t="str">
        <f>CHOOSE(2, "5462030031", "Jul 26")</f>
        <v>Jul 26</v>
      </c>
      <c r="D9396" s="14">
        <v>93691</v>
      </c>
    </row>
    <row r="9397" spans="1:4" x14ac:dyDescent="0.35">
      <c r="A9397" s="11" t="str">
        <f t="shared" si="4851"/>
        <v>All BU</v>
      </c>
      <c r="B9397" s="3" t="str">
        <f t="shared" ref="B9397:B9398" si="4853">CHOOSE(2, "1395000000644", "# of agents meeting MOC in FA or equivalent")</f>
        <v># of agents meeting MOC in FA or equivalent</v>
      </c>
      <c r="C9397" s="4" t="str">
        <f>CHOOSE(2, "5461730030", "Jun 26")</f>
        <v>Jun 26</v>
      </c>
      <c r="D9397" s="14">
        <v>84003</v>
      </c>
    </row>
    <row r="9398" spans="1:4" x14ac:dyDescent="0.35">
      <c r="A9398" s="11" t="str">
        <f t="shared" si="4851"/>
        <v>All BU</v>
      </c>
      <c r="B9398" s="6" t="str">
        <f t="shared" si="4853"/>
        <v># of agents meeting MOC in FA or equivalent</v>
      </c>
      <c r="C9398" s="4" t="str">
        <f>CHOOSE(2, "5462030031", "Jul 26")</f>
        <v>Jul 26</v>
      </c>
      <c r="D9398" s="14">
        <v>85107</v>
      </c>
    </row>
    <row r="9399" spans="1:4" x14ac:dyDescent="0.35">
      <c r="A9399" s="11" t="str">
        <f t="shared" si="4851"/>
        <v>All BU</v>
      </c>
      <c r="B9399" s="3" t="str">
        <f t="shared" ref="B9399:B9400" si="4854">CHOOSE(2, "1395000000643", "# of agents meeting MOC in UM")</f>
        <v># of agents meeting MOC in UM</v>
      </c>
      <c r="C9399" s="4" t="str">
        <f>CHOOSE(2, "5461730030", "Jun 26")</f>
        <v>Jun 26</v>
      </c>
      <c r="D9399" s="14">
        <v>4946</v>
      </c>
    </row>
    <row r="9400" spans="1:4" x14ac:dyDescent="0.35">
      <c r="A9400" s="11" t="str">
        <f t="shared" si="4851"/>
        <v>All BU</v>
      </c>
      <c r="B9400" s="6" t="str">
        <f t="shared" si="4854"/>
        <v># of agents meeting MOC in UM</v>
      </c>
      <c r="C9400" s="4" t="str">
        <f>CHOOSE(2, "5462030031", "Jul 26")</f>
        <v>Jul 26</v>
      </c>
      <c r="D9400" s="14">
        <v>4992</v>
      </c>
    </row>
    <row r="9401" spans="1:4" x14ac:dyDescent="0.35">
      <c r="A9401" s="11" t="str">
        <f t="shared" si="4851"/>
        <v>All BU</v>
      </c>
      <c r="B9401" s="3" t="str">
        <f t="shared" ref="B9401:B9402" si="4855">CHOOSE(2, "1395000000642", "# of agents meeting MOC in Leaders above UM")</f>
        <v># of agents meeting MOC in Leaders above UM</v>
      </c>
      <c r="C9401" s="4" t="str">
        <f>CHOOSE(2, "5461730030", "Jun 26")</f>
        <v>Jun 26</v>
      </c>
      <c r="D9401" s="14">
        <v>3548</v>
      </c>
    </row>
    <row r="9402" spans="1:4" x14ac:dyDescent="0.35">
      <c r="A9402" s="11" t="str">
        <f t="shared" si="4851"/>
        <v>All BU</v>
      </c>
      <c r="B9402" s="6" t="str">
        <f t="shared" si="4855"/>
        <v># of agents meeting MOC in Leaders above UM</v>
      </c>
      <c r="C9402" s="4" t="str">
        <f>CHOOSE(2, "5462030031", "Jul 26")</f>
        <v>Jul 26</v>
      </c>
      <c r="D9402" s="14">
        <v>3592</v>
      </c>
    </row>
    <row r="9403" spans="1:4" x14ac:dyDescent="0.35">
      <c r="A9403" s="11" t="str">
        <f t="shared" si="4851"/>
        <v>All BU</v>
      </c>
      <c r="B9403" s="3" t="str">
        <f t="shared" ref="B9403:B9404" si="4856">CHOOSE(2, "1395000000641", "New Leaders 3M Activation Rate (by cohort)")</f>
        <v>New Leaders 3M Activation Rate (by cohort)</v>
      </c>
      <c r="C9403" s="4" t="str">
        <f>CHOOSE(2, "5461730030", "Jun 26")</f>
        <v>Jun 26</v>
      </c>
      <c r="D9403" s="14">
        <v>0.34883720930232559</v>
      </c>
    </row>
    <row r="9404" spans="1:4" x14ac:dyDescent="0.35">
      <c r="A9404" s="11" t="str">
        <f t="shared" si="4851"/>
        <v>All BU</v>
      </c>
      <c r="B9404" s="6" t="str">
        <f t="shared" si="4856"/>
        <v>New Leaders 3M Activation Rate (by cohort)</v>
      </c>
      <c r="C9404" s="4" t="str">
        <f>CHOOSE(2, "5462030031", "Jul 26")</f>
        <v>Jul 26</v>
      </c>
      <c r="D9404" s="14">
        <v>0.31395348837209303</v>
      </c>
    </row>
    <row r="9405" spans="1:4" x14ac:dyDescent="0.35">
      <c r="A9405" s="11" t="str">
        <f t="shared" si="4851"/>
        <v>All BU</v>
      </c>
      <c r="B9405" s="3" t="str">
        <f t="shared" ref="B9405:B9406" si="4857">CHOOSE(2, "1395000000640", "New Leaders 3M Activation Rate (by cohort) (numerator)")</f>
        <v>New Leaders 3M Activation Rate (by cohort) (numerator)</v>
      </c>
      <c r="C9405" s="4" t="str">
        <f>CHOOSE(2, "5461730030", "Jun 26")</f>
        <v>Jun 26</v>
      </c>
      <c r="D9405" s="14">
        <v>15</v>
      </c>
    </row>
    <row r="9406" spans="1:4" x14ac:dyDescent="0.35">
      <c r="A9406" s="11" t="str">
        <f t="shared" si="4851"/>
        <v>All BU</v>
      </c>
      <c r="B9406" s="6" t="str">
        <f t="shared" si="4857"/>
        <v>New Leaders 3M Activation Rate (by cohort) (numerator)</v>
      </c>
      <c r="C9406" s="4" t="str">
        <f>CHOOSE(2, "5462030031", "Jul 26")</f>
        <v>Jul 26</v>
      </c>
      <c r="D9406" s="14">
        <v>27</v>
      </c>
    </row>
    <row r="9407" spans="1:4" x14ac:dyDescent="0.35">
      <c r="A9407" s="11" t="str">
        <f t="shared" si="4851"/>
        <v>All BU</v>
      </c>
      <c r="B9407" s="3" t="str">
        <f t="shared" ref="B9407:B9408" si="4858">CHOOSE(2, "1395000000639", "New Leaders 3M Activation Rate (by cohort) (denominator)")</f>
        <v>New Leaders 3M Activation Rate (by cohort) (denominator)</v>
      </c>
      <c r="C9407" s="4" t="str">
        <f>CHOOSE(2, "5461730030", "Jun 26")</f>
        <v>Jun 26</v>
      </c>
      <c r="D9407" s="14">
        <v>43</v>
      </c>
    </row>
    <row r="9408" spans="1:4" x14ac:dyDescent="0.35">
      <c r="A9408" s="11" t="str">
        <f t="shared" si="4851"/>
        <v>All BU</v>
      </c>
      <c r="B9408" s="6" t="str">
        <f t="shared" si="4858"/>
        <v>New Leaders 3M Activation Rate (by cohort) (denominator)</v>
      </c>
      <c r="C9408" s="4" t="str">
        <f>CHOOSE(2, "5462030031", "Jul 26")</f>
        <v>Jul 26</v>
      </c>
      <c r="D9408" s="14">
        <v>86</v>
      </c>
    </row>
    <row r="9409" spans="1:4" x14ac:dyDescent="0.35">
      <c r="A9409" s="11" t="str">
        <f t="shared" si="4851"/>
        <v>All BU</v>
      </c>
      <c r="B9409" s="3" t="str">
        <f t="shared" ref="B9409:B9410" si="4859">CHOOSE(2, "1395000000638", "# of pro-rated MDRT agents (100%)")</f>
        <v># of pro-rated MDRT agents (100%)</v>
      </c>
      <c r="C9409" s="4" t="str">
        <f>CHOOSE(2, "5461730030", "Jun 26")</f>
        <v>Jun 26</v>
      </c>
      <c r="D9409" s="14">
        <v>4997</v>
      </c>
    </row>
    <row r="9410" spans="1:4" x14ac:dyDescent="0.35">
      <c r="A9410" s="11" t="str">
        <f t="shared" si="4851"/>
        <v>All BU</v>
      </c>
      <c r="B9410" s="6" t="str">
        <f t="shared" si="4859"/>
        <v># of pro-rated MDRT agents (100%)</v>
      </c>
      <c r="C9410" s="4" t="str">
        <f>CHOOSE(2, "5462030031", "Jul 26")</f>
        <v>Jul 26</v>
      </c>
      <c r="D9410" s="14">
        <v>4680</v>
      </c>
    </row>
    <row r="9411" spans="1:4" x14ac:dyDescent="0.35">
      <c r="A9411" s="11" t="str">
        <f t="shared" si="4851"/>
        <v>All BU</v>
      </c>
      <c r="B9411" s="3" t="str">
        <f t="shared" ref="B9411:B9412" si="4860">CHOOSE(2, "1395000000637", "# of pro-rated MDRT agents (90%-99%)")</f>
        <v># of pro-rated MDRT agents (90%-99%)</v>
      </c>
      <c r="C9411" s="4" t="str">
        <f>CHOOSE(2, "5461730030", "Jun 26")</f>
        <v>Jun 26</v>
      </c>
      <c r="D9411" s="2" t="s">
        <v>5</v>
      </c>
    </row>
    <row r="9412" spans="1:4" x14ac:dyDescent="0.35">
      <c r="A9412" s="11" t="str">
        <f t="shared" si="4851"/>
        <v>All BU</v>
      </c>
      <c r="B9412" s="6" t="str">
        <f t="shared" si="4860"/>
        <v># of pro-rated MDRT agents (90%-99%)</v>
      </c>
      <c r="C9412" s="4" t="str">
        <f>CHOOSE(2, "5462030031", "Jul 26")</f>
        <v>Jul 26</v>
      </c>
      <c r="D9412" s="2" t="s">
        <v>5</v>
      </c>
    </row>
    <row r="9413" spans="1:4" x14ac:dyDescent="0.35">
      <c r="A9413" s="11" t="str">
        <f t="shared" si="4851"/>
        <v>All BU</v>
      </c>
      <c r="B9413" s="3" t="str">
        <f t="shared" ref="B9413:B9414" si="4861">CHOOSE(2, "1395000000636", "# of pro-rated MDRT agents (70%-90%)")</f>
        <v># of pro-rated MDRT agents (70%-90%)</v>
      </c>
      <c r="C9413" s="4" t="str">
        <f>CHOOSE(2, "5461730030", "Jun 26")</f>
        <v>Jun 26</v>
      </c>
      <c r="D9413" s="2" t="s">
        <v>5</v>
      </c>
    </row>
    <row r="9414" spans="1:4" x14ac:dyDescent="0.35">
      <c r="A9414" s="11" t="str">
        <f t="shared" si="4851"/>
        <v>All BU</v>
      </c>
      <c r="B9414" s="6" t="str">
        <f t="shared" si="4861"/>
        <v># of pro-rated MDRT agents (70%-90%)</v>
      </c>
      <c r="C9414" s="4" t="str">
        <f>CHOOSE(2, "5462030031", "Jul 26")</f>
        <v>Jul 26</v>
      </c>
      <c r="D9414" s="2" t="s">
        <v>5</v>
      </c>
    </row>
    <row r="9415" spans="1:4" x14ac:dyDescent="0.35">
      <c r="A9415" s="11" t="str">
        <f t="shared" si="4851"/>
        <v>All BU</v>
      </c>
      <c r="B9415" s="3" t="str">
        <f t="shared" ref="B9415:B9416" si="4862">CHOOSE(2, "1395000000635", "# of pro-rated MDRT agents (&lt;70%)")</f>
        <v># of pro-rated MDRT agents (&lt;70%)</v>
      </c>
      <c r="C9415" s="4" t="str">
        <f>CHOOSE(2, "5461730030", "Jun 26")</f>
        <v>Jun 26</v>
      </c>
      <c r="D9415" s="2" t="s">
        <v>5</v>
      </c>
    </row>
    <row r="9416" spans="1:4" x14ac:dyDescent="0.35">
      <c r="A9416" s="11" t="str">
        <f t="shared" si="4851"/>
        <v>All BU</v>
      </c>
      <c r="B9416" s="6" t="str">
        <f t="shared" si="4862"/>
        <v># of pro-rated MDRT agents (&lt;70%)</v>
      </c>
      <c r="C9416" s="4" t="str">
        <f>CHOOSE(2, "5462030031", "Jul 26")</f>
        <v>Jul 26</v>
      </c>
      <c r="D9416" s="2" t="s">
        <v>5</v>
      </c>
    </row>
    <row r="9417" spans="1:4" x14ac:dyDescent="0.35">
      <c r="A9417" s="11" t="str">
        <f t="shared" si="4851"/>
        <v>All BU</v>
      </c>
      <c r="B9417" s="3" t="str">
        <f t="shared" ref="B9417:B9418" si="4863">CHOOSE(2, "1395000000634", "# of pro-rated MDRT agents (50%-70%)")</f>
        <v># of pro-rated MDRT agents (50%-70%)</v>
      </c>
      <c r="C9417" s="4" t="str">
        <f>CHOOSE(2, "5461730030", "Jun 26")</f>
        <v>Jun 26</v>
      </c>
      <c r="D9417" s="2" t="s">
        <v>5</v>
      </c>
    </row>
    <row r="9418" spans="1:4" x14ac:dyDescent="0.35">
      <c r="A9418" s="11" t="str">
        <f t="shared" si="4851"/>
        <v>All BU</v>
      </c>
      <c r="B9418" s="6" t="str">
        <f t="shared" si="4863"/>
        <v># of pro-rated MDRT agents (50%-70%)</v>
      </c>
      <c r="C9418" s="4" t="str">
        <f>CHOOSE(2, "5462030031", "Jul 26")</f>
        <v>Jul 26</v>
      </c>
      <c r="D9418" s="2" t="s">
        <v>5</v>
      </c>
    </row>
    <row r="9419" spans="1:4" x14ac:dyDescent="0.35">
      <c r="A9419" s="11" t="str">
        <f t="shared" si="4851"/>
        <v>All BU</v>
      </c>
      <c r="B9419" s="3" t="str">
        <f t="shared" ref="B9419:B9420" si="4864">CHOOSE(2, "1395000000633", "# of pro-rated MDRT agents (&lt;50%)")</f>
        <v># of pro-rated MDRT agents (&lt;50%)</v>
      </c>
      <c r="C9419" s="4" t="str">
        <f>CHOOSE(2, "5461730030", "Jun 26")</f>
        <v>Jun 26</v>
      </c>
      <c r="D9419" s="2" t="s">
        <v>5</v>
      </c>
    </row>
    <row r="9420" spans="1:4" x14ac:dyDescent="0.35">
      <c r="A9420" s="11" t="str">
        <f t="shared" si="4851"/>
        <v>All BU</v>
      </c>
      <c r="B9420" s="6" t="str">
        <f t="shared" si="4864"/>
        <v># of pro-rated MDRT agents (&lt;50%)</v>
      </c>
      <c r="C9420" s="4" t="str">
        <f>CHOOSE(2, "5462030031", "Jul 26")</f>
        <v>Jul 26</v>
      </c>
      <c r="D9420" s="2" t="s">
        <v>5</v>
      </c>
    </row>
    <row r="9421" spans="1:4" x14ac:dyDescent="0.35">
      <c r="A9421" s="11" t="str">
        <f t="shared" si="4851"/>
        <v>All BU</v>
      </c>
      <c r="B9421" s="3" t="str">
        <f t="shared" ref="B9421:B9422" si="4865">CHOOSE(2, "1395000000632", "# of pro-rated MDRT agents (70-99%)")</f>
        <v># of pro-rated MDRT agents (70-99%)</v>
      </c>
      <c r="C9421" s="4" t="str">
        <f>CHOOSE(2, "5461730030", "Jun 26")</f>
        <v>Jun 26</v>
      </c>
      <c r="D9421" s="14">
        <v>1960</v>
      </c>
    </row>
    <row r="9422" spans="1:4" x14ac:dyDescent="0.35">
      <c r="A9422" s="11" t="str">
        <f t="shared" si="4851"/>
        <v>All BU</v>
      </c>
      <c r="B9422" s="6" t="str">
        <f t="shared" si="4865"/>
        <v># of pro-rated MDRT agents (70-99%)</v>
      </c>
      <c r="C9422" s="4" t="str">
        <f>CHOOSE(2, "5462030031", "Jul 26")</f>
        <v>Jul 26</v>
      </c>
      <c r="D9422" s="14">
        <v>1976</v>
      </c>
    </row>
    <row r="9423" spans="1:4" x14ac:dyDescent="0.35">
      <c r="A9423" s="11" t="str">
        <f t="shared" si="4851"/>
        <v>All BU</v>
      </c>
      <c r="B9423" s="3" t="str">
        <f t="shared" ref="B9423:B9424" si="4866">CHOOSE(2, "1395000000631", "# of pro-rated MDRT agents (50-69%)")</f>
        <v># of pro-rated MDRT agents (50-69%)</v>
      </c>
      <c r="C9423" s="4" t="str">
        <f>CHOOSE(2, "5461730030", "Jun 26")</f>
        <v>Jun 26</v>
      </c>
      <c r="D9423" s="14">
        <v>1941</v>
      </c>
    </row>
    <row r="9424" spans="1:4" x14ac:dyDescent="0.35">
      <c r="A9424" s="11" t="str">
        <f t="shared" si="4851"/>
        <v>All BU</v>
      </c>
      <c r="B9424" s="6" t="str">
        <f t="shared" si="4866"/>
        <v># of pro-rated MDRT agents (50-69%)</v>
      </c>
      <c r="C9424" s="4" t="str">
        <f>CHOOSE(2, "5462030031", "Jul 26")</f>
        <v>Jul 26</v>
      </c>
      <c r="D9424" s="14">
        <v>1879</v>
      </c>
    </row>
    <row r="9425" spans="1:4" x14ac:dyDescent="0.35">
      <c r="A9425" s="11" t="str">
        <f t="shared" si="4851"/>
        <v>All BU</v>
      </c>
      <c r="B9425" s="3" t="str">
        <f t="shared" ref="B9425:B9426" si="4867">CHOOSE(2, "1395000000630", "# of Top-tier agents")</f>
        <v># of Top-tier agents</v>
      </c>
      <c r="C9425" s="4" t="str">
        <f>CHOOSE(2, "5461730030", "Jun 26")</f>
        <v>Jun 26</v>
      </c>
      <c r="D9425" s="14">
        <v>8752</v>
      </c>
    </row>
    <row r="9426" spans="1:4" x14ac:dyDescent="0.35">
      <c r="A9426" s="11" t="str">
        <f t="shared" si="4851"/>
        <v>All BU</v>
      </c>
      <c r="B9426" s="6" t="str">
        <f t="shared" si="4867"/>
        <v># of Top-tier agents</v>
      </c>
      <c r="C9426" s="4" t="str">
        <f>CHOOSE(2, "5462030031", "Jul 26")</f>
        <v>Jul 26</v>
      </c>
      <c r="D9426" s="14">
        <v>8659</v>
      </c>
    </row>
    <row r="9427" spans="1:4" x14ac:dyDescent="0.35">
      <c r="A9427" s="11" t="str">
        <f t="shared" si="4851"/>
        <v>All BU</v>
      </c>
      <c r="B9427" s="3" t="str">
        <f t="shared" ref="B9427:B9428" si="4868">CHOOSE(2, "1395000000629", "$ APE from pro-rated MDRT agents (100%)")</f>
        <v>$ APE from pro-rated MDRT agents (100%)</v>
      </c>
      <c r="C9427" s="4" t="str">
        <f>CHOOSE(2, "5461730030", "Jun 26")</f>
        <v>Jun 26</v>
      </c>
      <c r="D9427" s="14">
        <v>88704124.424909011</v>
      </c>
    </row>
    <row r="9428" spans="1:4" x14ac:dyDescent="0.35">
      <c r="A9428" s="11" t="str">
        <f t="shared" si="4851"/>
        <v>All BU</v>
      </c>
      <c r="B9428" s="6" t="str">
        <f t="shared" si="4868"/>
        <v>$ APE from pro-rated MDRT agents (100%)</v>
      </c>
      <c r="C9428" s="4" t="str">
        <f>CHOOSE(2, "5462030031", "Jul 26")</f>
        <v>Jul 26</v>
      </c>
      <c r="D9428" s="14">
        <v>61521788.161167994</v>
      </c>
    </row>
    <row r="9429" spans="1:4" x14ac:dyDescent="0.35">
      <c r="A9429" s="11" t="str">
        <f t="shared" si="4851"/>
        <v>All BU</v>
      </c>
      <c r="B9429" s="3" t="str">
        <f t="shared" ref="B9429:B9430" si="4869">CHOOSE(2, "1395000000628", "$ APE from pro-rated MDRT agents (70-99%)")</f>
        <v>$ APE from pro-rated MDRT agents (70-99%)</v>
      </c>
      <c r="C9429" s="4" t="str">
        <f>CHOOSE(2, "5461730030", "Jun 26")</f>
        <v>Jun 26</v>
      </c>
      <c r="D9429" s="14">
        <v>9502401.8895350005</v>
      </c>
    </row>
    <row r="9430" spans="1:4" x14ac:dyDescent="0.35">
      <c r="A9430" s="11" t="str">
        <f t="shared" si="4851"/>
        <v>All BU</v>
      </c>
      <c r="B9430" s="6" t="str">
        <f t="shared" si="4869"/>
        <v>$ APE from pro-rated MDRT agents (70-99%)</v>
      </c>
      <c r="C9430" s="4" t="str">
        <f>CHOOSE(2, "5462030031", "Jul 26")</f>
        <v>Jul 26</v>
      </c>
      <c r="D9430" s="14">
        <v>9052384.5820299983</v>
      </c>
    </row>
    <row r="9431" spans="1:4" x14ac:dyDescent="0.35">
      <c r="A9431" s="11" t="str">
        <f t="shared" si="4851"/>
        <v>All BU</v>
      </c>
      <c r="B9431" s="3" t="str">
        <f t="shared" ref="B9431:B9432" si="4870">CHOOSE(2, "1395000000627", "$ APE from pro-rated MDRT agents (50-69%)")</f>
        <v>$ APE from pro-rated MDRT agents (50-69%)</v>
      </c>
      <c r="C9431" s="4" t="str">
        <f>CHOOSE(2, "5461730030", "Jun 26")</f>
        <v>Jun 26</v>
      </c>
      <c r="D9431" s="14">
        <v>7408270.0539119989</v>
      </c>
    </row>
    <row r="9432" spans="1:4" x14ac:dyDescent="0.35">
      <c r="A9432" s="11" t="str">
        <f t="shared" si="4851"/>
        <v>All BU</v>
      </c>
      <c r="B9432" s="6" t="str">
        <f t="shared" si="4870"/>
        <v>$ APE from pro-rated MDRT agents (50-69%)</v>
      </c>
      <c r="C9432" s="4" t="str">
        <f>CHOOSE(2, "5462030031", "Jul 26")</f>
        <v>Jul 26</v>
      </c>
      <c r="D9432" s="14">
        <v>7030064.1507229991</v>
      </c>
    </row>
    <row r="9433" spans="1:4" x14ac:dyDescent="0.35">
      <c r="A9433" s="11" t="str">
        <f t="shared" si="4851"/>
        <v>All BU</v>
      </c>
      <c r="B9433" s="3" t="str">
        <f t="shared" ref="B9433:B9434" si="4871">CHOOSE(2, "1395000000626", "$ APE from Top-tier agents")</f>
        <v>$ APE from Top-tier agents</v>
      </c>
      <c r="C9433" s="4" t="str">
        <f>CHOOSE(2, "5461730030", "Jun 26")</f>
        <v>Jun 26</v>
      </c>
      <c r="D9433" s="14">
        <v>105614797.35835801</v>
      </c>
    </row>
    <row r="9434" spans="1:4" x14ac:dyDescent="0.35">
      <c r="A9434" s="11" t="str">
        <f t="shared" si="4851"/>
        <v>All BU</v>
      </c>
      <c r="B9434" s="6" t="str">
        <f t="shared" si="4871"/>
        <v>$ APE from Top-tier agents</v>
      </c>
      <c r="C9434" s="4" t="str">
        <f>CHOOSE(2, "5462030031", "Jul 26")</f>
        <v>Jul 26</v>
      </c>
      <c r="D9434" s="14">
        <v>77604238.873920992</v>
      </c>
    </row>
    <row r="9435" spans="1:4" x14ac:dyDescent="0.35">
      <c r="A9435" s="11" t="str">
        <f t="shared" si="4851"/>
        <v>All BU</v>
      </c>
      <c r="B9435" s="3" t="str">
        <f t="shared" ref="B9435:B9436" si="4872">CHOOSE(2, "1395000000625", "# of MDRT qualifiers - YTD")</f>
        <v># of MDRT qualifiers - YTD</v>
      </c>
      <c r="C9435" s="4" t="str">
        <f>CHOOSE(2, "5461730030", "Jun 26")</f>
        <v>Jun 26</v>
      </c>
      <c r="D9435" s="14">
        <v>1589</v>
      </c>
    </row>
    <row r="9436" spans="1:4" x14ac:dyDescent="0.35">
      <c r="A9436" s="11" t="str">
        <f t="shared" si="4851"/>
        <v>All BU</v>
      </c>
      <c r="B9436" s="6" t="str">
        <f t="shared" si="4872"/>
        <v># of MDRT qualifiers - YTD</v>
      </c>
      <c r="C9436" s="4" t="str">
        <f>CHOOSE(2, "5462030031", "Jul 26")</f>
        <v>Jul 26</v>
      </c>
      <c r="D9436" s="14">
        <v>1820</v>
      </c>
    </row>
    <row r="9437" spans="1:4" x14ac:dyDescent="0.35">
      <c r="A9437" s="11" t="str">
        <f t="shared" si="4851"/>
        <v>All BU</v>
      </c>
      <c r="B9437" s="3" t="str">
        <f t="shared" ref="B9437:B9438" si="4873">CHOOSE(2, "1395000000624", "# of MDRT COT qualifiers - YTD")</f>
        <v># of MDRT COT qualifiers - YTD</v>
      </c>
      <c r="C9437" s="4" t="str">
        <f>CHOOSE(2, "5461730030", "Jun 26")</f>
        <v>Jun 26</v>
      </c>
      <c r="D9437" s="14">
        <v>104</v>
      </c>
    </row>
    <row r="9438" spans="1:4" x14ac:dyDescent="0.35">
      <c r="A9438" s="11" t="str">
        <f t="shared" si="4851"/>
        <v>All BU</v>
      </c>
      <c r="B9438" s="6" t="str">
        <f t="shared" si="4873"/>
        <v># of MDRT COT qualifiers - YTD</v>
      </c>
      <c r="C9438" s="4" t="str">
        <f>CHOOSE(2, "5462030031", "Jul 26")</f>
        <v>Jul 26</v>
      </c>
      <c r="D9438" s="14">
        <v>129</v>
      </c>
    </row>
    <row r="9439" spans="1:4" x14ac:dyDescent="0.35">
      <c r="A9439" s="11" t="str">
        <f t="shared" si="4851"/>
        <v>All BU</v>
      </c>
      <c r="B9439" s="3" t="str">
        <f t="shared" ref="B9439:B9440" si="4874">CHOOSE(2, "1395000000623", "# of MDRT TOT qualifiers - YTD")</f>
        <v># of MDRT TOT qualifiers - YTD</v>
      </c>
      <c r="C9439" s="4" t="str">
        <f>CHOOSE(2, "5461730030", "Jun 26")</f>
        <v>Jun 26</v>
      </c>
      <c r="D9439" s="14">
        <v>36</v>
      </c>
    </row>
    <row r="9440" spans="1:4" x14ac:dyDescent="0.35">
      <c r="A9440" s="11" t="str">
        <f t="shared" si="4851"/>
        <v>All BU</v>
      </c>
      <c r="B9440" s="6" t="str">
        <f t="shared" si="4874"/>
        <v># of MDRT TOT qualifiers - YTD</v>
      </c>
      <c r="C9440" s="4" t="str">
        <f>CHOOSE(2, "5462030031", "Jul 26")</f>
        <v>Jul 26</v>
      </c>
      <c r="D9440" s="14">
        <v>41</v>
      </c>
    </row>
    <row r="9441" spans="1:4" x14ac:dyDescent="0.35">
      <c r="A9441" s="11" t="str">
        <f t="shared" si="4851"/>
        <v>All BU</v>
      </c>
      <c r="B9441" s="3" t="str">
        <f t="shared" ref="B9441:B9442" si="4875">CHOOSE(2, "1395000000622", "Manulife Pro Qualifiers - Total")</f>
        <v>Manulife Pro Qualifiers - Total</v>
      </c>
      <c r="C9441" s="4" t="str">
        <f>CHOOSE(2, "5461730030", "Jun 26")</f>
        <v>Jun 26</v>
      </c>
      <c r="D9441" s="14">
        <v>7043</v>
      </c>
    </row>
    <row r="9442" spans="1:4" x14ac:dyDescent="0.35">
      <c r="A9442" s="11" t="str">
        <f t="shared" si="4851"/>
        <v>All BU</v>
      </c>
      <c r="B9442" s="6" t="str">
        <f t="shared" si="4875"/>
        <v>Manulife Pro Qualifiers - Total</v>
      </c>
      <c r="C9442" s="4" t="str">
        <f>CHOOSE(2, "5462030031", "Jul 26")</f>
        <v>Jul 26</v>
      </c>
      <c r="D9442" s="14">
        <v>6722</v>
      </c>
    </row>
    <row r="9443" spans="1:4" x14ac:dyDescent="0.35">
      <c r="A9443" s="11" t="str">
        <f t="shared" si="4851"/>
        <v>All BU</v>
      </c>
      <c r="B9443" s="3" t="str">
        <f t="shared" ref="B9443:B9444" si="4876">CHOOSE(2, "1395000000621", "Manulife Pro Qualifiers - Silver")</f>
        <v>Manulife Pro Qualifiers - Silver</v>
      </c>
      <c r="C9443" s="4" t="str">
        <f>CHOOSE(2, "5461730030", "Jun 26")</f>
        <v>Jun 26</v>
      </c>
      <c r="D9443" s="2" t="s">
        <v>5</v>
      </c>
    </row>
    <row r="9444" spans="1:4" x14ac:dyDescent="0.35">
      <c r="A9444" s="11" t="str">
        <f t="shared" si="4851"/>
        <v>All BU</v>
      </c>
      <c r="B9444" s="6" t="str">
        <f t="shared" si="4876"/>
        <v>Manulife Pro Qualifiers - Silver</v>
      </c>
      <c r="C9444" s="4" t="str">
        <f>CHOOSE(2, "5462030031", "Jul 26")</f>
        <v>Jul 26</v>
      </c>
      <c r="D9444" s="2" t="s">
        <v>5</v>
      </c>
    </row>
    <row r="9445" spans="1:4" x14ac:dyDescent="0.35">
      <c r="A9445" s="11" t="str">
        <f t="shared" si="4851"/>
        <v>All BU</v>
      </c>
      <c r="B9445" s="3" t="str">
        <f t="shared" ref="B9445:B9446" si="4877">CHOOSE(2, "1395000000620", "Manulife Pro Qualifiers - Gold")</f>
        <v>Manulife Pro Qualifiers - Gold</v>
      </c>
      <c r="C9445" s="4" t="str">
        <f>CHOOSE(2, "5461730030", "Jun 26")</f>
        <v>Jun 26</v>
      </c>
      <c r="D9445" s="2" t="s">
        <v>5</v>
      </c>
    </row>
    <row r="9446" spans="1:4" x14ac:dyDescent="0.35">
      <c r="A9446" s="11" t="str">
        <f t="shared" si="4851"/>
        <v>All BU</v>
      </c>
      <c r="B9446" s="6" t="str">
        <f t="shared" si="4877"/>
        <v>Manulife Pro Qualifiers - Gold</v>
      </c>
      <c r="C9446" s="4" t="str">
        <f>CHOOSE(2, "5462030031", "Jul 26")</f>
        <v>Jul 26</v>
      </c>
      <c r="D9446" s="2" t="s">
        <v>5</v>
      </c>
    </row>
    <row r="9447" spans="1:4" x14ac:dyDescent="0.35">
      <c r="A9447" s="11" t="str">
        <f t="shared" si="4851"/>
        <v>All BU</v>
      </c>
      <c r="B9447" s="3" t="str">
        <f t="shared" ref="B9447:B9448" si="4878">CHOOSE(2, "1395000000619", "Manulife Pro Qualifiers  - Platinum")</f>
        <v>Manulife Pro Qualifiers  - Platinum</v>
      </c>
      <c r="C9447" s="4" t="str">
        <f>CHOOSE(2, "5461730030", "Jun 26")</f>
        <v>Jun 26</v>
      </c>
      <c r="D9447" s="2" t="s">
        <v>5</v>
      </c>
    </row>
    <row r="9448" spans="1:4" x14ac:dyDescent="0.35">
      <c r="A9448" s="11" t="str">
        <f t="shared" si="4851"/>
        <v>All BU</v>
      </c>
      <c r="B9448" s="6" t="str">
        <f t="shared" si="4878"/>
        <v>Manulife Pro Qualifiers  - Platinum</v>
      </c>
      <c r="C9448" s="4" t="str">
        <f>CHOOSE(2, "5462030031", "Jul 26")</f>
        <v>Jul 26</v>
      </c>
      <c r="D9448" s="2" t="s">
        <v>5</v>
      </c>
    </row>
    <row r="9449" spans="1:4" x14ac:dyDescent="0.35">
      <c r="A9449" s="11" t="str">
        <f t="shared" si="4851"/>
        <v>All BU</v>
      </c>
      <c r="B9449" s="3" t="str">
        <f t="shared" ref="B9449:B9450" si="4879">CHOOSE(2, "1395000000618", "$ APE from Manulife Pro - Total")</f>
        <v>$ APE from Manulife Pro - Total</v>
      </c>
      <c r="C9449" s="4" t="str">
        <f>CHOOSE(2, "5461730030", "Jun 26")</f>
        <v>Jun 26</v>
      </c>
      <c r="D9449" s="14">
        <v>4703733.6409029998</v>
      </c>
    </row>
    <row r="9450" spans="1:4" x14ac:dyDescent="0.35">
      <c r="A9450" s="11" t="str">
        <f t="shared" si="4851"/>
        <v>All BU</v>
      </c>
      <c r="B9450" s="6" t="str">
        <f t="shared" si="4879"/>
        <v>$ APE from Manulife Pro - Total</v>
      </c>
      <c r="C9450" s="4" t="str">
        <f>CHOOSE(2, "5462030031", "Jul 26")</f>
        <v>Jul 26</v>
      </c>
      <c r="D9450" s="14">
        <v>3554385.9806700004</v>
      </c>
    </row>
    <row r="9451" spans="1:4" x14ac:dyDescent="0.35">
      <c r="A9451" s="11" t="str">
        <f t="shared" si="4851"/>
        <v>All BU</v>
      </c>
      <c r="B9451" s="3" t="str">
        <f t="shared" ref="B9451:B9452" si="4880">CHOOSE(2, "1395000000617", "$ APE from Manulife Pro - Silver")</f>
        <v>$ APE from Manulife Pro - Silver</v>
      </c>
      <c r="C9451" s="4" t="str">
        <f>CHOOSE(2, "5461730030", "Jun 26")</f>
        <v>Jun 26</v>
      </c>
      <c r="D9451" s="2" t="s">
        <v>5</v>
      </c>
    </row>
    <row r="9452" spans="1:4" x14ac:dyDescent="0.35">
      <c r="A9452" s="11" t="str">
        <f t="shared" si="4851"/>
        <v>All BU</v>
      </c>
      <c r="B9452" s="6" t="str">
        <f t="shared" si="4880"/>
        <v>$ APE from Manulife Pro - Silver</v>
      </c>
      <c r="C9452" s="4" t="str">
        <f>CHOOSE(2, "5462030031", "Jul 26")</f>
        <v>Jul 26</v>
      </c>
      <c r="D9452" s="2" t="s">
        <v>5</v>
      </c>
    </row>
    <row r="9453" spans="1:4" x14ac:dyDescent="0.35">
      <c r="A9453" s="11" t="str">
        <f t="shared" si="4851"/>
        <v>All BU</v>
      </c>
      <c r="B9453" s="3" t="str">
        <f t="shared" ref="B9453:B9454" si="4881">CHOOSE(2, "1395000000616", "$ APE from Manulife Pro - Gold")</f>
        <v>$ APE from Manulife Pro - Gold</v>
      </c>
      <c r="C9453" s="4" t="str">
        <f>CHOOSE(2, "5461730030", "Jun 26")</f>
        <v>Jun 26</v>
      </c>
      <c r="D9453" s="2" t="s">
        <v>5</v>
      </c>
    </row>
    <row r="9454" spans="1:4" x14ac:dyDescent="0.35">
      <c r="A9454" s="11" t="str">
        <f t="shared" si="4851"/>
        <v>All BU</v>
      </c>
      <c r="B9454" s="6" t="str">
        <f t="shared" si="4881"/>
        <v>$ APE from Manulife Pro - Gold</v>
      </c>
      <c r="C9454" s="4" t="str">
        <f>CHOOSE(2, "5462030031", "Jul 26")</f>
        <v>Jul 26</v>
      </c>
      <c r="D9454" s="2" t="s">
        <v>5</v>
      </c>
    </row>
    <row r="9455" spans="1:4" x14ac:dyDescent="0.35">
      <c r="A9455" s="11" t="str">
        <f t="shared" si="4851"/>
        <v>All BU</v>
      </c>
      <c r="B9455" s="3" t="str">
        <f t="shared" ref="B9455:B9456" si="4882">CHOOSE(2, "1395000000615", "$ APE from Manulife Pro  - Platinum")</f>
        <v>$ APE from Manulife Pro  - Platinum</v>
      </c>
      <c r="C9455" s="4" t="str">
        <f>CHOOSE(2, "5461730030", "Jun 26")</f>
        <v>Jun 26</v>
      </c>
      <c r="D9455" s="2" t="s">
        <v>5</v>
      </c>
    </row>
    <row r="9456" spans="1:4" x14ac:dyDescent="0.35">
      <c r="A9456" s="11" t="str">
        <f t="shared" si="4851"/>
        <v>All BU</v>
      </c>
      <c r="B9456" s="6" t="str">
        <f t="shared" si="4882"/>
        <v>$ APE from Manulife Pro  - Platinum</v>
      </c>
      <c r="C9456" s="4" t="str">
        <f>CHOOSE(2, "5462030031", "Jul 26")</f>
        <v>Jul 26</v>
      </c>
      <c r="D9456" s="2" t="s">
        <v>5</v>
      </c>
    </row>
    <row r="9457" spans="1:4" x14ac:dyDescent="0.35">
      <c r="A9457" s="11" t="str">
        <f t="shared" si="4851"/>
        <v>All BU</v>
      </c>
      <c r="B9457" s="3" t="str">
        <f t="shared" ref="B9457:B9458" si="4883">CHOOSE(2, "1395000000614", "Issued APE")</f>
        <v>Issued APE</v>
      </c>
      <c r="C9457" s="4" t="str">
        <f>CHOOSE(2, "5461730030", "Jun 26")</f>
        <v>Jun 26</v>
      </c>
      <c r="D9457" s="14">
        <v>166573999.20980957</v>
      </c>
    </row>
    <row r="9458" spans="1:4" x14ac:dyDescent="0.35">
      <c r="A9458" s="11" t="str">
        <f t="shared" si="4851"/>
        <v>All BU</v>
      </c>
      <c r="B9458" s="6" t="str">
        <f t="shared" si="4883"/>
        <v>Issued APE</v>
      </c>
      <c r="C9458" s="4" t="str">
        <f>CHOOSE(2, "5462030031", "Jul 26")</f>
        <v>Jul 26</v>
      </c>
      <c r="D9458" s="14">
        <v>116310805.68053223</v>
      </c>
    </row>
    <row r="9459" spans="1:4" x14ac:dyDescent="0.35">
      <c r="A9459" s="11" t="str">
        <f t="shared" ref="A9459:A9522" si="4884">CHOOSE(2, "204000000000", "All BU")</f>
        <v>All BU</v>
      </c>
      <c r="B9459" s="3" t="str">
        <f t="shared" ref="B9459:B9460" si="4885">CHOOSE(2, "1395000000613", "Post-MI APE")</f>
        <v>Post-MI APE</v>
      </c>
      <c r="C9459" s="4" t="str">
        <f>CHOOSE(2, "5461730030", "Jun 26")</f>
        <v>Jun 26</v>
      </c>
      <c r="D9459" s="14">
        <v>147091218.03626972</v>
      </c>
    </row>
    <row r="9460" spans="1:4" x14ac:dyDescent="0.35">
      <c r="A9460" s="11" t="str">
        <f t="shared" si="4884"/>
        <v>All BU</v>
      </c>
      <c r="B9460" s="6" t="str">
        <f t="shared" si="4885"/>
        <v>Post-MI APE</v>
      </c>
      <c r="C9460" s="4" t="str">
        <f>CHOOSE(2, "5462030031", "Jul 26")</f>
        <v>Jul 26</v>
      </c>
      <c r="D9460" s="14">
        <v>107028222.88886608</v>
      </c>
    </row>
    <row r="9461" spans="1:4" x14ac:dyDescent="0.35">
      <c r="A9461" s="11" t="str">
        <f t="shared" si="4884"/>
        <v>All BU</v>
      </c>
      <c r="B9461" s="3" t="str">
        <f t="shared" ref="B9461:B9462" si="4886">CHOOSE(2, "1395000000610", "Pre-gap NBV")</f>
        <v>Pre-gap NBV</v>
      </c>
      <c r="C9461" s="4" t="str">
        <f>CHOOSE(2, "5461730030", "Jun 26")</f>
        <v>Jun 26</v>
      </c>
      <c r="D9461" s="14">
        <v>50905347.207410567</v>
      </c>
    </row>
    <row r="9462" spans="1:4" x14ac:dyDescent="0.35">
      <c r="A9462" s="11" t="str">
        <f t="shared" si="4884"/>
        <v>All BU</v>
      </c>
      <c r="B9462" s="6" t="str">
        <f t="shared" si="4886"/>
        <v>Pre-gap NBV</v>
      </c>
      <c r="C9462" s="4" t="str">
        <f>CHOOSE(2, "5462030031", "Jul 26")</f>
        <v>Jul 26</v>
      </c>
      <c r="D9462" s="14">
        <v>46676627.006786563</v>
      </c>
    </row>
    <row r="9463" spans="1:4" x14ac:dyDescent="0.35">
      <c r="A9463" s="11" t="str">
        <f t="shared" si="4884"/>
        <v>All BU</v>
      </c>
      <c r="B9463" s="3" t="str">
        <f t="shared" ref="B9463:B9464" si="4887">CHOOSE(2, "1395000000609", "Pre-gap NBV Margin %")</f>
        <v>Pre-gap NBV Margin %</v>
      </c>
      <c r="C9463" s="4" t="str">
        <f>CHOOSE(2, "5461730030", "Jun 26")</f>
        <v>Jun 26</v>
      </c>
      <c r="D9463" s="14">
        <v>0.34608012556438505</v>
      </c>
    </row>
    <row r="9464" spans="1:4" x14ac:dyDescent="0.35">
      <c r="A9464" s="11" t="str">
        <f t="shared" si="4884"/>
        <v>All BU</v>
      </c>
      <c r="B9464" s="6" t="str">
        <f t="shared" si="4887"/>
        <v>Pre-gap NBV Margin %</v>
      </c>
      <c r="C9464" s="4" t="str">
        <f>CHOOSE(2, "5462030031", "Jul 26")</f>
        <v>Jul 26</v>
      </c>
      <c r="D9464" s="14">
        <v>0.43611512689745158</v>
      </c>
    </row>
    <row r="9465" spans="1:4" x14ac:dyDescent="0.35">
      <c r="A9465" s="11" t="str">
        <f t="shared" si="4884"/>
        <v>All BU</v>
      </c>
      <c r="B9465" s="3" t="str">
        <f t="shared" ref="B9465:B9466" si="4888">CHOOSE(2, "1395000000608", "Post-gap NBV")</f>
        <v>Post-gap NBV</v>
      </c>
      <c r="C9465" s="4" t="str">
        <f>CHOOSE(2, "5461730030", "Jun 26")</f>
        <v>Jun 26</v>
      </c>
      <c r="D9465" s="14">
        <v>50905347.207410567</v>
      </c>
    </row>
    <row r="9466" spans="1:4" x14ac:dyDescent="0.35">
      <c r="A9466" s="11" t="str">
        <f t="shared" si="4884"/>
        <v>All BU</v>
      </c>
      <c r="B9466" s="6" t="str">
        <f t="shared" si="4888"/>
        <v>Post-gap NBV</v>
      </c>
      <c r="C9466" s="4" t="str">
        <f>CHOOSE(2, "5462030031", "Jul 26")</f>
        <v>Jul 26</v>
      </c>
      <c r="D9466" s="14">
        <v>46676627.006786563</v>
      </c>
    </row>
    <row r="9467" spans="1:4" x14ac:dyDescent="0.35">
      <c r="A9467" s="11" t="str">
        <f t="shared" si="4884"/>
        <v>All BU</v>
      </c>
      <c r="B9467" s="3" t="str">
        <f t="shared" ref="B9467:B9468" si="4889">CHOOSE(2, "1395000000607", "Post-gap NBV Margin %")</f>
        <v>Post-gap NBV Margin %</v>
      </c>
      <c r="C9467" s="4" t="str">
        <f>CHOOSE(2, "5461730030", "Jun 26")</f>
        <v>Jun 26</v>
      </c>
      <c r="D9467" s="14">
        <v>0.34608012556438505</v>
      </c>
    </row>
    <row r="9468" spans="1:4" x14ac:dyDescent="0.35">
      <c r="A9468" s="11" t="str">
        <f t="shared" si="4884"/>
        <v>All BU</v>
      </c>
      <c r="B9468" s="6" t="str">
        <f t="shared" si="4889"/>
        <v>Post-gap NBV Margin %</v>
      </c>
      <c r="C9468" s="4" t="str">
        <f>CHOOSE(2, "5462030031", "Jul 26")</f>
        <v>Jul 26</v>
      </c>
      <c r="D9468" s="14">
        <v>0.43611512689745158</v>
      </c>
    </row>
    <row r="9469" spans="1:4" x14ac:dyDescent="0.35">
      <c r="A9469" s="11" t="str">
        <f t="shared" si="4884"/>
        <v>All BU</v>
      </c>
      <c r="B9469" s="3" t="str">
        <f t="shared" ref="B9469:B9470" si="4890">CHOOSE(2, "1395000000606", "NB CSM")</f>
        <v>NB CSM</v>
      </c>
      <c r="C9469" s="4" t="str">
        <f>CHOOSE(2, "5461730030", "Jun 26")</f>
        <v>Jun 26</v>
      </c>
      <c r="D9469" s="14">
        <v>65166291.513241991</v>
      </c>
    </row>
    <row r="9470" spans="1:4" x14ac:dyDescent="0.35">
      <c r="A9470" s="11" t="str">
        <f t="shared" si="4884"/>
        <v>All BU</v>
      </c>
      <c r="B9470" s="6" t="str">
        <f t="shared" si="4890"/>
        <v>NB CSM</v>
      </c>
      <c r="C9470" s="4" t="str">
        <f>CHOOSE(2, "5462030031", "Jul 26")</f>
        <v>Jul 26</v>
      </c>
      <c r="D9470" s="14">
        <v>50682568.772145733</v>
      </c>
    </row>
    <row r="9471" spans="1:4" x14ac:dyDescent="0.35">
      <c r="A9471" s="11" t="str">
        <f t="shared" si="4884"/>
        <v>All BU</v>
      </c>
      <c r="B9471" s="3" t="str">
        <f t="shared" ref="B9471:B9472" si="4891">CHOOSE(2, "1395000000605", "NB CSM Margin %")</f>
        <v>NB CSM Margin %</v>
      </c>
      <c r="C9471" s="4" t="str">
        <f>CHOOSE(2, "5461730030", "Jun 26")</f>
        <v>Jun 26</v>
      </c>
      <c r="D9471" s="14">
        <v>0.443033189766457</v>
      </c>
    </row>
    <row r="9472" spans="1:4" x14ac:dyDescent="0.35">
      <c r="A9472" s="11" t="str">
        <f t="shared" si="4884"/>
        <v>All BU</v>
      </c>
      <c r="B9472" s="6" t="str">
        <f t="shared" si="4891"/>
        <v>NB CSM Margin %</v>
      </c>
      <c r="C9472" s="4" t="str">
        <f>CHOOSE(2, "5462030031", "Jul 26")</f>
        <v>Jul 26</v>
      </c>
      <c r="D9472" s="14">
        <v>0.47354396255623649</v>
      </c>
    </row>
    <row r="9473" spans="1:4" x14ac:dyDescent="0.35">
      <c r="A9473" s="11" t="str">
        <f t="shared" si="4884"/>
        <v>All BU</v>
      </c>
      <c r="B9473" s="3" t="str">
        <f t="shared" ref="B9473:B9474" si="4892">CHOOSE(2, "1395000000604", "PRE")</f>
        <v>PRE</v>
      </c>
      <c r="C9473" s="4" t="str">
        <f>CHOOSE(2, "5461730030", "Jun 26")</f>
        <v>Jun 26</v>
      </c>
      <c r="D9473" s="14">
        <v>18341559.365282707</v>
      </c>
    </row>
    <row r="9474" spans="1:4" x14ac:dyDescent="0.35">
      <c r="A9474" s="11" t="str">
        <f t="shared" si="4884"/>
        <v>All BU</v>
      </c>
      <c r="B9474" s="6" t="str">
        <f t="shared" si="4892"/>
        <v>PRE</v>
      </c>
      <c r="C9474" s="4" t="str">
        <f>CHOOSE(2, "5462030031", "Jul 26")</f>
        <v>Jul 26</v>
      </c>
      <c r="D9474" s="14">
        <v>16651792.681761736</v>
      </c>
    </row>
    <row r="9475" spans="1:4" x14ac:dyDescent="0.35">
      <c r="A9475" s="11" t="str">
        <f t="shared" si="4884"/>
        <v>All BU</v>
      </c>
      <c r="B9475" s="3" t="str">
        <f t="shared" ref="B9475:B9476" si="4893">CHOOSE(2, "1395000000603", "ContEx")</f>
        <v>ContEx</v>
      </c>
      <c r="C9475" s="4" t="str">
        <f>CHOOSE(2, "5461730030", "Jun 26")</f>
        <v>Jun 26</v>
      </c>
      <c r="D9475" s="14">
        <v>0</v>
      </c>
    </row>
    <row r="9476" spans="1:4" x14ac:dyDescent="0.35">
      <c r="A9476" s="11" t="str">
        <f t="shared" si="4884"/>
        <v>All BU</v>
      </c>
      <c r="B9476" s="6" t="str">
        <f t="shared" si="4893"/>
        <v>ContEx</v>
      </c>
      <c r="C9476" s="4" t="str">
        <f>CHOOSE(2, "5462030031", "Jul 26")</f>
        <v>Jul 26</v>
      </c>
      <c r="D9476" s="14">
        <v>0</v>
      </c>
    </row>
    <row r="9477" spans="1:4" x14ac:dyDescent="0.35">
      <c r="A9477" s="11" t="str">
        <f t="shared" si="4884"/>
        <v>All BU</v>
      </c>
      <c r="B9477" s="3" t="str">
        <f t="shared" ref="B9477:B9478" si="4894">CHOOSE(2, "1395000000602", "% of 6-90 agents")</f>
        <v>% of 6-90 agents</v>
      </c>
      <c r="C9477" s="4" t="str">
        <f>CHOOSE(2, "5461730030", "Jun 26")</f>
        <v>Jun 26</v>
      </c>
      <c r="D9477" s="14">
        <v>3.9946914399469145E-2</v>
      </c>
    </row>
    <row r="9478" spans="1:4" x14ac:dyDescent="0.35">
      <c r="A9478" s="11" t="str">
        <f t="shared" si="4884"/>
        <v>All BU</v>
      </c>
      <c r="B9478" s="6" t="str">
        <f t="shared" si="4894"/>
        <v>% of 6-90 agents</v>
      </c>
      <c r="C9478" s="4" t="str">
        <f>CHOOSE(2, "5462030031", "Jul 26")</f>
        <v>Jul 26</v>
      </c>
      <c r="D9478" s="14">
        <v>4.2394330549228046E-2</v>
      </c>
    </row>
    <row r="9479" spans="1:4" x14ac:dyDescent="0.35">
      <c r="A9479" s="11" t="str">
        <f t="shared" si="4884"/>
        <v>All BU</v>
      </c>
      <c r="B9479" s="3" t="str">
        <f t="shared" ref="B9479:B9480" si="4895">CHOOSE(2, "1395000000601", "New Recruits 3M Activation Rate")</f>
        <v>New Recruits 3M Activation Rate</v>
      </c>
      <c r="C9479" s="4" t="str">
        <f>CHOOSE(2, "5461730030", "Jun 26")</f>
        <v>Jun 26</v>
      </c>
      <c r="D9479" s="14">
        <v>0.56316483516483518</v>
      </c>
    </row>
    <row r="9480" spans="1:4" x14ac:dyDescent="0.35">
      <c r="A9480" s="11" t="str">
        <f t="shared" si="4884"/>
        <v>All BU</v>
      </c>
      <c r="B9480" s="6" t="str">
        <f t="shared" si="4895"/>
        <v>New Recruits 3M Activation Rate</v>
      </c>
      <c r="C9480" s="4" t="str">
        <f>CHOOSE(2, "5462030031", "Jul 26")</f>
        <v>Jul 26</v>
      </c>
      <c r="D9480" s="14">
        <v>0.51090086384204036</v>
      </c>
    </row>
    <row r="9481" spans="1:4" x14ac:dyDescent="0.35">
      <c r="A9481" s="11" t="str">
        <f t="shared" si="4884"/>
        <v>All BU</v>
      </c>
      <c r="B9481" s="3" t="str">
        <f t="shared" ref="B9481:B9482" si="4896">CHOOSE(2, "1395000000600", "No. of Recruits from leaders")</f>
        <v>No. of Recruits from leaders</v>
      </c>
      <c r="C9481" s="4" t="str">
        <f>CHOOSE(2, "5461730030", "Jun 26")</f>
        <v>Jun 26</v>
      </c>
      <c r="D9481" s="2" t="s">
        <v>5</v>
      </c>
    </row>
    <row r="9482" spans="1:4" x14ac:dyDescent="0.35">
      <c r="A9482" s="11" t="str">
        <f t="shared" si="4884"/>
        <v>All BU</v>
      </c>
      <c r="B9482" s="6" t="str">
        <f t="shared" si="4896"/>
        <v>No. of Recruits from leaders</v>
      </c>
      <c r="C9482" s="4" t="str">
        <f>CHOOSE(2, "5462030031", "Jul 26")</f>
        <v>Jul 26</v>
      </c>
      <c r="D9482" s="2" t="s">
        <v>5</v>
      </c>
    </row>
    <row r="9483" spans="1:4" x14ac:dyDescent="0.35">
      <c r="A9483" s="11" t="str">
        <f t="shared" si="4884"/>
        <v>All BU</v>
      </c>
      <c r="B9483" s="3" t="str">
        <f t="shared" ref="B9483:B9484" si="4897">CHOOSE(2, "1395000000599", "No. of Recruits per Active Recruiting Leader per month")</f>
        <v>No. of Recruits per Active Recruiting Leader per month</v>
      </c>
      <c r="C9483" s="4" t="str">
        <f>CHOOSE(2, "5461730030", "Jun 26")</f>
        <v>Jun 26</v>
      </c>
      <c r="D9483" s="14">
        <v>0</v>
      </c>
    </row>
    <row r="9484" spans="1:4" x14ac:dyDescent="0.35">
      <c r="A9484" s="11" t="str">
        <f t="shared" si="4884"/>
        <v>All BU</v>
      </c>
      <c r="B9484" s="6" t="str">
        <f t="shared" si="4897"/>
        <v>No. of Recruits per Active Recruiting Leader per month</v>
      </c>
      <c r="C9484" s="4" t="str">
        <f>CHOOSE(2, "5462030031", "Jul 26")</f>
        <v>Jul 26</v>
      </c>
      <c r="D9484" s="14">
        <v>0</v>
      </c>
    </row>
    <row r="9485" spans="1:4" x14ac:dyDescent="0.35">
      <c r="A9485" s="11" t="str">
        <f t="shared" si="4884"/>
        <v>All BU</v>
      </c>
      <c r="B9485" s="3" t="str">
        <f t="shared" ref="B9485:B9486" si="4898">CHOOSE(2, "1395000000598", "PRE as % of APE")</f>
        <v>PRE as % of APE</v>
      </c>
      <c r="C9485" s="4" t="str">
        <f>CHOOSE(2, "5461730030", "Jun 26")</f>
        <v>Jun 26</v>
      </c>
      <c r="D9485" s="14">
        <v>0.11011057819522274</v>
      </c>
    </row>
    <row r="9486" spans="1:4" x14ac:dyDescent="0.35">
      <c r="A9486" s="11" t="str">
        <f t="shared" si="4884"/>
        <v>All BU</v>
      </c>
      <c r="B9486" s="6" t="str">
        <f t="shared" si="4898"/>
        <v>PRE as % of APE</v>
      </c>
      <c r="C9486" s="4" t="str">
        <f>CHOOSE(2, "5462030031", "Jul 26")</f>
        <v>Jul 26</v>
      </c>
      <c r="D9486" s="14">
        <v>0.14316634283747262</v>
      </c>
    </row>
    <row r="9487" spans="1:4" x14ac:dyDescent="0.35">
      <c r="A9487" s="11" t="str">
        <f t="shared" si="4884"/>
        <v>All BU</v>
      </c>
      <c r="B9487" s="3" t="str">
        <f t="shared" ref="B9487:B9488" si="4899">CHOOSE(2, "1395000000597", "ContEx as % of APE")</f>
        <v>ContEx as % of APE</v>
      </c>
      <c r="C9487" s="4" t="str">
        <f>CHOOSE(2, "5461730030", "Jun 26")</f>
        <v>Jun 26</v>
      </c>
      <c r="D9487" s="14">
        <v>0</v>
      </c>
    </row>
    <row r="9488" spans="1:4" x14ac:dyDescent="0.35">
      <c r="A9488" s="11" t="str">
        <f t="shared" si="4884"/>
        <v>All BU</v>
      </c>
      <c r="B9488" s="6" t="str">
        <f t="shared" si="4899"/>
        <v>ContEx as % of APE</v>
      </c>
      <c r="C9488" s="4" t="str">
        <f>CHOOSE(2, "5462030031", "Jul 26")</f>
        <v>Jul 26</v>
      </c>
      <c r="D9488" s="14">
        <v>0</v>
      </c>
    </row>
    <row r="9489" spans="1:4" x14ac:dyDescent="0.35">
      <c r="A9489" s="11" t="str">
        <f t="shared" si="4884"/>
        <v>All BU</v>
      </c>
      <c r="B9489" s="3" t="str">
        <f t="shared" ref="B9489:B9490" si="4900">CHOOSE(2, "1395000000596", "% of 1-Month Active Agents")</f>
        <v>% of 1-Month Active Agents</v>
      </c>
      <c r="C9489" s="4" t="str">
        <f>CHOOSE(2, "5461730030", "Jun 26")</f>
        <v>Jun 26</v>
      </c>
      <c r="D9489" s="14">
        <v>0.17565342468346046</v>
      </c>
    </row>
    <row r="9490" spans="1:4" x14ac:dyDescent="0.35">
      <c r="A9490" s="11" t="str">
        <f t="shared" si="4884"/>
        <v>All BU</v>
      </c>
      <c r="B9490" s="6" t="str">
        <f t="shared" si="4900"/>
        <v>% of 1-Month Active Agents</v>
      </c>
      <c r="C9490" s="4" t="str">
        <f>CHOOSE(2, "5462030031", "Jul 26")</f>
        <v>Jul 26</v>
      </c>
      <c r="D9490" s="14">
        <v>0.15419367511294441</v>
      </c>
    </row>
    <row r="9491" spans="1:4" x14ac:dyDescent="0.35">
      <c r="A9491" s="11" t="str">
        <f t="shared" si="4884"/>
        <v>All BU</v>
      </c>
      <c r="B9491" s="3" t="str">
        <f t="shared" ref="B9491:B9492" si="4901">CHOOSE(2, "1395000000595", "% of 3-Month Active Agents")</f>
        <v>% of 3-Month Active Agents</v>
      </c>
      <c r="C9491" s="4" t="str">
        <f>CHOOSE(2, "5461730030", "Jun 26")</f>
        <v>Jun 26</v>
      </c>
      <c r="D9491" s="14">
        <v>7.4539914146810216E-2</v>
      </c>
    </row>
    <row r="9492" spans="1:4" x14ac:dyDescent="0.35">
      <c r="A9492" s="11" t="str">
        <f t="shared" si="4884"/>
        <v>All BU</v>
      </c>
      <c r="B9492" s="6" t="str">
        <f t="shared" si="4901"/>
        <v>% of 3-Month Active Agents</v>
      </c>
      <c r="C9492" s="4" t="str">
        <f>CHOOSE(2, "5462030031", "Jul 26")</f>
        <v>Jul 26</v>
      </c>
      <c r="D9492" s="14">
        <v>7.5491288014648966E-2</v>
      </c>
    </row>
    <row r="9493" spans="1:4" x14ac:dyDescent="0.35">
      <c r="A9493" s="11" t="str">
        <f t="shared" si="4884"/>
        <v>All BU</v>
      </c>
      <c r="B9493" s="3" t="str">
        <f t="shared" ref="B9493:B9494" si="4902">CHOOSE(2, "1395000000594", "Active agents per active leader")</f>
        <v>Active agents per active leader</v>
      </c>
      <c r="C9493" s="4" t="str">
        <f>CHOOSE(2, "5461730030", "Jun 26")</f>
        <v>Jun 26</v>
      </c>
      <c r="D9493" s="14">
        <v>15.189852700490999</v>
      </c>
    </row>
    <row r="9494" spans="1:4" x14ac:dyDescent="0.35">
      <c r="A9494" s="11" t="str">
        <f t="shared" si="4884"/>
        <v>All BU</v>
      </c>
      <c r="B9494" s="6" t="str">
        <f t="shared" si="4902"/>
        <v>Active agents per active leader</v>
      </c>
      <c r="C9494" s="4" t="str">
        <f>CHOOSE(2, "5462030031", "Jul 26")</f>
        <v>Jul 26</v>
      </c>
      <c r="D9494" s="14">
        <v>13.680497925311203</v>
      </c>
    </row>
    <row r="9495" spans="1:4" x14ac:dyDescent="0.35">
      <c r="A9495" s="11" t="str">
        <f t="shared" si="4884"/>
        <v>All BU</v>
      </c>
      <c r="B9495" s="3" t="str">
        <f t="shared" ref="B9495:B9496" si="4903">CHOOSE(2, "1395000000593", "Avg. Case count per 1-Month Active Agent")</f>
        <v>Avg. Case count per 1-Month Active Agent</v>
      </c>
      <c r="C9495" s="4" t="str">
        <f>CHOOSE(2, "5461730030", "Jun 26")</f>
        <v>Jun 26</v>
      </c>
      <c r="D9495" s="14">
        <v>1.773483460833962</v>
      </c>
    </row>
    <row r="9496" spans="1:4" x14ac:dyDescent="0.35">
      <c r="A9496" s="11" t="str">
        <f t="shared" si="4884"/>
        <v>All BU</v>
      </c>
      <c r="B9496" s="6" t="str">
        <f t="shared" si="4903"/>
        <v>Avg. Case count per 1-Month Active Agent</v>
      </c>
      <c r="C9496" s="4" t="str">
        <f>CHOOSE(2, "5462030031", "Jul 26")</f>
        <v>Jul 26</v>
      </c>
      <c r="D9496" s="14">
        <v>1.8085653624507128</v>
      </c>
    </row>
    <row r="9497" spans="1:4" x14ac:dyDescent="0.35">
      <c r="A9497" s="11" t="str">
        <f t="shared" si="4884"/>
        <v>All BU</v>
      </c>
      <c r="B9497" s="3" t="str">
        <f t="shared" ref="B9497:B9498" si="4904">CHOOSE(2, "1395000000592", "Avg. Case size")</f>
        <v>Avg. Case size</v>
      </c>
      <c r="C9497" s="4" t="str">
        <f>CHOOSE(2, "5461730030", "Jun 26")</f>
        <v>Jun 26</v>
      </c>
      <c r="D9497" s="14">
        <v>5060.0557485801555</v>
      </c>
    </row>
    <row r="9498" spans="1:4" x14ac:dyDescent="0.35">
      <c r="A9498" s="11" t="str">
        <f t="shared" si="4884"/>
        <v>All BU</v>
      </c>
      <c r="B9498" s="6" t="str">
        <f t="shared" si="4904"/>
        <v>Avg. Case size</v>
      </c>
      <c r="C9498" s="4" t="str">
        <f>CHOOSE(2, "5462030031", "Jul 26")</f>
        <v>Jul 26</v>
      </c>
      <c r="D9498" s="14">
        <v>3901.1882150294905</v>
      </c>
    </row>
    <row r="9499" spans="1:4" x14ac:dyDescent="0.35">
      <c r="A9499" s="11" t="str">
        <f t="shared" si="4884"/>
        <v>All BU</v>
      </c>
      <c r="B9499" s="3" t="str">
        <f t="shared" ref="B9499:B9500" si="4905">CHOOSE(2, "1395000000591", "APE per 1-Month Active Agent")</f>
        <v>APE per 1-Month Active Agent</v>
      </c>
      <c r="C9499" s="4" t="str">
        <f>CHOOSE(2, "5461730030", "Jun 26")</f>
        <v>Jun 26</v>
      </c>
      <c r="D9499" s="14">
        <v>8973.9251810047172</v>
      </c>
    </row>
    <row r="9500" spans="1:4" x14ac:dyDescent="0.35">
      <c r="A9500" s="11" t="str">
        <f t="shared" si="4884"/>
        <v>All BU</v>
      </c>
      <c r="B9500" s="6" t="str">
        <f t="shared" si="4905"/>
        <v>APE per 1-Month Active Agent</v>
      </c>
      <c r="C9500" s="4" t="str">
        <f>CHOOSE(2, "5462030031", "Jul 26")</f>
        <v>Jul 26</v>
      </c>
      <c r="D9500" s="14">
        <v>7055.5538781032592</v>
      </c>
    </row>
    <row r="9501" spans="1:4" x14ac:dyDescent="0.35">
      <c r="A9501" s="11" t="str">
        <f t="shared" si="4884"/>
        <v>All BU</v>
      </c>
      <c r="B9501" s="3" t="str">
        <f t="shared" ref="B9501:B9502" si="4906">CHOOSE(2, "1395000000590", "% Conversion of Proposals to cases")</f>
        <v>% Conversion of Proposals to cases</v>
      </c>
      <c r="C9501" s="4" t="str">
        <f>CHOOSE(2, "5461730030", "Jun 26")</f>
        <v>Jun 26</v>
      </c>
      <c r="D9501" s="14">
        <v>0.27742158399487621</v>
      </c>
    </row>
    <row r="9502" spans="1:4" x14ac:dyDescent="0.35">
      <c r="A9502" s="11" t="str">
        <f t="shared" si="4884"/>
        <v>All BU</v>
      </c>
      <c r="B9502" s="6" t="str">
        <f t="shared" si="4906"/>
        <v>% Conversion of Proposals to cases</v>
      </c>
      <c r="C9502" s="4" t="str">
        <f>CHOOSE(2, "5462030031", "Jul 26")</f>
        <v>Jul 26</v>
      </c>
      <c r="D9502" s="14">
        <v>0.23482774373434573</v>
      </c>
    </row>
    <row r="9503" spans="1:4" x14ac:dyDescent="0.35">
      <c r="A9503" s="11" t="str">
        <f t="shared" si="4884"/>
        <v>All BU</v>
      </c>
      <c r="B9503" s="3" t="str">
        <f t="shared" ref="B9503:B9504" si="4907">CHOOSE(2, "1395000000588", "% APE from Agents in X tenure")</f>
        <v>% APE from Agents in X tenure</v>
      </c>
      <c r="C9503" s="4" t="str">
        <f>CHOOSE(2, "5461730030", "Jun 26")</f>
        <v>Jun 26</v>
      </c>
      <c r="D9503" s="14">
        <v>1</v>
      </c>
    </row>
    <row r="9504" spans="1:4" x14ac:dyDescent="0.35">
      <c r="A9504" s="11" t="str">
        <f t="shared" si="4884"/>
        <v>All BU</v>
      </c>
      <c r="B9504" s="6" t="str">
        <f t="shared" si="4907"/>
        <v>% APE from Agents in X tenure</v>
      </c>
      <c r="C9504" s="4" t="str">
        <f>CHOOSE(2, "5462030031", "Jul 26")</f>
        <v>Jul 26</v>
      </c>
      <c r="D9504" s="14">
        <v>1</v>
      </c>
    </row>
    <row r="9505" spans="1:4" x14ac:dyDescent="0.35">
      <c r="A9505" s="11" t="str">
        <f t="shared" si="4884"/>
        <v>All BU</v>
      </c>
      <c r="B9505" s="3" t="str">
        <f t="shared" ref="B9505:B9506" si="4908">CHOOSE(2, "1395000000587", "% APE from Agents in X tenure in 0-1M")</f>
        <v>% APE from Agents in X tenure in 0-1M</v>
      </c>
      <c r="C9505" s="4" t="str">
        <f>CHOOSE(2, "5461730030", "Jun 26")</f>
        <v>Jun 26</v>
      </c>
      <c r="D9505" s="14">
        <v>9.9999999999999992E-2</v>
      </c>
    </row>
    <row r="9506" spans="1:4" x14ac:dyDescent="0.35">
      <c r="A9506" s="11" t="str">
        <f t="shared" si="4884"/>
        <v>All BU</v>
      </c>
      <c r="B9506" s="6" t="str">
        <f t="shared" si="4908"/>
        <v>% APE from Agents in X tenure in 0-1M</v>
      </c>
      <c r="C9506" s="4" t="str">
        <f>CHOOSE(2, "5462030031", "Jul 26")</f>
        <v>Jul 26</v>
      </c>
      <c r="D9506" s="14">
        <v>0.1</v>
      </c>
    </row>
    <row r="9507" spans="1:4" x14ac:dyDescent="0.35">
      <c r="A9507" s="11" t="str">
        <f t="shared" si="4884"/>
        <v>All BU</v>
      </c>
      <c r="B9507" s="3" t="str">
        <f t="shared" ref="B9507:B9508" si="4909">CHOOSE(2, "1395000000586", "% APE from Agents in X tenure in 2-3M")</f>
        <v>% APE from Agents in X tenure in 2-3M</v>
      </c>
      <c r="C9507" s="4" t="str">
        <f>CHOOSE(2, "5461730030", "Jun 26")</f>
        <v>Jun 26</v>
      </c>
      <c r="D9507" s="14">
        <v>0.19999999999999998</v>
      </c>
    </row>
    <row r="9508" spans="1:4" x14ac:dyDescent="0.35">
      <c r="A9508" s="11" t="str">
        <f t="shared" si="4884"/>
        <v>All BU</v>
      </c>
      <c r="B9508" s="6" t="str">
        <f t="shared" si="4909"/>
        <v>% APE from Agents in X tenure in 2-3M</v>
      </c>
      <c r="C9508" s="4" t="str">
        <f>CHOOSE(2, "5462030031", "Jul 26")</f>
        <v>Jul 26</v>
      </c>
      <c r="D9508" s="14">
        <v>0.2</v>
      </c>
    </row>
    <row r="9509" spans="1:4" x14ac:dyDescent="0.35">
      <c r="A9509" s="11" t="str">
        <f t="shared" si="4884"/>
        <v>All BU</v>
      </c>
      <c r="B9509" s="3" t="str">
        <f t="shared" ref="B9509:B9510" si="4910">CHOOSE(2, "1395000000585", "% APE from Agents in X tenure in 4-12M")</f>
        <v>% APE from Agents in X tenure in 4-12M</v>
      </c>
      <c r="C9509" s="4" t="str">
        <f>CHOOSE(2, "5461730030", "Jun 26")</f>
        <v>Jun 26</v>
      </c>
      <c r="D9509" s="14">
        <v>0.29999999999999993</v>
      </c>
    </row>
    <row r="9510" spans="1:4" x14ac:dyDescent="0.35">
      <c r="A9510" s="11" t="str">
        <f t="shared" si="4884"/>
        <v>All BU</v>
      </c>
      <c r="B9510" s="6" t="str">
        <f t="shared" si="4910"/>
        <v>% APE from Agents in X tenure in 4-12M</v>
      </c>
      <c r="C9510" s="4" t="str">
        <f>CHOOSE(2, "5462030031", "Jul 26")</f>
        <v>Jul 26</v>
      </c>
      <c r="D9510" s="14">
        <v>0.3</v>
      </c>
    </row>
    <row r="9511" spans="1:4" x14ac:dyDescent="0.35">
      <c r="A9511" s="11" t="str">
        <f t="shared" si="4884"/>
        <v>All BU</v>
      </c>
      <c r="B9511" s="3" t="str">
        <f t="shared" ref="B9511:B9512" si="4911">CHOOSE(2, "1395000000584", "% APE from Agents in X tenure 13+M")</f>
        <v>% APE from Agents in X tenure 13+M</v>
      </c>
      <c r="C9511" s="4" t="str">
        <f>CHOOSE(2, "5461730030", "Jun 26")</f>
        <v>Jun 26</v>
      </c>
      <c r="D9511" s="14">
        <v>0.39999999999999997</v>
      </c>
    </row>
    <row r="9512" spans="1:4" x14ac:dyDescent="0.35">
      <c r="A9512" s="11" t="str">
        <f t="shared" si="4884"/>
        <v>All BU</v>
      </c>
      <c r="B9512" s="6" t="str">
        <f t="shared" si="4911"/>
        <v>% APE from Agents in X tenure 13+M</v>
      </c>
      <c r="C9512" s="4" t="str">
        <f>CHOOSE(2, "5462030031", "Jul 26")</f>
        <v>Jul 26</v>
      </c>
      <c r="D9512" s="14">
        <v>0.4</v>
      </c>
    </row>
    <row r="9513" spans="1:4" x14ac:dyDescent="0.35">
      <c r="A9513" s="11" t="str">
        <f t="shared" si="4884"/>
        <v>All BU</v>
      </c>
      <c r="B9513" s="3" t="str">
        <f t="shared" ref="B9513:B9514" si="4912">CHOOSE(2, "1395000000583", "% APE from pro-rated MDRT agents (100%)")</f>
        <v>% APE from pro-rated MDRT agents (100%)</v>
      </c>
      <c r="C9513" s="4" t="str">
        <f>CHOOSE(2, "5461730030", "Jun 26")</f>
        <v>Jun 26</v>
      </c>
      <c r="D9513" s="14">
        <v>0.53252083065605604</v>
      </c>
    </row>
    <row r="9514" spans="1:4" x14ac:dyDescent="0.35">
      <c r="A9514" s="11" t="str">
        <f t="shared" si="4884"/>
        <v>All BU</v>
      </c>
      <c r="B9514" s="6" t="str">
        <f t="shared" si="4912"/>
        <v>% APE from pro-rated MDRT agents (100%)</v>
      </c>
      <c r="C9514" s="4" t="str">
        <f>CHOOSE(2, "5462030031", "Jul 26")</f>
        <v>Jul 26</v>
      </c>
      <c r="D9514" s="14">
        <v>0.5289430143760524</v>
      </c>
    </row>
    <row r="9515" spans="1:4" x14ac:dyDescent="0.35">
      <c r="A9515" s="11" t="str">
        <f t="shared" si="4884"/>
        <v>All BU</v>
      </c>
      <c r="B9515" s="3" t="str">
        <f t="shared" ref="B9515:B9516" si="4913">CHOOSE(2, "1395000000582", "% APE from pro-rated MDRT agents (70-99%)")</f>
        <v>% APE from pro-rated MDRT agents (70-99%)</v>
      </c>
      <c r="C9515" s="4" t="str">
        <f>CHOOSE(2, "5461730030", "Jun 26")</f>
        <v>Jun 26</v>
      </c>
      <c r="D9515" s="14">
        <v>5.7046129255539917E-2</v>
      </c>
    </row>
    <row r="9516" spans="1:4" x14ac:dyDescent="0.35">
      <c r="A9516" s="11" t="str">
        <f t="shared" si="4884"/>
        <v>All BU</v>
      </c>
      <c r="B9516" s="6" t="str">
        <f t="shared" si="4913"/>
        <v>% APE from pro-rated MDRT agents (70-99%)</v>
      </c>
      <c r="C9516" s="4" t="str">
        <f>CHOOSE(2, "5462030031", "Jul 26")</f>
        <v>Jul 26</v>
      </c>
      <c r="D9516" s="14">
        <v>7.7829265553313598E-2</v>
      </c>
    </row>
    <row r="9517" spans="1:4" x14ac:dyDescent="0.35">
      <c r="A9517" s="11" t="str">
        <f t="shared" si="4884"/>
        <v>All BU</v>
      </c>
      <c r="B9517" s="3" t="str">
        <f t="shared" ref="B9517:B9518" si="4914">CHOOSE(2, "1395000000581", "% APE from pro-rated MDRT agents (50-69%)")</f>
        <v>% APE from pro-rated MDRT agents (50-69%)</v>
      </c>
      <c r="C9517" s="4" t="str">
        <f>CHOOSE(2, "5461730030", "Jun 26")</f>
        <v>Jun 26</v>
      </c>
      <c r="D9517" s="14">
        <v>4.4474348271970436E-2</v>
      </c>
    </row>
    <row r="9518" spans="1:4" x14ac:dyDescent="0.35">
      <c r="A9518" s="11" t="str">
        <f t="shared" si="4884"/>
        <v>All BU</v>
      </c>
      <c r="B9518" s="6" t="str">
        <f t="shared" si="4914"/>
        <v>% APE from pro-rated MDRT agents (50-69%)</v>
      </c>
      <c r="C9518" s="4" t="str">
        <f>CHOOSE(2, "5462030031", "Jul 26")</f>
        <v>Jul 26</v>
      </c>
      <c r="D9518" s="14">
        <v>6.0442055315413148E-2</v>
      </c>
    </row>
    <row r="9519" spans="1:4" x14ac:dyDescent="0.35">
      <c r="A9519" s="11" t="str">
        <f t="shared" si="4884"/>
        <v>All BU</v>
      </c>
      <c r="B9519" s="3" t="str">
        <f t="shared" ref="B9519:B9520" si="4915">CHOOSE(2, "1395000000580", "% APE from Top-tier agents")</f>
        <v>% APE from Top-tier agents</v>
      </c>
      <c r="C9519" s="4" t="str">
        <f>CHOOSE(2, "5461730030", "Jun 26")</f>
        <v>Jun 26</v>
      </c>
      <c r="D9519" s="14">
        <v>0.63404131412688292</v>
      </c>
    </row>
    <row r="9520" spans="1:4" x14ac:dyDescent="0.35">
      <c r="A9520" s="11" t="str">
        <f t="shared" si="4884"/>
        <v>All BU</v>
      </c>
      <c r="B9520" s="6" t="str">
        <f t="shared" si="4915"/>
        <v>% APE from Top-tier agents</v>
      </c>
      <c r="C9520" s="4" t="str">
        <f>CHOOSE(2, "5462030031", "Jul 26")</f>
        <v>Jul 26</v>
      </c>
      <c r="D9520" s="14">
        <v>0.66721435226813297</v>
      </c>
    </row>
    <row r="9521" spans="1:4" x14ac:dyDescent="0.35">
      <c r="A9521" s="11" t="str">
        <f t="shared" si="4884"/>
        <v>All BU</v>
      </c>
      <c r="B9521" s="3" t="str">
        <f t="shared" ref="B9521:B9522" si="4916">CHOOSE(2, "1395000000579", "% of Active Recruiting Leaders")</f>
        <v>% of Active Recruiting Leaders</v>
      </c>
      <c r="C9521" s="4" t="str">
        <f>CHOOSE(2, "5461730030", "Jun 26")</f>
        <v>Jun 26</v>
      </c>
      <c r="D9521" s="14">
        <v>0.119359249853487</v>
      </c>
    </row>
    <row r="9522" spans="1:4" x14ac:dyDescent="0.35">
      <c r="A9522" s="11" t="str">
        <f t="shared" si="4884"/>
        <v>All BU</v>
      </c>
      <c r="B9522" s="6" t="str">
        <f t="shared" si="4916"/>
        <v>% of Active Recruiting Leaders</v>
      </c>
      <c r="C9522" s="4" t="str">
        <f>CHOOSE(2, "5462030031", "Jul 26")</f>
        <v>Jul 26</v>
      </c>
      <c r="D9522" s="14">
        <v>0.11788299745646645</v>
      </c>
    </row>
    <row r="9523" spans="1:4" x14ac:dyDescent="0.35">
      <c r="A9523" s="11" t="str">
        <f t="shared" ref="A9523:A9586" si="4917">CHOOSE(2, "204000000000", "All BU")</f>
        <v>All BU</v>
      </c>
      <c r="B9523" s="3" t="str">
        <f t="shared" ref="B9523:B9524" si="4918">CHOOSE(2, "1395000000578", "% of leaders with &gt;1 YTD recruit")</f>
        <v>% of leaders with &gt;1 YTD recruit</v>
      </c>
      <c r="C9523" s="4" t="str">
        <f>CHOOSE(2, "5461730030", "Jun 26")</f>
        <v>Jun 26</v>
      </c>
      <c r="D9523" s="14">
        <v>0.42879468646219965</v>
      </c>
    </row>
    <row r="9524" spans="1:4" x14ac:dyDescent="0.35">
      <c r="A9524" s="11" t="str">
        <f t="shared" si="4917"/>
        <v>All BU</v>
      </c>
      <c r="B9524" s="6" t="str">
        <f t="shared" si="4918"/>
        <v>% of leaders with &gt;1 YTD recruit</v>
      </c>
      <c r="C9524" s="4" t="str">
        <f>CHOOSE(2, "5462030031", "Jul 26")</f>
        <v>Jul 26</v>
      </c>
      <c r="D9524" s="14">
        <v>0.49090197612991587</v>
      </c>
    </row>
    <row r="9525" spans="1:4" x14ac:dyDescent="0.35">
      <c r="A9525" s="11" t="str">
        <f t="shared" si="4917"/>
        <v>All BU</v>
      </c>
      <c r="B9525" s="3" t="str">
        <f t="shared" ref="B9525:B9526" si="4919">CHOOSE(2, "1395000000577", "% of 1-Month Active Top-tier agents")</f>
        <v>% of 1-Month Active Top-tier agents</v>
      </c>
      <c r="C9525" s="4" t="str">
        <f>CHOOSE(2, "5461730030", "Jun 26")</f>
        <v>Jun 26</v>
      </c>
      <c r="D9525" s="14">
        <v>0.55466816647919015</v>
      </c>
    </row>
    <row r="9526" spans="1:4" x14ac:dyDescent="0.35">
      <c r="A9526" s="11" t="str">
        <f t="shared" si="4917"/>
        <v>All BU</v>
      </c>
      <c r="B9526" s="6" t="str">
        <f t="shared" si="4919"/>
        <v>% of 1-Month Active Top-tier agents</v>
      </c>
      <c r="C9526" s="4" t="str">
        <f>CHOOSE(2, "5462030031", "Jul 26")</f>
        <v>Jul 26</v>
      </c>
      <c r="D9526" s="14">
        <v>0.81621557735492256</v>
      </c>
    </row>
    <row r="9527" spans="1:4" x14ac:dyDescent="0.35">
      <c r="A9527" s="11" t="str">
        <f t="shared" si="4917"/>
        <v>All BU</v>
      </c>
      <c r="B9527" s="3" t="str">
        <f t="shared" ref="B9527:B9528" si="4920">CHOOSE(2, "1395000000576", "% APE from Manulife Pro - Total")</f>
        <v>% APE from Manulife Pro - Total</v>
      </c>
      <c r="C9527" s="4" t="str">
        <f>CHOOSE(2, "5461730030", "Jun 26")</f>
        <v>Jun 26</v>
      </c>
      <c r="D9527" s="14">
        <v>2.8238102364213372E-2</v>
      </c>
    </row>
    <row r="9528" spans="1:4" x14ac:dyDescent="0.35">
      <c r="A9528" s="11" t="str">
        <f t="shared" si="4917"/>
        <v>All BU</v>
      </c>
      <c r="B9528" s="6" t="str">
        <f t="shared" si="4920"/>
        <v>% APE from Manulife Pro - Total</v>
      </c>
      <c r="C9528" s="4" t="str">
        <f>CHOOSE(2, "5462030031", "Jul 26")</f>
        <v>Jul 26</v>
      </c>
      <c r="D9528" s="14">
        <v>3.0559378897544027E-2</v>
      </c>
    </row>
    <row r="9529" spans="1:4" x14ac:dyDescent="0.35">
      <c r="A9529" s="11" t="str">
        <f t="shared" si="4917"/>
        <v>All BU</v>
      </c>
      <c r="B9529" s="3" t="str">
        <f t="shared" ref="B9529:B9530" si="4921">CHOOSE(2, "1395000000575", "% of 1-Month Active Agents Manulife Pro Qualifiers - Total")</f>
        <v>% of 1-Month Active Agents Manulife Pro Qualifiers - Total</v>
      </c>
      <c r="C9529" s="4" t="str">
        <f>CHOOSE(2, "5461730030", "Jun 26")</f>
        <v>Jun 26</v>
      </c>
      <c r="D9529" s="14">
        <v>0.37332633237070095</v>
      </c>
    </row>
    <row r="9530" spans="1:4" x14ac:dyDescent="0.35">
      <c r="A9530" s="11" t="str">
        <f t="shared" si="4917"/>
        <v>All BU</v>
      </c>
      <c r="B9530" s="6" t="str">
        <f t="shared" si="4921"/>
        <v>% of 1-Month Active Agents Manulife Pro Qualifiers - Total</v>
      </c>
      <c r="C9530" s="4" t="str">
        <f>CHOOSE(2, "5462030031", "Jul 26")</f>
        <v>Jul 26</v>
      </c>
      <c r="D9530" s="14">
        <v>0.36091890395792969</v>
      </c>
    </row>
    <row r="9531" spans="1:4" x14ac:dyDescent="0.35">
      <c r="A9531" s="11" t="str">
        <f t="shared" si="4917"/>
        <v>All BU</v>
      </c>
      <c r="B9531" s="3" t="str">
        <f t="shared" ref="B9531:B9532" si="4922">CHOOSE(2, "1395000000574", "% of Newly Demoted UM")</f>
        <v>% of Newly Demoted UM</v>
      </c>
      <c r="C9531" s="4" t="str">
        <f>CHOOSE(2, "5461730030", "Jun 26")</f>
        <v>Jun 26</v>
      </c>
      <c r="D9531" s="14">
        <v>6.384976525821596E-3</v>
      </c>
    </row>
    <row r="9532" spans="1:4" x14ac:dyDescent="0.35">
      <c r="A9532" s="11" t="str">
        <f t="shared" si="4917"/>
        <v>All BU</v>
      </c>
      <c r="B9532" s="6" t="str">
        <f t="shared" si="4922"/>
        <v>% of Newly Demoted UM</v>
      </c>
      <c r="C9532" s="4" t="str">
        <f>CHOOSE(2, "5462030031", "Jul 26")</f>
        <v>Jul 26</v>
      </c>
      <c r="D9532" s="14">
        <v>1.628247347237468E-2</v>
      </c>
    </row>
    <row r="9533" spans="1:4" x14ac:dyDescent="0.35">
      <c r="A9533" s="11" t="str">
        <f t="shared" si="4917"/>
        <v>All BU</v>
      </c>
      <c r="B9533" s="3" t="str">
        <f t="shared" ref="B9533:B9534" si="4923">CHOOSE(2, "1395000000573", "% of Newly Demoted Leaders above UM")</f>
        <v>% of Newly Demoted Leaders above UM</v>
      </c>
      <c r="C9533" s="4" t="str">
        <f>CHOOSE(2, "5461730030", "Jun 26")</f>
        <v>Jun 26</v>
      </c>
      <c r="D9533" s="14">
        <v>4.1073384446878424E-3</v>
      </c>
    </row>
    <row r="9534" spans="1:4" x14ac:dyDescent="0.35">
      <c r="A9534" s="11" t="str">
        <f t="shared" si="4917"/>
        <v>All BU</v>
      </c>
      <c r="B9534" s="6" t="str">
        <f t="shared" si="4923"/>
        <v>% of Newly Demoted Leaders above UM</v>
      </c>
      <c r="C9534" s="4" t="str">
        <f>CHOOSE(2, "5462030031", "Jul 26")</f>
        <v>Jul 26</v>
      </c>
      <c r="D9534" s="14">
        <v>2.7320954907161802E-2</v>
      </c>
    </row>
    <row r="9535" spans="1:4" x14ac:dyDescent="0.35">
      <c r="A9535" s="11" t="str">
        <f t="shared" si="4917"/>
        <v>All BU</v>
      </c>
      <c r="B9535" s="3" t="str">
        <f t="shared" ref="B9535:B9536" si="4924">CHOOSE(2, "1395000000572", "Avg. Earning per agent")</f>
        <v>Avg. Earning per agent</v>
      </c>
      <c r="C9535" s="4" t="str">
        <f>CHOOSE(2, "5461730030", "Jun 26")</f>
        <v>Jun 26</v>
      </c>
      <c r="D9535" s="14">
        <v>3424.1683116753952</v>
      </c>
    </row>
    <row r="9536" spans="1:4" x14ac:dyDescent="0.35">
      <c r="A9536" s="11" t="str">
        <f t="shared" si="4917"/>
        <v>All BU</v>
      </c>
      <c r="B9536" s="6" t="str">
        <f t="shared" si="4924"/>
        <v>Avg. Earning per agent</v>
      </c>
      <c r="C9536" s="4" t="str">
        <f>CHOOSE(2, "5462030031", "Jul 26")</f>
        <v>Jul 26</v>
      </c>
      <c r="D9536" s="14">
        <v>3786.9241575612887</v>
      </c>
    </row>
    <row r="9537" spans="1:4" x14ac:dyDescent="0.35">
      <c r="A9537" s="11" t="str">
        <f t="shared" si="4917"/>
        <v>All BU</v>
      </c>
      <c r="B9537" s="3" t="str">
        <f t="shared" ref="B9537:B9538" si="4925">CHOOSE(2, "1395000000571", "Avg. Earning per agent in FA or equivalent")</f>
        <v>Avg. Earning per agent in FA or equivalent</v>
      </c>
      <c r="C9537" s="4" t="str">
        <f>CHOOSE(2, "5461730030", "Jun 26")</f>
        <v>Jun 26</v>
      </c>
      <c r="D9537" s="14">
        <v>1658.6989607021594</v>
      </c>
    </row>
    <row r="9538" spans="1:4" x14ac:dyDescent="0.35">
      <c r="A9538" s="11" t="str">
        <f t="shared" si="4917"/>
        <v>All BU</v>
      </c>
      <c r="B9538" s="6" t="str">
        <f t="shared" si="4925"/>
        <v>Avg. Earning per agent in FA or equivalent</v>
      </c>
      <c r="C9538" s="4" t="str">
        <f>CHOOSE(2, "5462030031", "Jul 26")</f>
        <v>Jul 26</v>
      </c>
      <c r="D9538" s="14">
        <v>1741.3001985010633</v>
      </c>
    </row>
    <row r="9539" spans="1:4" x14ac:dyDescent="0.35">
      <c r="A9539" s="11" t="str">
        <f t="shared" si="4917"/>
        <v>All BU</v>
      </c>
      <c r="B9539" s="3" t="str">
        <f t="shared" ref="B9539:B9540" si="4926">CHOOSE(2, "1395000000570", "Avg. Earning per agent in UM")</f>
        <v>Avg. Earning per agent in UM</v>
      </c>
      <c r="C9539" s="4" t="str">
        <f>CHOOSE(2, "5461730030", "Jun 26")</f>
        <v>Jun 26</v>
      </c>
      <c r="D9539" s="14">
        <v>12585.601557647233</v>
      </c>
    </row>
    <row r="9540" spans="1:4" x14ac:dyDescent="0.35">
      <c r="A9540" s="11" t="str">
        <f t="shared" si="4917"/>
        <v>All BU</v>
      </c>
      <c r="B9540" s="6" t="str">
        <f t="shared" si="4926"/>
        <v>Avg. Earning per agent in UM</v>
      </c>
      <c r="C9540" s="4" t="str">
        <f>CHOOSE(2, "5462030031", "Jul 26")</f>
        <v>Jul 26</v>
      </c>
      <c r="D9540" s="14">
        <v>12261.317770694788</v>
      </c>
    </row>
    <row r="9541" spans="1:4" x14ac:dyDescent="0.35">
      <c r="A9541" s="11" t="str">
        <f t="shared" si="4917"/>
        <v>All BU</v>
      </c>
      <c r="B9541" s="3" t="str">
        <f t="shared" ref="B9541:B9542" si="4927">CHOOSE(2, "1395000000569", "Avg. Earning per agent in Leaders above UM")</f>
        <v>Avg. Earning per agent in Leaders above UM</v>
      </c>
      <c r="C9541" s="4" t="str">
        <f>CHOOSE(2, "5461730030", "Jun 26")</f>
        <v>Jun 26</v>
      </c>
      <c r="D9541" s="14">
        <v>40228.935227497401</v>
      </c>
    </row>
    <row r="9542" spans="1:4" x14ac:dyDescent="0.35">
      <c r="A9542" s="11" t="str">
        <f t="shared" si="4917"/>
        <v>All BU</v>
      </c>
      <c r="B9542" s="6" t="str">
        <f t="shared" si="4927"/>
        <v>Avg. Earning per agent in Leaders above UM</v>
      </c>
      <c r="C9542" s="4" t="str">
        <f>CHOOSE(2, "5462030031", "Jul 26")</f>
        <v>Jul 26</v>
      </c>
      <c r="D9542" s="14">
        <v>47897.277014906678</v>
      </c>
    </row>
    <row r="9543" spans="1:4" x14ac:dyDescent="0.35">
      <c r="A9543" s="11" t="str">
        <f t="shared" si="4917"/>
        <v>All BU</v>
      </c>
      <c r="B9543" s="3" t="str">
        <f t="shared" ref="B9543:B9544" si="4928">CHOOSE(2, "1395000000568", "% of 1-Month Active Agents 0-1M")</f>
        <v>% of 1-Month Active Agents 0-1M</v>
      </c>
      <c r="C9543" s="4" t="str">
        <f>CHOOSE(2, "5461730030", "Jun 26")</f>
        <v>Jun 26</v>
      </c>
      <c r="D9543" s="14">
        <v>0.38380430198228593</v>
      </c>
    </row>
    <row r="9544" spans="1:4" x14ac:dyDescent="0.35">
      <c r="A9544" s="11" t="str">
        <f t="shared" si="4917"/>
        <v>All BU</v>
      </c>
      <c r="B9544" s="6" t="str">
        <f t="shared" si="4928"/>
        <v>% of 1-Month Active Agents 0-1M</v>
      </c>
      <c r="C9544" s="4" t="str">
        <f>CHOOSE(2, "5462030031", "Jul 26")</f>
        <v>Jul 26</v>
      </c>
      <c r="D9544" s="14">
        <v>0.27736072698538128</v>
      </c>
    </row>
    <row r="9545" spans="1:4" x14ac:dyDescent="0.35">
      <c r="A9545" s="11" t="str">
        <f t="shared" si="4917"/>
        <v>All BU</v>
      </c>
      <c r="B9545" s="3" t="str">
        <f t="shared" ref="B9545:B9546" si="4929">CHOOSE(2, "1395000000567", "% of 1-Month Active Agents in 2-3M")</f>
        <v>% of 1-Month Active Agents in 2-3M</v>
      </c>
      <c r="C9545" s="4" t="str">
        <f>CHOOSE(2, "5461730030", "Jun 26")</f>
        <v>Jun 26</v>
      </c>
      <c r="D9545" s="14">
        <v>0.30305927342256211</v>
      </c>
    </row>
    <row r="9546" spans="1:4" x14ac:dyDescent="0.35">
      <c r="A9546" s="11" t="str">
        <f t="shared" si="4917"/>
        <v>All BU</v>
      </c>
      <c r="B9546" s="6" t="str">
        <f t="shared" si="4929"/>
        <v>% of 1-Month Active Agents in 2-3M</v>
      </c>
      <c r="C9546" s="4" t="str">
        <f>CHOOSE(2, "5462030031", "Jul 26")</f>
        <v>Jul 26</v>
      </c>
      <c r="D9546" s="14">
        <v>0.30153707052441231</v>
      </c>
    </row>
    <row r="9547" spans="1:4" x14ac:dyDescent="0.35">
      <c r="A9547" s="11" t="str">
        <f t="shared" si="4917"/>
        <v>All BU</v>
      </c>
      <c r="B9547" s="3" t="str">
        <f t="shared" ref="B9547:B9548" si="4930">CHOOSE(2, "1395000000566", "% of 1-Month Active Agents 4-12M")</f>
        <v>% of 1-Month Active Agents 4-12M</v>
      </c>
      <c r="C9547" s="4" t="str">
        <f>CHOOSE(2, "5461730030", "Jun 26")</f>
        <v>Jun 26</v>
      </c>
      <c r="D9547" s="14">
        <v>0.15554785421359671</v>
      </c>
    </row>
    <row r="9548" spans="1:4" x14ac:dyDescent="0.35">
      <c r="A9548" s="11" t="str">
        <f t="shared" si="4917"/>
        <v>All BU</v>
      </c>
      <c r="B9548" s="6" t="str">
        <f t="shared" si="4930"/>
        <v>% of 1-Month Active Agents 4-12M</v>
      </c>
      <c r="C9548" s="4" t="str">
        <f>CHOOSE(2, "5462030031", "Jul 26")</f>
        <v>Jul 26</v>
      </c>
      <c r="D9548" s="14">
        <v>0.16337945245805122</v>
      </c>
    </row>
    <row r="9549" spans="1:4" x14ac:dyDescent="0.35">
      <c r="A9549" s="11" t="str">
        <f t="shared" si="4917"/>
        <v>All BU</v>
      </c>
      <c r="B9549" s="3" t="str">
        <f t="shared" ref="B9549:B9550" si="4931">CHOOSE(2, "1395000000565", "% of 1-Month Active Agents 13+M")</f>
        <v>% of 1-Month Active Agents 13+M</v>
      </c>
      <c r="C9549" s="4" t="str">
        <f>CHOOSE(2, "5461730030", "Jun 26")</f>
        <v>Jun 26</v>
      </c>
      <c r="D9549" s="14">
        <v>0.18423921088398756</v>
      </c>
    </row>
    <row r="9550" spans="1:4" x14ac:dyDescent="0.35">
      <c r="A9550" s="11" t="str">
        <f t="shared" si="4917"/>
        <v>All BU</v>
      </c>
      <c r="B9550" s="6" t="str">
        <f t="shared" si="4931"/>
        <v>% of 1-Month Active Agents 13+M</v>
      </c>
      <c r="C9550" s="4" t="str">
        <f>CHOOSE(2, "5462030031", "Jul 26")</f>
        <v>Jul 26</v>
      </c>
      <c r="D9550" s="14">
        <v>0.2087062276098193</v>
      </c>
    </row>
    <row r="9551" spans="1:4" x14ac:dyDescent="0.35">
      <c r="A9551" s="11" t="str">
        <f t="shared" si="4917"/>
        <v>All BU</v>
      </c>
      <c r="B9551" s="3" t="str">
        <f t="shared" ref="B9551:B9552" si="4932">CHOOSE(2, "1395000000564", "% of 3-Month Active Agents 0-1M")</f>
        <v>% of 3-Month Active Agents 0-1M</v>
      </c>
      <c r="C9551" s="4" t="str">
        <f>CHOOSE(2, "5461730030", "Jun 26")</f>
        <v>Jun 26</v>
      </c>
      <c r="D9551" s="14">
        <v>0.26107127794179669</v>
      </c>
    </row>
    <row r="9552" spans="1:4" x14ac:dyDescent="0.35">
      <c r="A9552" s="11" t="str">
        <f t="shared" si="4917"/>
        <v>All BU</v>
      </c>
      <c r="B9552" s="6" t="str">
        <f t="shared" si="4932"/>
        <v>% of 3-Month Active Agents 0-1M</v>
      </c>
      <c r="C9552" s="4" t="str">
        <f>CHOOSE(2, "5462030031", "Jul 26")</f>
        <v>Jul 26</v>
      </c>
      <c r="D9552" s="14">
        <v>0.20900829711576452</v>
      </c>
    </row>
    <row r="9553" spans="1:4" x14ac:dyDescent="0.35">
      <c r="A9553" s="11" t="str">
        <f t="shared" si="4917"/>
        <v>All BU</v>
      </c>
      <c r="B9553" s="3" t="str">
        <f t="shared" ref="B9553:B9554" si="4933">CHOOSE(2, "1395000000563", "% of 3-Month Active Agents in 2-3M")</f>
        <v>% of 3-Month Active Agents in 2-3M</v>
      </c>
      <c r="C9553" s="4" t="str">
        <f>CHOOSE(2, "5461730030", "Jun 26")</f>
        <v>Jun 26</v>
      </c>
      <c r="D9553" s="14">
        <v>0.44526768642447417</v>
      </c>
    </row>
    <row r="9554" spans="1:4" x14ac:dyDescent="0.35">
      <c r="A9554" s="11" t="str">
        <f t="shared" si="4917"/>
        <v>All BU</v>
      </c>
      <c r="B9554" s="6" t="str">
        <f t="shared" si="4933"/>
        <v>% of 3-Month Active Agents in 2-3M</v>
      </c>
      <c r="C9554" s="4" t="str">
        <f>CHOOSE(2, "5462030031", "Jul 26")</f>
        <v>Jul 26</v>
      </c>
      <c r="D9554" s="14">
        <v>0.45705244122965644</v>
      </c>
    </row>
    <row r="9555" spans="1:4" x14ac:dyDescent="0.35">
      <c r="A9555" s="11" t="str">
        <f t="shared" si="4917"/>
        <v>All BU</v>
      </c>
      <c r="B9555" s="3" t="str">
        <f t="shared" ref="B9555:B9556" si="4934">CHOOSE(2, "1395000000562", "% of 3-Month Active Agents 4-12M")</f>
        <v>% of 3-Month Active Agents 4-12M</v>
      </c>
      <c r="C9555" s="4" t="str">
        <f>CHOOSE(2, "5461730030", "Jun 26")</f>
        <v>Jun 26</v>
      </c>
      <c r="D9555" s="14">
        <v>0.24894587881938426</v>
      </c>
    </row>
    <row r="9556" spans="1:4" x14ac:dyDescent="0.35">
      <c r="A9556" s="11" t="str">
        <f t="shared" si="4917"/>
        <v>All BU</v>
      </c>
      <c r="B9556" s="6" t="str">
        <f t="shared" si="4934"/>
        <v>% of 3-Month Active Agents 4-12M</v>
      </c>
      <c r="C9556" s="4" t="str">
        <f>CHOOSE(2, "5462030031", "Jul 26")</f>
        <v>Jul 26</v>
      </c>
      <c r="D9556" s="14">
        <v>0.2568737120989108</v>
      </c>
    </row>
    <row r="9557" spans="1:4" x14ac:dyDescent="0.35">
      <c r="A9557" s="11" t="str">
        <f t="shared" si="4917"/>
        <v>All BU</v>
      </c>
      <c r="B9557" s="3" t="str">
        <f t="shared" ref="B9557:B9558" si="4935">CHOOSE(2, "1395000000561", "% of 3-Month Active Agents 13+M")</f>
        <v>% of 3-Month Active Agents 13+M</v>
      </c>
      <c r="C9557" s="4" t="str">
        <f>CHOOSE(2, "5461730030", "Jun 26")</f>
        <v>Jun 26</v>
      </c>
      <c r="D9557" s="14">
        <v>0.2259288665204344</v>
      </c>
    </row>
    <row r="9558" spans="1:4" x14ac:dyDescent="0.35">
      <c r="A9558" s="11" t="str">
        <f t="shared" si="4917"/>
        <v>All BU</v>
      </c>
      <c r="B9558" s="6" t="str">
        <f t="shared" si="4935"/>
        <v>% of 3-Month Active Agents 13+M</v>
      </c>
      <c r="C9558" s="4" t="str">
        <f>CHOOSE(2, "5462030031", "Jul 26")</f>
        <v>Jul 26</v>
      </c>
      <c r="D9558" s="14">
        <v>0.22578555659841104</v>
      </c>
    </row>
    <row r="9559" spans="1:4" x14ac:dyDescent="0.35">
      <c r="A9559" s="11" t="str">
        <f t="shared" si="4917"/>
        <v>All BU</v>
      </c>
      <c r="B9559" s="3" t="str">
        <f t="shared" ref="B9559:B9560" si="4936">CHOOSE(2, "1395000000560", "Avg. Case count per 1-Month Active Agent 0-1M")</f>
        <v>Avg. Case count per 1-Month Active Agent 0-1M</v>
      </c>
      <c r="C9559" s="4" t="str">
        <f>CHOOSE(2, "5461730030", "Jun 26")</f>
        <v>Jun 26</v>
      </c>
      <c r="D9559" s="14">
        <v>1.0175824175824175</v>
      </c>
    </row>
    <row r="9560" spans="1:4" x14ac:dyDescent="0.35">
      <c r="A9560" s="11" t="str">
        <f t="shared" si="4917"/>
        <v>All BU</v>
      </c>
      <c r="B9560" s="6" t="str">
        <f t="shared" si="4936"/>
        <v>Avg. Case count per 1-Month Active Agent 0-1M</v>
      </c>
      <c r="C9560" s="4" t="str">
        <f>CHOOSE(2, "5462030031", "Jul 26")</f>
        <v>Jul 26</v>
      </c>
      <c r="D9560" s="14">
        <v>1.6619658119658121</v>
      </c>
    </row>
    <row r="9561" spans="1:4" x14ac:dyDescent="0.35">
      <c r="A9561" s="11" t="str">
        <f t="shared" si="4917"/>
        <v>All BU</v>
      </c>
      <c r="B9561" s="3" t="str">
        <f t="shared" ref="B9561:B9562" si="4937">CHOOSE(2, "1395000000559", "Avg. Case count per 1-Month Active Agent in 2-3M")</f>
        <v>Avg. Case count per 1-Month Active Agent in 2-3M</v>
      </c>
      <c r="C9561" s="4" t="str">
        <f>CHOOSE(2, "5461730030", "Jun 26")</f>
        <v>Jun 26</v>
      </c>
      <c r="D9561" s="14">
        <v>1.4964511041009463</v>
      </c>
    </row>
    <row r="9562" spans="1:4" x14ac:dyDescent="0.35">
      <c r="A9562" s="11" t="str">
        <f t="shared" si="4917"/>
        <v>All BU</v>
      </c>
      <c r="B9562" s="6" t="str">
        <f t="shared" si="4937"/>
        <v>Avg. Case count per 1-Month Active Agent in 2-3M</v>
      </c>
      <c r="C9562" s="4" t="str">
        <f>CHOOSE(2, "5462030031", "Jul 26")</f>
        <v>Jul 26</v>
      </c>
      <c r="D9562" s="14">
        <v>1.8448275862068966</v>
      </c>
    </row>
    <row r="9563" spans="1:4" x14ac:dyDescent="0.35">
      <c r="A9563" s="11" t="str">
        <f t="shared" si="4917"/>
        <v>All BU</v>
      </c>
      <c r="B9563" s="3" t="str">
        <f t="shared" ref="B9563:B9564" si="4938">CHOOSE(2, "1395000000558", "Avg. Case count per 1-Month Active Agent 4-12M")</f>
        <v>Avg. Case count per 1-Month Active Agent 4-12M</v>
      </c>
      <c r="C9563" s="4" t="str">
        <f>CHOOSE(2, "5461730030", "Jun 26")</f>
        <v>Jun 26</v>
      </c>
      <c r="D9563" s="14">
        <v>1.4042331971778685</v>
      </c>
    </row>
    <row r="9564" spans="1:4" x14ac:dyDescent="0.35">
      <c r="A9564" s="11" t="str">
        <f t="shared" si="4917"/>
        <v>All BU</v>
      </c>
      <c r="B9564" s="6" t="str">
        <f t="shared" si="4938"/>
        <v>Avg. Case count per 1-Month Active Agent 4-12M</v>
      </c>
      <c r="C9564" s="4" t="str">
        <f>CHOOSE(2, "5462030031", "Jul 26")</f>
        <v>Jul 26</v>
      </c>
      <c r="D9564" s="14">
        <v>2.0154234234234236</v>
      </c>
    </row>
    <row r="9565" spans="1:4" x14ac:dyDescent="0.35">
      <c r="A9565" s="11" t="str">
        <f t="shared" si="4917"/>
        <v>All BU</v>
      </c>
      <c r="B9565" s="3" t="str">
        <f t="shared" ref="B9565:B9566" si="4939">CHOOSE(2, "1395000000557", "Avg. Case count per 1-Month Active Agent 13+M")</f>
        <v>Avg. Case count per 1-Month Active Agent 13+M</v>
      </c>
      <c r="C9565" s="4" t="str">
        <f>CHOOSE(2, "5461730030", "Jun 26")</f>
        <v>Jun 26</v>
      </c>
      <c r="D9565" s="14">
        <v>2.1344167701409686</v>
      </c>
    </row>
    <row r="9566" spans="1:4" x14ac:dyDescent="0.35">
      <c r="A9566" s="11" t="str">
        <f t="shared" si="4917"/>
        <v>All BU</v>
      </c>
      <c r="B9566" s="6" t="str">
        <f t="shared" si="4939"/>
        <v>Avg. Case count per 1-Month Active Agent 13+M</v>
      </c>
      <c r="C9566" s="4" t="str">
        <f>CHOOSE(2, "5462030031", "Jul 26")</f>
        <v>Jul 26</v>
      </c>
      <c r="D9566" s="14">
        <v>2.873460856346592</v>
      </c>
    </row>
    <row r="9567" spans="1:4" x14ac:dyDescent="0.35">
      <c r="A9567" s="11" t="str">
        <f t="shared" si="4917"/>
        <v>All BU</v>
      </c>
      <c r="B9567" s="3" t="str">
        <f t="shared" ref="B9567:B9568" si="4940">CHOOSE(2, "1395000000556", "Avg. Case size 0-1M")</f>
        <v>Avg. Case size 0-1M</v>
      </c>
      <c r="C9567" s="4" t="str">
        <f>CHOOSE(2, "5461730030", "Jun 26")</f>
        <v>Jun 26</v>
      </c>
      <c r="D9567" s="14">
        <v>17988.552830433</v>
      </c>
    </row>
    <row r="9568" spans="1:4" x14ac:dyDescent="0.35">
      <c r="A9568" s="11" t="str">
        <f t="shared" si="4917"/>
        <v>All BU</v>
      </c>
      <c r="B9568" s="6" t="str">
        <f t="shared" si="4940"/>
        <v>Avg. Case size 0-1M</v>
      </c>
      <c r="C9568" s="4" t="str">
        <f>CHOOSE(2, "5462030031", "Jul 26")</f>
        <v>Jul 26</v>
      </c>
      <c r="D9568" s="14">
        <v>9969.2127951086168</v>
      </c>
    </row>
    <row r="9569" spans="1:4" x14ac:dyDescent="0.35">
      <c r="A9569" s="11" t="str">
        <f t="shared" si="4917"/>
        <v>All BU</v>
      </c>
      <c r="B9569" s="3" t="str">
        <f t="shared" ref="B9569:B9570" si="4941">CHOOSE(2, "1395000000555", "Avg. Case size in 2-3M")</f>
        <v>Avg. Case size in 2-3M</v>
      </c>
      <c r="C9569" s="4" t="str">
        <f>CHOOSE(2, "5461730030", "Jun 26")</f>
        <v>Jun 26</v>
      </c>
      <c r="D9569" s="14">
        <v>17557.206767832366</v>
      </c>
    </row>
    <row r="9570" spans="1:4" x14ac:dyDescent="0.35">
      <c r="A9570" s="11" t="str">
        <f t="shared" si="4917"/>
        <v>All BU</v>
      </c>
      <c r="B9570" s="6" t="str">
        <f t="shared" si="4941"/>
        <v>Avg. Case size in 2-3M</v>
      </c>
      <c r="C9570" s="4" t="str">
        <f>CHOOSE(2, "5462030031", "Jul 26")</f>
        <v>Jul 26</v>
      </c>
      <c r="D9570" s="14">
        <v>9452.3206566868939</v>
      </c>
    </row>
    <row r="9571" spans="1:4" x14ac:dyDescent="0.35">
      <c r="A9571" s="11" t="str">
        <f t="shared" si="4917"/>
        <v>All BU</v>
      </c>
      <c r="B9571" s="3" t="str">
        <f t="shared" ref="B9571:B9572" si="4942">CHOOSE(2, "1395000000554", "Avg. Case size 4-12M")</f>
        <v>Avg. Case size 4-12M</v>
      </c>
      <c r="C9571" s="4" t="str">
        <f>CHOOSE(2, "5461730030", "Jun 26")</f>
        <v>Jun 26</v>
      </c>
      <c r="D9571" s="14">
        <v>13214.565200693585</v>
      </c>
    </row>
    <row r="9572" spans="1:4" x14ac:dyDescent="0.35">
      <c r="A9572" s="11" t="str">
        <f t="shared" si="4917"/>
        <v>All BU</v>
      </c>
      <c r="B9572" s="6" t="str">
        <f t="shared" si="4942"/>
        <v>Avg. Case size 4-12M</v>
      </c>
      <c r="C9572" s="4" t="str">
        <f>CHOOSE(2, "5462030031", "Jul 26")</f>
        <v>Jul 26</v>
      </c>
      <c r="D9572" s="14">
        <v>6238.9575354312092</v>
      </c>
    </row>
    <row r="9573" spans="1:4" x14ac:dyDescent="0.35">
      <c r="A9573" s="11" t="str">
        <f t="shared" si="4917"/>
        <v>All BU</v>
      </c>
      <c r="B9573" s="3" t="str">
        <f t="shared" ref="B9573:B9574" si="4943">CHOOSE(2, "1395000000553", "Avg. Case size 13+M")</f>
        <v>Avg. Case size 13+M</v>
      </c>
      <c r="C9573" s="4" t="str">
        <f>CHOOSE(2, "5461730030", "Jun 26")</f>
        <v>Jun 26</v>
      </c>
      <c r="D9573" s="14">
        <v>2280.094300719787</v>
      </c>
    </row>
    <row r="9574" spans="1:4" x14ac:dyDescent="0.35">
      <c r="A9574" s="11" t="str">
        <f t="shared" si="4917"/>
        <v>All BU</v>
      </c>
      <c r="B9574" s="6" t="str">
        <f t="shared" si="4943"/>
        <v>Avg. Case size 13+M</v>
      </c>
      <c r="C9574" s="4" t="str">
        <f>CHOOSE(2, "5462030031", "Jul 26")</f>
        <v>Jul 26</v>
      </c>
      <c r="D9574" s="14">
        <v>1025.5283068057915</v>
      </c>
    </row>
    <row r="9575" spans="1:4" x14ac:dyDescent="0.35">
      <c r="A9575" s="11" t="str">
        <f t="shared" si="4917"/>
        <v>All BU</v>
      </c>
      <c r="B9575" s="3" t="str">
        <f t="shared" ref="B9575:B9576" si="4944">CHOOSE(2, "1395000000552", "Avg. Case size UM")</f>
        <v>Avg. Case size UM</v>
      </c>
      <c r="C9575" s="4" t="str">
        <f>CHOOSE(2, "5461730030", "Jun 26")</f>
        <v>Jun 26</v>
      </c>
      <c r="D9575" s="14">
        <v>0</v>
      </c>
    </row>
    <row r="9576" spans="1:4" x14ac:dyDescent="0.35">
      <c r="A9576" s="11" t="str">
        <f t="shared" si="4917"/>
        <v>All BU</v>
      </c>
      <c r="B9576" s="6" t="str">
        <f t="shared" si="4944"/>
        <v>Avg. Case size UM</v>
      </c>
      <c r="C9576" s="4" t="str">
        <f>CHOOSE(2, "5462030031", "Jul 26")</f>
        <v>Jul 26</v>
      </c>
      <c r="D9576" s="14">
        <v>0</v>
      </c>
    </row>
    <row r="9577" spans="1:4" x14ac:dyDescent="0.35">
      <c r="A9577" s="11" t="str">
        <f t="shared" si="4917"/>
        <v>All BU</v>
      </c>
      <c r="B9577" s="3" t="str">
        <f t="shared" ref="B9577:B9578" si="4945">CHOOSE(2, "1395000000551", "Avg. Case size Leaders above UM")</f>
        <v>Avg. Case size Leaders above UM</v>
      </c>
      <c r="C9577" s="4" t="str">
        <f>CHOOSE(2, "5461730030", "Jun 26")</f>
        <v>Jun 26</v>
      </c>
      <c r="D9577" s="14">
        <v>0</v>
      </c>
    </row>
    <row r="9578" spans="1:4" x14ac:dyDescent="0.35">
      <c r="A9578" s="11" t="str">
        <f t="shared" si="4917"/>
        <v>All BU</v>
      </c>
      <c r="B9578" s="6" t="str">
        <f t="shared" si="4945"/>
        <v>Avg. Case size Leaders above UM</v>
      </c>
      <c r="C9578" s="4" t="str">
        <f>CHOOSE(2, "5462030031", "Jul 26")</f>
        <v>Jul 26</v>
      </c>
      <c r="D9578" s="14">
        <v>0</v>
      </c>
    </row>
    <row r="9579" spans="1:4" x14ac:dyDescent="0.35">
      <c r="A9579" s="11" t="str">
        <f t="shared" si="4917"/>
        <v>All BU</v>
      </c>
      <c r="B9579" s="3" t="str">
        <f t="shared" ref="B9579:B9580" si="4946">CHOOSE(2, "1395000000550", "Avg. Case size Top-tier agents")</f>
        <v>Avg. Case size Top-tier agents</v>
      </c>
      <c r="C9579" s="4" t="str">
        <f>CHOOSE(2, "5461730030", "Jun 26")</f>
        <v>Jun 26</v>
      </c>
      <c r="D9579" s="14">
        <v>7448.4673087971296</v>
      </c>
    </row>
    <row r="9580" spans="1:4" x14ac:dyDescent="0.35">
      <c r="A9580" s="11" t="str">
        <f t="shared" si="4917"/>
        <v>All BU</v>
      </c>
      <c r="B9580" s="6" t="str">
        <f t="shared" si="4946"/>
        <v>Avg. Case size Top-tier agents</v>
      </c>
      <c r="C9580" s="4" t="str">
        <f>CHOOSE(2, "5462030031", "Jul 26")</f>
        <v>Jul 26</v>
      </c>
      <c r="D9580" s="14">
        <v>2621.3663082950561</v>
      </c>
    </row>
    <row r="9581" spans="1:4" x14ac:dyDescent="0.35">
      <c r="A9581" s="11" t="str">
        <f t="shared" si="4917"/>
        <v>All BU</v>
      </c>
      <c r="B9581" s="3" t="str">
        <f t="shared" ref="B9581:B9582" si="4947">CHOOSE(2, "1395000000549", "Avg. Case size Manulife Pro Qualifiers - Total")</f>
        <v>Avg. Case size Manulife Pro Qualifiers - Total</v>
      </c>
      <c r="C9581" s="4" t="str">
        <f>CHOOSE(2, "5461730030", "Jun 26")</f>
        <v>Jun 26</v>
      </c>
      <c r="D9581" s="14">
        <v>1470.1464731686201</v>
      </c>
    </row>
    <row r="9582" spans="1:4" x14ac:dyDescent="0.35">
      <c r="A9582" s="11" t="str">
        <f t="shared" si="4917"/>
        <v>All BU</v>
      </c>
      <c r="B9582" s="6" t="str">
        <f t="shared" si="4947"/>
        <v>Avg. Case size Manulife Pro Qualifiers - Total</v>
      </c>
      <c r="C9582" s="4" t="str">
        <f>CHOOSE(2, "5462030031", "Jul 26")</f>
        <v>Jul 26</v>
      </c>
      <c r="D9582" s="14">
        <v>1232.66376995665</v>
      </c>
    </row>
    <row r="9583" spans="1:4" x14ac:dyDescent="0.35">
      <c r="A9583" s="11" t="str">
        <f t="shared" si="4917"/>
        <v>All BU</v>
      </c>
      <c r="B9583" s="3" t="str">
        <f t="shared" ref="B9583:B9584" si="4948">CHOOSE(2, "1395000000548", "Avg. Case size FA or equivalent")</f>
        <v>Avg. Case size FA or equivalent</v>
      </c>
      <c r="C9583" s="4" t="str">
        <f>CHOOSE(2, "5461730030", "Jun 26")</f>
        <v>Jun 26</v>
      </c>
      <c r="D9583" s="14">
        <v>0</v>
      </c>
    </row>
    <row r="9584" spans="1:4" x14ac:dyDescent="0.35">
      <c r="A9584" s="11" t="str">
        <f t="shared" si="4917"/>
        <v>All BU</v>
      </c>
      <c r="B9584" s="6" t="str">
        <f t="shared" si="4948"/>
        <v>Avg. Case size FA or equivalent</v>
      </c>
      <c r="C9584" s="4" t="str">
        <f>CHOOSE(2, "5462030031", "Jul 26")</f>
        <v>Jul 26</v>
      </c>
      <c r="D9584" s="14">
        <v>0</v>
      </c>
    </row>
    <row r="9585" spans="1:4" x14ac:dyDescent="0.35">
      <c r="A9585" s="11" t="str">
        <f t="shared" si="4917"/>
        <v>All BU</v>
      </c>
      <c r="B9585" s="3" t="str">
        <f t="shared" ref="B9585:B9586" si="4949">CHOOSE(2, "1395000000547", "Avg. Case size pro-rated MDRT agents (&gt;100%)")</f>
        <v>Avg. Case size pro-rated MDRT agents (&gt;100%)</v>
      </c>
      <c r="C9585" s="4" t="str">
        <f>CHOOSE(2, "5461730030", "Jun 26")</f>
        <v>Jun 26</v>
      </c>
      <c r="D9585" s="14">
        <v>9479.1643789041245</v>
      </c>
    </row>
    <row r="9586" spans="1:4" x14ac:dyDescent="0.35">
      <c r="A9586" s="11" t="str">
        <f t="shared" si="4917"/>
        <v>All BU</v>
      </c>
      <c r="B9586" s="6" t="str">
        <f t="shared" si="4949"/>
        <v>Avg. Case size pro-rated MDRT agents (&gt;100%)</v>
      </c>
      <c r="C9586" s="4" t="str">
        <f>CHOOSE(2, "5462030031", "Jul 26")</f>
        <v>Jul 26</v>
      </c>
      <c r="D9586" s="14">
        <v>3235.2814308640659</v>
      </c>
    </row>
    <row r="9587" spans="1:4" x14ac:dyDescent="0.35">
      <c r="A9587" s="11" t="str">
        <f t="shared" ref="A9587:A9620" si="4950">CHOOSE(2, "204000000000", "All BU")</f>
        <v>All BU</v>
      </c>
      <c r="B9587" s="3" t="str">
        <f t="shared" ref="B9587:B9588" si="4951">CHOOSE(2, "1395000000546", "Avg. Case size pro-rated MDRT agents (70-99%)")</f>
        <v>Avg. Case size pro-rated MDRT agents (70-99%)</v>
      </c>
      <c r="C9587" s="4" t="str">
        <f>CHOOSE(2, "5461730030", "Jun 26")</f>
        <v>Jun 26</v>
      </c>
      <c r="D9587" s="14">
        <v>3830.8413180951425</v>
      </c>
    </row>
    <row r="9588" spans="1:4" x14ac:dyDescent="0.35">
      <c r="A9588" s="11" t="str">
        <f t="shared" si="4950"/>
        <v>All BU</v>
      </c>
      <c r="B9588" s="6" t="str">
        <f t="shared" si="4951"/>
        <v>Avg. Case size pro-rated MDRT agents (70-99%)</v>
      </c>
      <c r="C9588" s="4" t="str">
        <f>CHOOSE(2, "5462030031", "Jul 26")</f>
        <v>Jul 26</v>
      </c>
      <c r="D9588" s="14">
        <v>1706.0013912083975</v>
      </c>
    </row>
    <row r="9589" spans="1:4" x14ac:dyDescent="0.35">
      <c r="A9589" s="11" t="str">
        <f t="shared" si="4950"/>
        <v>All BU</v>
      </c>
      <c r="B9589" s="3" t="str">
        <f t="shared" ref="B9589:B9590" si="4952">CHOOSE(2, "1395000000545", "Avg. Case size pro-rated MDRT agents (50-69%)")</f>
        <v>Avg. Case size pro-rated MDRT agents (50-69%)</v>
      </c>
      <c r="C9589" s="4" t="str">
        <f>CHOOSE(2, "5461730030", "Jun 26")</f>
        <v>Jun 26</v>
      </c>
      <c r="D9589" s="14">
        <v>3167.1455063537255</v>
      </c>
    </row>
    <row r="9590" spans="1:4" x14ac:dyDescent="0.35">
      <c r="A9590" s="11" t="str">
        <f t="shared" si="4950"/>
        <v>All BU</v>
      </c>
      <c r="B9590" s="6" t="str">
        <f t="shared" si="4952"/>
        <v>Avg. Case size pro-rated MDRT agents (50-69%)</v>
      </c>
      <c r="C9590" s="4" t="str">
        <f>CHOOSE(2, "5462030031", "Jul 26")</f>
        <v>Jul 26</v>
      </c>
      <c r="D9590" s="14">
        <v>1331.3506837972502</v>
      </c>
    </row>
    <row r="9591" spans="1:4" x14ac:dyDescent="0.35">
      <c r="A9591" s="11" t="str">
        <f t="shared" si="4950"/>
        <v>All BU</v>
      </c>
      <c r="B9591" s="3" t="str">
        <f t="shared" ref="B9591:B9592" si="4953">CHOOSE(2, "1395000000544", "% of 1-Month Active Agents UM")</f>
        <v>% of 1-Month Active Agents UM</v>
      </c>
      <c r="C9591" s="4" t="str">
        <f>CHOOSE(2, "5461730030", "Jun 26")</f>
        <v>Jun 26</v>
      </c>
      <c r="D9591" s="14">
        <v>0.36657276995305166</v>
      </c>
    </row>
    <row r="9592" spans="1:4" x14ac:dyDescent="0.35">
      <c r="A9592" s="11" t="str">
        <f t="shared" si="4950"/>
        <v>All BU</v>
      </c>
      <c r="B9592" s="6" t="str">
        <f t="shared" si="4953"/>
        <v>% of 1-Month Active Agents UM</v>
      </c>
      <c r="C9592" s="4" t="str">
        <f>CHOOSE(2, "5462030031", "Jul 26")</f>
        <v>Jul 26</v>
      </c>
      <c r="D9592" s="14">
        <v>0.4685327478960849</v>
      </c>
    </row>
    <row r="9593" spans="1:4" x14ac:dyDescent="0.35">
      <c r="A9593" s="11" t="str">
        <f t="shared" si="4950"/>
        <v>All BU</v>
      </c>
      <c r="B9593" s="3" t="str">
        <f t="shared" ref="B9593:B9594" si="4954">CHOOSE(2, "1395000000543", "% of 1-Month Active Agents Leaders above UM")</f>
        <v>% of 1-Month Active Agents Leaders above UM</v>
      </c>
      <c r="C9593" s="4" t="str">
        <f>CHOOSE(2, "5461730030", "Jun 26")</f>
        <v>Jun 26</v>
      </c>
      <c r="D9593" s="14">
        <v>0.40197152245345019</v>
      </c>
    </row>
    <row r="9594" spans="1:4" x14ac:dyDescent="0.35">
      <c r="A9594" s="11" t="str">
        <f t="shared" si="4950"/>
        <v>All BU</v>
      </c>
      <c r="B9594" s="6" t="str">
        <f t="shared" si="4954"/>
        <v>% of 1-Month Active Agents Leaders above UM</v>
      </c>
      <c r="C9594" s="4" t="str">
        <f>CHOOSE(2, "5462030031", "Jul 26")</f>
        <v>Jul 26</v>
      </c>
      <c r="D9594" s="14">
        <v>0.5819628647214854</v>
      </c>
    </row>
    <row r="9595" spans="1:4" x14ac:dyDescent="0.35">
      <c r="A9595" s="11" t="str">
        <f t="shared" si="4950"/>
        <v>All BU</v>
      </c>
      <c r="B9595" s="3" t="str">
        <f t="shared" ref="B9595:B9596" si="4955">CHOOSE(2, "1395000000542", "% of 1-Month Active Agents Top-tier agents")</f>
        <v>% of 1-Month Active Agents Top-tier agents</v>
      </c>
      <c r="C9595" s="4" t="str">
        <f>CHOOSE(2, "5461730030", "Jun 26")</f>
        <v>Jun 26</v>
      </c>
      <c r="D9595" s="14">
        <v>0.55466816647919015</v>
      </c>
    </row>
    <row r="9596" spans="1:4" x14ac:dyDescent="0.35">
      <c r="A9596" s="11" t="str">
        <f t="shared" si="4950"/>
        <v>All BU</v>
      </c>
      <c r="B9596" s="6" t="str">
        <f t="shared" si="4955"/>
        <v>% of 1-Month Active Agents Top-tier agents</v>
      </c>
      <c r="C9596" s="4" t="str">
        <f>CHOOSE(2, "5462030031", "Jul 26")</f>
        <v>Jul 26</v>
      </c>
      <c r="D9596" s="14">
        <v>0.81621557735492256</v>
      </c>
    </row>
    <row r="9597" spans="1:4" x14ac:dyDescent="0.35">
      <c r="A9597" s="11" t="str">
        <f t="shared" si="4950"/>
        <v>All BU</v>
      </c>
      <c r="B9597" s="3" t="str">
        <f t="shared" ref="B9597:B9598" si="4956">CHOOSE(2, "1395000000541", "% of 1-Month Active Agents FA or equivalent")</f>
        <v>% of 1-Month Active Agents FA or equivalent</v>
      </c>
      <c r="C9597" s="4" t="str">
        <f>CHOOSE(2, "5461730030", "Jun 26")</f>
        <v>Jun 26</v>
      </c>
      <c r="D9597" s="14">
        <v>0.11873549168470277</v>
      </c>
    </row>
    <row r="9598" spans="1:4" x14ac:dyDescent="0.35">
      <c r="A9598" s="11" t="str">
        <f t="shared" si="4950"/>
        <v>All BU</v>
      </c>
      <c r="B9598" s="6" t="str">
        <f t="shared" si="4956"/>
        <v>% of 1-Month Active Agents FA or equivalent</v>
      </c>
      <c r="C9598" s="4" t="str">
        <f>CHOOSE(2, "5462030031", "Jul 26")</f>
        <v>Jul 26</v>
      </c>
      <c r="D9598" s="14">
        <v>0.1366615735512301</v>
      </c>
    </row>
    <row r="9599" spans="1:4" x14ac:dyDescent="0.35">
      <c r="A9599" s="11" t="str">
        <f t="shared" si="4950"/>
        <v>All BU</v>
      </c>
      <c r="B9599" s="3" t="str">
        <f t="shared" ref="B9599:B9600" si="4957">CHOOSE(2, "1395000000540", "% of 1-Month Active Agents pro-rated MDRT agents (&gt;100%)")</f>
        <v>% of 1-Month Active Agents pro-rated MDRT agents (&gt;100%)</v>
      </c>
      <c r="C9599" s="4" t="str">
        <f>CHOOSE(2, "5461730030", "Jun 26")</f>
        <v>Jun 26</v>
      </c>
      <c r="D9599" s="14">
        <v>0.57892603850050661</v>
      </c>
    </row>
    <row r="9600" spans="1:4" x14ac:dyDescent="0.35">
      <c r="A9600" s="11" t="str">
        <f t="shared" si="4950"/>
        <v>All BU</v>
      </c>
      <c r="B9600" s="6" t="str">
        <f t="shared" si="4957"/>
        <v>% of 1-Month Active Agents pro-rated MDRT agents (&gt;100%)</v>
      </c>
      <c r="C9600" s="4" t="str">
        <f>CHOOSE(2, "5462030031", "Jul 26")</f>
        <v>Jul 26</v>
      </c>
      <c r="D9600" s="14">
        <v>0.86419477328568239</v>
      </c>
    </row>
    <row r="9601" spans="1:4" x14ac:dyDescent="0.35">
      <c r="A9601" s="11" t="str">
        <f t="shared" si="4950"/>
        <v>All BU</v>
      </c>
      <c r="B9601" s="3" t="str">
        <f t="shared" ref="B9601:B9602" si="4958">CHOOSE(2, "1395000000539", "% of 1-Month Active Agents pro-rated MDRT agents (70-99%)")</f>
        <v>% of 1-Month Active Agents pro-rated MDRT agents (70-99%)</v>
      </c>
      <c r="C9601" s="4" t="str">
        <f>CHOOSE(2, "5461730030", "Jun 26")</f>
        <v>Jun 26</v>
      </c>
      <c r="D9601" s="14">
        <v>0.53878188443519004</v>
      </c>
    </row>
    <row r="9602" spans="1:4" x14ac:dyDescent="0.35">
      <c r="A9602" s="11" t="str">
        <f t="shared" si="4950"/>
        <v>All BU</v>
      </c>
      <c r="B9602" s="6" t="str">
        <f t="shared" si="4958"/>
        <v>% of 1-Month Active Agents pro-rated MDRT agents (70-99%)</v>
      </c>
      <c r="C9602" s="4" t="str">
        <f>CHOOSE(2, "5462030031", "Jul 26")</f>
        <v>Jul 26</v>
      </c>
      <c r="D9602" s="14">
        <v>0.78199791883454739</v>
      </c>
    </row>
    <row r="9603" spans="1:4" x14ac:dyDescent="0.35">
      <c r="A9603" s="11" t="str">
        <f t="shared" si="4950"/>
        <v>All BU</v>
      </c>
      <c r="B9603" s="3" t="str">
        <f t="shared" ref="B9603:B9604" si="4959">CHOOSE(2, "1395000000538", "% of 1-Month Active Agents pro-rated MDRT agents (50-69%)")</f>
        <v>% of 1-Month Active Agents pro-rated MDRT agents (50-69%)</v>
      </c>
      <c r="C9603" s="4" t="str">
        <f>CHOOSE(2, "5461730030", "Jun 26")</f>
        <v>Jun 26</v>
      </c>
      <c r="D9603" s="14">
        <v>0.51081612586037362</v>
      </c>
    </row>
    <row r="9604" spans="1:4" x14ac:dyDescent="0.35">
      <c r="A9604" s="11" t="str">
        <f t="shared" si="4950"/>
        <v>All BU</v>
      </c>
      <c r="B9604" s="6" t="str">
        <f t="shared" si="4959"/>
        <v>% of 1-Month Active Agents pro-rated MDRT agents (50-69%)</v>
      </c>
      <c r="C9604" s="4" t="str">
        <f>CHOOSE(2, "5462030031", "Jul 26")</f>
        <v>Jul 26</v>
      </c>
      <c r="D9604" s="14">
        <v>0.74393792434529582</v>
      </c>
    </row>
    <row r="9605" spans="1:4" x14ac:dyDescent="0.35">
      <c r="A9605" s="11" t="str">
        <f t="shared" si="4950"/>
        <v>All BU</v>
      </c>
      <c r="B9605" s="3" t="str">
        <f t="shared" ref="B9605:B9606" si="4960">CHOOSE(2, "1395000000537", "Avg. Case count per 1-Month Active Agent UM")</f>
        <v>Avg. Case count per 1-Month Active Agent UM</v>
      </c>
      <c r="C9605" s="4" t="str">
        <f>CHOOSE(2, "5461730030", "Jun 26")</f>
        <v>Jun 26</v>
      </c>
      <c r="D9605" s="14">
        <v>2.2501536885245903</v>
      </c>
    </row>
    <row r="9606" spans="1:4" x14ac:dyDescent="0.35">
      <c r="A9606" s="11" t="str">
        <f t="shared" si="4950"/>
        <v>All BU</v>
      </c>
      <c r="B9606" s="6" t="str">
        <f t="shared" si="4960"/>
        <v>Avg. Case count per 1-Month Active Agent UM</v>
      </c>
      <c r="C9606" s="4" t="str">
        <f>CHOOSE(2, "5462030031", "Jul 26")</f>
        <v>Jul 26</v>
      </c>
      <c r="D9606" s="14">
        <v>3.2762592737212026</v>
      </c>
    </row>
    <row r="9607" spans="1:4" x14ac:dyDescent="0.35">
      <c r="A9607" s="11" t="str">
        <f t="shared" si="4950"/>
        <v>All BU</v>
      </c>
      <c r="B9607" s="3" t="str">
        <f t="shared" ref="B9607:B9608" si="4961">CHOOSE(2, "1395000000536", "Avg. Case count per 1-Month Active Agent Leaders above UM")</f>
        <v>Avg. Case count per 1-Month Active Agent Leaders above UM</v>
      </c>
      <c r="C9607" s="4" t="str">
        <f>CHOOSE(2, "5461730030", "Jun 26")</f>
        <v>Jun 26</v>
      </c>
      <c r="D9607" s="14">
        <v>2.364577656675749</v>
      </c>
    </row>
    <row r="9608" spans="1:4" x14ac:dyDescent="0.35">
      <c r="A9608" s="11" t="str">
        <f t="shared" si="4950"/>
        <v>All BU</v>
      </c>
      <c r="B9608" s="6" t="str">
        <f t="shared" si="4961"/>
        <v>Avg. Case count per 1-Month Active Agent Leaders above UM</v>
      </c>
      <c r="C9608" s="4" t="str">
        <f>CHOOSE(2, "5462030031", "Jul 26")</f>
        <v>Jul 26</v>
      </c>
      <c r="D9608" s="14">
        <v>4.0660437556973559</v>
      </c>
    </row>
    <row r="9609" spans="1:4" x14ac:dyDescent="0.35">
      <c r="A9609" s="11" t="str">
        <f t="shared" si="4950"/>
        <v>All BU</v>
      </c>
      <c r="B9609" s="3" t="str">
        <f t="shared" ref="B9609:B9610" si="4962">CHOOSE(2, "1395000000535", "Avg. Case count per 1-Month Active Agent Top-tier agents")</f>
        <v>Avg. Case count per 1-Month Active Agent Top-tier agents</v>
      </c>
      <c r="C9609" s="4" t="str">
        <f>CHOOSE(2, "5461730030", "Jun 26")</f>
        <v>Jun 26</v>
      </c>
      <c r="D9609" s="14">
        <v>2.8755627661731897</v>
      </c>
    </row>
    <row r="9610" spans="1:4" x14ac:dyDescent="0.35">
      <c r="A9610" s="11" t="str">
        <f t="shared" si="4950"/>
        <v>All BU</v>
      </c>
      <c r="B9610" s="6" t="str">
        <f t="shared" si="4962"/>
        <v>Avg. Case count per 1-Month Active Agent Top-tier agents</v>
      </c>
      <c r="C9610" s="4" t="str">
        <f>CHOOSE(2, "5462030031", "Jul 26")</f>
        <v>Jul 26</v>
      </c>
      <c r="D9610" s="14">
        <v>4.2867796119316539</v>
      </c>
    </row>
    <row r="9611" spans="1:4" x14ac:dyDescent="0.35">
      <c r="A9611" s="11" t="str">
        <f t="shared" si="4950"/>
        <v>All BU</v>
      </c>
      <c r="B9611" s="3" t="str">
        <f t="shared" ref="B9611:B9612" si="4963">CHOOSE(2, "1395000000534", "Avg. Case count per 1-Month Manulife Pro Qualifiers - Total")</f>
        <v>Avg. Case count per 1-Month Manulife Pro Qualifiers - Total</v>
      </c>
      <c r="C9611" s="4" t="str">
        <f>CHOOSE(2, "5461730030", "Jun 26")</f>
        <v>Jun 26</v>
      </c>
      <c r="D9611" s="14">
        <v>2.25</v>
      </c>
    </row>
    <row r="9612" spans="1:4" x14ac:dyDescent="0.35">
      <c r="A9612" s="11" t="str">
        <f t="shared" si="4950"/>
        <v>All BU</v>
      </c>
      <c r="B9612" s="6" t="str">
        <f t="shared" si="4963"/>
        <v>Avg. Case count per 1-Month Manulife Pro Qualifiers - Total</v>
      </c>
      <c r="C9612" s="4" t="str">
        <f>CHOOSE(2, "5462030031", "Jul 26")</f>
        <v>Jul 26</v>
      </c>
      <c r="D9612" s="14">
        <v>2.2112730061349692</v>
      </c>
    </row>
    <row r="9613" spans="1:4" x14ac:dyDescent="0.35">
      <c r="A9613" s="11" t="str">
        <f t="shared" si="4950"/>
        <v>All BU</v>
      </c>
      <c r="B9613" s="3" t="str">
        <f t="shared" ref="B9613:B9614" si="4964">CHOOSE(2, "1395000000533", "Avg. Case count per 1-Month Active Agent FA or equivalent")</f>
        <v>Avg. Case count per 1-Month Active Agent FA or equivalent</v>
      </c>
      <c r="C9613" s="4" t="str">
        <f>CHOOSE(2, "5461730030", "Jun 26")</f>
        <v>Jun 26</v>
      </c>
      <c r="D9613" s="14">
        <v>1.8506705704571214</v>
      </c>
    </row>
    <row r="9614" spans="1:4" x14ac:dyDescent="0.35">
      <c r="A9614" s="11" t="str">
        <f t="shared" si="4950"/>
        <v>All BU</v>
      </c>
      <c r="B9614" s="6" t="str">
        <f t="shared" si="4964"/>
        <v>Avg. Case count per 1-Month Active Agent FA or equivalent</v>
      </c>
      <c r="C9614" s="4" t="str">
        <f>CHOOSE(2, "5462030031", "Jul 26")</f>
        <v>Jul 26</v>
      </c>
      <c r="D9614" s="14">
        <v>2.5597342623349264</v>
      </c>
    </row>
    <row r="9615" spans="1:4" x14ac:dyDescent="0.35">
      <c r="A9615" s="11" t="str">
        <f t="shared" si="4950"/>
        <v>All BU</v>
      </c>
      <c r="B9615" s="3" t="str">
        <f t="shared" ref="B9615:B9616" si="4965">CHOOSE(2, "1395000000532", "Avg. Case count per 1-Month pro-rated MDRT agents (&gt;100%)")</f>
        <v>Avg. Case count per 1-Month pro-rated MDRT agents (&gt;100%)</v>
      </c>
      <c r="C9615" s="4" t="str">
        <f>CHOOSE(2, "5461730030", "Jun 26")</f>
        <v>Jun 26</v>
      </c>
      <c r="D9615" s="14">
        <v>3.2753937696884843</v>
      </c>
    </row>
    <row r="9616" spans="1:4" x14ac:dyDescent="0.35">
      <c r="A9616" s="11" t="str">
        <f t="shared" si="4950"/>
        <v>All BU</v>
      </c>
      <c r="B9616" s="6" t="str">
        <f t="shared" si="4965"/>
        <v>Avg. Case count per 1-Month pro-rated MDRT agents (&gt;100%)</v>
      </c>
      <c r="C9616" s="4" t="str">
        <f>CHOOSE(2, "5462030031", "Jul 26")</f>
        <v>Jul 26</v>
      </c>
      <c r="D9616" s="14">
        <v>4.9149392607909022</v>
      </c>
    </row>
    <row r="9617" spans="1:4" x14ac:dyDescent="0.35">
      <c r="A9617" s="11" t="str">
        <f t="shared" si="4950"/>
        <v>All BU</v>
      </c>
      <c r="B9617" s="3" t="str">
        <f t="shared" ref="B9617:B9618" si="4966">CHOOSE(2, "1395000000531", "Avg. Case count per 1-Month pro-rated MDRT agents (70-99%)")</f>
        <v>Avg. Case count per 1-Month pro-rated MDRT agents (70-99%)</v>
      </c>
      <c r="C9617" s="4" t="str">
        <f>CHOOSE(2, "5461730030", "Jun 26")</f>
        <v>Jun 26</v>
      </c>
      <c r="D9617" s="14">
        <v>2.3966183574879225</v>
      </c>
    </row>
    <row r="9618" spans="1:4" x14ac:dyDescent="0.35">
      <c r="A9618" s="11" t="str">
        <f t="shared" si="4950"/>
        <v>All BU</v>
      </c>
      <c r="B9618" s="6" t="str">
        <f t="shared" si="4966"/>
        <v>Avg. Case count per 1-Month pro-rated MDRT agents (70-99%)</v>
      </c>
      <c r="C9618" s="4" t="str">
        <f>CHOOSE(2, "5462030031", "Jul 26")</f>
        <v>Jul 26</v>
      </c>
      <c r="D9618" s="14">
        <v>3.530405854956753</v>
      </c>
    </row>
    <row r="9619" spans="1:4" x14ac:dyDescent="0.35">
      <c r="A9619" s="11" t="str">
        <f t="shared" si="4950"/>
        <v>All BU</v>
      </c>
      <c r="B9619" s="3" t="str">
        <f t="shared" ref="B9619:B9620" si="4967">CHOOSE(2, "1395000000530", "Avg. Case count per 1-Month pro-rated MDRT agents (50-69%)")</f>
        <v>Avg. Case count per 1-Month pro-rated MDRT agents (50-69%)</v>
      </c>
      <c r="C9619" s="4" t="str">
        <f>CHOOSE(2, "5461730030", "Jun 26")</f>
        <v>Jun 26</v>
      </c>
      <c r="D9619" s="14">
        <v>2.2512993262752645</v>
      </c>
    </row>
    <row r="9620" spans="1:4" x14ac:dyDescent="0.35">
      <c r="A9620" s="12" t="str">
        <f t="shared" si="4950"/>
        <v>All BU</v>
      </c>
      <c r="B9620" s="6" t="str">
        <f t="shared" si="4967"/>
        <v>Avg. Case count per 1-Month pro-rated MDRT agents (50-69%)</v>
      </c>
      <c r="C9620" s="4" t="str">
        <f>CHOOSE(2, "5462030031", "Jul 26")</f>
        <v>Jul 26</v>
      </c>
      <c r="D9620" s="14">
        <v>3.4422425032594521</v>
      </c>
    </row>
  </sheetData>
  <pageMargins left="0.7" right="0.7" top="0.75" bottom="0.75" header="0.3" footer="0.3"/>
  <headerFooter>
    <oddFooter>&amp;C_x000D_&amp;1#&amp;"Aptos"&amp;8&amp;K000000 INTERNAL</oddFooter>
  </headerFooter>
  <customProperties>
    <customPr name="Anaplan" r:id="rId1"/>
    <customPr name="SheetMetaData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....0 Agency Comparatives - New</vt:lpstr>
      <vt:lpstr>'....0 Agency Comparatives - New'!AnaplanColHeader_3784dec5_2f7f_4147_97da_3226d3193860</vt:lpstr>
      <vt:lpstr>'....0 Agency Comparatives - New'!AnaplanDescription_3784dec5_2f7f_4147_97da_3226d3193860</vt:lpstr>
      <vt:lpstr>'....0 Agency Comparatives - New'!AnaplanRowHeader_3784dec5_2f7f_4147_97da_3226d3193860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Jermyn Liu</dc:creator>
  <cp:lastModifiedBy>Jermyn Liu</cp:lastModifiedBy>
  <dcterms:created xsi:type="dcterms:W3CDTF">2015-06-05T18:17:20Z</dcterms:created>
  <dcterms:modified xsi:type="dcterms:W3CDTF">2026-08-31T08:16:01Z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a27cab5-59e6-424d-abbb-227cd06504a3_Enabled">
    <vt:lpwstr>true</vt:lpwstr>
  </property>
  <property fmtid="{D5CDD505-2E9C-101B-9397-08002B2CF9AE}" pid="3" name="MSIP_Label_5a27cab5-59e6-424d-abbb-227cd06504a3_SetDate">
    <vt:lpwstr>2026-08-31T07:59:41Z</vt:lpwstr>
  </property>
  <property fmtid="{D5CDD505-2E9C-101B-9397-08002B2CF9AE}" pid="4" name="MSIP_Label_5a27cab5-59e6-424d-abbb-227cd06504a3_Method">
    <vt:lpwstr>Privileged</vt:lpwstr>
  </property>
  <property fmtid="{D5CDD505-2E9C-101B-9397-08002B2CF9AE}" pid="5" name="MSIP_Label_5a27cab5-59e6-424d-abbb-227cd06504a3_Name">
    <vt:lpwstr>INTERNAL v2</vt:lpwstr>
  </property>
  <property fmtid="{D5CDD505-2E9C-101B-9397-08002B2CF9AE}" pid="6" name="MSIP_Label_5a27cab5-59e6-424d-abbb-227cd06504a3_SiteId">
    <vt:lpwstr>5d3e2773-e07f-4432-a630-1a0f68a28a05</vt:lpwstr>
  </property>
  <property fmtid="{D5CDD505-2E9C-101B-9397-08002B2CF9AE}" pid="7" name="MSIP_Label_5a27cab5-59e6-424d-abbb-227cd06504a3_ActionId">
    <vt:lpwstr>77c634ec-0a6b-47ad-a90e-3e0557f67fb8</vt:lpwstr>
  </property>
  <property fmtid="{D5CDD505-2E9C-101B-9397-08002B2CF9AE}" pid="8" name="MSIP_Label_5a27cab5-59e6-424d-abbb-227cd06504a3_ContentBits">
    <vt:lpwstr>2</vt:lpwstr>
  </property>
  <property fmtid="{D5CDD505-2E9C-101B-9397-08002B2CF9AE}" pid="9" name="MSIP_Label_5a27cab5-59e6-424d-abbb-227cd06504a3_Tag">
    <vt:lpwstr>10, 0, 1, 1</vt:lpwstr>
  </property>
  <property fmtid="{D5CDD505-2E9C-101B-9397-08002B2CF9AE}" pid="10" name="WorkbookVersion">
    <vt:lpwstr>"1.0.0.0"</vt:lpwstr>
  </property>
  <property fmtid="{D5CDD505-2E9C-101B-9397-08002B2CF9AE}" pid="11" name="AnaplanSettings">
    <vt:lpwstr>{"PreserveExcelFormulas":false,"PreserveExcelFormatting":false,"ApplyAnaplanStyling":true,"DisplayConnectionDetails":true,"InsertNewMembersOnRefresh":false}</vt:lpwstr>
  </property>
</Properties>
</file>