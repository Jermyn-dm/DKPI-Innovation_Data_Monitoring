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fc.sharepoint.com/sites/DistributionKPI/Shared Documents/100 - BAU/09. Prod Issues/Defect fix - Anaplan Override/"/>
    </mc:Choice>
  </mc:AlternateContent>
  <xr:revisionPtr revIDLastSave="1613" documentId="13_ncr:1_{3A83195E-3884-4927-88F8-4952DE02F1FE}" xr6:coauthVersionLast="47" xr6:coauthVersionMax="47" xr10:uidLastSave="{7EB752B3-6A52-4DAF-A2F8-730EF2166A3D}"/>
  <bookViews>
    <workbookView xWindow="28680" yWindow="-120" windowWidth="29040" windowHeight="15720" xr2:uid="{00000000-000D-0000-FFFF-FFFF00000000}"/>
  </bookViews>
  <sheets>
    <sheet name="Dataset" sheetId="1" r:id="rId1"/>
    <sheet name="Sheet2" sheetId="4" r:id="rId2"/>
    <sheet name="Sheet1" sheetId="5" r:id="rId3"/>
    <sheet name="Sheet3" sheetId="6" r:id="rId4"/>
    <sheet name="KPI_Mapping" sheetId="2" r:id="rId5"/>
  </sheets>
  <definedNames>
    <definedName name="_xlnm._FilterDatabase" localSheetId="0" hidden="1">Dataset!$A$1:$K$315</definedName>
    <definedName name="_xlnm._FilterDatabase" localSheetId="2" hidden="1">Sheet1!$A$2:$Q$132</definedName>
    <definedName name="_xlnm._FilterDatabase" localSheetId="3" hidden="1">Sheet3!$N$18:$V$32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6" i="1" l="1"/>
  <c r="F43" i="6"/>
  <c r="J39" i="6"/>
  <c r="L57" i="4" l="1"/>
  <c r="M57" i="4"/>
  <c r="N57" i="4"/>
  <c r="O57" i="4"/>
  <c r="P57" i="4"/>
  <c r="Q57" i="4"/>
  <c r="K57" i="4"/>
  <c r="Q159" i="4"/>
  <c r="P159" i="4"/>
  <c r="O159" i="4"/>
  <c r="N159" i="4"/>
  <c r="M159" i="4"/>
  <c r="Q154" i="4"/>
  <c r="P154" i="4"/>
  <c r="O154" i="4"/>
  <c r="N154" i="4"/>
  <c r="M154" i="4"/>
  <c r="Q148" i="4"/>
  <c r="P148" i="4"/>
  <c r="O148" i="4"/>
  <c r="N148" i="4"/>
  <c r="M148" i="4"/>
  <c r="M143" i="4"/>
  <c r="N143" i="4"/>
  <c r="O143" i="4"/>
  <c r="P143" i="4"/>
  <c r="Q143" i="4"/>
  <c r="D302" i="1"/>
  <c r="D303" i="1"/>
  <c r="D301" i="1"/>
  <c r="D300" i="1"/>
  <c r="D298" i="1"/>
  <c r="N126" i="4"/>
  <c r="N127" i="4"/>
  <c r="N128" i="4"/>
  <c r="N129" i="4"/>
  <c r="N130" i="4"/>
  <c r="N125" i="4"/>
  <c r="M115" i="4"/>
  <c r="M120" i="4" s="1"/>
  <c r="N115" i="4"/>
  <c r="N120" i="4" s="1"/>
  <c r="O115" i="4"/>
  <c r="O120" i="4" s="1"/>
  <c r="P115" i="4"/>
  <c r="P120" i="4" s="1"/>
  <c r="Q115" i="4"/>
  <c r="Q120" i="4" s="1"/>
  <c r="L115" i="4"/>
  <c r="L120" i="4" s="1"/>
  <c r="D296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 l="1"/>
  <c r="D281" i="1"/>
  <c r="D280" i="1"/>
  <c r="D279" i="1"/>
  <c r="D278" i="1"/>
  <c r="X91" i="4"/>
  <c r="M90" i="4"/>
  <c r="N90" i="4"/>
  <c r="O90" i="4"/>
  <c r="P90" i="4"/>
  <c r="Q90" i="4"/>
  <c r="M91" i="4"/>
  <c r="N91" i="4"/>
  <c r="O91" i="4"/>
  <c r="P91" i="4"/>
  <c r="Q91" i="4"/>
  <c r="L91" i="4"/>
  <c r="L90" i="4"/>
  <c r="M82" i="4"/>
  <c r="N82" i="4"/>
  <c r="O82" i="4"/>
  <c r="P82" i="4"/>
  <c r="Q82" i="4"/>
  <c r="L82" i="4"/>
  <c r="M81" i="4"/>
  <c r="N81" i="4"/>
  <c r="O81" i="4"/>
  <c r="P81" i="4"/>
  <c r="Q81" i="4"/>
  <c r="L81" i="4"/>
  <c r="L71" i="4" l="1"/>
  <c r="M71" i="4"/>
  <c r="N71" i="4"/>
  <c r="O71" i="4"/>
  <c r="P71" i="4"/>
  <c r="K71" i="4"/>
  <c r="W64" i="4" l="1"/>
  <c r="X64" i="4"/>
  <c r="Y64" i="4"/>
  <c r="Z64" i="4"/>
  <c r="AA64" i="4"/>
  <c r="V64" i="4"/>
  <c r="W63" i="4"/>
  <c r="X63" i="4"/>
  <c r="X65" i="4" s="1"/>
  <c r="Y63" i="4"/>
  <c r="Y65" i="4" s="1"/>
  <c r="Z63" i="4"/>
  <c r="Z65" i="4" s="1"/>
  <c r="AA63" i="4"/>
  <c r="AA65" i="4" s="1"/>
  <c r="V63" i="4"/>
  <c r="V65" i="4" s="1"/>
  <c r="M48" i="4"/>
  <c r="N48" i="4"/>
  <c r="O48" i="4"/>
  <c r="P48" i="4"/>
  <c r="Q48" i="4"/>
  <c r="L48" i="4"/>
  <c r="M47" i="4"/>
  <c r="N47" i="4"/>
  <c r="O47" i="4"/>
  <c r="P47" i="4"/>
  <c r="Q47" i="4"/>
  <c r="L47" i="4"/>
  <c r="X47" i="4"/>
  <c r="Y47" i="4"/>
  <c r="Z47" i="4"/>
  <c r="AA47" i="4"/>
  <c r="AB47" i="4"/>
  <c r="W47" i="4"/>
  <c r="X43" i="4"/>
  <c r="Y43" i="4"/>
  <c r="Z43" i="4"/>
  <c r="AA43" i="4"/>
  <c r="AB43" i="4"/>
  <c r="W43" i="4"/>
  <c r="W65" i="4" l="1"/>
  <c r="W22" i="4"/>
  <c r="X22" i="4"/>
  <c r="Y22" i="4"/>
  <c r="Z22" i="4"/>
  <c r="AA22" i="4"/>
  <c r="V22" i="4"/>
  <c r="A4" i="5" l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E21" i="5" s="1"/>
  <c r="A22" i="5"/>
  <c r="A23" i="5"/>
  <c r="A24" i="5"/>
  <c r="A25" i="5"/>
  <c r="A26" i="5"/>
  <c r="A27" i="5"/>
  <c r="E27" i="5" s="1"/>
  <c r="A28" i="5"/>
  <c r="A29" i="5"/>
  <c r="A30" i="5"/>
  <c r="A31" i="5"/>
  <c r="A32" i="5"/>
  <c r="A33" i="5"/>
  <c r="A34" i="5"/>
  <c r="A35" i="5"/>
  <c r="A36" i="5"/>
  <c r="A37" i="5"/>
  <c r="A38" i="5"/>
  <c r="A39" i="5"/>
  <c r="E39" i="5" s="1"/>
  <c r="A40" i="5"/>
  <c r="A41" i="5"/>
  <c r="A42" i="5"/>
  <c r="A43" i="5"/>
  <c r="A44" i="5"/>
  <c r="A45" i="5"/>
  <c r="A46" i="5"/>
  <c r="A47" i="5"/>
  <c r="A48" i="5"/>
  <c r="A49" i="5"/>
  <c r="A50" i="5"/>
  <c r="A51" i="5"/>
  <c r="E51" i="5" s="1"/>
  <c r="A52" i="5"/>
  <c r="A53" i="5"/>
  <c r="A54" i="5"/>
  <c r="A55" i="5"/>
  <c r="A56" i="5"/>
  <c r="A57" i="5"/>
  <c r="A58" i="5"/>
  <c r="A59" i="5"/>
  <c r="A60" i="5"/>
  <c r="A61" i="5"/>
  <c r="A62" i="5"/>
  <c r="A63" i="5"/>
  <c r="E63" i="5" s="1"/>
  <c r="A64" i="5"/>
  <c r="A65" i="5"/>
  <c r="A66" i="5"/>
  <c r="A67" i="5"/>
  <c r="A68" i="5"/>
  <c r="A69" i="5"/>
  <c r="A70" i="5"/>
  <c r="A71" i="5"/>
  <c r="A72" i="5"/>
  <c r="A73" i="5"/>
  <c r="A74" i="5"/>
  <c r="A75" i="5"/>
  <c r="E75" i="5" s="1"/>
  <c r="A76" i="5"/>
  <c r="A77" i="5"/>
  <c r="A78" i="5"/>
  <c r="A79" i="5"/>
  <c r="A80" i="5"/>
  <c r="A81" i="5"/>
  <c r="E81" i="5" s="1"/>
  <c r="A82" i="5"/>
  <c r="A83" i="5"/>
  <c r="A84" i="5"/>
  <c r="A85" i="5"/>
  <c r="A86" i="5"/>
  <c r="A87" i="5"/>
  <c r="A88" i="5"/>
  <c r="A89" i="5"/>
  <c r="A90" i="5"/>
  <c r="A91" i="5"/>
  <c r="A92" i="5"/>
  <c r="A93" i="5"/>
  <c r="E93" i="5" s="1"/>
  <c r="A94" i="5"/>
  <c r="A95" i="5"/>
  <c r="A96" i="5"/>
  <c r="A97" i="5"/>
  <c r="A98" i="5"/>
  <c r="A99" i="5"/>
  <c r="E99" i="5" s="1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E117" i="5" s="1"/>
  <c r="A118" i="5"/>
  <c r="A119" i="5"/>
  <c r="A120" i="5"/>
  <c r="A121" i="5"/>
  <c r="A122" i="5"/>
  <c r="A123" i="5"/>
  <c r="A124" i="5"/>
  <c r="A125" i="5"/>
  <c r="A126" i="5"/>
  <c r="A127" i="5"/>
  <c r="A128" i="5"/>
  <c r="A129" i="5"/>
  <c r="E129" i="5" s="1"/>
  <c r="A130" i="5"/>
  <c r="A131" i="5"/>
  <c r="A13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3" i="5"/>
  <c r="A3" i="5"/>
  <c r="E105" i="5" l="1"/>
  <c r="E9" i="5"/>
  <c r="E69" i="5"/>
  <c r="E126" i="5"/>
  <c r="E114" i="5"/>
  <c r="E102" i="5"/>
  <c r="E90" i="5"/>
  <c r="E78" i="5"/>
  <c r="E66" i="5"/>
  <c r="E54" i="5"/>
  <c r="E42" i="5"/>
  <c r="E30" i="5"/>
  <c r="E18" i="5"/>
  <c r="E6" i="5"/>
  <c r="E62" i="5"/>
  <c r="E125" i="5"/>
  <c r="E113" i="5"/>
  <c r="E101" i="5"/>
  <c r="E89" i="5"/>
  <c r="E77" i="5"/>
  <c r="E65" i="5"/>
  <c r="E53" i="5"/>
  <c r="E41" i="5"/>
  <c r="E29" i="5"/>
  <c r="E17" i="5"/>
  <c r="E5" i="5"/>
  <c r="E33" i="5"/>
  <c r="E14" i="5"/>
  <c r="E124" i="5"/>
  <c r="E112" i="5"/>
  <c r="E100" i="5"/>
  <c r="E88" i="5"/>
  <c r="E76" i="5"/>
  <c r="E64" i="5"/>
  <c r="E52" i="5"/>
  <c r="E40" i="5"/>
  <c r="E28" i="5"/>
  <c r="E16" i="5"/>
  <c r="E4" i="5"/>
  <c r="E45" i="5"/>
  <c r="E58" i="5"/>
  <c r="E7" i="5"/>
  <c r="E132" i="5"/>
  <c r="E120" i="5"/>
  <c r="E108" i="5"/>
  <c r="E96" i="5"/>
  <c r="E84" i="5"/>
  <c r="E72" i="5"/>
  <c r="E60" i="5"/>
  <c r="E48" i="5"/>
  <c r="E36" i="5"/>
  <c r="E24" i="5"/>
  <c r="E12" i="5"/>
  <c r="E57" i="5"/>
  <c r="E131" i="5"/>
  <c r="E119" i="5"/>
  <c r="E107" i="5"/>
  <c r="E95" i="5"/>
  <c r="E83" i="5"/>
  <c r="E71" i="5"/>
  <c r="E59" i="5"/>
  <c r="E47" i="5"/>
  <c r="E35" i="5"/>
  <c r="E23" i="5"/>
  <c r="E11" i="5"/>
  <c r="E38" i="5"/>
  <c r="E3" i="5"/>
  <c r="E97" i="5"/>
  <c r="E73" i="5"/>
  <c r="E49" i="5"/>
  <c r="E13" i="5"/>
  <c r="E26" i="5"/>
  <c r="E121" i="5"/>
  <c r="E109" i="5"/>
  <c r="E85" i="5"/>
  <c r="E61" i="5"/>
  <c r="E37" i="5"/>
  <c r="E25" i="5"/>
  <c r="E123" i="5"/>
  <c r="E111" i="5"/>
  <c r="E87" i="5"/>
  <c r="E15" i="5"/>
  <c r="E122" i="5"/>
  <c r="E110" i="5"/>
  <c r="E10" i="5"/>
  <c r="E50" i="5"/>
  <c r="E130" i="5"/>
  <c r="E118" i="5"/>
  <c r="E94" i="5"/>
  <c r="E82" i="5"/>
  <c r="E22" i="5"/>
  <c r="E128" i="5"/>
  <c r="E116" i="5"/>
  <c r="E104" i="5"/>
  <c r="E92" i="5"/>
  <c r="E80" i="5"/>
  <c r="E68" i="5"/>
  <c r="E56" i="5"/>
  <c r="E44" i="5"/>
  <c r="E32" i="5"/>
  <c r="E20" i="5"/>
  <c r="E8" i="5"/>
  <c r="E86" i="5"/>
  <c r="E106" i="5"/>
  <c r="E46" i="5"/>
  <c r="E127" i="5"/>
  <c r="E115" i="5"/>
  <c r="E103" i="5"/>
  <c r="E91" i="5"/>
  <c r="E79" i="5"/>
  <c r="E67" i="5"/>
  <c r="E55" i="5"/>
  <c r="E43" i="5"/>
  <c r="E31" i="5"/>
  <c r="E19" i="5"/>
  <c r="E74" i="5"/>
  <c r="E34" i="5"/>
  <c r="E98" i="5"/>
  <c r="E70" i="5"/>
  <c r="Q4" i="5" l="1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3" i="5"/>
  <c r="D234" i="1"/>
  <c r="D233" i="1"/>
  <c r="D232" i="1"/>
  <c r="D231" i="1"/>
  <c r="D230" i="1"/>
  <c r="D229" i="1"/>
  <c r="D224" i="1"/>
  <c r="D225" i="1"/>
  <c r="D226" i="1"/>
  <c r="D227" i="1"/>
  <c r="D228" i="1"/>
  <c r="D223" i="1"/>
  <c r="D222" i="1"/>
  <c r="D219" i="1"/>
  <c r="D220" i="1"/>
  <c r="D221" i="1"/>
  <c r="D218" i="1"/>
  <c r="D217" i="1" l="1"/>
  <c r="D211" i="1"/>
  <c r="D179" i="1" l="1"/>
  <c r="D180" i="1"/>
  <c r="D181" i="1"/>
  <c r="D165" i="1"/>
  <c r="D178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43" i="1"/>
</calcChain>
</file>

<file path=xl/sharedStrings.xml><?xml version="1.0" encoding="utf-8"?>
<sst xmlns="http://schemas.openxmlformats.org/spreadsheetml/2006/main" count="4381" uniqueCount="365">
  <si>
    <t>BU</t>
  </si>
  <si>
    <t>PERIOD</t>
  </si>
  <si>
    <t>ACCOUNT_ID</t>
  </si>
  <si>
    <t>ACCOUNT</t>
  </si>
  <si>
    <t>CY(Override)</t>
  </si>
  <si>
    <t>CY(Existing)</t>
  </si>
  <si>
    <t>Granularity</t>
  </si>
  <si>
    <t>Status</t>
  </si>
  <si>
    <t>Jira</t>
  </si>
  <si>
    <t>Comments</t>
  </si>
  <si>
    <t>Hong Kong</t>
  </si>
  <si>
    <t>AG0002</t>
  </si>
  <si>
    <t>Submitted APE</t>
  </si>
  <si>
    <t>Monthly</t>
  </si>
  <si>
    <t>Completed</t>
  </si>
  <si>
    <t>AG0016</t>
  </si>
  <si>
    <t># of 1-Month Active Agents</t>
  </si>
  <si>
    <t>AG0016_1</t>
  </si>
  <si>
    <t># of 1-Month Active Agents in 0-1M</t>
  </si>
  <si>
    <t>AG0016_10</t>
  </si>
  <si>
    <t># of 1-Month Active Agents in UM</t>
  </si>
  <si>
    <t>AG0016_11</t>
  </si>
  <si>
    <t># of 1-Month Active Agents in Leaders above UM</t>
  </si>
  <si>
    <t>AG0016_12</t>
  </si>
  <si>
    <t># of 1-Month Active Top-tier Agents</t>
  </si>
  <si>
    <t>AG0016_12_1</t>
  </si>
  <si>
    <t># of 1-Month Active Agents in pro-rated MDRT agents (&gt;100% of pro-rated achievement)</t>
  </si>
  <si>
    <t>AG0016_12_2</t>
  </si>
  <si>
    <t># of 1-Month Active Agents in pro-rated MDRT agents (70-99% of pro-rated achievement)</t>
  </si>
  <si>
    <t>AG0016_12_3</t>
  </si>
  <si>
    <t># of 1-Month Active Agents in pro-rated MDRT agents (50-69% of pro-rated achievement)</t>
  </si>
  <si>
    <t>AG0016_2</t>
  </si>
  <si>
    <t># of 1-Month Active Agents in 2-3M</t>
  </si>
  <si>
    <t>AG0016_3</t>
  </si>
  <si>
    <t># of 1-Month Active Agents in 4-12M</t>
  </si>
  <si>
    <t>AG0016_4</t>
  </si>
  <si>
    <t># of 1-Month Active Agents 13+M</t>
  </si>
  <si>
    <t>AG0016_9</t>
  </si>
  <si>
    <t># of 1-Month Active Agents in FA or equivalent</t>
  </si>
  <si>
    <t>AG0018</t>
  </si>
  <si>
    <t># of 3-Month Active Agents</t>
  </si>
  <si>
    <t>AG0018_1</t>
  </si>
  <si>
    <t># of 3-Month Active Agents in 0-1M</t>
  </si>
  <si>
    <t>AG0018_2</t>
  </si>
  <si>
    <t># of 3-Month Active Agents in 2-3M</t>
  </si>
  <si>
    <t>AG0018_3</t>
  </si>
  <si>
    <t># of 3-Month Active Agents in 4-12M</t>
  </si>
  <si>
    <t>AG0018_4</t>
  </si>
  <si>
    <t># of 3-Month Active Agents 13+M</t>
  </si>
  <si>
    <t>AG0020</t>
  </si>
  <si>
    <t>Net Case Count - Agency</t>
  </si>
  <si>
    <t>AG0020_1</t>
  </si>
  <si>
    <t>Net Case Count - Agency in 0-1M</t>
  </si>
  <si>
    <t>AG0020_10</t>
  </si>
  <si>
    <t>Net Case Count - Agency in UM</t>
  </si>
  <si>
    <t>AG0020_11</t>
  </si>
  <si>
    <t>Net Case Count - Agency in Leaders above UM</t>
  </si>
  <si>
    <t>AG0020_12</t>
  </si>
  <si>
    <t>Net Case Count - Agency in Top-tier Agents</t>
  </si>
  <si>
    <t>AG0020_12_1</t>
  </si>
  <si>
    <t>Net Case Count - Agency in pro-rated MDRT agents (&gt;100% of pro-rated achievement)</t>
  </si>
  <si>
    <t>AG0020_12_2</t>
  </si>
  <si>
    <t>Net Case Count - Agency in pro-rated MDRT agents (70-99% of pro-rated achievement)</t>
  </si>
  <si>
    <t>AG0020_12_3</t>
  </si>
  <si>
    <t>Net Case Count - Agency in pro-rated MDRT agents (50-69% of pro-rated achievement)</t>
  </si>
  <si>
    <t>AG0020_2</t>
  </si>
  <si>
    <t>Net Case Count - Agency in 2-3M</t>
  </si>
  <si>
    <t>AG0020_3</t>
  </si>
  <si>
    <t>Net Case Count - Agency in 4-12M</t>
  </si>
  <si>
    <t>AG0020_4</t>
  </si>
  <si>
    <t>Net Case Count - Agency 13+M</t>
  </si>
  <si>
    <t>AG0020_9</t>
  </si>
  <si>
    <t>Net Case Count - Agency in FA or equivalent</t>
  </si>
  <si>
    <t>AG0024</t>
  </si>
  <si>
    <t>No. of Sales Proposal Generated</t>
  </si>
  <si>
    <t>AG0027</t>
  </si>
  <si>
    <t>$ APE from Agents in X tenure</t>
  </si>
  <si>
    <t>AG0027_1</t>
  </si>
  <si>
    <t>$ APE from Agents in X tenure in 0-1M</t>
  </si>
  <si>
    <t>AG0027_2</t>
  </si>
  <si>
    <t>$ APE from Agents in X tenure in 2-3M</t>
  </si>
  <si>
    <t>AG0027_3</t>
  </si>
  <si>
    <t>$ APE from Agents in X tenure in 4-12M</t>
  </si>
  <si>
    <t>AG0027_4</t>
  </si>
  <si>
    <t>$ APE from Agents in X tenure 13+M</t>
  </si>
  <si>
    <t>AG0029</t>
  </si>
  <si>
    <t>Total agent headcount (end of period)</t>
  </si>
  <si>
    <t>AG0029_1</t>
  </si>
  <si>
    <t>Total agent headcount (end of period) in 0-1M</t>
  </si>
  <si>
    <t>AG0029_10</t>
  </si>
  <si>
    <t>Total agent headcount (end of period) in UM</t>
  </si>
  <si>
    <t>AG0029_11</t>
  </si>
  <si>
    <t>Total agent headcount (end of period) in Leaders above UM</t>
  </si>
  <si>
    <t>AG0029_12</t>
  </si>
  <si>
    <t>Total agent headcount (end of period) in Top-tier Agents</t>
  </si>
  <si>
    <t>AG0029_12_1</t>
  </si>
  <si>
    <t>Total agent headcount (end of period) in pro-rated MDRT agents (&gt;100% of pro-rated achievement)</t>
  </si>
  <si>
    <t>AG0029_12_2</t>
  </si>
  <si>
    <t>Total agent headcount (end of period) in pro-rated MDRT agents (70-99% of pro-rated achievement)</t>
  </si>
  <si>
    <t>AG0029_12_3</t>
  </si>
  <si>
    <t>Total agent headcount (end of period) in pro-rated MDRT agents (50-69% of pro-rated achievement)</t>
  </si>
  <si>
    <t>AG0029_2</t>
  </si>
  <si>
    <t>Total agent headcount (end of period) in 2-3M</t>
  </si>
  <si>
    <t>AG0029_3</t>
  </si>
  <si>
    <t>Total agent headcount (end of period) in 4-12M</t>
  </si>
  <si>
    <t>AG0029_4</t>
  </si>
  <si>
    <t>Total agent headcount (end of period) 13+M</t>
  </si>
  <si>
    <t>AG0029_9</t>
  </si>
  <si>
    <t>Total agent headcount (end of period) in FA or equivalent</t>
  </si>
  <si>
    <t>AG0038</t>
  </si>
  <si>
    <t>New recruits</t>
  </si>
  <si>
    <t>AG0046</t>
  </si>
  <si>
    <t>No of Terminations</t>
  </si>
  <si>
    <t>AG0046_10</t>
  </si>
  <si>
    <t>No of Terminations in UM</t>
  </si>
  <si>
    <t>AG0046_11</t>
  </si>
  <si>
    <t>No of Terminations in Leaders above UM</t>
  </si>
  <si>
    <t>AG0046_12</t>
  </si>
  <si>
    <t>No of Terminations in Top-tier Agents</t>
  </si>
  <si>
    <t>AG0046_12_1</t>
  </si>
  <si>
    <t>No of Terminations in pro-rated MDRT agents (&gt;100% of pro-rated achievement)</t>
  </si>
  <si>
    <t>AG0046_12_2</t>
  </si>
  <si>
    <t>No of Terminations in pro-rated MDRT agents (70-99% of pro-rated achievement)</t>
  </si>
  <si>
    <t>AG0046_12_3</t>
  </si>
  <si>
    <t>No of Terminations in pro-rated MDRT agents (50-69% of pro-rated achievement)</t>
  </si>
  <si>
    <t>AG0046_9</t>
  </si>
  <si>
    <t>No of Terminations in FA or equivalent</t>
  </si>
  <si>
    <t>AG0051</t>
  </si>
  <si>
    <t>Total # of Leaders (end of period)</t>
  </si>
  <si>
    <t>AG0051_1</t>
  </si>
  <si>
    <t>Total # of Unit Managers</t>
  </si>
  <si>
    <t>AG0051_2</t>
  </si>
  <si>
    <t>Total # of Leaders above Unit Manager level</t>
  </si>
  <si>
    <t>AG0055</t>
  </si>
  <si>
    <t># of Active Recruiting Leaders</t>
  </si>
  <si>
    <t>AG0055_1</t>
  </si>
  <si>
    <t># of leaders with &gt;1 YTD recruit</t>
  </si>
  <si>
    <t>AG0062</t>
  </si>
  <si>
    <t># of pro-rated MDRT agents (100%)</t>
  </si>
  <si>
    <t>AG0062_6</t>
  </si>
  <si>
    <t># of pro-rated MDRT agents (70-99%)</t>
  </si>
  <si>
    <t>AG0062_7</t>
  </si>
  <si>
    <t># of pro-rated MDRT agents (50-69%)</t>
  </si>
  <si>
    <t>AG0062_8</t>
  </si>
  <si>
    <t># of Top-tier agents</t>
  </si>
  <si>
    <t>AG0068</t>
  </si>
  <si>
    <t>$ APE from pro-rated MDRT agents (100%)</t>
  </si>
  <si>
    <t>AG0068_1</t>
  </si>
  <si>
    <t>$ APE from pro-rated MDRT agents (70-99%)</t>
  </si>
  <si>
    <t>AG0068_2</t>
  </si>
  <si>
    <t>$ APE from pro-rated MDRT agents (50-69%)</t>
  </si>
  <si>
    <t>AG0068_3</t>
  </si>
  <si>
    <t>$ APE from Top-tier agents</t>
  </si>
  <si>
    <t>AG0070</t>
  </si>
  <si>
    <t># of MDRT qualifiers - YTD</t>
  </si>
  <si>
    <t>AG0070_1</t>
  </si>
  <si>
    <t># of MDRT COT qualifiers - YTD</t>
  </si>
  <si>
    <t>AG0070_2</t>
  </si>
  <si>
    <t># of MDRT TOT qualifiers - YTD</t>
  </si>
  <si>
    <t>Indonesia</t>
  </si>
  <si>
    <t>Vietnam</t>
  </si>
  <si>
    <t>Singapore</t>
  </si>
  <si>
    <t>AG0060</t>
  </si>
  <si>
    <t># of Newly Promoted UM</t>
  </si>
  <si>
    <t>AG0041</t>
  </si>
  <si>
    <t># of 6-90 agents</t>
  </si>
  <si>
    <t>AG0073</t>
  </si>
  <si>
    <t>Manulife Pro Qualifiers - Total</t>
  </si>
  <si>
    <t>awaiting anaplan set up</t>
  </si>
  <si>
    <t>Japan</t>
  </si>
  <si>
    <t>Cambodia</t>
  </si>
  <si>
    <t>Philippines</t>
  </si>
  <si>
    <t>2026-06-30</t>
  </si>
  <si>
    <t>monthly</t>
  </si>
  <si>
    <t>New Leaders 3M Activation Rate (by cohort)</t>
  </si>
  <si>
    <t>New Leaders 3M Activation Rate (by cohort) (numerator)</t>
  </si>
  <si>
    <t>New Leaders 3M Activation Rate (by cohort) (denominator)</t>
  </si>
  <si>
    <t># of Newly Demoted UM</t>
  </si>
  <si>
    <t># of Newly Demoted Leaders above UM</t>
  </si>
  <si>
    <t>New Recruits 3M Activation #</t>
  </si>
  <si>
    <t># of Newly Promoted Leaders above UM</t>
  </si>
  <si>
    <t>China</t>
  </si>
  <si>
    <t>2026-07-01</t>
  </si>
  <si>
    <t>daily</t>
  </si>
  <si>
    <t>2026-07-02</t>
  </si>
  <si>
    <t>DK-1680</t>
  </si>
  <si>
    <t>DK-1636</t>
  </si>
  <si>
    <t>anaplan_metric</t>
  </si>
  <si>
    <t>edl_metric</t>
  </si>
  <si>
    <t>pbi_metric</t>
  </si>
  <si>
    <t>Account_id</t>
  </si>
  <si>
    <t># of 1-Month Active Agents in pro-rated MDRT agents (&gt;100%)</t>
  </si>
  <si>
    <t># of 1-Month Active Agents in pro-rated MDRT agents (70-99%)</t>
  </si>
  <si>
    <t># of 1-Month Active Agents in pro-rated MDRT agents (50-69%)</t>
  </si>
  <si>
    <t># of 1-Month Active Agents in Manulife Pro Qualifiers -Total</t>
  </si>
  <si>
    <t># of 1-Month Active Agents in Manulife Pro Qualifiers - Total</t>
  </si>
  <si>
    <t>AG0016_13</t>
  </si>
  <si>
    <t>Net Case Count - Agency in pro-rated MDRT agents (&gt;100%)</t>
  </si>
  <si>
    <t>Net Case Count - Agency in pro-rated MDRT agents (70-99%)</t>
  </si>
  <si>
    <t>Net Case Count - Agency in pro-rated MDRT agents (50-69%)</t>
  </si>
  <si>
    <t>Net Case Count - Agency in Manulife Pro Qualifiers - Total</t>
  </si>
  <si>
    <t>AG0020_13</t>
  </si>
  <si>
    <t>Total agent headcount  in pro-rated MDRT agents (&gt;100%)</t>
  </si>
  <si>
    <t>Total agent headcount  in pro-rated MDRT agents (70-99%)</t>
  </si>
  <si>
    <t>Total agent headcount  in pro-rated MDRT agents (50-69%)</t>
  </si>
  <si>
    <t>Total agent headcount  in Manulife Pro Qualifiers - Total</t>
  </si>
  <si>
    <t>Total agent headcount (end of period) in Manulife Pro Qualifiers - Total</t>
  </si>
  <si>
    <t>AG0029_13</t>
  </si>
  <si>
    <t>New recruits - FA or equivalent</t>
  </si>
  <si>
    <t>AG0039_1</t>
  </si>
  <si>
    <t>New recruits in UM</t>
  </si>
  <si>
    <t>AG0039_2</t>
  </si>
  <si>
    <t>New recruits in Leaders above UM</t>
  </si>
  <si>
    <t>AG0039_3</t>
  </si>
  <si>
    <t>AG0043</t>
  </si>
  <si>
    <t>No of Terminations in pro-rated MDRT agents (&gt;100%)</t>
  </si>
  <si>
    <t>No of Terminations in pro-rated MDRT agents (70-99%)</t>
  </si>
  <si>
    <t>No of Terminations in pro-rated MDRT agents (50-69%)</t>
  </si>
  <si>
    <t>No of Terminations in Manulife Pro Qualifiers - Total</t>
  </si>
  <si>
    <t>AG0046_13</t>
  </si>
  <si>
    <t>First Year Agents Terminated without Sales</t>
  </si>
  <si>
    <t>AG0047</t>
  </si>
  <si>
    <t>6mth Agency Retention Ratio</t>
  </si>
  <si>
    <t>AG0048</t>
  </si>
  <si>
    <t>12mth Agency Retention Ratio</t>
  </si>
  <si>
    <t>AG0048_1</t>
  </si>
  <si>
    <t>24mth Agency Retention Ratio</t>
  </si>
  <si>
    <t>AG0048_2</t>
  </si>
  <si>
    <t>Total # of Agents below Unit Manager level (end of period)</t>
  </si>
  <si>
    <t>AG0054</t>
  </si>
  <si>
    <t>Income ratio from personal sales (UM)</t>
  </si>
  <si>
    <t>AG0059</t>
  </si>
  <si>
    <t>Income ratio from personal sales (UM) (numerator)</t>
  </si>
  <si>
    <t>AG0059_1</t>
  </si>
  <si>
    <t>Income ratio from personal sales (UM) (denominator)</t>
  </si>
  <si>
    <t>AG0059_2</t>
  </si>
  <si>
    <t>Income ratio from personal sales (Leader above UM)</t>
  </si>
  <si>
    <t>AG0052</t>
  </si>
  <si>
    <t>Income ratio from personal sales (Leader above UM) (num)</t>
  </si>
  <si>
    <t>Income ratio from personal sales (Leader above UM) (numerator)</t>
  </si>
  <si>
    <t>AG0052_1</t>
  </si>
  <si>
    <t>Income ratio from personal sales (Leader above UM) (den)</t>
  </si>
  <si>
    <t>Income ratio from personal sales (Leader above UM) (denominator)</t>
  </si>
  <si>
    <t>AG0052_2</t>
  </si>
  <si>
    <t>Total agent earnings</t>
  </si>
  <si>
    <t>AG0053</t>
  </si>
  <si>
    <t>Total agent earnings in FA or equivalent</t>
  </si>
  <si>
    <t>AG0053_1</t>
  </si>
  <si>
    <t>Total agent earnings in UM</t>
  </si>
  <si>
    <t>AG0053_2</t>
  </si>
  <si>
    <t>Total agent earnings in Leaders above UM</t>
  </si>
  <si>
    <t>AG0053_3</t>
  </si>
  <si>
    <t>AG0060_1</t>
  </si>
  <si>
    <t>AG0072_1</t>
  </si>
  <si>
    <t>AG0072_2</t>
  </si>
  <si>
    <t># of agents meeting MOC in FA or equivalent</t>
  </si>
  <si>
    <t>AG0072_3</t>
  </si>
  <si>
    <t># of agents meeting MOC in UM</t>
  </si>
  <si>
    <t>AG0072_4</t>
  </si>
  <si>
    <t># of agents meeting MOC in Leaders above UM</t>
  </si>
  <si>
    <t>AG0072_5</t>
  </si>
  <si>
    <t>AG0061</t>
  </si>
  <si>
    <t>AG0061_1</t>
  </si>
  <si>
    <t>AG0061_2</t>
  </si>
  <si>
    <t>$ APE from Manulife Pro - Total</t>
  </si>
  <si>
    <t>AG0077</t>
  </si>
  <si>
    <t>DK-1516</t>
  </si>
  <si>
    <t>DK-1714</t>
  </si>
  <si>
    <t>DK-1640</t>
  </si>
  <si>
    <t>DK-1676</t>
  </si>
  <si>
    <t>DK-1611</t>
  </si>
  <si>
    <t>DK-1549</t>
  </si>
  <si>
    <t>Anaplan Updated needed</t>
  </si>
  <si>
    <t>DK-1553</t>
  </si>
  <si>
    <t>Cheatsheet</t>
  </si>
  <si>
    <t>Promoted UM</t>
  </si>
  <si>
    <t>PBI</t>
  </si>
  <si>
    <t>Promoted above UM</t>
  </si>
  <si>
    <t>Jan</t>
  </si>
  <si>
    <t>Feb</t>
  </si>
  <si>
    <t>Mar</t>
  </si>
  <si>
    <t>Apr</t>
  </si>
  <si>
    <t>May</t>
  </si>
  <si>
    <t>Jun</t>
  </si>
  <si>
    <t>Actuals</t>
  </si>
  <si>
    <t>DK-1674</t>
  </si>
  <si>
    <t>HK</t>
  </si>
  <si>
    <t>VN</t>
  </si>
  <si>
    <t>MY</t>
  </si>
  <si>
    <t>Hourglass</t>
  </si>
  <si>
    <t># of Total Leader Promotions</t>
  </si>
  <si>
    <t>KPI_ID</t>
  </si>
  <si>
    <t>KPI_Name</t>
  </si>
  <si>
    <t>EDL</t>
  </si>
  <si>
    <t>Not Applicable</t>
  </si>
  <si>
    <t>Anaplan Calculated</t>
  </si>
  <si>
    <t>Manual Anaplan Input</t>
  </si>
  <si>
    <t>Myanmar</t>
  </si>
  <si>
    <t>Malaysia</t>
  </si>
  <si>
    <t>Source</t>
  </si>
  <si>
    <t>Key</t>
  </si>
  <si>
    <t>Not in Scope</t>
  </si>
  <si>
    <t>Not Automated</t>
  </si>
  <si>
    <t>DK-1729</t>
  </si>
  <si>
    <t>Denominator</t>
  </si>
  <si>
    <t>Ratio</t>
  </si>
  <si>
    <t>NaN</t>
  </si>
  <si>
    <t>ID</t>
  </si>
  <si>
    <t>Branch</t>
  </si>
  <si>
    <t>GA</t>
  </si>
  <si>
    <t>Sum</t>
  </si>
  <si>
    <t>sum</t>
  </si>
  <si>
    <t>Promoted leader:</t>
  </si>
  <si>
    <t>SG</t>
  </si>
  <si>
    <t>Leader Promotions</t>
  </si>
  <si>
    <t>Local POC</t>
  </si>
  <si>
    <t>MAG </t>
  </si>
  <si>
    <t>No. of Newly Promoted Unit Manager</t>
  </si>
  <si>
    <t>MFA</t>
  </si>
  <si>
    <t>MM</t>
  </si>
  <si>
    <t>PH</t>
  </si>
  <si>
    <t>SUM(Leader Promotion)</t>
  </si>
  <si>
    <t>Not Required</t>
  </si>
  <si>
    <t>DK-1634</t>
  </si>
  <si>
    <t>Net Case Count-Agency</t>
  </si>
  <si>
    <t>Cases - Agency</t>
  </si>
  <si>
    <t>Total Agency</t>
  </si>
  <si>
    <t>From Local POC</t>
  </si>
  <si>
    <t>DISTRIBUTION_CHANNEL</t>
  </si>
  <si>
    <t>Agency</t>
  </si>
  <si>
    <t>MAG</t>
  </si>
  <si>
    <t>BRANCH</t>
  </si>
  <si>
    <t>DK-1862</t>
  </si>
  <si>
    <t>DK-1892</t>
  </si>
  <si>
    <t>From EDL</t>
  </si>
  <si>
    <t>Total case count</t>
  </si>
  <si>
    <t>Value</t>
  </si>
  <si>
    <t>Validation</t>
  </si>
  <si>
    <t>Variance</t>
  </si>
  <si>
    <t>Period</t>
  </si>
  <si>
    <t>Case count - Agency</t>
  </si>
  <si>
    <t>DK-1912</t>
  </si>
  <si>
    <t>DK-1913</t>
  </si>
  <si>
    <t>DK-1914</t>
  </si>
  <si>
    <t>DK-1919</t>
  </si>
  <si>
    <t>DK-1920</t>
  </si>
  <si>
    <t>DK-1919,DK-1910</t>
  </si>
  <si>
    <t>DK-1911</t>
  </si>
  <si>
    <t>Jul</t>
  </si>
  <si>
    <t>ID:</t>
  </si>
  <si>
    <t># 6-90</t>
  </si>
  <si>
    <t>VN:</t>
  </si>
  <si>
    <t>SG: From Local POC</t>
  </si>
  <si>
    <t>SG: EDL</t>
  </si>
  <si>
    <t>BU_CODE</t>
  </si>
  <si>
    <t>CHANNEL_CODE</t>
  </si>
  <si>
    <t>MODE</t>
  </si>
  <si>
    <t>VALUE</t>
  </si>
  <si>
    <t>SG-MFA</t>
  </si>
  <si>
    <t>M1</t>
  </si>
  <si>
    <t>SG-MAG</t>
  </si>
  <si>
    <t>DK-1917</t>
  </si>
  <si>
    <t>Overwritten by EDL value</t>
  </si>
  <si>
    <t>8/27 checks: Joven - ok</t>
  </si>
  <si>
    <t>no need to override as the current value is alreay correct.
8/27 checks: Joven -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</si>
</sst>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trike/>
      <sz val="11"/>
      <color theme="1"/>
      <name val="Calibri"/>
      <family val="2"/>
      <scheme val="minor"/>
    </font>
    <font>
      <sz val="8"/>
      <color theme="1"/>
      <name val="Manulife JH Sans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trike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rgb="FF00693C"/>
      </top>
      <bottom style="dotted">
        <color rgb="FF00693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693C"/>
      </left>
      <right/>
      <top style="dotted">
        <color rgb="FF00693C"/>
      </top>
      <bottom style="dotted">
        <color rgb="FF00693C"/>
      </bottom>
      <diagonal/>
    </border>
    <border>
      <left/>
      <right style="dashed">
        <color rgb="FF00693C"/>
      </right>
      <top style="dotted">
        <color rgb="FF00693C"/>
      </top>
      <bottom style="dotted">
        <color rgb="FF00693C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0" fillId="0" borderId="2" xfId="0" applyBorder="1"/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3" fontId="10" fillId="3" borderId="7" xfId="2" applyNumberFormat="1" applyFont="1" applyFill="1" applyBorder="1" applyAlignment="1">
      <alignment horizontal="center" vertical="center" wrapText="1" readingOrder="1"/>
    </xf>
    <xf numFmtId="3" fontId="10" fillId="3" borderId="5" xfId="2" applyNumberFormat="1" applyFont="1" applyFill="1" applyBorder="1" applyAlignment="1">
      <alignment horizontal="center" vertical="center" wrapText="1" readingOrder="1"/>
    </xf>
    <xf numFmtId="3" fontId="10" fillId="3" borderId="8" xfId="2" applyNumberFormat="1" applyFont="1" applyFill="1" applyBorder="1" applyAlignment="1">
      <alignment horizontal="center" vertical="center" wrapText="1" readingOrder="1"/>
    </xf>
    <xf numFmtId="0" fontId="1" fillId="0" borderId="0" xfId="0" applyFont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1" fontId="10" fillId="3" borderId="7" xfId="4" applyNumberFormat="1" applyFont="1" applyFill="1" applyBorder="1" applyAlignment="1">
      <alignment horizontal="center" vertical="center" wrapText="1" readingOrder="1"/>
    </xf>
    <xf numFmtId="1" fontId="10" fillId="3" borderId="5" xfId="3" applyNumberFormat="1" applyFont="1" applyFill="1" applyBorder="1" applyAlignment="1">
      <alignment horizontal="center" vertical="center" wrapText="1" readingOrder="1"/>
    </xf>
    <xf numFmtId="1" fontId="10" fillId="3" borderId="8" xfId="3" applyNumberFormat="1" applyFont="1" applyFill="1" applyBorder="1" applyAlignment="1">
      <alignment horizontal="center" vertical="center" wrapText="1" readingOrder="1"/>
    </xf>
    <xf numFmtId="0" fontId="12" fillId="0" borderId="1" xfId="0" applyFont="1" applyBorder="1"/>
    <xf numFmtId="0" fontId="12" fillId="5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0" fillId="4" borderId="0" xfId="0" applyFill="1"/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9" fontId="10" fillId="8" borderId="7" xfId="4" applyFont="1" applyFill="1" applyBorder="1" applyAlignment="1">
      <alignment horizontal="center" vertical="center" wrapText="1" readingOrder="1"/>
    </xf>
    <xf numFmtId="9" fontId="10" fillId="8" borderId="5" xfId="3" applyFont="1" applyFill="1" applyBorder="1" applyAlignment="1">
      <alignment horizontal="center" vertical="center" wrapText="1" readingOrder="1"/>
    </xf>
    <xf numFmtId="9" fontId="10" fillId="8" borderId="8" xfId="3" applyFont="1" applyFill="1" applyBorder="1" applyAlignment="1">
      <alignment horizontal="center" vertical="center" wrapText="1" readingOrder="1"/>
    </xf>
    <xf numFmtId="9" fontId="10" fillId="8" borderId="5" xfId="4" applyFont="1" applyFill="1" applyBorder="1" applyAlignment="1">
      <alignment horizontal="center" vertical="center" wrapText="1" readingOrder="1"/>
    </xf>
    <xf numFmtId="9" fontId="10" fillId="8" borderId="8" xfId="4" applyFont="1" applyFill="1" applyBorder="1" applyAlignment="1">
      <alignment horizontal="center" vertical="center" wrapText="1" readingOrder="1"/>
    </xf>
    <xf numFmtId="3" fontId="10" fillId="3" borderId="5" xfId="4" applyNumberFormat="1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left" vertical="center"/>
    </xf>
    <xf numFmtId="3" fontId="10" fillId="10" borderId="8" xfId="2" applyNumberFormat="1" applyFont="1" applyFill="1" applyBorder="1" applyAlignment="1">
      <alignment horizontal="center" vertical="center" wrapText="1" readingOrder="1"/>
    </xf>
    <xf numFmtId="1" fontId="10" fillId="10" borderId="5" xfId="3" applyNumberFormat="1" applyFont="1" applyFill="1" applyBorder="1" applyAlignment="1">
      <alignment horizontal="center" vertical="center" wrapText="1" readingOrder="1"/>
    </xf>
    <xf numFmtId="1" fontId="10" fillId="10" borderId="8" xfId="3" applyNumberFormat="1" applyFont="1" applyFill="1" applyBorder="1" applyAlignment="1">
      <alignment horizontal="center" vertical="center" wrapText="1" readingOrder="1"/>
    </xf>
    <xf numFmtId="1" fontId="10" fillId="10" borderId="5" xfId="4" applyNumberFormat="1" applyFont="1" applyFill="1" applyBorder="1" applyAlignment="1">
      <alignment horizontal="center" vertical="center" wrapText="1" readingOrder="1"/>
    </xf>
    <xf numFmtId="3" fontId="10" fillId="10" borderId="5" xfId="2" applyNumberFormat="1" applyFont="1" applyFill="1" applyBorder="1" applyAlignment="1">
      <alignment horizontal="center" vertical="center" wrapText="1" readingOrder="1"/>
    </xf>
    <xf numFmtId="3" fontId="10" fillId="10" borderId="7" xfId="2" applyNumberFormat="1" applyFont="1" applyFill="1" applyBorder="1" applyAlignment="1">
      <alignment horizontal="center" vertical="center" wrapText="1" readingOrder="1"/>
    </xf>
    <xf numFmtId="0" fontId="0" fillId="10" borderId="0" xfId="0" applyFill="1"/>
    <xf numFmtId="16" fontId="1" fillId="0" borderId="1" xfId="0" applyNumberFormat="1" applyFont="1" applyBorder="1"/>
    <xf numFmtId="1" fontId="0" fillId="0" borderId="1" xfId="0" applyNumberFormat="1" applyBorder="1"/>
    <xf numFmtId="1" fontId="10" fillId="0" borderId="1" xfId="4" applyNumberFormat="1" applyFont="1" applyFill="1" applyBorder="1" applyAlignment="1">
      <alignment horizontal="center" vertical="center" wrapText="1" readingOrder="1"/>
    </xf>
    <xf numFmtId="1" fontId="10" fillId="0" borderId="1" xfId="3" applyNumberFormat="1" applyFont="1" applyFill="1" applyBorder="1" applyAlignment="1">
      <alignment horizontal="center" vertical="center" wrapText="1" readingOrder="1"/>
    </xf>
    <xf numFmtId="3" fontId="10" fillId="0" borderId="1" xfId="2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" fontId="10" fillId="0" borderId="1" xfId="4" applyNumberFormat="1" applyFont="1" applyFill="1" applyBorder="1" applyAlignment="1">
      <alignment horizontal="left" vertical="center" wrapText="1" readingOrder="1"/>
    </xf>
    <xf numFmtId="1" fontId="10" fillId="0" borderId="1" xfId="3" applyNumberFormat="1" applyFont="1" applyFill="1" applyBorder="1" applyAlignment="1">
      <alignment horizontal="left" vertical="center" wrapText="1" readingOrder="1"/>
    </xf>
    <xf numFmtId="1" fontId="10" fillId="2" borderId="1" xfId="4" applyNumberFormat="1" applyFont="1" applyFill="1" applyBorder="1" applyAlignment="1">
      <alignment horizontal="left" vertical="center" wrapText="1" readingOrder="1"/>
    </xf>
    <xf numFmtId="3" fontId="10" fillId="2" borderId="1" xfId="2" applyNumberFormat="1" applyFont="1" applyFill="1" applyBorder="1" applyAlignment="1">
      <alignment horizontal="left" vertical="center" wrapText="1" readingOrder="1"/>
    </xf>
    <xf numFmtId="3" fontId="10" fillId="0" borderId="1" xfId="2" applyNumberFormat="1" applyFont="1" applyFill="1" applyBorder="1" applyAlignment="1">
      <alignment horizontal="left" vertical="center" wrapText="1" readingOrder="1"/>
    </xf>
    <xf numFmtId="1" fontId="0" fillId="0" borderId="1" xfId="0" applyNumberFormat="1" applyBorder="1" applyAlignment="1">
      <alignment horizontal="left"/>
    </xf>
    <xf numFmtId="1" fontId="10" fillId="2" borderId="1" xfId="3" applyNumberFormat="1" applyFont="1" applyFill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/>
    </xf>
    <xf numFmtId="0" fontId="6" fillId="0" borderId="1" xfId="1" applyFill="1" applyBorder="1" applyAlignment="1">
      <alignment horizontal="left"/>
    </xf>
    <xf numFmtId="164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/>
    <xf numFmtId="0" fontId="13" fillId="12" borderId="1" xfId="0" applyFont="1" applyFill="1" applyBorder="1" applyAlignment="1">
      <alignment horizontal="center" vertical="center" wrapText="1"/>
    </xf>
    <xf numFmtId="16" fontId="13" fillId="1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3" fontId="14" fillId="0" borderId="3" xfId="0" applyNumberFormat="1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9" fontId="0" fillId="0" borderId="0" xfId="4" applyFont="1"/>
    <xf numFmtId="9" fontId="0" fillId="0" borderId="1" xfId="4" applyFont="1" applyBorder="1"/>
    <xf numFmtId="0" fontId="7" fillId="0" borderId="1" xfId="0" applyFont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11" fillId="11" borderId="1" xfId="0" applyFont="1" applyFill="1" applyBorder="1" applyAlignment="1">
      <alignment horizontal="left"/>
    </xf>
    <xf numFmtId="0" fontId="6" fillId="11" borderId="1" xfId="1" applyFill="1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6" fillId="0" borderId="1" xfId="1" applyFont="1" applyFill="1" applyBorder="1" applyAlignment="1">
      <alignment horizontal="left"/>
    </xf>
    <xf numFmtId="0" fontId="0" fillId="11" borderId="1" xfId="0" applyFill="1" applyBorder="1"/>
    <xf numFmtId="0" fontId="6" fillId="11" borderId="1" xfId="1" applyFill="1" applyBorder="1"/>
    <xf numFmtId="1" fontId="10" fillId="3" borderId="1" xfId="4" applyNumberFormat="1" applyFont="1" applyFill="1" applyBorder="1" applyAlignment="1">
      <alignment horizontal="center" vertical="center" wrapText="1" readingOrder="1"/>
    </xf>
    <xf numFmtId="1" fontId="10" fillId="3" borderId="1" xfId="3" applyNumberFormat="1" applyFont="1" applyFill="1" applyBorder="1" applyAlignment="1">
      <alignment horizontal="center" vertical="center" wrapText="1" readingOrder="1"/>
    </xf>
    <xf numFmtId="1" fontId="10" fillId="8" borderId="1" xfId="3" applyNumberFormat="1" applyFont="1" applyFill="1" applyBorder="1" applyAlignment="1">
      <alignment horizontal="center" vertical="center" wrapText="1" readingOrder="1"/>
    </xf>
    <xf numFmtId="3" fontId="10" fillId="8" borderId="1" xfId="3" applyNumberFormat="1" applyFont="1" applyFill="1" applyBorder="1" applyAlignment="1">
      <alignment horizontal="center" vertical="center" wrapText="1" readingOrder="1"/>
    </xf>
    <xf numFmtId="3" fontId="10" fillId="8" borderId="1" xfId="4" applyNumberFormat="1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/>
    <xf numFmtId="0" fontId="6" fillId="3" borderId="1" xfId="1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1" borderId="1" xfId="0" applyFill="1" applyBorder="1" applyAlignment="1">
      <alignment wrapText="1"/>
    </xf>
  </cellXfs>
  <cellStyles count="5">
    <cellStyle name="Comma 2" xfId="2" xr:uid="{7C74AE47-300E-4380-8165-FF303A6F26E9}"/>
    <cellStyle name="Hyperlink" xfId="1" builtinId="8"/>
    <cellStyle name="Normal" xfId="0" builtinId="0"/>
    <cellStyle name="Percent" xfId="4" builtinId="5"/>
    <cellStyle name="Percent 2" xfId="3" xr:uid="{016EAD36-2EF9-4CEB-A617-2A0DA8A2F82F}"/>
  </cellStyles>
  <dxfs count="38"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theme="4" tint="0.79998168889431442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2783F1D-3F60-4871-8FB8-5866A7BD8604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nulife-asia.atlassian.net/browse/DK-1611" TargetMode="External"/><Relationship Id="rId18" Type="http://schemas.openxmlformats.org/officeDocument/2006/relationships/hyperlink" Target="https://manulife-asia.atlassian.net/browse/DK-1674" TargetMode="External"/><Relationship Id="rId26" Type="http://schemas.openxmlformats.org/officeDocument/2006/relationships/hyperlink" Target="https://manulife-asia.atlassian.net/browse/DK-1674" TargetMode="External"/><Relationship Id="rId39" Type="http://schemas.openxmlformats.org/officeDocument/2006/relationships/hyperlink" Target="https://manulife-asia.atlassian.net/browse/DK-1553" TargetMode="External"/><Relationship Id="rId21" Type="http://schemas.openxmlformats.org/officeDocument/2006/relationships/hyperlink" Target="https://manulife-asia.atlassian.net/browse/DK-1729" TargetMode="External"/><Relationship Id="rId34" Type="http://schemas.openxmlformats.org/officeDocument/2006/relationships/hyperlink" Target="https://manulife-asia.atlassian.net/browse/DK-1634" TargetMode="External"/><Relationship Id="rId42" Type="http://schemas.openxmlformats.org/officeDocument/2006/relationships/hyperlink" Target="https://manulife-asia.atlassian.net/browse/DK-1892" TargetMode="External"/><Relationship Id="rId47" Type="http://schemas.openxmlformats.org/officeDocument/2006/relationships/hyperlink" Target="https://manulife-asia.atlassian.net/browse/DK-1913" TargetMode="External"/><Relationship Id="rId50" Type="http://schemas.openxmlformats.org/officeDocument/2006/relationships/hyperlink" Target="https://manulife-asia.atlassian.net/browse/DK-1914" TargetMode="External"/><Relationship Id="rId55" Type="http://schemas.openxmlformats.org/officeDocument/2006/relationships/hyperlink" Target="https://manulife-asia.atlassian.net/browse/DK-1914" TargetMode="External"/><Relationship Id="rId7" Type="http://schemas.openxmlformats.org/officeDocument/2006/relationships/hyperlink" Target="https://manulife-asia.atlassian.net/browse/DK-1640" TargetMode="External"/><Relationship Id="rId2" Type="http://schemas.openxmlformats.org/officeDocument/2006/relationships/hyperlink" Target="https://manulife-asia.atlassian.net/browse/DK-1680" TargetMode="External"/><Relationship Id="rId16" Type="http://schemas.openxmlformats.org/officeDocument/2006/relationships/hyperlink" Target="https://manulife-asia.atlassian.net/browse/DK-1553" TargetMode="External"/><Relationship Id="rId29" Type="http://schemas.openxmlformats.org/officeDocument/2006/relationships/hyperlink" Target="https://manulife-asia.atlassian.net/browse/DK-1674" TargetMode="External"/><Relationship Id="rId11" Type="http://schemas.openxmlformats.org/officeDocument/2006/relationships/hyperlink" Target="https://manulife-asia.atlassian.net/browse/DK-1676" TargetMode="External"/><Relationship Id="rId24" Type="http://schemas.openxmlformats.org/officeDocument/2006/relationships/hyperlink" Target="https://manulife-asia.atlassian.net/browse/DK-1729" TargetMode="External"/><Relationship Id="rId32" Type="http://schemas.openxmlformats.org/officeDocument/2006/relationships/hyperlink" Target="https://manulife-asia.atlassian.net/browse/DK-1674" TargetMode="External"/><Relationship Id="rId37" Type="http://schemas.openxmlformats.org/officeDocument/2006/relationships/hyperlink" Target="https://manulife-asia.atlassian.net/browse/DK-1553" TargetMode="External"/><Relationship Id="rId40" Type="http://schemas.openxmlformats.org/officeDocument/2006/relationships/hyperlink" Target="https://manulife-asia.atlassian.net/browse/DK-1553" TargetMode="External"/><Relationship Id="rId45" Type="http://schemas.openxmlformats.org/officeDocument/2006/relationships/hyperlink" Target="https://manulife-asia.atlassian.net/browse/DK-1912" TargetMode="External"/><Relationship Id="rId53" Type="http://schemas.openxmlformats.org/officeDocument/2006/relationships/hyperlink" Target="https://manulife-asia.atlassian.net/browse/DK-1920" TargetMode="External"/><Relationship Id="rId58" Type="http://schemas.microsoft.com/office/2019/04/relationships/namedSheetView" Target="../namedSheetViews/namedSheetView1.xml"/><Relationship Id="rId5" Type="http://schemas.openxmlformats.org/officeDocument/2006/relationships/hyperlink" Target="https://manulife-asia.atlassian.net/browse/DK-1714" TargetMode="External"/><Relationship Id="rId19" Type="http://schemas.openxmlformats.org/officeDocument/2006/relationships/hyperlink" Target="https://manulife-asia.atlassian.net/browse/DK-1729" TargetMode="External"/><Relationship Id="rId4" Type="http://schemas.openxmlformats.org/officeDocument/2006/relationships/hyperlink" Target="https://manulife-asia.atlassian.net/browse/DK-1636" TargetMode="External"/><Relationship Id="rId9" Type="http://schemas.openxmlformats.org/officeDocument/2006/relationships/hyperlink" Target="https://manulife-asia.atlassian.net/browse/DK-1680" TargetMode="External"/><Relationship Id="rId14" Type="http://schemas.openxmlformats.org/officeDocument/2006/relationships/hyperlink" Target="https://manulife-asia.atlassian.net/browse/DK-1549" TargetMode="External"/><Relationship Id="rId22" Type="http://schemas.openxmlformats.org/officeDocument/2006/relationships/hyperlink" Target="https://manulife-asia.atlassian.net/browse/DK-1729" TargetMode="External"/><Relationship Id="rId27" Type="http://schemas.openxmlformats.org/officeDocument/2006/relationships/hyperlink" Target="https://manulife-asia.atlassian.net/browse/DK-1674" TargetMode="External"/><Relationship Id="rId30" Type="http://schemas.openxmlformats.org/officeDocument/2006/relationships/hyperlink" Target="https://manulife-asia.atlassian.net/browse/DK-1674" TargetMode="External"/><Relationship Id="rId35" Type="http://schemas.openxmlformats.org/officeDocument/2006/relationships/hyperlink" Target="https://manulife-asia.atlassian.net/browse/DK-1553" TargetMode="External"/><Relationship Id="rId43" Type="http://schemas.openxmlformats.org/officeDocument/2006/relationships/hyperlink" Target="https://manulife-asia.atlassian.net/browse/DK-1862" TargetMode="External"/><Relationship Id="rId48" Type="http://schemas.openxmlformats.org/officeDocument/2006/relationships/hyperlink" Target="https://manulife-asia.atlassian.net/browse/DK-1913" TargetMode="External"/><Relationship Id="rId56" Type="http://schemas.openxmlformats.org/officeDocument/2006/relationships/hyperlink" Target="https://manulife-asia.atlassian.net/browse/DK-1914" TargetMode="External"/><Relationship Id="rId8" Type="http://schemas.openxmlformats.org/officeDocument/2006/relationships/hyperlink" Target="https://manulife-asia.atlassian.net/browse/DK-1640" TargetMode="External"/><Relationship Id="rId51" Type="http://schemas.openxmlformats.org/officeDocument/2006/relationships/hyperlink" Target="https://manulife-asia.atlassian.net/browse/DK-1914" TargetMode="External"/><Relationship Id="rId3" Type="http://schemas.openxmlformats.org/officeDocument/2006/relationships/hyperlink" Target="https://manulife-asia.atlassian.net/browse/DK-1636" TargetMode="External"/><Relationship Id="rId12" Type="http://schemas.openxmlformats.org/officeDocument/2006/relationships/hyperlink" Target="https://manulife-asia.atlassian.net/browse/DK-1611" TargetMode="External"/><Relationship Id="rId17" Type="http://schemas.openxmlformats.org/officeDocument/2006/relationships/hyperlink" Target="https://manulife-asia.atlassian.net/browse/DK-1634" TargetMode="External"/><Relationship Id="rId25" Type="http://schemas.openxmlformats.org/officeDocument/2006/relationships/hyperlink" Target="https://manulife-asia.atlassian.net/browse/DK-1674" TargetMode="External"/><Relationship Id="rId33" Type="http://schemas.openxmlformats.org/officeDocument/2006/relationships/hyperlink" Target="https://manulife-asia.atlassian.net/browse/DK-1674" TargetMode="External"/><Relationship Id="rId38" Type="http://schemas.openxmlformats.org/officeDocument/2006/relationships/hyperlink" Target="https://manulife-asia.atlassian.net/browse/DK-1553" TargetMode="External"/><Relationship Id="rId46" Type="http://schemas.openxmlformats.org/officeDocument/2006/relationships/hyperlink" Target="https://manulife-asia.atlassian.net/browse/DK-1913" TargetMode="External"/><Relationship Id="rId20" Type="http://schemas.openxmlformats.org/officeDocument/2006/relationships/hyperlink" Target="https://manulife-asia.atlassian.net/browse/DK-1729" TargetMode="External"/><Relationship Id="rId41" Type="http://schemas.openxmlformats.org/officeDocument/2006/relationships/hyperlink" Target="https://manulife-asia.atlassian.net/browse/DK-1862" TargetMode="External"/><Relationship Id="rId54" Type="http://schemas.openxmlformats.org/officeDocument/2006/relationships/hyperlink" Target="https://manulife-asia.atlassian.net/browse/DK-1911" TargetMode="External"/><Relationship Id="rId1" Type="http://schemas.openxmlformats.org/officeDocument/2006/relationships/hyperlink" Target="https://manulife-asia.atlassian.net/browse/DK-1680" TargetMode="External"/><Relationship Id="rId6" Type="http://schemas.openxmlformats.org/officeDocument/2006/relationships/hyperlink" Target="https://manulife-asia.atlassian.net/browse/DK-1714" TargetMode="External"/><Relationship Id="rId15" Type="http://schemas.openxmlformats.org/officeDocument/2006/relationships/hyperlink" Target="https://manulife-asia.atlassian.net/browse/DK-1549" TargetMode="External"/><Relationship Id="rId23" Type="http://schemas.openxmlformats.org/officeDocument/2006/relationships/hyperlink" Target="https://manulife-asia.atlassian.net/browse/DK-1729" TargetMode="External"/><Relationship Id="rId28" Type="http://schemas.openxmlformats.org/officeDocument/2006/relationships/hyperlink" Target="https://manulife-asia.atlassian.net/browse/DK-1674" TargetMode="External"/><Relationship Id="rId36" Type="http://schemas.openxmlformats.org/officeDocument/2006/relationships/hyperlink" Target="https://manulife-asia.atlassian.net/browse/DK-1553" TargetMode="External"/><Relationship Id="rId49" Type="http://schemas.openxmlformats.org/officeDocument/2006/relationships/hyperlink" Target="https://manulife-asia.atlassian.net/browse/DK-1913" TargetMode="External"/><Relationship Id="rId57" Type="http://schemas.openxmlformats.org/officeDocument/2006/relationships/hyperlink" Target="https://manulife-asia.atlassian.net/browse/DK-1917" TargetMode="External"/><Relationship Id="rId10" Type="http://schemas.openxmlformats.org/officeDocument/2006/relationships/hyperlink" Target="https://manulife-asia.atlassian.net/browse/DK-1680" TargetMode="External"/><Relationship Id="rId31" Type="http://schemas.openxmlformats.org/officeDocument/2006/relationships/hyperlink" Target="https://manulife-asia.atlassian.net/browse/DK-1674" TargetMode="External"/><Relationship Id="rId44" Type="http://schemas.openxmlformats.org/officeDocument/2006/relationships/hyperlink" Target="https://manulife-asia.atlassian.net/browse/DK-1892" TargetMode="External"/><Relationship Id="rId52" Type="http://schemas.openxmlformats.org/officeDocument/2006/relationships/hyperlink" Target="https://manulife-asia.atlassian.net/browse/DK-1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0"/>
  <sheetViews>
    <sheetView tabSelected="1" zoomScaleNormal="100" workbookViewId="0">
      <pane xSplit="1" ySplit="1" topLeftCell="B296" activePane="bottomRight" state="frozen"/>
      <selection pane="topRight" activeCell="B1" sqref="B1"/>
      <selection pane="bottomLeft" activeCell="A2" sqref="A2"/>
      <selection pane="bottomRight" activeCell="K322" sqref="K322"/>
    </sheetView>
  </sheetViews>
  <sheetFormatPr defaultRowHeight="14.5" x14ac:dyDescent="0.35"/>
  <cols>
    <col min="1" max="1" width="10.453125" bestFit="1" customWidth="1"/>
    <col min="2" max="2" width="10.453125" customWidth="1"/>
    <col min="3" max="3" width="19.7265625" customWidth="1"/>
    <col min="4" max="4" width="12.26953125" bestFit="1" customWidth="1"/>
    <col min="5" max="5" width="41.54296875" customWidth="1"/>
    <col min="6" max="6" width="12" bestFit="1" customWidth="1"/>
    <col min="7" max="7" width="11" bestFit="1" customWidth="1"/>
    <col min="8" max="8" width="10.453125" customWidth="1"/>
    <col min="9" max="9" width="23.26953125" customWidth="1"/>
    <col min="10" max="10" width="15.26953125" bestFit="1" customWidth="1"/>
    <col min="11" max="11" width="50.26953125" bestFit="1" customWidth="1"/>
  </cols>
  <sheetData>
    <row r="1" spans="1:11" x14ac:dyDescent="0.35">
      <c r="A1" s="2" t="s">
        <v>0</v>
      </c>
      <c r="B1" s="2" t="s">
        <v>328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5">
      <c r="A2" s="3" t="s">
        <v>10</v>
      </c>
      <c r="B2" s="3" t="s">
        <v>329</v>
      </c>
      <c r="C2" s="9">
        <v>46173</v>
      </c>
      <c r="D2" s="3" t="s">
        <v>11</v>
      </c>
      <c r="E2" s="3" t="s">
        <v>12</v>
      </c>
      <c r="F2" s="3">
        <v>91269333.109999999</v>
      </c>
      <c r="G2" s="3"/>
      <c r="H2" s="3" t="s">
        <v>13</v>
      </c>
      <c r="I2" s="3" t="s">
        <v>14</v>
      </c>
      <c r="J2" s="3"/>
      <c r="K2" s="3"/>
    </row>
    <row r="3" spans="1:11" x14ac:dyDescent="0.35">
      <c r="A3" s="3" t="s">
        <v>10</v>
      </c>
      <c r="B3" s="3" t="s">
        <v>329</v>
      </c>
      <c r="C3" s="9">
        <v>46173</v>
      </c>
      <c r="D3" s="3" t="s">
        <v>15</v>
      </c>
      <c r="E3" s="3" t="s">
        <v>16</v>
      </c>
      <c r="F3" s="3">
        <v>4376</v>
      </c>
      <c r="G3" s="3"/>
      <c r="H3" s="3" t="s">
        <v>13</v>
      </c>
      <c r="I3" s="3" t="s">
        <v>14</v>
      </c>
      <c r="J3" s="3"/>
      <c r="K3" s="3"/>
    </row>
    <row r="4" spans="1:11" x14ac:dyDescent="0.35">
      <c r="A4" s="3" t="s">
        <v>10</v>
      </c>
      <c r="B4" s="3" t="s">
        <v>329</v>
      </c>
      <c r="C4" s="9">
        <v>46173</v>
      </c>
      <c r="D4" s="3" t="s">
        <v>17</v>
      </c>
      <c r="E4" s="3" t="s">
        <v>18</v>
      </c>
      <c r="F4" s="3">
        <v>45</v>
      </c>
      <c r="G4" s="3"/>
      <c r="H4" s="3" t="s">
        <v>13</v>
      </c>
      <c r="I4" s="3" t="s">
        <v>14</v>
      </c>
      <c r="J4" s="3"/>
      <c r="K4" s="3"/>
    </row>
    <row r="5" spans="1:11" x14ac:dyDescent="0.35">
      <c r="A5" s="3" t="s">
        <v>10</v>
      </c>
      <c r="B5" s="3" t="s">
        <v>329</v>
      </c>
      <c r="C5" s="9">
        <v>46173</v>
      </c>
      <c r="D5" s="3" t="s">
        <v>19</v>
      </c>
      <c r="E5" s="3" t="s">
        <v>20</v>
      </c>
      <c r="F5" s="3">
        <v>634</v>
      </c>
      <c r="G5" s="3"/>
      <c r="H5" s="3" t="s">
        <v>13</v>
      </c>
      <c r="I5" s="3" t="s">
        <v>14</v>
      </c>
      <c r="J5" s="3"/>
      <c r="K5" s="3"/>
    </row>
    <row r="6" spans="1:11" x14ac:dyDescent="0.35">
      <c r="A6" s="3" t="s">
        <v>10</v>
      </c>
      <c r="B6" s="3" t="s">
        <v>329</v>
      </c>
      <c r="C6" s="9">
        <v>46173</v>
      </c>
      <c r="D6" s="3" t="s">
        <v>21</v>
      </c>
      <c r="E6" s="3" t="s">
        <v>22</v>
      </c>
      <c r="F6" s="3">
        <v>696</v>
      </c>
      <c r="G6" s="3"/>
      <c r="H6" s="3" t="s">
        <v>13</v>
      </c>
      <c r="I6" s="3" t="s">
        <v>14</v>
      </c>
      <c r="J6" s="3"/>
      <c r="K6" s="3"/>
    </row>
    <row r="7" spans="1:11" x14ac:dyDescent="0.35">
      <c r="A7" s="3" t="s">
        <v>10</v>
      </c>
      <c r="B7" s="3" t="s">
        <v>329</v>
      </c>
      <c r="C7" s="9">
        <v>46173</v>
      </c>
      <c r="D7" s="3" t="s">
        <v>23</v>
      </c>
      <c r="E7" s="3" t="s">
        <v>24</v>
      </c>
      <c r="F7" s="3">
        <v>2846</v>
      </c>
      <c r="G7" s="3"/>
      <c r="H7" s="3" t="s">
        <v>13</v>
      </c>
      <c r="I7" s="3" t="s">
        <v>14</v>
      </c>
      <c r="J7" s="3"/>
      <c r="K7" s="3"/>
    </row>
    <row r="8" spans="1:11" x14ac:dyDescent="0.35">
      <c r="A8" s="3" t="s">
        <v>10</v>
      </c>
      <c r="B8" s="3" t="s">
        <v>329</v>
      </c>
      <c r="C8" s="9">
        <v>46173</v>
      </c>
      <c r="D8" s="3" t="s">
        <v>25</v>
      </c>
      <c r="E8" s="3" t="s">
        <v>26</v>
      </c>
      <c r="F8" s="3">
        <v>1806</v>
      </c>
      <c r="G8" s="3"/>
      <c r="H8" s="3" t="s">
        <v>13</v>
      </c>
      <c r="I8" s="3" t="s">
        <v>14</v>
      </c>
      <c r="J8" s="3"/>
      <c r="K8" s="3"/>
    </row>
    <row r="9" spans="1:11" x14ac:dyDescent="0.35">
      <c r="A9" s="3" t="s">
        <v>10</v>
      </c>
      <c r="B9" s="3" t="s">
        <v>329</v>
      </c>
      <c r="C9" s="9">
        <v>46173</v>
      </c>
      <c r="D9" s="3" t="s">
        <v>27</v>
      </c>
      <c r="E9" s="3" t="s">
        <v>28</v>
      </c>
      <c r="F9" s="3">
        <v>552</v>
      </c>
      <c r="G9" s="3"/>
      <c r="H9" s="3" t="s">
        <v>13</v>
      </c>
      <c r="I9" s="3" t="s">
        <v>14</v>
      </c>
      <c r="J9" s="3"/>
      <c r="K9" s="3"/>
    </row>
    <row r="10" spans="1:11" x14ac:dyDescent="0.35">
      <c r="A10" s="3" t="s">
        <v>10</v>
      </c>
      <c r="B10" s="3" t="s">
        <v>329</v>
      </c>
      <c r="C10" s="9">
        <v>46173</v>
      </c>
      <c r="D10" s="3" t="s">
        <v>29</v>
      </c>
      <c r="E10" s="3" t="s">
        <v>30</v>
      </c>
      <c r="F10" s="3">
        <v>488</v>
      </c>
      <c r="G10" s="3"/>
      <c r="H10" s="3" t="s">
        <v>13</v>
      </c>
      <c r="I10" s="3" t="s">
        <v>14</v>
      </c>
      <c r="J10" s="3"/>
      <c r="K10" s="3"/>
    </row>
    <row r="11" spans="1:11" x14ac:dyDescent="0.35">
      <c r="A11" s="3" t="s">
        <v>10</v>
      </c>
      <c r="B11" s="3" t="s">
        <v>329</v>
      </c>
      <c r="C11" s="9">
        <v>46173</v>
      </c>
      <c r="D11" s="3" t="s">
        <v>31</v>
      </c>
      <c r="E11" s="3" t="s">
        <v>32</v>
      </c>
      <c r="F11" s="3">
        <v>156</v>
      </c>
      <c r="G11" s="3"/>
      <c r="H11" s="3" t="s">
        <v>13</v>
      </c>
      <c r="I11" s="3" t="s">
        <v>14</v>
      </c>
      <c r="J11" s="3"/>
      <c r="K11" s="3"/>
    </row>
    <row r="12" spans="1:11" x14ac:dyDescent="0.35">
      <c r="A12" s="3" t="s">
        <v>10</v>
      </c>
      <c r="B12" s="3" t="s">
        <v>329</v>
      </c>
      <c r="C12" s="9">
        <v>46173</v>
      </c>
      <c r="D12" s="3" t="s">
        <v>33</v>
      </c>
      <c r="E12" s="3" t="s">
        <v>34</v>
      </c>
      <c r="F12" s="3">
        <v>589</v>
      </c>
      <c r="G12" s="3"/>
      <c r="H12" s="3" t="s">
        <v>13</v>
      </c>
      <c r="I12" s="3" t="s">
        <v>14</v>
      </c>
      <c r="J12" s="3"/>
      <c r="K12" s="3"/>
    </row>
    <row r="13" spans="1:11" x14ac:dyDescent="0.35">
      <c r="A13" s="3" t="s">
        <v>10</v>
      </c>
      <c r="B13" s="3" t="s">
        <v>329</v>
      </c>
      <c r="C13" s="9">
        <v>46173</v>
      </c>
      <c r="D13" s="3" t="s">
        <v>35</v>
      </c>
      <c r="E13" s="3" t="s">
        <v>36</v>
      </c>
      <c r="F13" s="3">
        <v>3586</v>
      </c>
      <c r="G13" s="3"/>
      <c r="H13" s="3" t="s">
        <v>13</v>
      </c>
      <c r="I13" s="3" t="s">
        <v>14</v>
      </c>
      <c r="J13" s="3"/>
      <c r="K13" s="3"/>
    </row>
    <row r="14" spans="1:11" x14ac:dyDescent="0.35">
      <c r="A14" s="3" t="s">
        <v>10</v>
      </c>
      <c r="B14" s="3" t="s">
        <v>329</v>
      </c>
      <c r="C14" s="9">
        <v>46173</v>
      </c>
      <c r="D14" s="3" t="s">
        <v>37</v>
      </c>
      <c r="E14" s="3" t="s">
        <v>38</v>
      </c>
      <c r="F14" s="3">
        <v>3046</v>
      </c>
      <c r="G14" s="3"/>
      <c r="H14" s="3" t="s">
        <v>13</v>
      </c>
      <c r="I14" s="3" t="s">
        <v>14</v>
      </c>
      <c r="J14" s="3"/>
      <c r="K14" s="3"/>
    </row>
    <row r="15" spans="1:11" x14ac:dyDescent="0.35">
      <c r="A15" s="3" t="s">
        <v>10</v>
      </c>
      <c r="B15" s="3" t="s">
        <v>329</v>
      </c>
      <c r="C15" s="9">
        <v>46173</v>
      </c>
      <c r="D15" s="3" t="s">
        <v>39</v>
      </c>
      <c r="E15" s="3" t="s">
        <v>40</v>
      </c>
      <c r="F15" s="3">
        <v>7938</v>
      </c>
      <c r="G15" s="3"/>
      <c r="H15" s="3" t="s">
        <v>13</v>
      </c>
      <c r="I15" s="3" t="s">
        <v>14</v>
      </c>
      <c r="J15" s="3"/>
      <c r="K15" s="3"/>
    </row>
    <row r="16" spans="1:11" x14ac:dyDescent="0.35">
      <c r="A16" s="3" t="s">
        <v>10</v>
      </c>
      <c r="B16" s="3" t="s">
        <v>329</v>
      </c>
      <c r="C16" s="9">
        <v>46173</v>
      </c>
      <c r="D16" s="3" t="s">
        <v>41</v>
      </c>
      <c r="E16" s="3" t="s">
        <v>42</v>
      </c>
      <c r="F16" s="3">
        <v>45</v>
      </c>
      <c r="G16" s="3"/>
      <c r="H16" s="3" t="s">
        <v>13</v>
      </c>
      <c r="I16" s="3" t="s">
        <v>14</v>
      </c>
      <c r="J16" s="3"/>
      <c r="K16" s="3"/>
    </row>
    <row r="17" spans="1:11" x14ac:dyDescent="0.35">
      <c r="A17" s="3" t="s">
        <v>10</v>
      </c>
      <c r="B17" s="3" t="s">
        <v>329</v>
      </c>
      <c r="C17" s="9">
        <v>46173</v>
      </c>
      <c r="D17" s="3" t="s">
        <v>43</v>
      </c>
      <c r="E17" s="3" t="s">
        <v>44</v>
      </c>
      <c r="F17" s="3">
        <v>275</v>
      </c>
      <c r="G17" s="3"/>
      <c r="H17" s="3" t="s">
        <v>13</v>
      </c>
      <c r="I17" s="3" t="s">
        <v>14</v>
      </c>
      <c r="J17" s="3"/>
      <c r="K17" s="3"/>
    </row>
    <row r="18" spans="1:11" x14ac:dyDescent="0.35">
      <c r="A18" s="3" t="s">
        <v>10</v>
      </c>
      <c r="B18" s="3" t="s">
        <v>329</v>
      </c>
      <c r="C18" s="9">
        <v>46173</v>
      </c>
      <c r="D18" s="3" t="s">
        <v>45</v>
      </c>
      <c r="E18" s="3" t="s">
        <v>46</v>
      </c>
      <c r="F18" s="3">
        <v>1282</v>
      </c>
      <c r="G18" s="3"/>
      <c r="H18" s="3" t="s">
        <v>13</v>
      </c>
      <c r="I18" s="3" t="s">
        <v>14</v>
      </c>
      <c r="J18" s="3"/>
      <c r="K18" s="3"/>
    </row>
    <row r="19" spans="1:11" x14ac:dyDescent="0.35">
      <c r="A19" s="3" t="s">
        <v>10</v>
      </c>
      <c r="B19" s="3" t="s">
        <v>329</v>
      </c>
      <c r="C19" s="9">
        <v>46173</v>
      </c>
      <c r="D19" s="3" t="s">
        <v>47</v>
      </c>
      <c r="E19" s="3" t="s">
        <v>48</v>
      </c>
      <c r="F19" s="3">
        <v>6336</v>
      </c>
      <c r="G19" s="3"/>
      <c r="H19" s="3" t="s">
        <v>13</v>
      </c>
      <c r="I19" s="3" t="s">
        <v>14</v>
      </c>
      <c r="J19" s="3"/>
      <c r="K19" s="3"/>
    </row>
    <row r="20" spans="1:11" x14ac:dyDescent="0.35">
      <c r="A20" s="3" t="s">
        <v>10</v>
      </c>
      <c r="B20" s="3" t="s">
        <v>329</v>
      </c>
      <c r="C20" s="9">
        <v>46173</v>
      </c>
      <c r="D20" s="3" t="s">
        <v>49</v>
      </c>
      <c r="E20" s="3" t="s">
        <v>50</v>
      </c>
      <c r="F20" s="3">
        <v>8274.5</v>
      </c>
      <c r="G20" s="3"/>
      <c r="H20" s="3" t="s">
        <v>13</v>
      </c>
      <c r="I20" s="3" t="s">
        <v>14</v>
      </c>
      <c r="J20" s="3"/>
      <c r="K20" s="3"/>
    </row>
    <row r="21" spans="1:11" x14ac:dyDescent="0.35">
      <c r="A21" s="3" t="s">
        <v>10</v>
      </c>
      <c r="B21" s="3" t="s">
        <v>329</v>
      </c>
      <c r="C21" s="9">
        <v>46173</v>
      </c>
      <c r="D21" s="3" t="s">
        <v>51</v>
      </c>
      <c r="E21" s="3" t="s">
        <v>52</v>
      </c>
      <c r="F21" s="3">
        <v>62</v>
      </c>
      <c r="G21" s="3"/>
      <c r="H21" s="3" t="s">
        <v>13</v>
      </c>
      <c r="I21" s="3" t="s">
        <v>14</v>
      </c>
      <c r="J21" s="3"/>
      <c r="K21" s="3"/>
    </row>
    <row r="22" spans="1:11" x14ac:dyDescent="0.35">
      <c r="A22" s="3" t="s">
        <v>10</v>
      </c>
      <c r="B22" s="3" t="s">
        <v>329</v>
      </c>
      <c r="C22" s="9">
        <v>46173</v>
      </c>
      <c r="D22" s="3" t="s">
        <v>53</v>
      </c>
      <c r="E22" s="3" t="s">
        <v>54</v>
      </c>
      <c r="F22" s="3">
        <v>1402.12</v>
      </c>
      <c r="G22" s="3"/>
      <c r="H22" s="3" t="s">
        <v>13</v>
      </c>
      <c r="I22" s="3" t="s">
        <v>14</v>
      </c>
      <c r="J22" s="3"/>
      <c r="K22" s="3"/>
    </row>
    <row r="23" spans="1:11" x14ac:dyDescent="0.35">
      <c r="A23" s="3" t="s">
        <v>10</v>
      </c>
      <c r="B23" s="3" t="s">
        <v>329</v>
      </c>
      <c r="C23" s="9">
        <v>46173</v>
      </c>
      <c r="D23" s="3" t="s">
        <v>55</v>
      </c>
      <c r="E23" s="3" t="s">
        <v>56</v>
      </c>
      <c r="F23" s="3">
        <v>1651.06</v>
      </c>
      <c r="G23" s="3"/>
      <c r="H23" s="3" t="s">
        <v>13</v>
      </c>
      <c r="I23" s="3" t="s">
        <v>14</v>
      </c>
      <c r="J23" s="3"/>
      <c r="K23" s="3"/>
    </row>
    <row r="24" spans="1:11" x14ac:dyDescent="0.35">
      <c r="A24" s="3" t="s">
        <v>10</v>
      </c>
      <c r="B24" s="3" t="s">
        <v>329</v>
      </c>
      <c r="C24" s="9">
        <v>46173</v>
      </c>
      <c r="D24" s="3" t="s">
        <v>57</v>
      </c>
      <c r="E24" s="3" t="s">
        <v>58</v>
      </c>
      <c r="F24" s="3">
        <v>6366.89</v>
      </c>
      <c r="G24" s="3"/>
      <c r="H24" s="3" t="s">
        <v>13</v>
      </c>
      <c r="I24" s="3" t="s">
        <v>14</v>
      </c>
      <c r="J24" s="3"/>
      <c r="K24" s="3"/>
    </row>
    <row r="25" spans="1:11" x14ac:dyDescent="0.35">
      <c r="A25" s="3" t="s">
        <v>10</v>
      </c>
      <c r="B25" s="3" t="s">
        <v>329</v>
      </c>
      <c r="C25" s="9">
        <v>46173</v>
      </c>
      <c r="D25" s="3" t="s">
        <v>59</v>
      </c>
      <c r="E25" s="3" t="s">
        <v>60</v>
      </c>
      <c r="F25" s="3">
        <v>4548.38</v>
      </c>
      <c r="G25" s="3"/>
      <c r="H25" s="3" t="s">
        <v>13</v>
      </c>
      <c r="I25" s="3" t="s">
        <v>14</v>
      </c>
      <c r="J25" s="3"/>
      <c r="K25" s="3"/>
    </row>
    <row r="26" spans="1:11" x14ac:dyDescent="0.35">
      <c r="A26" s="3" t="s">
        <v>10</v>
      </c>
      <c r="B26" s="3" t="s">
        <v>329</v>
      </c>
      <c r="C26" s="9">
        <v>46173</v>
      </c>
      <c r="D26" s="3" t="s">
        <v>61</v>
      </c>
      <c r="E26" s="3" t="s">
        <v>62</v>
      </c>
      <c r="F26" s="3">
        <v>1022.54</v>
      </c>
      <c r="G26" s="3"/>
      <c r="H26" s="3" t="s">
        <v>13</v>
      </c>
      <c r="I26" s="3" t="s">
        <v>14</v>
      </c>
      <c r="J26" s="3"/>
      <c r="K26" s="3"/>
    </row>
    <row r="27" spans="1:11" x14ac:dyDescent="0.35">
      <c r="A27" s="3" t="s">
        <v>10</v>
      </c>
      <c r="B27" s="3" t="s">
        <v>329</v>
      </c>
      <c r="C27" s="9">
        <v>46173</v>
      </c>
      <c r="D27" s="3" t="s">
        <v>63</v>
      </c>
      <c r="E27" s="3" t="s">
        <v>64</v>
      </c>
      <c r="F27" s="3">
        <v>795.97</v>
      </c>
      <c r="G27" s="3"/>
      <c r="H27" s="3" t="s">
        <v>13</v>
      </c>
      <c r="I27" s="3" t="s">
        <v>14</v>
      </c>
      <c r="J27" s="3"/>
      <c r="K27" s="3"/>
    </row>
    <row r="28" spans="1:11" x14ac:dyDescent="0.35">
      <c r="A28" s="3" t="s">
        <v>10</v>
      </c>
      <c r="B28" s="3" t="s">
        <v>329</v>
      </c>
      <c r="C28" s="9">
        <v>46173</v>
      </c>
      <c r="D28" s="3" t="s">
        <v>65</v>
      </c>
      <c r="E28" s="3" t="s">
        <v>66</v>
      </c>
      <c r="F28" s="3">
        <v>248.16</v>
      </c>
      <c r="G28" s="3"/>
      <c r="H28" s="3" t="s">
        <v>13</v>
      </c>
      <c r="I28" s="3" t="s">
        <v>14</v>
      </c>
      <c r="J28" s="3"/>
      <c r="K28" s="3"/>
    </row>
    <row r="29" spans="1:11" x14ac:dyDescent="0.35">
      <c r="A29" s="3" t="s">
        <v>10</v>
      </c>
      <c r="B29" s="3" t="s">
        <v>329</v>
      </c>
      <c r="C29" s="9">
        <v>46173</v>
      </c>
      <c r="D29" s="3" t="s">
        <v>67</v>
      </c>
      <c r="E29" s="3" t="s">
        <v>68</v>
      </c>
      <c r="F29" s="3">
        <v>930.23</v>
      </c>
      <c r="G29" s="3"/>
      <c r="H29" s="3" t="s">
        <v>13</v>
      </c>
      <c r="I29" s="3" t="s">
        <v>14</v>
      </c>
      <c r="J29" s="3"/>
      <c r="K29" s="3"/>
    </row>
    <row r="30" spans="1:11" x14ac:dyDescent="0.35">
      <c r="A30" s="3" t="s">
        <v>10</v>
      </c>
      <c r="B30" s="3" t="s">
        <v>329</v>
      </c>
      <c r="C30" s="9">
        <v>46173</v>
      </c>
      <c r="D30" s="3" t="s">
        <v>69</v>
      </c>
      <c r="E30" s="3" t="s">
        <v>70</v>
      </c>
      <c r="F30" s="3">
        <v>7034.11</v>
      </c>
      <c r="G30" s="3"/>
      <c r="H30" s="3" t="s">
        <v>13</v>
      </c>
      <c r="I30" s="3" t="s">
        <v>14</v>
      </c>
      <c r="J30" s="3"/>
      <c r="K30" s="3"/>
    </row>
    <row r="31" spans="1:11" x14ac:dyDescent="0.35">
      <c r="A31" s="3" t="s">
        <v>10</v>
      </c>
      <c r="B31" s="3" t="s">
        <v>329</v>
      </c>
      <c r="C31" s="9">
        <v>46173</v>
      </c>
      <c r="D31" s="3" t="s">
        <v>71</v>
      </c>
      <c r="E31" s="3" t="s">
        <v>72</v>
      </c>
      <c r="F31" s="3">
        <v>5221.32</v>
      </c>
      <c r="G31" s="3"/>
      <c r="H31" s="3" t="s">
        <v>13</v>
      </c>
      <c r="I31" s="3" t="s">
        <v>14</v>
      </c>
      <c r="J31" s="3"/>
      <c r="K31" s="3"/>
    </row>
    <row r="32" spans="1:11" x14ac:dyDescent="0.35">
      <c r="A32" s="3" t="s">
        <v>10</v>
      </c>
      <c r="B32" s="3" t="s">
        <v>329</v>
      </c>
      <c r="C32" s="9">
        <v>46173</v>
      </c>
      <c r="D32" s="3" t="s">
        <v>73</v>
      </c>
      <c r="E32" s="3" t="s">
        <v>74</v>
      </c>
      <c r="F32" s="3">
        <v>91629</v>
      </c>
      <c r="G32" s="3"/>
      <c r="H32" s="3" t="s">
        <v>13</v>
      </c>
      <c r="I32" s="3" t="s">
        <v>14</v>
      </c>
      <c r="J32" s="3"/>
      <c r="K32" s="3"/>
    </row>
    <row r="33" spans="1:11" x14ac:dyDescent="0.35">
      <c r="A33" s="3" t="s">
        <v>10</v>
      </c>
      <c r="B33" s="3" t="s">
        <v>329</v>
      </c>
      <c r="C33" s="9">
        <v>46173</v>
      </c>
      <c r="D33" s="3" t="s">
        <v>75</v>
      </c>
      <c r="E33" s="3" t="s">
        <v>76</v>
      </c>
      <c r="F33" s="3">
        <v>77922304.840000004</v>
      </c>
      <c r="G33" s="3"/>
      <c r="H33" s="3" t="s">
        <v>13</v>
      </c>
      <c r="I33" s="3" t="s">
        <v>14</v>
      </c>
      <c r="J33" s="3"/>
      <c r="K33" s="3"/>
    </row>
    <row r="34" spans="1:11" x14ac:dyDescent="0.35">
      <c r="A34" s="3" t="s">
        <v>10</v>
      </c>
      <c r="B34" s="3" t="s">
        <v>329</v>
      </c>
      <c r="C34" s="9">
        <v>46173</v>
      </c>
      <c r="D34" s="3" t="s">
        <v>77</v>
      </c>
      <c r="E34" s="3" t="s">
        <v>78</v>
      </c>
      <c r="F34" s="3">
        <v>2373124.27</v>
      </c>
      <c r="G34" s="3"/>
      <c r="H34" s="3" t="s">
        <v>13</v>
      </c>
      <c r="I34" s="3" t="s">
        <v>14</v>
      </c>
      <c r="J34" s="3"/>
      <c r="K34" s="3"/>
    </row>
    <row r="35" spans="1:11" x14ac:dyDescent="0.35">
      <c r="A35" s="3" t="s">
        <v>10</v>
      </c>
      <c r="B35" s="3" t="s">
        <v>329</v>
      </c>
      <c r="C35" s="9">
        <v>46173</v>
      </c>
      <c r="D35" s="3" t="s">
        <v>79</v>
      </c>
      <c r="E35" s="3" t="s">
        <v>80</v>
      </c>
      <c r="F35" s="3">
        <v>2764294.91</v>
      </c>
      <c r="G35" s="3"/>
      <c r="H35" s="3" t="s">
        <v>13</v>
      </c>
      <c r="I35" s="3" t="s">
        <v>14</v>
      </c>
      <c r="J35" s="3"/>
      <c r="K35" s="3"/>
    </row>
    <row r="36" spans="1:11" x14ac:dyDescent="0.35">
      <c r="A36" s="3" t="s">
        <v>10</v>
      </c>
      <c r="B36" s="3" t="s">
        <v>329</v>
      </c>
      <c r="C36" s="9">
        <v>46173</v>
      </c>
      <c r="D36" s="3" t="s">
        <v>81</v>
      </c>
      <c r="E36" s="3" t="s">
        <v>82</v>
      </c>
      <c r="F36" s="3">
        <v>13013327.300000001</v>
      </c>
      <c r="G36" s="3"/>
      <c r="H36" s="3" t="s">
        <v>13</v>
      </c>
      <c r="I36" s="3" t="s">
        <v>14</v>
      </c>
      <c r="J36" s="3"/>
      <c r="K36" s="3"/>
    </row>
    <row r="37" spans="1:11" x14ac:dyDescent="0.35">
      <c r="A37" s="3" t="s">
        <v>10</v>
      </c>
      <c r="B37" s="3" t="s">
        <v>329</v>
      </c>
      <c r="C37" s="9">
        <v>46173</v>
      </c>
      <c r="D37" s="3" t="s">
        <v>83</v>
      </c>
      <c r="E37" s="3" t="s">
        <v>84</v>
      </c>
      <c r="F37" s="3">
        <v>59755353.189999998</v>
      </c>
      <c r="G37" s="3"/>
      <c r="H37" s="3" t="s">
        <v>13</v>
      </c>
      <c r="I37" s="3" t="s">
        <v>14</v>
      </c>
      <c r="J37" s="3"/>
      <c r="K37" s="3"/>
    </row>
    <row r="38" spans="1:11" x14ac:dyDescent="0.35">
      <c r="A38" s="3" t="s">
        <v>10</v>
      </c>
      <c r="B38" s="3" t="s">
        <v>329</v>
      </c>
      <c r="C38" s="9">
        <v>46173</v>
      </c>
      <c r="D38" s="3" t="s">
        <v>85</v>
      </c>
      <c r="E38" s="3" t="s">
        <v>86</v>
      </c>
      <c r="F38" s="3">
        <v>11390</v>
      </c>
      <c r="G38" s="3"/>
      <c r="H38" s="3" t="s">
        <v>13</v>
      </c>
      <c r="I38" s="3" t="s">
        <v>14</v>
      </c>
      <c r="J38" s="3"/>
      <c r="K38" s="3"/>
    </row>
    <row r="39" spans="1:11" x14ac:dyDescent="0.35">
      <c r="A39" s="3" t="s">
        <v>10</v>
      </c>
      <c r="B39" s="3" t="s">
        <v>329</v>
      </c>
      <c r="C39" s="9">
        <v>46173</v>
      </c>
      <c r="D39" s="3" t="s">
        <v>87</v>
      </c>
      <c r="E39" s="3" t="s">
        <v>88</v>
      </c>
      <c r="F39" s="3">
        <v>252</v>
      </c>
      <c r="G39" s="3"/>
      <c r="H39" s="3" t="s">
        <v>13</v>
      </c>
      <c r="I39" s="3" t="s">
        <v>14</v>
      </c>
      <c r="J39" s="3"/>
      <c r="K39" s="3"/>
    </row>
    <row r="40" spans="1:11" x14ac:dyDescent="0.35">
      <c r="A40" s="3" t="s">
        <v>10</v>
      </c>
      <c r="B40" s="3" t="s">
        <v>329</v>
      </c>
      <c r="C40" s="9">
        <v>46173</v>
      </c>
      <c r="D40" s="3" t="s">
        <v>89</v>
      </c>
      <c r="E40" s="3" t="s">
        <v>90</v>
      </c>
      <c r="F40" s="3">
        <v>1107</v>
      </c>
      <c r="G40" s="3"/>
      <c r="H40" s="3" t="s">
        <v>13</v>
      </c>
      <c r="I40" s="3" t="s">
        <v>14</v>
      </c>
      <c r="J40" s="3"/>
      <c r="K40" s="3"/>
    </row>
    <row r="41" spans="1:11" x14ac:dyDescent="0.35">
      <c r="A41" s="3" t="s">
        <v>10</v>
      </c>
      <c r="B41" s="3" t="s">
        <v>329</v>
      </c>
      <c r="C41" s="9">
        <v>46173</v>
      </c>
      <c r="D41" s="3" t="s">
        <v>91</v>
      </c>
      <c r="E41" s="3" t="s">
        <v>92</v>
      </c>
      <c r="F41" s="3">
        <v>1217</v>
      </c>
      <c r="G41" s="3"/>
      <c r="H41" s="3" t="s">
        <v>13</v>
      </c>
      <c r="I41" s="3" t="s">
        <v>14</v>
      </c>
      <c r="J41" s="3"/>
      <c r="K41" s="3"/>
    </row>
    <row r="42" spans="1:11" x14ac:dyDescent="0.35">
      <c r="A42" s="3" t="s">
        <v>10</v>
      </c>
      <c r="B42" s="3" t="s">
        <v>329</v>
      </c>
      <c r="C42" s="9">
        <v>46173</v>
      </c>
      <c r="D42" s="3" t="s">
        <v>93</v>
      </c>
      <c r="E42" s="3" t="s">
        <v>94</v>
      </c>
      <c r="F42" s="3">
        <v>4419</v>
      </c>
      <c r="G42" s="3"/>
      <c r="H42" s="3" t="s">
        <v>13</v>
      </c>
      <c r="I42" s="3" t="s">
        <v>14</v>
      </c>
      <c r="J42" s="3"/>
      <c r="K42" s="3"/>
    </row>
    <row r="43" spans="1:11" x14ac:dyDescent="0.35">
      <c r="A43" s="3" t="s">
        <v>10</v>
      </c>
      <c r="B43" s="3" t="s">
        <v>329</v>
      </c>
      <c r="C43" s="9">
        <v>46173</v>
      </c>
      <c r="D43" s="3" t="s">
        <v>95</v>
      </c>
      <c r="E43" s="3" t="s">
        <v>96</v>
      </c>
      <c r="F43" s="3">
        <v>2584</v>
      </c>
      <c r="G43" s="3"/>
      <c r="H43" s="3" t="s">
        <v>13</v>
      </c>
      <c r="I43" s="3" t="s">
        <v>14</v>
      </c>
      <c r="J43" s="3"/>
      <c r="K43" s="3"/>
    </row>
    <row r="44" spans="1:11" x14ac:dyDescent="0.35">
      <c r="A44" s="3" t="s">
        <v>10</v>
      </c>
      <c r="B44" s="3" t="s">
        <v>329</v>
      </c>
      <c r="C44" s="9">
        <v>46173</v>
      </c>
      <c r="D44" s="3" t="s">
        <v>97</v>
      </c>
      <c r="E44" s="3" t="s">
        <v>98</v>
      </c>
      <c r="F44" s="3">
        <v>918</v>
      </c>
      <c r="G44" s="3"/>
      <c r="H44" s="3" t="s">
        <v>13</v>
      </c>
      <c r="I44" s="3" t="s">
        <v>14</v>
      </c>
      <c r="J44" s="3"/>
      <c r="K44" s="3"/>
    </row>
    <row r="45" spans="1:11" x14ac:dyDescent="0.35">
      <c r="A45" s="3" t="s">
        <v>10</v>
      </c>
      <c r="B45" s="3" t="s">
        <v>329</v>
      </c>
      <c r="C45" s="9">
        <v>46173</v>
      </c>
      <c r="D45" s="3" t="s">
        <v>99</v>
      </c>
      <c r="E45" s="3" t="s">
        <v>100</v>
      </c>
      <c r="F45" s="3">
        <v>917</v>
      </c>
      <c r="G45" s="3"/>
      <c r="H45" s="3" t="s">
        <v>13</v>
      </c>
      <c r="I45" s="3" t="s">
        <v>14</v>
      </c>
      <c r="J45" s="3"/>
      <c r="K45" s="3"/>
    </row>
    <row r="46" spans="1:11" x14ac:dyDescent="0.35">
      <c r="A46" s="3" t="s">
        <v>10</v>
      </c>
      <c r="B46" s="3" t="s">
        <v>329</v>
      </c>
      <c r="C46" s="9">
        <v>46173</v>
      </c>
      <c r="D46" s="3" t="s">
        <v>101</v>
      </c>
      <c r="E46" s="3" t="s">
        <v>102</v>
      </c>
      <c r="F46" s="3">
        <v>511</v>
      </c>
      <c r="G46" s="3"/>
      <c r="H46" s="3" t="s">
        <v>13</v>
      </c>
      <c r="I46" s="3" t="s">
        <v>14</v>
      </c>
      <c r="J46" s="3"/>
      <c r="K46" s="3"/>
    </row>
    <row r="47" spans="1:11" x14ac:dyDescent="0.35">
      <c r="A47" s="3" t="s">
        <v>10</v>
      </c>
      <c r="B47" s="3" t="s">
        <v>329</v>
      </c>
      <c r="C47" s="9">
        <v>46173</v>
      </c>
      <c r="D47" s="3" t="s">
        <v>103</v>
      </c>
      <c r="E47" s="3" t="s">
        <v>104</v>
      </c>
      <c r="F47" s="3">
        <v>2290</v>
      </c>
      <c r="G47" s="3"/>
      <c r="H47" s="3" t="s">
        <v>13</v>
      </c>
      <c r="I47" s="3" t="s">
        <v>14</v>
      </c>
      <c r="J47" s="3"/>
      <c r="K47" s="3"/>
    </row>
    <row r="48" spans="1:11" x14ac:dyDescent="0.35">
      <c r="A48" s="3" t="s">
        <v>10</v>
      </c>
      <c r="B48" s="3" t="s">
        <v>329</v>
      </c>
      <c r="C48" s="9">
        <v>46173</v>
      </c>
      <c r="D48" s="3" t="s">
        <v>105</v>
      </c>
      <c r="E48" s="3" t="s">
        <v>106</v>
      </c>
      <c r="F48" s="3">
        <v>8337</v>
      </c>
      <c r="G48" s="3"/>
      <c r="H48" s="3" t="s">
        <v>13</v>
      </c>
      <c r="I48" s="3" t="s">
        <v>14</v>
      </c>
      <c r="J48" s="3"/>
      <c r="K48" s="3"/>
    </row>
    <row r="49" spans="1:11" x14ac:dyDescent="0.35">
      <c r="A49" s="3" t="s">
        <v>10</v>
      </c>
      <c r="B49" s="3" t="s">
        <v>329</v>
      </c>
      <c r="C49" s="9">
        <v>46173</v>
      </c>
      <c r="D49" s="3" t="s">
        <v>107</v>
      </c>
      <c r="E49" s="3" t="s">
        <v>108</v>
      </c>
      <c r="F49" s="3">
        <v>9066</v>
      </c>
      <c r="G49" s="3"/>
      <c r="H49" s="3" t="s">
        <v>13</v>
      </c>
      <c r="I49" s="3" t="s">
        <v>14</v>
      </c>
      <c r="J49" s="3"/>
      <c r="K49" s="3"/>
    </row>
    <row r="50" spans="1:11" x14ac:dyDescent="0.35">
      <c r="A50" s="3" t="s">
        <v>10</v>
      </c>
      <c r="B50" s="3" t="s">
        <v>329</v>
      </c>
      <c r="C50" s="9">
        <v>46173</v>
      </c>
      <c r="D50" s="3" t="s">
        <v>109</v>
      </c>
      <c r="E50" s="3" t="s">
        <v>110</v>
      </c>
      <c r="F50" s="3">
        <v>252</v>
      </c>
      <c r="G50" s="3"/>
      <c r="H50" s="3" t="s">
        <v>13</v>
      </c>
      <c r="I50" s="3" t="s">
        <v>14</v>
      </c>
      <c r="J50" s="3"/>
      <c r="K50" s="3"/>
    </row>
    <row r="51" spans="1:11" x14ac:dyDescent="0.35">
      <c r="A51" s="3" t="s">
        <v>10</v>
      </c>
      <c r="B51" s="3" t="s">
        <v>329</v>
      </c>
      <c r="C51" s="9">
        <v>46173</v>
      </c>
      <c r="D51" s="3" t="s">
        <v>111</v>
      </c>
      <c r="E51" s="3" t="s">
        <v>112</v>
      </c>
      <c r="F51" s="3">
        <v>465</v>
      </c>
      <c r="G51" s="3"/>
      <c r="H51" s="3" t="s">
        <v>13</v>
      </c>
      <c r="I51" s="3" t="s">
        <v>14</v>
      </c>
      <c r="J51" s="3"/>
      <c r="K51" s="3"/>
    </row>
    <row r="52" spans="1:11" x14ac:dyDescent="0.35">
      <c r="A52" s="3" t="s">
        <v>10</v>
      </c>
      <c r="B52" s="3" t="s">
        <v>329</v>
      </c>
      <c r="C52" s="9">
        <v>46173</v>
      </c>
      <c r="D52" s="3" t="s">
        <v>113</v>
      </c>
      <c r="E52" s="3" t="s">
        <v>114</v>
      </c>
      <c r="F52" s="3">
        <v>3</v>
      </c>
      <c r="G52" s="3"/>
      <c r="H52" s="3" t="s">
        <v>13</v>
      </c>
      <c r="I52" s="3" t="s">
        <v>14</v>
      </c>
      <c r="J52" s="3"/>
      <c r="K52" s="3"/>
    </row>
    <row r="53" spans="1:11" x14ac:dyDescent="0.35">
      <c r="A53" s="3" t="s">
        <v>10</v>
      </c>
      <c r="B53" s="3" t="s">
        <v>329</v>
      </c>
      <c r="C53" s="9">
        <v>46173</v>
      </c>
      <c r="D53" s="3" t="s">
        <v>115</v>
      </c>
      <c r="E53" s="3" t="s">
        <v>116</v>
      </c>
      <c r="F53" s="3">
        <v>2</v>
      </c>
      <c r="G53" s="3"/>
      <c r="H53" s="3" t="s">
        <v>13</v>
      </c>
      <c r="I53" s="3" t="s">
        <v>14</v>
      </c>
      <c r="J53" s="3"/>
      <c r="K53" s="3"/>
    </row>
    <row r="54" spans="1:11" x14ac:dyDescent="0.35">
      <c r="A54" s="3" t="s">
        <v>10</v>
      </c>
      <c r="B54" s="3" t="s">
        <v>329</v>
      </c>
      <c r="C54" s="9">
        <v>46173</v>
      </c>
      <c r="D54" s="3" t="s">
        <v>117</v>
      </c>
      <c r="E54" s="3" t="s">
        <v>118</v>
      </c>
      <c r="F54" s="3">
        <v>0</v>
      </c>
      <c r="G54" s="3"/>
      <c r="H54" s="3" t="s">
        <v>13</v>
      </c>
      <c r="I54" s="3" t="s">
        <v>14</v>
      </c>
      <c r="J54" s="3"/>
      <c r="K54" s="3"/>
    </row>
    <row r="55" spans="1:11" x14ac:dyDescent="0.35">
      <c r="A55" s="3" t="s">
        <v>10</v>
      </c>
      <c r="B55" s="3" t="s">
        <v>329</v>
      </c>
      <c r="C55" s="9">
        <v>46173</v>
      </c>
      <c r="D55" s="3" t="s">
        <v>119</v>
      </c>
      <c r="E55" s="3" t="s">
        <v>120</v>
      </c>
      <c r="F55" s="3">
        <v>0</v>
      </c>
      <c r="G55" s="3"/>
      <c r="H55" s="3" t="s">
        <v>13</v>
      </c>
      <c r="I55" s="3" t="s">
        <v>14</v>
      </c>
      <c r="J55" s="3"/>
      <c r="K55" s="3"/>
    </row>
    <row r="56" spans="1:11" x14ac:dyDescent="0.35">
      <c r="A56" s="3" t="s">
        <v>10</v>
      </c>
      <c r="B56" s="3" t="s">
        <v>329</v>
      </c>
      <c r="C56" s="9">
        <v>46173</v>
      </c>
      <c r="D56" s="3" t="s">
        <v>121</v>
      </c>
      <c r="E56" s="3" t="s">
        <v>122</v>
      </c>
      <c r="F56" s="3">
        <v>0</v>
      </c>
      <c r="G56" s="3"/>
      <c r="H56" s="3" t="s">
        <v>13</v>
      </c>
      <c r="I56" s="3" t="s">
        <v>14</v>
      </c>
      <c r="J56" s="3"/>
      <c r="K56" s="3"/>
    </row>
    <row r="57" spans="1:11" x14ac:dyDescent="0.35">
      <c r="A57" s="3" t="s">
        <v>10</v>
      </c>
      <c r="B57" s="3" t="s">
        <v>329</v>
      </c>
      <c r="C57" s="9">
        <v>46173</v>
      </c>
      <c r="D57" s="3" t="s">
        <v>123</v>
      </c>
      <c r="E57" s="3" t="s">
        <v>124</v>
      </c>
      <c r="F57" s="3">
        <v>0</v>
      </c>
      <c r="G57" s="3"/>
      <c r="H57" s="3" t="s">
        <v>13</v>
      </c>
      <c r="I57" s="3" t="s">
        <v>14</v>
      </c>
      <c r="J57" s="3"/>
      <c r="K57" s="3"/>
    </row>
    <row r="58" spans="1:11" x14ac:dyDescent="0.35">
      <c r="A58" s="3" t="s">
        <v>10</v>
      </c>
      <c r="B58" s="3" t="s">
        <v>329</v>
      </c>
      <c r="C58" s="9">
        <v>46173</v>
      </c>
      <c r="D58" s="3" t="s">
        <v>125</v>
      </c>
      <c r="E58" s="3" t="s">
        <v>126</v>
      </c>
      <c r="F58" s="3">
        <v>460</v>
      </c>
      <c r="G58" s="3"/>
      <c r="H58" s="3" t="s">
        <v>13</v>
      </c>
      <c r="I58" s="3" t="s">
        <v>14</v>
      </c>
      <c r="J58" s="3"/>
      <c r="K58" s="3"/>
    </row>
    <row r="59" spans="1:11" x14ac:dyDescent="0.35">
      <c r="A59" s="3" t="s">
        <v>10</v>
      </c>
      <c r="B59" s="3" t="s">
        <v>329</v>
      </c>
      <c r="C59" s="9">
        <v>46173</v>
      </c>
      <c r="D59" s="3" t="s">
        <v>127</v>
      </c>
      <c r="E59" s="3" t="s">
        <v>128</v>
      </c>
      <c r="F59" s="3">
        <v>2324</v>
      </c>
      <c r="G59" s="3"/>
      <c r="H59" s="3" t="s">
        <v>13</v>
      </c>
      <c r="I59" s="3" t="s">
        <v>14</v>
      </c>
      <c r="J59" s="3"/>
      <c r="K59" s="3"/>
    </row>
    <row r="60" spans="1:11" x14ac:dyDescent="0.35">
      <c r="A60" s="3" t="s">
        <v>10</v>
      </c>
      <c r="B60" s="3" t="s">
        <v>329</v>
      </c>
      <c r="C60" s="9">
        <v>46173</v>
      </c>
      <c r="D60" s="3" t="s">
        <v>129</v>
      </c>
      <c r="E60" s="3" t="s">
        <v>130</v>
      </c>
      <c r="F60" s="3">
        <v>1107</v>
      </c>
      <c r="G60" s="3"/>
      <c r="H60" s="3" t="s">
        <v>13</v>
      </c>
      <c r="I60" s="3" t="s">
        <v>14</v>
      </c>
      <c r="J60" s="3"/>
      <c r="K60" s="3"/>
    </row>
    <row r="61" spans="1:11" x14ac:dyDescent="0.35">
      <c r="A61" s="3" t="s">
        <v>10</v>
      </c>
      <c r="B61" s="3" t="s">
        <v>329</v>
      </c>
      <c r="C61" s="9">
        <v>46173</v>
      </c>
      <c r="D61" s="3" t="s">
        <v>131</v>
      </c>
      <c r="E61" s="3" t="s">
        <v>132</v>
      </c>
      <c r="F61" s="3">
        <v>1217</v>
      </c>
      <c r="G61" s="3"/>
      <c r="H61" s="3" t="s">
        <v>13</v>
      </c>
      <c r="I61" s="3" t="s">
        <v>14</v>
      </c>
      <c r="J61" s="3"/>
      <c r="K61" s="3"/>
    </row>
    <row r="62" spans="1:11" x14ac:dyDescent="0.35">
      <c r="A62" s="3" t="s">
        <v>10</v>
      </c>
      <c r="B62" s="3" t="s">
        <v>329</v>
      </c>
      <c r="C62" s="9">
        <v>46173</v>
      </c>
      <c r="D62" s="3" t="s">
        <v>133</v>
      </c>
      <c r="E62" s="3" t="s">
        <v>134</v>
      </c>
      <c r="F62" s="3">
        <v>222</v>
      </c>
      <c r="G62" s="3"/>
      <c r="H62" s="3" t="s">
        <v>13</v>
      </c>
      <c r="I62" s="3" t="s">
        <v>14</v>
      </c>
      <c r="J62" s="3"/>
      <c r="K62" s="3"/>
    </row>
    <row r="63" spans="1:11" x14ac:dyDescent="0.35">
      <c r="A63" s="3" t="s">
        <v>10</v>
      </c>
      <c r="B63" s="3" t="s">
        <v>329</v>
      </c>
      <c r="C63" s="9">
        <v>46173</v>
      </c>
      <c r="D63" s="3" t="s">
        <v>135</v>
      </c>
      <c r="E63" s="3" t="s">
        <v>136</v>
      </c>
      <c r="F63" s="3">
        <v>824</v>
      </c>
      <c r="G63" s="3"/>
      <c r="H63" s="3" t="s">
        <v>13</v>
      </c>
      <c r="I63" s="3" t="s">
        <v>14</v>
      </c>
      <c r="J63" s="3"/>
      <c r="K63" s="3"/>
    </row>
    <row r="64" spans="1:11" x14ac:dyDescent="0.35">
      <c r="A64" s="3" t="s">
        <v>10</v>
      </c>
      <c r="B64" s="3" t="s">
        <v>329</v>
      </c>
      <c r="C64" s="9">
        <v>46173</v>
      </c>
      <c r="D64" s="3" t="s">
        <v>143</v>
      </c>
      <c r="E64" s="3" t="s">
        <v>144</v>
      </c>
      <c r="F64" s="3">
        <v>4419</v>
      </c>
      <c r="G64" s="3"/>
      <c r="H64" s="3" t="s">
        <v>13</v>
      </c>
      <c r="I64" s="3" t="s">
        <v>14</v>
      </c>
      <c r="J64" s="3"/>
      <c r="K64" s="3"/>
    </row>
    <row r="65" spans="1:11" x14ac:dyDescent="0.35">
      <c r="A65" s="3" t="s">
        <v>10</v>
      </c>
      <c r="B65" s="3" t="s">
        <v>329</v>
      </c>
      <c r="C65" s="9">
        <v>46173</v>
      </c>
      <c r="D65" s="3" t="s">
        <v>145</v>
      </c>
      <c r="E65" s="3" t="s">
        <v>146</v>
      </c>
      <c r="F65" s="3">
        <v>59121566.200000003</v>
      </c>
      <c r="G65" s="3"/>
      <c r="H65" s="3" t="s">
        <v>13</v>
      </c>
      <c r="I65" s="3" t="s">
        <v>14</v>
      </c>
      <c r="J65" s="3"/>
      <c r="K65" s="3"/>
    </row>
    <row r="66" spans="1:11" x14ac:dyDescent="0.35">
      <c r="A66" s="3" t="s">
        <v>10</v>
      </c>
      <c r="B66" s="3" t="s">
        <v>329</v>
      </c>
      <c r="C66" s="9">
        <v>46173</v>
      </c>
      <c r="D66" s="3" t="s">
        <v>147</v>
      </c>
      <c r="E66" s="3" t="s">
        <v>148</v>
      </c>
      <c r="F66" s="3">
        <v>7254456.5999999996</v>
      </c>
      <c r="G66" s="3"/>
      <c r="H66" s="3" t="s">
        <v>13</v>
      </c>
      <c r="I66" s="3" t="s">
        <v>14</v>
      </c>
      <c r="J66" s="3"/>
      <c r="K66" s="3"/>
    </row>
    <row r="67" spans="1:11" x14ac:dyDescent="0.35">
      <c r="A67" s="3" t="s">
        <v>10</v>
      </c>
      <c r="B67" s="3" t="s">
        <v>329</v>
      </c>
      <c r="C67" s="9">
        <v>46173</v>
      </c>
      <c r="D67" s="3" t="s">
        <v>149</v>
      </c>
      <c r="E67" s="3" t="s">
        <v>150</v>
      </c>
      <c r="F67" s="3">
        <v>4355016.29</v>
      </c>
      <c r="G67" s="3"/>
      <c r="H67" s="3" t="s">
        <v>13</v>
      </c>
      <c r="I67" s="3" t="s">
        <v>14</v>
      </c>
      <c r="J67" s="3"/>
      <c r="K67" s="3"/>
    </row>
    <row r="68" spans="1:11" x14ac:dyDescent="0.35">
      <c r="A68" s="3" t="s">
        <v>10</v>
      </c>
      <c r="B68" s="3" t="s">
        <v>329</v>
      </c>
      <c r="C68" s="9">
        <v>46173</v>
      </c>
      <c r="D68" s="3" t="s">
        <v>151</v>
      </c>
      <c r="E68" s="3" t="s">
        <v>152</v>
      </c>
      <c r="F68" s="3">
        <v>70731039.090000004</v>
      </c>
      <c r="G68" s="3"/>
      <c r="H68" s="3" t="s">
        <v>13</v>
      </c>
      <c r="I68" s="3" t="s">
        <v>14</v>
      </c>
      <c r="J68" s="3"/>
      <c r="K68" s="3"/>
    </row>
    <row r="69" spans="1:11" x14ac:dyDescent="0.35">
      <c r="A69" s="3" t="s">
        <v>10</v>
      </c>
      <c r="B69" s="3" t="s">
        <v>329</v>
      </c>
      <c r="C69" s="9">
        <v>46173</v>
      </c>
      <c r="D69" s="3" t="s">
        <v>153</v>
      </c>
      <c r="E69" s="3" t="s">
        <v>154</v>
      </c>
      <c r="F69" s="3">
        <v>393</v>
      </c>
      <c r="G69" s="3"/>
      <c r="H69" s="3" t="s">
        <v>13</v>
      </c>
      <c r="I69" s="3" t="s">
        <v>14</v>
      </c>
      <c r="J69" s="3"/>
      <c r="K69" s="3"/>
    </row>
    <row r="70" spans="1:11" x14ac:dyDescent="0.35">
      <c r="A70" s="3" t="s">
        <v>10</v>
      </c>
      <c r="B70" s="3" t="s">
        <v>329</v>
      </c>
      <c r="C70" s="9">
        <v>46173</v>
      </c>
      <c r="D70" s="3" t="s">
        <v>155</v>
      </c>
      <c r="E70" s="3" t="s">
        <v>156</v>
      </c>
      <c r="F70" s="3">
        <v>27</v>
      </c>
      <c r="G70" s="3"/>
      <c r="H70" s="3" t="s">
        <v>13</v>
      </c>
      <c r="I70" s="3" t="s">
        <v>14</v>
      </c>
      <c r="J70" s="3"/>
      <c r="K70" s="3"/>
    </row>
    <row r="71" spans="1:11" x14ac:dyDescent="0.35">
      <c r="A71" s="3" t="s">
        <v>10</v>
      </c>
      <c r="B71" s="3" t="s">
        <v>329</v>
      </c>
      <c r="C71" s="9">
        <v>46173</v>
      </c>
      <c r="D71" s="3" t="s">
        <v>157</v>
      </c>
      <c r="E71" s="3" t="s">
        <v>158</v>
      </c>
      <c r="F71" s="3">
        <v>11</v>
      </c>
      <c r="G71" s="3"/>
      <c r="H71" s="3" t="s">
        <v>13</v>
      </c>
      <c r="I71" s="3" t="s">
        <v>14</v>
      </c>
      <c r="J71" s="3"/>
      <c r="K71" s="3"/>
    </row>
    <row r="72" spans="1:11" x14ac:dyDescent="0.35">
      <c r="A72" s="3" t="s">
        <v>159</v>
      </c>
      <c r="B72" s="3" t="s">
        <v>331</v>
      </c>
      <c r="C72" s="9">
        <v>46112</v>
      </c>
      <c r="D72" s="3" t="s">
        <v>15</v>
      </c>
      <c r="E72" s="3" t="s">
        <v>16</v>
      </c>
      <c r="F72" s="3">
        <v>1213</v>
      </c>
      <c r="G72" s="3"/>
      <c r="H72" s="3" t="s">
        <v>13</v>
      </c>
      <c r="I72" s="3" t="s">
        <v>14</v>
      </c>
      <c r="J72" s="3"/>
      <c r="K72" s="3"/>
    </row>
    <row r="73" spans="1:11" x14ac:dyDescent="0.35">
      <c r="A73" s="3" t="s">
        <v>159</v>
      </c>
      <c r="B73" s="3" t="s">
        <v>309</v>
      </c>
      <c r="C73" s="9">
        <v>46112</v>
      </c>
      <c r="D73" s="3" t="s">
        <v>15</v>
      </c>
      <c r="E73" s="3" t="s">
        <v>16</v>
      </c>
      <c r="F73" s="3">
        <v>1483</v>
      </c>
      <c r="G73" s="3"/>
      <c r="H73" s="3" t="s">
        <v>13</v>
      </c>
      <c r="I73" s="3" t="s">
        <v>14</v>
      </c>
      <c r="J73" s="3"/>
      <c r="K73" s="3"/>
    </row>
    <row r="74" spans="1:11" x14ac:dyDescent="0.35">
      <c r="A74" s="3" t="s">
        <v>160</v>
      </c>
      <c r="B74" s="3" t="s">
        <v>329</v>
      </c>
      <c r="C74" s="9">
        <v>46112</v>
      </c>
      <c r="D74" s="3" t="s">
        <v>15</v>
      </c>
      <c r="E74" s="3" t="s">
        <v>16</v>
      </c>
      <c r="F74" s="3">
        <v>2615</v>
      </c>
      <c r="G74" s="3"/>
      <c r="H74" s="3" t="s">
        <v>13</v>
      </c>
      <c r="I74" s="3" t="s">
        <v>14</v>
      </c>
      <c r="J74" s="3"/>
      <c r="K74" s="3"/>
    </row>
    <row r="75" spans="1:11" x14ac:dyDescent="0.35">
      <c r="A75" s="3" t="s">
        <v>10</v>
      </c>
      <c r="B75" s="3" t="s">
        <v>329</v>
      </c>
      <c r="C75" s="9">
        <v>46112</v>
      </c>
      <c r="D75" s="3" t="s">
        <v>15</v>
      </c>
      <c r="E75" s="3" t="s">
        <v>16</v>
      </c>
      <c r="F75" s="3">
        <v>6394</v>
      </c>
      <c r="G75" s="3"/>
      <c r="H75" s="3" t="s">
        <v>13</v>
      </c>
      <c r="I75" s="3" t="s">
        <v>14</v>
      </c>
      <c r="J75" s="3"/>
      <c r="K75" s="3"/>
    </row>
    <row r="76" spans="1:11" x14ac:dyDescent="0.35">
      <c r="A76" s="3" t="s">
        <v>10</v>
      </c>
      <c r="B76" s="3" t="s">
        <v>329</v>
      </c>
      <c r="C76" s="9">
        <v>46112</v>
      </c>
      <c r="D76" s="3" t="s">
        <v>49</v>
      </c>
      <c r="E76" s="3" t="s">
        <v>50</v>
      </c>
      <c r="F76" s="3">
        <v>17002</v>
      </c>
      <c r="G76" s="3"/>
      <c r="H76" s="3" t="s">
        <v>13</v>
      </c>
      <c r="I76" s="3" t="s">
        <v>14</v>
      </c>
      <c r="J76" s="3"/>
      <c r="K76" s="3"/>
    </row>
    <row r="77" spans="1:11" x14ac:dyDescent="0.35">
      <c r="A77" s="3" t="s">
        <v>160</v>
      </c>
      <c r="B77" s="3" t="s">
        <v>329</v>
      </c>
      <c r="C77" s="9">
        <v>46112</v>
      </c>
      <c r="D77" s="3" t="s">
        <v>49</v>
      </c>
      <c r="E77" s="3" t="s">
        <v>50</v>
      </c>
      <c r="F77" s="3">
        <v>4727</v>
      </c>
      <c r="G77" s="3"/>
      <c r="H77" s="3" t="s">
        <v>13</v>
      </c>
      <c r="I77" s="3" t="s">
        <v>14</v>
      </c>
      <c r="J77" s="3"/>
      <c r="K77" s="3"/>
    </row>
    <row r="78" spans="1:11" x14ac:dyDescent="0.35">
      <c r="A78" s="3" t="s">
        <v>160</v>
      </c>
      <c r="B78" s="3" t="s">
        <v>329</v>
      </c>
      <c r="C78" s="9">
        <v>46142</v>
      </c>
      <c r="D78" s="3" t="s">
        <v>127</v>
      </c>
      <c r="E78" s="3" t="s">
        <v>128</v>
      </c>
      <c r="F78" s="3">
        <v>1517</v>
      </c>
      <c r="G78" s="3"/>
      <c r="H78" s="3" t="s">
        <v>13</v>
      </c>
      <c r="I78" s="3" t="s">
        <v>14</v>
      </c>
      <c r="J78" s="3"/>
      <c r="K78" s="3"/>
    </row>
    <row r="79" spans="1:11" x14ac:dyDescent="0.35">
      <c r="A79" s="3" t="s">
        <v>161</v>
      </c>
      <c r="B79" s="3" t="s">
        <v>330</v>
      </c>
      <c r="C79" s="9">
        <v>46142</v>
      </c>
      <c r="D79" s="3" t="s">
        <v>127</v>
      </c>
      <c r="E79" s="3" t="s">
        <v>128</v>
      </c>
      <c r="F79" s="3">
        <v>102</v>
      </c>
      <c r="G79" s="3"/>
      <c r="H79" s="3" t="s">
        <v>13</v>
      </c>
      <c r="I79" s="3" t="s">
        <v>14</v>
      </c>
      <c r="J79" s="3"/>
      <c r="K79" s="3"/>
    </row>
    <row r="80" spans="1:11" x14ac:dyDescent="0.35">
      <c r="A80" s="3" t="s">
        <v>161</v>
      </c>
      <c r="B80" s="3" t="s">
        <v>318</v>
      </c>
      <c r="C80" s="9">
        <v>46142</v>
      </c>
      <c r="D80" s="3" t="s">
        <v>127</v>
      </c>
      <c r="E80" s="3" t="s">
        <v>128</v>
      </c>
      <c r="F80" s="3">
        <v>225</v>
      </c>
      <c r="G80" s="3"/>
      <c r="H80" s="3" t="s">
        <v>13</v>
      </c>
      <c r="I80" s="3" t="s">
        <v>14</v>
      </c>
      <c r="J80" s="3"/>
      <c r="K80" s="3"/>
    </row>
    <row r="81" spans="1:11" x14ac:dyDescent="0.35">
      <c r="A81" s="3" t="s">
        <v>10</v>
      </c>
      <c r="B81" s="3" t="s">
        <v>329</v>
      </c>
      <c r="C81" s="9">
        <v>46112</v>
      </c>
      <c r="D81" s="3" t="s">
        <v>109</v>
      </c>
      <c r="E81" s="3" t="s">
        <v>110</v>
      </c>
      <c r="F81" s="3">
        <v>302</v>
      </c>
      <c r="G81" s="3"/>
      <c r="H81" s="3" t="s">
        <v>13</v>
      </c>
      <c r="I81" s="3" t="s">
        <v>14</v>
      </c>
      <c r="J81" s="3"/>
      <c r="K81" s="3"/>
    </row>
    <row r="82" spans="1:11" x14ac:dyDescent="0.35">
      <c r="A82" s="3" t="s">
        <v>159</v>
      </c>
      <c r="B82" s="3" t="s">
        <v>331</v>
      </c>
      <c r="C82" s="9">
        <v>46112</v>
      </c>
      <c r="D82" s="3" t="s">
        <v>109</v>
      </c>
      <c r="E82" s="3" t="s">
        <v>110</v>
      </c>
      <c r="F82" s="3">
        <v>200</v>
      </c>
      <c r="G82" s="3"/>
      <c r="H82" s="3" t="s">
        <v>13</v>
      </c>
      <c r="I82" s="3" t="s">
        <v>14</v>
      </c>
      <c r="J82" s="3"/>
      <c r="K82" s="3"/>
    </row>
    <row r="83" spans="1:11" x14ac:dyDescent="0.35">
      <c r="A83" s="3" t="s">
        <v>159</v>
      </c>
      <c r="B83" s="3" t="s">
        <v>309</v>
      </c>
      <c r="C83" s="9">
        <v>46112</v>
      </c>
      <c r="D83" s="3" t="s">
        <v>109</v>
      </c>
      <c r="E83" s="3" t="s">
        <v>110</v>
      </c>
      <c r="F83" s="3">
        <v>616</v>
      </c>
      <c r="G83" s="3"/>
      <c r="H83" s="3" t="s">
        <v>13</v>
      </c>
      <c r="I83" s="3" t="s">
        <v>14</v>
      </c>
      <c r="J83" s="3"/>
      <c r="K83" s="3"/>
    </row>
    <row r="84" spans="1:11" x14ac:dyDescent="0.35">
      <c r="A84" s="3" t="s">
        <v>160</v>
      </c>
      <c r="B84" s="3" t="s">
        <v>329</v>
      </c>
      <c r="C84" s="9">
        <v>46112</v>
      </c>
      <c r="D84" s="3" t="s">
        <v>109</v>
      </c>
      <c r="E84" s="3" t="s">
        <v>110</v>
      </c>
      <c r="F84" s="3">
        <v>605</v>
      </c>
      <c r="G84" s="3"/>
      <c r="H84" s="3" t="s">
        <v>13</v>
      </c>
      <c r="I84" s="3" t="s">
        <v>14</v>
      </c>
      <c r="J84" s="3"/>
      <c r="K84" s="3"/>
    </row>
    <row r="85" spans="1:11" x14ac:dyDescent="0.35">
      <c r="A85" s="3" t="s">
        <v>160</v>
      </c>
      <c r="B85" s="3" t="s">
        <v>329</v>
      </c>
      <c r="C85" s="9">
        <v>46173</v>
      </c>
      <c r="D85" s="3" t="s">
        <v>162</v>
      </c>
      <c r="E85" s="3" t="s">
        <v>163</v>
      </c>
      <c r="F85" s="3">
        <v>157</v>
      </c>
      <c r="G85" s="3"/>
      <c r="H85" s="3" t="s">
        <v>13</v>
      </c>
      <c r="I85" s="3" t="s">
        <v>14</v>
      </c>
      <c r="J85" s="3"/>
      <c r="K85" s="3"/>
    </row>
    <row r="86" spans="1:11" x14ac:dyDescent="0.35">
      <c r="A86" s="3" t="s">
        <v>160</v>
      </c>
      <c r="B86" s="3" t="s">
        <v>329</v>
      </c>
      <c r="C86" s="9">
        <v>46173</v>
      </c>
      <c r="D86" s="3" t="s">
        <v>164</v>
      </c>
      <c r="E86" s="3" t="s">
        <v>165</v>
      </c>
      <c r="F86" s="3">
        <v>34</v>
      </c>
      <c r="G86" s="3"/>
      <c r="H86" s="3" t="s">
        <v>13</v>
      </c>
      <c r="I86" s="3" t="s">
        <v>14</v>
      </c>
      <c r="J86" s="3"/>
      <c r="K86" s="3"/>
    </row>
    <row r="87" spans="1:11" x14ac:dyDescent="0.35">
      <c r="A87" s="3" t="s">
        <v>10</v>
      </c>
      <c r="B87" s="3" t="s">
        <v>329</v>
      </c>
      <c r="C87" s="9">
        <v>46053</v>
      </c>
      <c r="D87" s="3" t="s">
        <v>137</v>
      </c>
      <c r="E87" s="3" t="s">
        <v>138</v>
      </c>
      <c r="F87" s="3">
        <v>1703</v>
      </c>
      <c r="G87" s="3"/>
      <c r="H87" s="3" t="s">
        <v>13</v>
      </c>
      <c r="I87" s="3" t="s">
        <v>14</v>
      </c>
      <c r="J87" s="3"/>
      <c r="K87" s="3"/>
    </row>
    <row r="88" spans="1:11" x14ac:dyDescent="0.35">
      <c r="A88" s="3" t="s">
        <v>10</v>
      </c>
      <c r="B88" s="3" t="s">
        <v>329</v>
      </c>
      <c r="C88" s="9">
        <v>46081</v>
      </c>
      <c r="D88" s="3" t="s">
        <v>137</v>
      </c>
      <c r="E88" s="3" t="s">
        <v>138</v>
      </c>
      <c r="F88" s="3">
        <v>1890</v>
      </c>
      <c r="G88" s="3"/>
      <c r="H88" s="3" t="s">
        <v>13</v>
      </c>
      <c r="I88" s="3" t="s">
        <v>14</v>
      </c>
      <c r="J88" s="3"/>
      <c r="K88" s="3"/>
    </row>
    <row r="89" spans="1:11" x14ac:dyDescent="0.35">
      <c r="A89" s="3" t="s">
        <v>10</v>
      </c>
      <c r="B89" s="3" t="s">
        <v>329</v>
      </c>
      <c r="C89" s="9">
        <v>46112</v>
      </c>
      <c r="D89" s="3" t="s">
        <v>137</v>
      </c>
      <c r="E89" s="3" t="s">
        <v>138</v>
      </c>
      <c r="F89" s="3">
        <v>2174</v>
      </c>
      <c r="G89" s="3"/>
      <c r="H89" s="3" t="s">
        <v>13</v>
      </c>
      <c r="I89" s="3" t="s">
        <v>14</v>
      </c>
      <c r="J89" s="3"/>
      <c r="K89" s="3"/>
    </row>
    <row r="90" spans="1:11" x14ac:dyDescent="0.35">
      <c r="A90" s="3" t="s">
        <v>10</v>
      </c>
      <c r="B90" s="3" t="s">
        <v>329</v>
      </c>
      <c r="C90" s="9">
        <v>46142</v>
      </c>
      <c r="D90" s="3" t="s">
        <v>137</v>
      </c>
      <c r="E90" s="3" t="s">
        <v>138</v>
      </c>
      <c r="F90" s="3">
        <v>2384</v>
      </c>
      <c r="G90" s="3"/>
      <c r="H90" s="3" t="s">
        <v>13</v>
      </c>
      <c r="I90" s="3" t="s">
        <v>14</v>
      </c>
      <c r="J90" s="3"/>
      <c r="K90" s="3"/>
    </row>
    <row r="91" spans="1:11" x14ac:dyDescent="0.35">
      <c r="A91" s="3" t="s">
        <v>10</v>
      </c>
      <c r="B91" s="3" t="s">
        <v>329</v>
      </c>
      <c r="C91" s="9">
        <v>46173</v>
      </c>
      <c r="D91" s="3" t="s">
        <v>137</v>
      </c>
      <c r="E91" s="3" t="s">
        <v>138</v>
      </c>
      <c r="F91" s="3">
        <v>2300</v>
      </c>
      <c r="G91" s="3"/>
      <c r="H91" s="3" t="s">
        <v>13</v>
      </c>
      <c r="I91" s="3" t="s">
        <v>14</v>
      </c>
      <c r="J91" s="3"/>
      <c r="K91" s="3"/>
    </row>
    <row r="92" spans="1:11" x14ac:dyDescent="0.35">
      <c r="A92" s="3" t="s">
        <v>160</v>
      </c>
      <c r="B92" s="3" t="s">
        <v>329</v>
      </c>
      <c r="C92" s="9">
        <v>46081</v>
      </c>
      <c r="D92" s="3" t="s">
        <v>109</v>
      </c>
      <c r="E92" s="3" t="s">
        <v>110</v>
      </c>
      <c r="F92" s="3">
        <v>162</v>
      </c>
      <c r="G92" s="3"/>
      <c r="H92" s="3" t="s">
        <v>13</v>
      </c>
      <c r="I92" s="3" t="s">
        <v>14</v>
      </c>
      <c r="J92" s="3"/>
      <c r="K92" s="3"/>
    </row>
    <row r="93" spans="1:11" x14ac:dyDescent="0.35">
      <c r="A93" s="3" t="s">
        <v>10</v>
      </c>
      <c r="B93" s="3" t="s">
        <v>329</v>
      </c>
      <c r="C93" s="9">
        <v>46053</v>
      </c>
      <c r="D93" s="3" t="s">
        <v>166</v>
      </c>
      <c r="E93" s="3" t="s">
        <v>167</v>
      </c>
      <c r="F93" s="3">
        <v>2473</v>
      </c>
      <c r="G93" s="3"/>
      <c r="H93" s="3" t="s">
        <v>13</v>
      </c>
      <c r="I93" s="3" t="s">
        <v>168</v>
      </c>
      <c r="J93" s="3"/>
      <c r="K93" s="3"/>
    </row>
    <row r="94" spans="1:11" x14ac:dyDescent="0.35">
      <c r="A94" s="3" t="s">
        <v>10</v>
      </c>
      <c r="B94" s="3" t="s">
        <v>329</v>
      </c>
      <c r="C94" s="9">
        <v>46081</v>
      </c>
      <c r="D94" s="3" t="s">
        <v>166</v>
      </c>
      <c r="E94" s="3" t="s">
        <v>167</v>
      </c>
      <c r="F94" s="3">
        <v>2406</v>
      </c>
      <c r="G94" s="3"/>
      <c r="H94" s="3" t="s">
        <v>13</v>
      </c>
      <c r="I94" s="3" t="s">
        <v>168</v>
      </c>
      <c r="J94" s="3"/>
      <c r="K94" s="3"/>
    </row>
    <row r="95" spans="1:11" x14ac:dyDescent="0.35">
      <c r="A95" s="3" t="s">
        <v>10</v>
      </c>
      <c r="B95" s="3" t="s">
        <v>329</v>
      </c>
      <c r="C95" s="9">
        <v>46112</v>
      </c>
      <c r="D95" s="3" t="s">
        <v>166</v>
      </c>
      <c r="E95" s="3" t="s">
        <v>167</v>
      </c>
      <c r="F95" s="3">
        <v>3054</v>
      </c>
      <c r="G95" s="3"/>
      <c r="H95" s="3" t="s">
        <v>13</v>
      </c>
      <c r="I95" s="3" t="s">
        <v>168</v>
      </c>
      <c r="J95" s="3"/>
      <c r="K95" s="3"/>
    </row>
    <row r="96" spans="1:11" x14ac:dyDescent="0.35">
      <c r="A96" s="3" t="s">
        <v>10</v>
      </c>
      <c r="B96" s="3" t="s">
        <v>329</v>
      </c>
      <c r="C96" s="9">
        <v>46142</v>
      </c>
      <c r="D96" s="3" t="s">
        <v>166</v>
      </c>
      <c r="E96" s="3" t="s">
        <v>167</v>
      </c>
      <c r="F96" s="3">
        <v>3308</v>
      </c>
      <c r="G96" s="3"/>
      <c r="H96" s="3" t="s">
        <v>13</v>
      </c>
      <c r="I96" s="3" t="s">
        <v>168</v>
      </c>
      <c r="J96" s="3"/>
      <c r="K96" s="3"/>
    </row>
    <row r="97" spans="1:11" x14ac:dyDescent="0.35">
      <c r="A97" s="3" t="s">
        <v>10</v>
      </c>
      <c r="B97" s="3" t="s">
        <v>329</v>
      </c>
      <c r="C97" s="9">
        <v>46173</v>
      </c>
      <c r="D97" s="3" t="s">
        <v>166</v>
      </c>
      <c r="E97" s="3" t="s">
        <v>167</v>
      </c>
      <c r="F97" s="3">
        <v>3264</v>
      </c>
      <c r="G97" s="3"/>
      <c r="H97" s="3" t="s">
        <v>13</v>
      </c>
      <c r="I97" s="3" t="s">
        <v>168</v>
      </c>
      <c r="J97" s="3"/>
      <c r="K97" s="3"/>
    </row>
    <row r="98" spans="1:11" x14ac:dyDescent="0.35">
      <c r="A98" s="3" t="s">
        <v>169</v>
      </c>
      <c r="B98" s="3" t="s">
        <v>329</v>
      </c>
      <c r="C98" s="9">
        <v>46053</v>
      </c>
      <c r="D98" s="3" t="s">
        <v>166</v>
      </c>
      <c r="E98" s="3" t="s">
        <v>167</v>
      </c>
      <c r="F98" s="3">
        <v>130</v>
      </c>
      <c r="G98" s="3"/>
      <c r="H98" s="3" t="s">
        <v>13</v>
      </c>
      <c r="I98" s="3" t="s">
        <v>168</v>
      </c>
      <c r="J98" s="3"/>
      <c r="K98" s="3"/>
    </row>
    <row r="99" spans="1:11" x14ac:dyDescent="0.35">
      <c r="A99" s="3" t="s">
        <v>169</v>
      </c>
      <c r="B99" s="3" t="s">
        <v>329</v>
      </c>
      <c r="C99" s="9">
        <v>46081</v>
      </c>
      <c r="D99" s="3" t="s">
        <v>166</v>
      </c>
      <c r="E99" s="3" t="s">
        <v>167</v>
      </c>
      <c r="F99" s="3">
        <v>130</v>
      </c>
      <c r="G99" s="3"/>
      <c r="H99" s="3" t="s">
        <v>13</v>
      </c>
      <c r="I99" s="3" t="s">
        <v>168</v>
      </c>
      <c r="J99" s="3"/>
      <c r="K99" s="3"/>
    </row>
    <row r="100" spans="1:11" x14ac:dyDescent="0.35">
      <c r="A100" s="3" t="s">
        <v>169</v>
      </c>
      <c r="B100" s="3" t="s">
        <v>329</v>
      </c>
      <c r="C100" s="9">
        <v>46112</v>
      </c>
      <c r="D100" s="3" t="s">
        <v>166</v>
      </c>
      <c r="E100" s="3" t="s">
        <v>167</v>
      </c>
      <c r="F100" s="3">
        <v>130</v>
      </c>
      <c r="G100" s="3"/>
      <c r="H100" s="3" t="s">
        <v>13</v>
      </c>
      <c r="I100" s="3" t="s">
        <v>168</v>
      </c>
      <c r="J100" s="3"/>
      <c r="K100" s="3"/>
    </row>
    <row r="101" spans="1:11" x14ac:dyDescent="0.35">
      <c r="A101" s="3" t="s">
        <v>169</v>
      </c>
      <c r="B101" s="3" t="s">
        <v>329</v>
      </c>
      <c r="C101" s="9">
        <v>46142</v>
      </c>
      <c r="D101" s="3" t="s">
        <v>166</v>
      </c>
      <c r="E101" s="3" t="s">
        <v>167</v>
      </c>
      <c r="F101" s="3">
        <v>128</v>
      </c>
      <c r="G101" s="3"/>
      <c r="H101" s="3" t="s">
        <v>13</v>
      </c>
      <c r="I101" s="3" t="s">
        <v>168</v>
      </c>
      <c r="J101" s="3"/>
      <c r="K101" s="3"/>
    </row>
    <row r="102" spans="1:11" x14ac:dyDescent="0.35">
      <c r="A102" s="3" t="s">
        <v>169</v>
      </c>
      <c r="B102" s="3" t="s">
        <v>329</v>
      </c>
      <c r="C102" s="9">
        <v>46173</v>
      </c>
      <c r="D102" s="3" t="s">
        <v>166</v>
      </c>
      <c r="E102" s="3" t="s">
        <v>167</v>
      </c>
      <c r="F102" s="3">
        <v>128</v>
      </c>
      <c r="G102" s="3"/>
      <c r="H102" s="3" t="s">
        <v>13</v>
      </c>
      <c r="I102" s="3" t="s">
        <v>168</v>
      </c>
      <c r="J102" s="3"/>
      <c r="K102" s="3"/>
    </row>
    <row r="103" spans="1:11" x14ac:dyDescent="0.35">
      <c r="A103" s="3" t="s">
        <v>170</v>
      </c>
      <c r="B103" s="3" t="s">
        <v>329</v>
      </c>
      <c r="C103" s="9">
        <v>46053</v>
      </c>
      <c r="D103" s="3" t="s">
        <v>137</v>
      </c>
      <c r="E103" s="3" t="s">
        <v>138</v>
      </c>
      <c r="F103" s="3">
        <v>3</v>
      </c>
      <c r="G103" s="3"/>
      <c r="H103" s="3" t="s">
        <v>13</v>
      </c>
      <c r="I103" s="3" t="s">
        <v>14</v>
      </c>
      <c r="J103" s="3"/>
      <c r="K103" s="3"/>
    </row>
    <row r="104" spans="1:11" x14ac:dyDescent="0.35">
      <c r="A104" s="3" t="s">
        <v>170</v>
      </c>
      <c r="B104" s="3" t="s">
        <v>329</v>
      </c>
      <c r="C104" s="9">
        <v>46081</v>
      </c>
      <c r="D104" s="3" t="s">
        <v>137</v>
      </c>
      <c r="E104" s="3" t="s">
        <v>138</v>
      </c>
      <c r="F104" s="3">
        <v>1</v>
      </c>
      <c r="G104" s="3"/>
      <c r="H104" s="3" t="s">
        <v>13</v>
      </c>
      <c r="I104" s="3" t="s">
        <v>14</v>
      </c>
      <c r="J104" s="3"/>
      <c r="K104" s="3"/>
    </row>
    <row r="105" spans="1:11" x14ac:dyDescent="0.35">
      <c r="A105" s="3" t="s">
        <v>170</v>
      </c>
      <c r="B105" s="3" t="s">
        <v>329</v>
      </c>
      <c r="C105" s="9">
        <v>46112</v>
      </c>
      <c r="D105" s="3" t="s">
        <v>137</v>
      </c>
      <c r="E105" s="3" t="s">
        <v>138</v>
      </c>
      <c r="F105" s="3">
        <v>1</v>
      </c>
      <c r="G105" s="3"/>
      <c r="H105" s="3" t="s">
        <v>13</v>
      </c>
      <c r="I105" s="3" t="s">
        <v>14</v>
      </c>
      <c r="J105" s="3"/>
      <c r="K105" s="3"/>
    </row>
    <row r="106" spans="1:11" x14ac:dyDescent="0.35">
      <c r="A106" s="3" t="s">
        <v>170</v>
      </c>
      <c r="B106" s="3" t="s">
        <v>329</v>
      </c>
      <c r="C106" s="9">
        <v>46142</v>
      </c>
      <c r="D106" s="3" t="s">
        <v>137</v>
      </c>
      <c r="E106" s="3" t="s">
        <v>138</v>
      </c>
      <c r="F106" s="3">
        <v>1</v>
      </c>
      <c r="G106" s="3"/>
      <c r="H106" s="3" t="s">
        <v>13</v>
      </c>
      <c r="I106" s="3" t="s">
        <v>14</v>
      </c>
      <c r="J106" s="3"/>
      <c r="K106" s="3"/>
    </row>
    <row r="107" spans="1:11" x14ac:dyDescent="0.35">
      <c r="A107" s="3" t="s">
        <v>170</v>
      </c>
      <c r="B107" s="3" t="s">
        <v>329</v>
      </c>
      <c r="C107" s="9">
        <v>46173</v>
      </c>
      <c r="D107" s="3" t="s">
        <v>137</v>
      </c>
      <c r="E107" s="3" t="s">
        <v>138</v>
      </c>
      <c r="F107" s="3">
        <v>1</v>
      </c>
      <c r="G107" s="3"/>
      <c r="H107" s="3" t="s">
        <v>13</v>
      </c>
      <c r="I107" s="3" t="s">
        <v>14</v>
      </c>
      <c r="J107" s="3"/>
      <c r="K107" s="3"/>
    </row>
    <row r="108" spans="1:11" x14ac:dyDescent="0.35">
      <c r="A108" s="3" t="s">
        <v>170</v>
      </c>
      <c r="B108" s="3" t="s">
        <v>329</v>
      </c>
      <c r="C108" s="9">
        <v>46053</v>
      </c>
      <c r="D108" s="3" t="s">
        <v>139</v>
      </c>
      <c r="E108" s="3" t="s">
        <v>140</v>
      </c>
      <c r="F108" s="3">
        <v>4</v>
      </c>
      <c r="G108" s="3"/>
      <c r="H108" s="3" t="s">
        <v>13</v>
      </c>
      <c r="I108" s="3" t="s">
        <v>14</v>
      </c>
      <c r="J108" s="3"/>
      <c r="K108" s="3"/>
    </row>
    <row r="109" spans="1:11" x14ac:dyDescent="0.35">
      <c r="A109" s="3" t="s">
        <v>170</v>
      </c>
      <c r="B109" s="3" t="s">
        <v>329</v>
      </c>
      <c r="C109" s="9">
        <v>46081</v>
      </c>
      <c r="D109" s="3" t="s">
        <v>139</v>
      </c>
      <c r="E109" s="3" t="s">
        <v>140</v>
      </c>
      <c r="F109" s="3">
        <v>5</v>
      </c>
      <c r="G109" s="3"/>
      <c r="H109" s="3" t="s">
        <v>13</v>
      </c>
      <c r="I109" s="3" t="s">
        <v>14</v>
      </c>
      <c r="J109" s="3"/>
      <c r="K109" s="3"/>
    </row>
    <row r="110" spans="1:11" x14ac:dyDescent="0.35">
      <c r="A110" s="3" t="s">
        <v>170</v>
      </c>
      <c r="B110" s="3" t="s">
        <v>329</v>
      </c>
      <c r="C110" s="9">
        <v>46112</v>
      </c>
      <c r="D110" s="3" t="s">
        <v>139</v>
      </c>
      <c r="E110" s="3" t="s">
        <v>140</v>
      </c>
      <c r="F110" s="3">
        <v>3</v>
      </c>
      <c r="G110" s="3"/>
      <c r="H110" s="3" t="s">
        <v>13</v>
      </c>
      <c r="I110" s="3" t="s">
        <v>14</v>
      </c>
      <c r="J110" s="3"/>
      <c r="K110" s="3"/>
    </row>
    <row r="111" spans="1:11" x14ac:dyDescent="0.35">
      <c r="A111" s="3" t="s">
        <v>170</v>
      </c>
      <c r="B111" s="3" t="s">
        <v>329</v>
      </c>
      <c r="C111" s="9">
        <v>46142</v>
      </c>
      <c r="D111" s="3" t="s">
        <v>139</v>
      </c>
      <c r="E111" s="3" t="s">
        <v>140</v>
      </c>
      <c r="F111" s="3">
        <v>3</v>
      </c>
      <c r="G111" s="3"/>
      <c r="H111" s="3" t="s">
        <v>13</v>
      </c>
      <c r="I111" s="3" t="s">
        <v>14</v>
      </c>
      <c r="J111" s="3"/>
      <c r="K111" s="3"/>
    </row>
    <row r="112" spans="1:11" x14ac:dyDescent="0.35">
      <c r="A112" s="3" t="s">
        <v>170</v>
      </c>
      <c r="B112" s="3" t="s">
        <v>329</v>
      </c>
      <c r="C112" s="9">
        <v>46173</v>
      </c>
      <c r="D112" s="3" t="s">
        <v>139</v>
      </c>
      <c r="E112" s="3" t="s">
        <v>140</v>
      </c>
      <c r="F112" s="3">
        <v>1</v>
      </c>
      <c r="G112" s="3"/>
      <c r="H112" s="3" t="s">
        <v>13</v>
      </c>
      <c r="I112" s="3" t="s">
        <v>14</v>
      </c>
      <c r="J112" s="3"/>
      <c r="K112" s="3"/>
    </row>
    <row r="113" spans="1:11" x14ac:dyDescent="0.35">
      <c r="A113" s="3" t="s">
        <v>170</v>
      </c>
      <c r="B113" s="3" t="s">
        <v>329</v>
      </c>
      <c r="C113" s="9">
        <v>46053</v>
      </c>
      <c r="D113" s="3" t="s">
        <v>141</v>
      </c>
      <c r="E113" s="3" t="s">
        <v>142</v>
      </c>
      <c r="F113" s="3">
        <v>4</v>
      </c>
      <c r="G113" s="3"/>
      <c r="H113" s="3" t="s">
        <v>13</v>
      </c>
      <c r="I113" s="3" t="s">
        <v>14</v>
      </c>
      <c r="J113" s="3"/>
      <c r="K113" s="3"/>
    </row>
    <row r="114" spans="1:11" x14ac:dyDescent="0.35">
      <c r="A114" s="3" t="s">
        <v>170</v>
      </c>
      <c r="B114" s="3" t="s">
        <v>329</v>
      </c>
      <c r="C114" s="9">
        <v>46081</v>
      </c>
      <c r="D114" s="3" t="s">
        <v>141</v>
      </c>
      <c r="E114" s="3" t="s">
        <v>142</v>
      </c>
      <c r="F114" s="3">
        <v>3</v>
      </c>
      <c r="G114" s="3"/>
      <c r="H114" s="3" t="s">
        <v>13</v>
      </c>
      <c r="I114" s="3" t="s">
        <v>14</v>
      </c>
      <c r="J114" s="3"/>
      <c r="K114" s="3"/>
    </row>
    <row r="115" spans="1:11" x14ac:dyDescent="0.35">
      <c r="A115" s="3" t="s">
        <v>170</v>
      </c>
      <c r="B115" s="3" t="s">
        <v>329</v>
      </c>
      <c r="C115" s="9">
        <v>46112</v>
      </c>
      <c r="D115" s="3" t="s">
        <v>141</v>
      </c>
      <c r="E115" s="3" t="s">
        <v>142</v>
      </c>
      <c r="F115" s="3">
        <v>6</v>
      </c>
      <c r="G115" s="3"/>
      <c r="H115" s="3" t="s">
        <v>13</v>
      </c>
      <c r="I115" s="3" t="s">
        <v>14</v>
      </c>
      <c r="J115" s="3"/>
      <c r="K115" s="3"/>
    </row>
    <row r="116" spans="1:11" x14ac:dyDescent="0.35">
      <c r="A116" s="3" t="s">
        <v>170</v>
      </c>
      <c r="B116" s="3" t="s">
        <v>329</v>
      </c>
      <c r="C116" s="9">
        <v>46142</v>
      </c>
      <c r="D116" s="3" t="s">
        <v>141</v>
      </c>
      <c r="E116" s="3" t="s">
        <v>142</v>
      </c>
      <c r="F116" s="3">
        <v>3</v>
      </c>
      <c r="G116" s="3"/>
      <c r="H116" s="3" t="s">
        <v>13</v>
      </c>
      <c r="I116" s="3" t="s">
        <v>14</v>
      </c>
      <c r="J116" s="3"/>
      <c r="K116" s="3"/>
    </row>
    <row r="117" spans="1:11" x14ac:dyDescent="0.35">
      <c r="A117" s="3" t="s">
        <v>170</v>
      </c>
      <c r="B117" s="3" t="s">
        <v>329</v>
      </c>
      <c r="C117" s="9">
        <v>46173</v>
      </c>
      <c r="D117" s="3" t="s">
        <v>141</v>
      </c>
      <c r="E117" s="3" t="s">
        <v>142</v>
      </c>
      <c r="F117" s="3">
        <v>5</v>
      </c>
      <c r="G117" s="3"/>
      <c r="H117" s="3" t="s">
        <v>13</v>
      </c>
      <c r="I117" s="3" t="s">
        <v>14</v>
      </c>
      <c r="J117" s="3"/>
      <c r="K117" s="3"/>
    </row>
    <row r="118" spans="1:11" x14ac:dyDescent="0.35">
      <c r="A118" s="3" t="s">
        <v>170</v>
      </c>
      <c r="B118" s="3" t="s">
        <v>329</v>
      </c>
      <c r="C118" s="9">
        <v>46053</v>
      </c>
      <c r="D118" s="3" t="s">
        <v>143</v>
      </c>
      <c r="E118" s="3" t="s">
        <v>144</v>
      </c>
      <c r="F118" s="3">
        <v>11</v>
      </c>
      <c r="G118" s="3"/>
      <c r="H118" s="3" t="s">
        <v>13</v>
      </c>
      <c r="I118" s="3" t="s">
        <v>14</v>
      </c>
      <c r="J118" s="3"/>
      <c r="K118" s="3"/>
    </row>
    <row r="119" spans="1:11" x14ac:dyDescent="0.35">
      <c r="A119" s="3" t="s">
        <v>170</v>
      </c>
      <c r="B119" s="3" t="s">
        <v>329</v>
      </c>
      <c r="C119" s="9">
        <v>46081</v>
      </c>
      <c r="D119" s="3" t="s">
        <v>143</v>
      </c>
      <c r="E119" s="3" t="s">
        <v>144</v>
      </c>
      <c r="F119" s="3">
        <v>9</v>
      </c>
      <c r="G119" s="3"/>
      <c r="H119" s="3" t="s">
        <v>13</v>
      </c>
      <c r="I119" s="3" t="s">
        <v>14</v>
      </c>
      <c r="J119" s="3"/>
      <c r="K119" s="3"/>
    </row>
    <row r="120" spans="1:11" x14ac:dyDescent="0.35">
      <c r="A120" s="3" t="s">
        <v>170</v>
      </c>
      <c r="B120" s="3" t="s">
        <v>329</v>
      </c>
      <c r="C120" s="9">
        <v>46112</v>
      </c>
      <c r="D120" s="3" t="s">
        <v>143</v>
      </c>
      <c r="E120" s="3" t="s">
        <v>144</v>
      </c>
      <c r="F120" s="3">
        <v>10</v>
      </c>
      <c r="G120" s="3"/>
      <c r="H120" s="3" t="s">
        <v>13</v>
      </c>
      <c r="I120" s="3" t="s">
        <v>14</v>
      </c>
      <c r="J120" s="3"/>
      <c r="K120" s="3"/>
    </row>
    <row r="121" spans="1:11" x14ac:dyDescent="0.35">
      <c r="A121" s="3" t="s">
        <v>170</v>
      </c>
      <c r="B121" s="3" t="s">
        <v>329</v>
      </c>
      <c r="C121" s="9">
        <v>46142</v>
      </c>
      <c r="D121" s="3" t="s">
        <v>143</v>
      </c>
      <c r="E121" s="3" t="s">
        <v>144</v>
      </c>
      <c r="F121" s="3">
        <v>7</v>
      </c>
      <c r="G121" s="3"/>
      <c r="H121" s="3" t="s">
        <v>13</v>
      </c>
      <c r="I121" s="3" t="s">
        <v>14</v>
      </c>
      <c r="J121" s="3"/>
      <c r="K121" s="3"/>
    </row>
    <row r="122" spans="1:11" x14ac:dyDescent="0.35">
      <c r="A122" s="3" t="s">
        <v>170</v>
      </c>
      <c r="B122" s="3" t="s">
        <v>329</v>
      </c>
      <c r="C122" s="9">
        <v>46173</v>
      </c>
      <c r="D122" s="3" t="s">
        <v>143</v>
      </c>
      <c r="E122" s="3" t="s">
        <v>144</v>
      </c>
      <c r="F122" s="3">
        <v>7</v>
      </c>
      <c r="G122" s="3"/>
      <c r="H122" s="3" t="s">
        <v>13</v>
      </c>
      <c r="I122" s="3" t="s">
        <v>14</v>
      </c>
      <c r="J122" s="3"/>
      <c r="K122" s="3"/>
    </row>
    <row r="123" spans="1:11" x14ac:dyDescent="0.35">
      <c r="A123" s="3" t="s">
        <v>10</v>
      </c>
      <c r="B123" s="3" t="s">
        <v>329</v>
      </c>
      <c r="C123" s="9">
        <v>46053</v>
      </c>
      <c r="D123" s="3" t="s">
        <v>141</v>
      </c>
      <c r="E123" s="3" t="s">
        <v>142</v>
      </c>
      <c r="F123" s="3">
        <v>687</v>
      </c>
      <c r="G123" s="3"/>
      <c r="H123" s="3" t="s">
        <v>13</v>
      </c>
      <c r="I123" s="3" t="s">
        <v>14</v>
      </c>
      <c r="J123" s="3"/>
      <c r="K123" s="3"/>
    </row>
    <row r="124" spans="1:11" x14ac:dyDescent="0.35">
      <c r="A124" s="3" t="s">
        <v>10</v>
      </c>
      <c r="B124" s="3" t="s">
        <v>329</v>
      </c>
      <c r="C124" s="9">
        <v>46081</v>
      </c>
      <c r="D124" s="3" t="s">
        <v>141</v>
      </c>
      <c r="E124" s="3" t="s">
        <v>142</v>
      </c>
      <c r="F124" s="3">
        <v>654</v>
      </c>
      <c r="G124" s="3"/>
      <c r="H124" s="3" t="s">
        <v>13</v>
      </c>
      <c r="I124" s="3" t="s">
        <v>14</v>
      </c>
      <c r="J124" s="3"/>
      <c r="K124" s="3"/>
    </row>
    <row r="125" spans="1:11" x14ac:dyDescent="0.35">
      <c r="A125" s="3" t="s">
        <v>10</v>
      </c>
      <c r="B125" s="3" t="s">
        <v>329</v>
      </c>
      <c r="C125" s="9">
        <v>46112</v>
      </c>
      <c r="D125" s="3" t="s">
        <v>141</v>
      </c>
      <c r="E125" s="3" t="s">
        <v>142</v>
      </c>
      <c r="F125" s="3">
        <v>724</v>
      </c>
      <c r="G125" s="3"/>
      <c r="H125" s="3" t="s">
        <v>13</v>
      </c>
      <c r="I125" s="3" t="s">
        <v>14</v>
      </c>
      <c r="J125" s="3"/>
      <c r="K125" s="3"/>
    </row>
    <row r="126" spans="1:11" x14ac:dyDescent="0.35">
      <c r="A126" s="3" t="s">
        <v>10</v>
      </c>
      <c r="B126" s="3" t="s">
        <v>329</v>
      </c>
      <c r="C126" s="9">
        <v>46142</v>
      </c>
      <c r="D126" s="3" t="s">
        <v>141</v>
      </c>
      <c r="E126" s="3" t="s">
        <v>142</v>
      </c>
      <c r="F126" s="3">
        <v>804</v>
      </c>
      <c r="G126" s="3"/>
      <c r="H126" s="3" t="s">
        <v>13</v>
      </c>
      <c r="I126" s="3" t="s">
        <v>14</v>
      </c>
      <c r="J126" s="3"/>
      <c r="K126" s="3"/>
    </row>
    <row r="127" spans="1:11" x14ac:dyDescent="0.35">
      <c r="A127" s="3" t="s">
        <v>10</v>
      </c>
      <c r="B127" s="3" t="s">
        <v>329</v>
      </c>
      <c r="C127" s="9">
        <v>46173</v>
      </c>
      <c r="D127" s="3" t="s">
        <v>141</v>
      </c>
      <c r="E127" s="3" t="s">
        <v>142</v>
      </c>
      <c r="F127" s="3">
        <v>834</v>
      </c>
      <c r="G127" s="3"/>
      <c r="H127" s="3" t="s">
        <v>13</v>
      </c>
      <c r="I127" s="3" t="s">
        <v>14</v>
      </c>
      <c r="J127" s="3"/>
      <c r="K127" s="3"/>
    </row>
    <row r="128" spans="1:11" x14ac:dyDescent="0.35">
      <c r="A128" s="3" t="s">
        <v>10</v>
      </c>
      <c r="B128" s="3" t="s">
        <v>329</v>
      </c>
      <c r="C128" s="9">
        <v>46053</v>
      </c>
      <c r="D128" s="3" t="s">
        <v>139</v>
      </c>
      <c r="E128" s="3" t="s">
        <v>140</v>
      </c>
      <c r="F128" s="3">
        <v>770</v>
      </c>
      <c r="G128" s="3"/>
      <c r="H128" s="3" t="s">
        <v>13</v>
      </c>
      <c r="I128" s="3" t="s">
        <v>14</v>
      </c>
      <c r="J128" s="3"/>
      <c r="K128" s="3"/>
    </row>
    <row r="129" spans="1:11" x14ac:dyDescent="0.35">
      <c r="A129" s="3" t="s">
        <v>10</v>
      </c>
      <c r="B129" s="3" t="s">
        <v>329</v>
      </c>
      <c r="C129" s="9">
        <v>46081</v>
      </c>
      <c r="D129" s="3" t="s">
        <v>139</v>
      </c>
      <c r="E129" s="3" t="s">
        <v>140</v>
      </c>
      <c r="F129" s="3">
        <v>803</v>
      </c>
      <c r="G129" s="3"/>
      <c r="H129" s="3" t="s">
        <v>13</v>
      </c>
      <c r="I129" s="3" t="s">
        <v>14</v>
      </c>
      <c r="J129" s="3"/>
      <c r="K129" s="3"/>
    </row>
    <row r="130" spans="1:11" x14ac:dyDescent="0.35">
      <c r="A130" s="3" t="s">
        <v>10</v>
      </c>
      <c r="B130" s="3" t="s">
        <v>329</v>
      </c>
      <c r="C130" s="9">
        <v>46112</v>
      </c>
      <c r="D130" s="3" t="s">
        <v>139</v>
      </c>
      <c r="E130" s="3" t="s">
        <v>140</v>
      </c>
      <c r="F130" s="3">
        <v>880</v>
      </c>
      <c r="G130" s="3"/>
      <c r="H130" s="3" t="s">
        <v>13</v>
      </c>
      <c r="I130" s="3" t="s">
        <v>14</v>
      </c>
      <c r="J130" s="3"/>
      <c r="K130" s="3"/>
    </row>
    <row r="131" spans="1:11" x14ac:dyDescent="0.35">
      <c r="A131" s="3" t="s">
        <v>10</v>
      </c>
      <c r="B131" s="3" t="s">
        <v>329</v>
      </c>
      <c r="C131" s="9">
        <v>46142</v>
      </c>
      <c r="D131" s="3" t="s">
        <v>139</v>
      </c>
      <c r="E131" s="3" t="s">
        <v>140</v>
      </c>
      <c r="F131" s="3">
        <v>924</v>
      </c>
      <c r="G131" s="3"/>
      <c r="H131" s="3" t="s">
        <v>13</v>
      </c>
      <c r="I131" s="3" t="s">
        <v>14</v>
      </c>
      <c r="J131" s="3"/>
      <c r="K131" s="3"/>
    </row>
    <row r="132" spans="1:11" x14ac:dyDescent="0.35">
      <c r="A132" s="3" t="s">
        <v>10</v>
      </c>
      <c r="B132" s="3" t="s">
        <v>329</v>
      </c>
      <c r="C132" s="9">
        <v>46173</v>
      </c>
      <c r="D132" s="3" t="s">
        <v>139</v>
      </c>
      <c r="E132" s="3" t="s">
        <v>140</v>
      </c>
      <c r="F132" s="3">
        <v>964</v>
      </c>
      <c r="G132" s="3"/>
      <c r="H132" s="3" t="s">
        <v>13</v>
      </c>
      <c r="I132" s="3" t="s">
        <v>14</v>
      </c>
      <c r="J132" s="3"/>
      <c r="K132" s="3"/>
    </row>
    <row r="133" spans="1:11" x14ac:dyDescent="0.35">
      <c r="A133" s="3" t="s">
        <v>160</v>
      </c>
      <c r="B133" s="3" t="s">
        <v>329</v>
      </c>
      <c r="C133" s="9">
        <v>46053</v>
      </c>
      <c r="D133" s="3" t="s">
        <v>141</v>
      </c>
      <c r="E133" s="3" t="s">
        <v>142</v>
      </c>
      <c r="F133" s="3">
        <v>384</v>
      </c>
      <c r="G133" s="3"/>
      <c r="H133" s="3" t="s">
        <v>13</v>
      </c>
      <c r="I133" s="3" t="s">
        <v>14</v>
      </c>
      <c r="J133" s="3"/>
      <c r="K133" s="3"/>
    </row>
    <row r="134" spans="1:11" x14ac:dyDescent="0.35">
      <c r="A134" s="3" t="s">
        <v>160</v>
      </c>
      <c r="B134" s="3" t="s">
        <v>329</v>
      </c>
      <c r="C134" s="9">
        <v>46081</v>
      </c>
      <c r="D134" s="3" t="s">
        <v>141</v>
      </c>
      <c r="E134" s="3" t="s">
        <v>142</v>
      </c>
      <c r="F134" s="3">
        <v>259</v>
      </c>
      <c r="G134" s="3"/>
      <c r="H134" s="3" t="s">
        <v>13</v>
      </c>
      <c r="I134" s="3" t="s">
        <v>14</v>
      </c>
      <c r="J134" s="3"/>
      <c r="K134" s="3"/>
    </row>
    <row r="135" spans="1:11" x14ac:dyDescent="0.35">
      <c r="A135" s="3" t="s">
        <v>160</v>
      </c>
      <c r="B135" s="3" t="s">
        <v>329</v>
      </c>
      <c r="C135" s="9">
        <v>46112</v>
      </c>
      <c r="D135" s="3" t="s">
        <v>141</v>
      </c>
      <c r="E135" s="3" t="s">
        <v>142</v>
      </c>
      <c r="F135" s="3">
        <v>271</v>
      </c>
      <c r="G135" s="3"/>
      <c r="H135" s="3" t="s">
        <v>13</v>
      </c>
      <c r="I135" s="3" t="s">
        <v>14</v>
      </c>
      <c r="J135" s="3"/>
      <c r="K135" s="3"/>
    </row>
    <row r="136" spans="1:11" x14ac:dyDescent="0.35">
      <c r="A136" s="3" t="s">
        <v>160</v>
      </c>
      <c r="B136" s="3" t="s">
        <v>329</v>
      </c>
      <c r="C136" s="9">
        <v>46142</v>
      </c>
      <c r="D136" s="3" t="s">
        <v>141</v>
      </c>
      <c r="E136" s="3" t="s">
        <v>142</v>
      </c>
      <c r="F136" s="3">
        <v>264</v>
      </c>
      <c r="G136" s="3"/>
      <c r="H136" s="3" t="s">
        <v>13</v>
      </c>
      <c r="I136" s="3" t="s">
        <v>14</v>
      </c>
      <c r="J136" s="3"/>
      <c r="K136" s="3"/>
    </row>
    <row r="137" spans="1:11" x14ac:dyDescent="0.35">
      <c r="A137" s="3" t="s">
        <v>160</v>
      </c>
      <c r="B137" s="3" t="s">
        <v>329</v>
      </c>
      <c r="C137" s="9">
        <v>46173</v>
      </c>
      <c r="D137" s="3" t="s">
        <v>141</v>
      </c>
      <c r="E137" s="3" t="s">
        <v>142</v>
      </c>
      <c r="F137" s="3">
        <v>215</v>
      </c>
      <c r="G137" s="3"/>
      <c r="H137" s="3" t="s">
        <v>13</v>
      </c>
      <c r="I137" s="3" t="s">
        <v>14</v>
      </c>
      <c r="J137" s="3"/>
      <c r="K137" s="3"/>
    </row>
    <row r="138" spans="1:11" x14ac:dyDescent="0.35">
      <c r="A138" s="3" t="s">
        <v>160</v>
      </c>
      <c r="B138" s="3" t="s">
        <v>329</v>
      </c>
      <c r="C138" s="9">
        <v>46053</v>
      </c>
      <c r="D138" s="3" t="s">
        <v>139</v>
      </c>
      <c r="E138" s="3" t="s">
        <v>140</v>
      </c>
      <c r="F138" s="3">
        <v>261</v>
      </c>
      <c r="G138" s="3"/>
      <c r="H138" s="3" t="s">
        <v>13</v>
      </c>
      <c r="I138" s="3" t="s">
        <v>14</v>
      </c>
      <c r="J138" s="3"/>
      <c r="K138" s="3"/>
    </row>
    <row r="139" spans="1:11" x14ac:dyDescent="0.35">
      <c r="A139" s="3" t="s">
        <v>160</v>
      </c>
      <c r="B139" s="3" t="s">
        <v>329</v>
      </c>
      <c r="C139" s="9">
        <v>46081</v>
      </c>
      <c r="D139" s="3" t="s">
        <v>139</v>
      </c>
      <c r="E139" s="3" t="s">
        <v>140</v>
      </c>
      <c r="F139" s="3">
        <v>211</v>
      </c>
      <c r="G139" s="3"/>
      <c r="H139" s="3" t="s">
        <v>13</v>
      </c>
      <c r="I139" s="3" t="s">
        <v>14</v>
      </c>
      <c r="J139" s="3"/>
      <c r="K139" s="3"/>
    </row>
    <row r="140" spans="1:11" x14ac:dyDescent="0.35">
      <c r="A140" s="3" t="s">
        <v>160</v>
      </c>
      <c r="B140" s="3" t="s">
        <v>329</v>
      </c>
      <c r="C140" s="9">
        <v>46112</v>
      </c>
      <c r="D140" s="3" t="s">
        <v>139</v>
      </c>
      <c r="E140" s="3" t="s">
        <v>140</v>
      </c>
      <c r="F140" s="3">
        <v>273</v>
      </c>
      <c r="G140" s="3"/>
      <c r="H140" s="3" t="s">
        <v>13</v>
      </c>
      <c r="I140" s="3" t="s">
        <v>14</v>
      </c>
      <c r="J140" s="3"/>
      <c r="K140" s="3"/>
    </row>
    <row r="141" spans="1:11" x14ac:dyDescent="0.35">
      <c r="A141" s="3" t="s">
        <v>160</v>
      </c>
      <c r="B141" s="3" t="s">
        <v>329</v>
      </c>
      <c r="C141" s="9">
        <v>46142</v>
      </c>
      <c r="D141" s="3" t="s">
        <v>139</v>
      </c>
      <c r="E141" s="3" t="s">
        <v>140</v>
      </c>
      <c r="F141" s="3">
        <v>247</v>
      </c>
      <c r="G141" s="3"/>
      <c r="H141" s="3" t="s">
        <v>13</v>
      </c>
      <c r="I141" s="3" t="s">
        <v>14</v>
      </c>
      <c r="J141" s="3"/>
      <c r="K141" s="3"/>
    </row>
    <row r="142" spans="1:11" x14ac:dyDescent="0.35">
      <c r="A142" s="3" t="s">
        <v>160</v>
      </c>
      <c r="B142" s="3" t="s">
        <v>329</v>
      </c>
      <c r="C142" s="9">
        <v>46173</v>
      </c>
      <c r="D142" s="3" t="s">
        <v>139</v>
      </c>
      <c r="E142" s="3" t="s">
        <v>140</v>
      </c>
      <c r="F142" s="3">
        <v>179</v>
      </c>
      <c r="G142" s="3"/>
      <c r="H142" s="3" t="s">
        <v>13</v>
      </c>
      <c r="I142" s="3" t="s">
        <v>14</v>
      </c>
      <c r="J142" s="3"/>
      <c r="K142" s="3"/>
    </row>
    <row r="143" spans="1:11" x14ac:dyDescent="0.35">
      <c r="A143" s="3" t="s">
        <v>171</v>
      </c>
      <c r="B143" s="3" t="s">
        <v>329</v>
      </c>
      <c r="C143" s="3" t="s">
        <v>172</v>
      </c>
      <c r="D143" s="12" t="str">
        <f>VLOOKUP(E143,KPI_Mapping!B:G,6,FALSE)</f>
        <v>AG0029</v>
      </c>
      <c r="E143" s="3" t="s">
        <v>86</v>
      </c>
      <c r="F143" s="3">
        <v>6237</v>
      </c>
      <c r="G143" s="3"/>
      <c r="H143" s="3" t="s">
        <v>173</v>
      </c>
      <c r="I143" s="3" t="s">
        <v>14</v>
      </c>
      <c r="J143" s="3"/>
      <c r="K143" s="3"/>
    </row>
    <row r="144" spans="1:11" x14ac:dyDescent="0.35">
      <c r="A144" s="3" t="s">
        <v>171</v>
      </c>
      <c r="B144" s="3" t="s">
        <v>329</v>
      </c>
      <c r="C144" s="3" t="s">
        <v>172</v>
      </c>
      <c r="D144" s="12" t="str">
        <f>VLOOKUP(E144,KPI_Mapping!B:G,6,FALSE)</f>
        <v>AG0016</v>
      </c>
      <c r="E144" s="3" t="s">
        <v>16</v>
      </c>
      <c r="F144" s="3">
        <v>1438</v>
      </c>
      <c r="G144" s="3"/>
      <c r="H144" s="3" t="s">
        <v>173</v>
      </c>
      <c r="I144" s="3" t="s">
        <v>14</v>
      </c>
      <c r="J144" s="3"/>
      <c r="K144" s="3"/>
    </row>
    <row r="145" spans="1:11" x14ac:dyDescent="0.35">
      <c r="A145" s="3" t="s">
        <v>171</v>
      </c>
      <c r="B145" s="3" t="s">
        <v>329</v>
      </c>
      <c r="C145" s="3" t="s">
        <v>172</v>
      </c>
      <c r="D145" s="12" t="str">
        <f>VLOOKUP(E145,KPI_Mapping!B:G,6,FALSE)</f>
        <v>AG0020</v>
      </c>
      <c r="E145" s="3" t="s">
        <v>50</v>
      </c>
      <c r="F145" s="3">
        <v>2025</v>
      </c>
      <c r="G145" s="3"/>
      <c r="H145" s="3" t="s">
        <v>173</v>
      </c>
      <c r="I145" s="3" t="s">
        <v>14</v>
      </c>
      <c r="J145" s="3"/>
      <c r="K145" s="3"/>
    </row>
    <row r="146" spans="1:11" x14ac:dyDescent="0.35">
      <c r="A146" s="3" t="s">
        <v>171</v>
      </c>
      <c r="B146" s="3" t="s">
        <v>329</v>
      </c>
      <c r="C146" s="3" t="s">
        <v>172</v>
      </c>
      <c r="D146" s="12" t="str">
        <f>VLOOKUP(E146,KPI_Mapping!B:G,6,FALSE)</f>
        <v>AG0061</v>
      </c>
      <c r="E146" s="3" t="s">
        <v>174</v>
      </c>
      <c r="F146" s="3">
        <v>1</v>
      </c>
      <c r="G146" s="3"/>
      <c r="H146" s="3" t="s">
        <v>173</v>
      </c>
      <c r="I146" s="3" t="s">
        <v>14</v>
      </c>
      <c r="J146" s="3"/>
      <c r="K146" s="3"/>
    </row>
    <row r="147" spans="1:11" x14ac:dyDescent="0.35">
      <c r="A147" s="3" t="s">
        <v>171</v>
      </c>
      <c r="B147" s="3" t="s">
        <v>329</v>
      </c>
      <c r="C147" s="3" t="s">
        <v>172</v>
      </c>
      <c r="D147" s="12" t="str">
        <f>VLOOKUP(E147,KPI_Mapping!B:G,6,FALSE)</f>
        <v>AG0061_1</v>
      </c>
      <c r="E147" s="3" t="s">
        <v>175</v>
      </c>
      <c r="F147" s="3">
        <v>2</v>
      </c>
      <c r="G147" s="3"/>
      <c r="H147" s="3" t="s">
        <v>173</v>
      </c>
      <c r="I147" s="3" t="s">
        <v>14</v>
      </c>
      <c r="J147" s="3"/>
      <c r="K147" s="3"/>
    </row>
    <row r="148" spans="1:11" x14ac:dyDescent="0.35">
      <c r="A148" s="3" t="s">
        <v>171</v>
      </c>
      <c r="B148" s="3" t="s">
        <v>329</v>
      </c>
      <c r="C148" s="3" t="s">
        <v>172</v>
      </c>
      <c r="D148" s="12" t="str">
        <f>VLOOKUP(E148,KPI_Mapping!B:G,6,FALSE)</f>
        <v>AG0061_2</v>
      </c>
      <c r="E148" s="3" t="s">
        <v>176</v>
      </c>
      <c r="F148" s="3">
        <v>2</v>
      </c>
      <c r="G148" s="3"/>
      <c r="H148" s="3" t="s">
        <v>173</v>
      </c>
      <c r="I148" s="3" t="s">
        <v>14</v>
      </c>
      <c r="J148" s="3"/>
      <c r="K148" s="3"/>
    </row>
    <row r="149" spans="1:11" x14ac:dyDescent="0.35">
      <c r="A149" s="3" t="s">
        <v>171</v>
      </c>
      <c r="B149" s="3" t="s">
        <v>329</v>
      </c>
      <c r="C149" s="3" t="s">
        <v>172</v>
      </c>
      <c r="D149" s="12" t="str">
        <f>VLOOKUP(E149,KPI_Mapping!B:G,6,FALSE)</f>
        <v>AG0072_1</v>
      </c>
      <c r="E149" s="3" t="s">
        <v>177</v>
      </c>
      <c r="F149" s="3">
        <v>8</v>
      </c>
      <c r="G149" s="3"/>
      <c r="H149" s="3" t="s">
        <v>173</v>
      </c>
      <c r="I149" s="3" t="s">
        <v>14</v>
      </c>
      <c r="J149" s="3"/>
      <c r="K149" s="3"/>
    </row>
    <row r="150" spans="1:11" x14ac:dyDescent="0.35">
      <c r="A150" s="3" t="s">
        <v>171</v>
      </c>
      <c r="B150" s="3" t="s">
        <v>329</v>
      </c>
      <c r="C150" s="3" t="s">
        <v>172</v>
      </c>
      <c r="D150" s="12" t="str">
        <f>VLOOKUP(E150,KPI_Mapping!B:G,6,FALSE)</f>
        <v>AG0072_2</v>
      </c>
      <c r="E150" s="3" t="s">
        <v>178</v>
      </c>
      <c r="F150" s="3">
        <v>2</v>
      </c>
      <c r="G150" s="3"/>
      <c r="H150" s="3" t="s">
        <v>173</v>
      </c>
      <c r="I150" s="3" t="s">
        <v>14</v>
      </c>
      <c r="J150" s="3"/>
      <c r="K150" s="3"/>
    </row>
    <row r="151" spans="1:11" x14ac:dyDescent="0.35">
      <c r="A151" s="3" t="s">
        <v>171</v>
      </c>
      <c r="B151" s="3" t="s">
        <v>329</v>
      </c>
      <c r="C151" s="3" t="s">
        <v>172</v>
      </c>
      <c r="D151" s="3" t="str">
        <f>VLOOKUP(E151,KPI_Mapping!B:G,6,FALSE)</f>
        <v>AG0046</v>
      </c>
      <c r="E151" s="3" t="s">
        <v>112</v>
      </c>
      <c r="F151" s="3">
        <v>1461</v>
      </c>
      <c r="G151" s="3"/>
      <c r="H151" s="3" t="s">
        <v>173</v>
      </c>
      <c r="I151" s="3" t="s">
        <v>14</v>
      </c>
      <c r="J151" s="3"/>
      <c r="K151" s="3"/>
    </row>
    <row r="152" spans="1:11" x14ac:dyDescent="0.35">
      <c r="A152" s="3" t="s">
        <v>171</v>
      </c>
      <c r="B152" s="3" t="s">
        <v>329</v>
      </c>
      <c r="C152" s="3" t="s">
        <v>172</v>
      </c>
      <c r="D152" s="3" t="str">
        <f>VLOOKUP(E152,KPI_Mapping!B:G,6,FALSE)</f>
        <v>AG0055</v>
      </c>
      <c r="E152" s="3" t="s">
        <v>134</v>
      </c>
      <c r="F152" s="3">
        <v>99</v>
      </c>
      <c r="G152" s="3"/>
      <c r="H152" s="3" t="s">
        <v>173</v>
      </c>
      <c r="I152" s="3" t="s">
        <v>14</v>
      </c>
      <c r="J152" s="3"/>
      <c r="K152" s="3"/>
    </row>
    <row r="153" spans="1:11" x14ac:dyDescent="0.35">
      <c r="A153" s="3" t="s">
        <v>171</v>
      </c>
      <c r="B153" s="3" t="s">
        <v>329</v>
      </c>
      <c r="C153" s="3" t="s">
        <v>172</v>
      </c>
      <c r="D153" s="3" t="str">
        <f>VLOOKUP(E153,KPI_Mapping!B:G,6,FALSE)</f>
        <v>AG0055_1</v>
      </c>
      <c r="E153" s="3" t="s">
        <v>136</v>
      </c>
      <c r="F153" s="3">
        <v>396</v>
      </c>
      <c r="G153" s="3"/>
      <c r="H153" s="3" t="s">
        <v>173</v>
      </c>
      <c r="I153" s="3" t="s">
        <v>14</v>
      </c>
      <c r="J153" s="3"/>
      <c r="K153" s="3"/>
    </row>
    <row r="154" spans="1:11" x14ac:dyDescent="0.35">
      <c r="A154" s="3" t="s">
        <v>171</v>
      </c>
      <c r="B154" s="3" t="s">
        <v>329</v>
      </c>
      <c r="C154" s="3" t="s">
        <v>172</v>
      </c>
      <c r="D154" s="3" t="str">
        <f>VLOOKUP(E154,KPI_Mapping!B:G,6,FALSE)</f>
        <v>AG0060</v>
      </c>
      <c r="E154" s="3" t="s">
        <v>163</v>
      </c>
      <c r="F154" s="3">
        <v>1</v>
      </c>
      <c r="G154" s="3"/>
      <c r="H154" s="3" t="s">
        <v>173</v>
      </c>
      <c r="I154" s="3" t="s">
        <v>14</v>
      </c>
      <c r="J154" s="3"/>
      <c r="K154" s="3"/>
    </row>
    <row r="155" spans="1:11" x14ac:dyDescent="0.35">
      <c r="A155" s="3" t="s">
        <v>171</v>
      </c>
      <c r="B155" s="3" t="s">
        <v>329</v>
      </c>
      <c r="C155" s="3" t="s">
        <v>172</v>
      </c>
      <c r="D155" s="3" t="str">
        <f>VLOOKUP(E155,KPI_Mapping!B:G,6,FALSE)</f>
        <v>AG0051</v>
      </c>
      <c r="E155" s="3" t="s">
        <v>128</v>
      </c>
      <c r="F155" s="3">
        <v>1037</v>
      </c>
      <c r="G155" s="3"/>
      <c r="H155" s="3" t="s">
        <v>173</v>
      </c>
      <c r="I155" s="3" t="s">
        <v>14</v>
      </c>
      <c r="J155" s="3"/>
      <c r="K155" s="3"/>
    </row>
    <row r="156" spans="1:11" x14ac:dyDescent="0.35">
      <c r="A156" s="3" t="s">
        <v>171</v>
      </c>
      <c r="B156" s="3" t="s">
        <v>329</v>
      </c>
      <c r="C156" s="3" t="s">
        <v>172</v>
      </c>
      <c r="D156" s="3" t="str">
        <f>VLOOKUP(E156,KPI_Mapping!B:G,6,FALSE)</f>
        <v>AG0043</v>
      </c>
      <c r="E156" s="3" t="s">
        <v>179</v>
      </c>
      <c r="F156" s="3">
        <v>174</v>
      </c>
      <c r="G156" s="3"/>
      <c r="H156" s="3" t="s">
        <v>173</v>
      </c>
      <c r="I156" s="3" t="s">
        <v>14</v>
      </c>
      <c r="J156" s="3"/>
      <c r="K156" s="3"/>
    </row>
    <row r="157" spans="1:11" x14ac:dyDescent="0.35">
      <c r="A157" s="3" t="s">
        <v>171</v>
      </c>
      <c r="B157" s="3" t="s">
        <v>329</v>
      </c>
      <c r="C157" s="3" t="s">
        <v>172</v>
      </c>
      <c r="D157" s="3" t="str">
        <f>VLOOKUP(E157,KPI_Mapping!B:G,6,FALSE)</f>
        <v>AG0041</v>
      </c>
      <c r="E157" s="3" t="s">
        <v>165</v>
      </c>
      <c r="F157" s="3">
        <v>38</v>
      </c>
      <c r="G157" s="3"/>
      <c r="H157" s="3" t="s">
        <v>173</v>
      </c>
      <c r="I157" s="3" t="s">
        <v>14</v>
      </c>
      <c r="J157" s="3"/>
      <c r="K157" s="3"/>
    </row>
    <row r="158" spans="1:11" x14ac:dyDescent="0.35">
      <c r="A158" s="3" t="s">
        <v>171</v>
      </c>
      <c r="B158" s="3" t="s">
        <v>329</v>
      </c>
      <c r="C158" s="3" t="s">
        <v>172</v>
      </c>
      <c r="D158" s="3" t="str">
        <f>VLOOKUP(E158,KPI_Mapping!B:G,6,FALSE)</f>
        <v>AG0038</v>
      </c>
      <c r="E158" s="3" t="s">
        <v>110</v>
      </c>
      <c r="F158" s="3">
        <v>271</v>
      </c>
      <c r="G158" s="3"/>
      <c r="H158" s="3" t="s">
        <v>173</v>
      </c>
      <c r="I158" s="3" t="s">
        <v>14</v>
      </c>
      <c r="J158" s="3"/>
      <c r="K158" s="3"/>
    </row>
    <row r="159" spans="1:11" x14ac:dyDescent="0.35">
      <c r="A159" s="3" t="s">
        <v>171</v>
      </c>
      <c r="B159" s="3" t="s">
        <v>329</v>
      </c>
      <c r="C159" s="3" t="s">
        <v>172</v>
      </c>
      <c r="D159" s="3" t="str">
        <f>VLOOKUP(E159,KPI_Mapping!B:G,6,FALSE)</f>
        <v>AG0051_1</v>
      </c>
      <c r="E159" s="3" t="s">
        <v>130</v>
      </c>
      <c r="F159" s="3">
        <v>853</v>
      </c>
      <c r="G159" s="3"/>
      <c r="H159" s="3" t="s">
        <v>173</v>
      </c>
      <c r="I159" s="3" t="s">
        <v>14</v>
      </c>
      <c r="J159" s="3"/>
      <c r="K159" s="3"/>
    </row>
    <row r="160" spans="1:11" x14ac:dyDescent="0.35">
      <c r="A160" s="3" t="s">
        <v>171</v>
      </c>
      <c r="B160" s="3" t="s">
        <v>329</v>
      </c>
      <c r="C160" s="3" t="s">
        <v>172</v>
      </c>
      <c r="D160" s="3" t="str">
        <f>VLOOKUP(E160,KPI_Mapping!B:G,6,FALSE)</f>
        <v>AG0051_2</v>
      </c>
      <c r="E160" s="3" t="s">
        <v>132</v>
      </c>
      <c r="F160" s="3">
        <v>184</v>
      </c>
      <c r="G160" s="3"/>
      <c r="H160" s="3" t="s">
        <v>173</v>
      </c>
      <c r="I160" s="3" t="s">
        <v>14</v>
      </c>
      <c r="J160" s="3"/>
      <c r="K160" s="3"/>
    </row>
    <row r="161" spans="1:11" x14ac:dyDescent="0.35">
      <c r="A161" s="3" t="s">
        <v>10</v>
      </c>
      <c r="B161" s="3" t="s">
        <v>329</v>
      </c>
      <c r="C161" s="3" t="s">
        <v>172</v>
      </c>
      <c r="D161" s="3" t="str">
        <f>VLOOKUP(E161,KPI_Mapping!B:G,6,FALSE)</f>
        <v>AG0060</v>
      </c>
      <c r="E161" s="3" t="s">
        <v>163</v>
      </c>
      <c r="F161" s="3">
        <v>17</v>
      </c>
      <c r="G161" s="3"/>
      <c r="H161" s="3" t="s">
        <v>173</v>
      </c>
      <c r="I161" s="3" t="s">
        <v>14</v>
      </c>
      <c r="J161" s="3"/>
      <c r="K161" s="3"/>
    </row>
    <row r="162" spans="1:11" x14ac:dyDescent="0.35">
      <c r="A162" s="3" t="s">
        <v>10</v>
      </c>
      <c r="B162" s="3" t="s">
        <v>329</v>
      </c>
      <c r="C162" s="3" t="s">
        <v>172</v>
      </c>
      <c r="D162" s="3" t="str">
        <f>VLOOKUP(E162,KPI_Mapping!B:G,6,FALSE)</f>
        <v>AG0060_1</v>
      </c>
      <c r="E162" s="3" t="s">
        <v>180</v>
      </c>
      <c r="F162" s="3">
        <v>9</v>
      </c>
      <c r="G162" s="3"/>
      <c r="H162" s="3" t="s">
        <v>173</v>
      </c>
      <c r="I162" s="3" t="s">
        <v>14</v>
      </c>
      <c r="J162" s="3"/>
      <c r="K162" s="3"/>
    </row>
    <row r="163" spans="1:11" x14ac:dyDescent="0.35">
      <c r="A163" s="3" t="s">
        <v>10</v>
      </c>
      <c r="B163" s="3" t="s">
        <v>329</v>
      </c>
      <c r="C163" s="3" t="s">
        <v>172</v>
      </c>
      <c r="D163" s="3" t="str">
        <f>VLOOKUP(E163,KPI_Mapping!B:G,6,FALSE)</f>
        <v>AG0041</v>
      </c>
      <c r="E163" s="3" t="s">
        <v>165</v>
      </c>
      <c r="F163" s="3">
        <v>28</v>
      </c>
      <c r="G163" s="3"/>
      <c r="H163" s="3" t="s">
        <v>173</v>
      </c>
      <c r="I163" s="3" t="s">
        <v>14</v>
      </c>
      <c r="J163" s="3"/>
      <c r="K163" s="3"/>
    </row>
    <row r="164" spans="1:11" x14ac:dyDescent="0.35">
      <c r="A164" s="3" t="s">
        <v>10</v>
      </c>
      <c r="B164" s="3" t="s">
        <v>329</v>
      </c>
      <c r="C164" s="3" t="s">
        <v>172</v>
      </c>
      <c r="D164" s="3" t="str">
        <f>VLOOKUP(E164,KPI_Mapping!B:G,6,FALSE)</f>
        <v>AG0061</v>
      </c>
      <c r="E164" s="3" t="s">
        <v>174</v>
      </c>
      <c r="F164" s="3">
        <v>0.4</v>
      </c>
      <c r="G164" s="3"/>
      <c r="H164" s="3" t="s">
        <v>173</v>
      </c>
      <c r="I164" s="3" t="s">
        <v>14</v>
      </c>
      <c r="J164" s="3"/>
      <c r="K164" s="3"/>
    </row>
    <row r="165" spans="1:11" x14ac:dyDescent="0.35">
      <c r="A165" s="3" t="s">
        <v>10</v>
      </c>
      <c r="B165" s="3" t="s">
        <v>329</v>
      </c>
      <c r="C165" s="3" t="s">
        <v>172</v>
      </c>
      <c r="D165" s="3" t="str">
        <f>VLOOKUP(E165,KPI_Mapping!B:G,6,FALSE)</f>
        <v>AG0061_1</v>
      </c>
      <c r="E165" s="3" t="s">
        <v>175</v>
      </c>
      <c r="F165" s="3">
        <v>4</v>
      </c>
      <c r="G165" s="3"/>
      <c r="H165" s="3" t="s">
        <v>173</v>
      </c>
      <c r="I165" s="3" t="s">
        <v>14</v>
      </c>
      <c r="J165" s="3"/>
      <c r="K165" s="3"/>
    </row>
    <row r="166" spans="1:11" x14ac:dyDescent="0.35">
      <c r="A166" s="3" t="s">
        <v>10</v>
      </c>
      <c r="B166" s="3" t="s">
        <v>329</v>
      </c>
      <c r="C166" s="3" t="s">
        <v>172</v>
      </c>
      <c r="D166" s="3" t="str">
        <f>VLOOKUP(E166,KPI_Mapping!B:G,6,FALSE)</f>
        <v>AG0061_2</v>
      </c>
      <c r="E166" s="3" t="s">
        <v>176</v>
      </c>
      <c r="F166" s="3">
        <v>10</v>
      </c>
      <c r="G166" s="3"/>
      <c r="H166" s="3" t="s">
        <v>173</v>
      </c>
      <c r="I166" s="3" t="s">
        <v>14</v>
      </c>
      <c r="J166" s="3"/>
      <c r="K166" s="3"/>
    </row>
    <row r="167" spans="1:11" x14ac:dyDescent="0.35">
      <c r="A167" s="3" t="s">
        <v>10</v>
      </c>
      <c r="B167" s="3" t="s">
        <v>329</v>
      </c>
      <c r="C167" s="3" t="s">
        <v>172</v>
      </c>
      <c r="D167" s="3" t="str">
        <f>VLOOKUP(E167,KPI_Mapping!B:G,6,FALSE)</f>
        <v>AG0043</v>
      </c>
      <c r="E167" s="3" t="s">
        <v>179</v>
      </c>
      <c r="F167" s="3">
        <v>206</v>
      </c>
      <c r="G167" s="3"/>
      <c r="H167" s="3" t="s">
        <v>173</v>
      </c>
      <c r="I167" s="3" t="s">
        <v>14</v>
      </c>
      <c r="J167" s="3"/>
      <c r="K167" s="3"/>
    </row>
    <row r="168" spans="1:11" x14ac:dyDescent="0.35">
      <c r="A168" s="3" t="s">
        <v>181</v>
      </c>
      <c r="B168" s="3" t="s">
        <v>329</v>
      </c>
      <c r="C168" s="3" t="s">
        <v>182</v>
      </c>
      <c r="D168" s="3" t="str">
        <f>VLOOKUP(E168,KPI_Mapping!B:G,6,FALSE)</f>
        <v>AG0020</v>
      </c>
      <c r="E168" s="3" t="s">
        <v>50</v>
      </c>
      <c r="F168" s="3">
        <v>386</v>
      </c>
      <c r="G168" s="3"/>
      <c r="H168" s="3" t="s">
        <v>183</v>
      </c>
      <c r="I168" s="3" t="s">
        <v>14</v>
      </c>
      <c r="J168" s="3"/>
      <c r="K168" s="3"/>
    </row>
    <row r="169" spans="1:11" x14ac:dyDescent="0.35">
      <c r="A169" s="3" t="s">
        <v>181</v>
      </c>
      <c r="B169" s="3" t="s">
        <v>329</v>
      </c>
      <c r="C169" s="3" t="s">
        <v>182</v>
      </c>
      <c r="D169" s="3" t="str">
        <f>VLOOKUP(E169,KPI_Mapping!B:G,6,FALSE)</f>
        <v>AG0041</v>
      </c>
      <c r="E169" s="3" t="s">
        <v>165</v>
      </c>
      <c r="F169" s="3">
        <v>65</v>
      </c>
      <c r="G169" s="3"/>
      <c r="H169" s="3" t="s">
        <v>183</v>
      </c>
      <c r="I169" s="3" t="s">
        <v>14</v>
      </c>
      <c r="J169" s="3"/>
      <c r="K169" s="3"/>
    </row>
    <row r="170" spans="1:11" x14ac:dyDescent="0.35">
      <c r="A170" s="3" t="s">
        <v>181</v>
      </c>
      <c r="B170" s="3" t="s">
        <v>329</v>
      </c>
      <c r="C170" s="3" t="s">
        <v>182</v>
      </c>
      <c r="D170" s="3" t="str">
        <f>VLOOKUP(E170,KPI_Mapping!B:G,6,FALSE)</f>
        <v>AG0038</v>
      </c>
      <c r="E170" s="3" t="s">
        <v>110</v>
      </c>
      <c r="F170" s="3">
        <v>6</v>
      </c>
      <c r="G170" s="3"/>
      <c r="H170" s="3" t="s">
        <v>183</v>
      </c>
      <c r="I170" s="3" t="s">
        <v>14</v>
      </c>
      <c r="J170" s="3"/>
      <c r="K170" s="3"/>
    </row>
    <row r="171" spans="1:11" x14ac:dyDescent="0.35">
      <c r="A171" s="3" t="s">
        <v>181</v>
      </c>
      <c r="B171" s="3" t="s">
        <v>329</v>
      </c>
      <c r="C171" s="3" t="s">
        <v>182</v>
      </c>
      <c r="D171" s="3" t="str">
        <f>VLOOKUP(E171,KPI_Mapping!B:G,6,FALSE)</f>
        <v>AG0016</v>
      </c>
      <c r="E171" s="3" t="s">
        <v>16</v>
      </c>
      <c r="F171" s="3">
        <v>335</v>
      </c>
      <c r="G171" s="3"/>
      <c r="H171" s="3" t="s">
        <v>183</v>
      </c>
      <c r="I171" s="3" t="s">
        <v>14</v>
      </c>
      <c r="J171" s="3"/>
      <c r="K171" s="3"/>
    </row>
    <row r="172" spans="1:11" x14ac:dyDescent="0.35">
      <c r="A172" s="3" t="s">
        <v>181</v>
      </c>
      <c r="B172" s="3" t="s">
        <v>329</v>
      </c>
      <c r="C172" s="3" t="s">
        <v>182</v>
      </c>
      <c r="D172" s="3" t="str">
        <f>VLOOKUP(E172,KPI_Mapping!B:G,6,FALSE)</f>
        <v>AG0043</v>
      </c>
      <c r="E172" s="3" t="s">
        <v>179</v>
      </c>
      <c r="F172" s="3">
        <v>549</v>
      </c>
      <c r="G172" s="3"/>
      <c r="H172" s="3" t="s">
        <v>183</v>
      </c>
      <c r="I172" s="3" t="s">
        <v>14</v>
      </c>
      <c r="J172" s="3"/>
      <c r="K172" s="3"/>
    </row>
    <row r="173" spans="1:11" x14ac:dyDescent="0.35">
      <c r="A173" s="3" t="s">
        <v>181</v>
      </c>
      <c r="B173" s="3" t="s">
        <v>329</v>
      </c>
      <c r="C173" s="3" t="s">
        <v>182</v>
      </c>
      <c r="D173" s="3" t="str">
        <f>VLOOKUP(E173,KPI_Mapping!B:G,6,FALSE)</f>
        <v>AG0055</v>
      </c>
      <c r="E173" s="3" t="s">
        <v>134</v>
      </c>
      <c r="F173" s="3">
        <v>3</v>
      </c>
      <c r="G173" s="3"/>
      <c r="H173" s="3" t="s">
        <v>183</v>
      </c>
      <c r="I173" s="3" t="s">
        <v>14</v>
      </c>
      <c r="J173" s="3"/>
      <c r="K173" s="3"/>
    </row>
    <row r="174" spans="1:11" x14ac:dyDescent="0.35">
      <c r="A174" s="3" t="s">
        <v>10</v>
      </c>
      <c r="B174" s="3" t="s">
        <v>329</v>
      </c>
      <c r="C174" s="3" t="s">
        <v>184</v>
      </c>
      <c r="D174" s="3" t="str">
        <f>VLOOKUP(E174,KPI_Mapping!B:G,6,FALSE)</f>
        <v>AG0016</v>
      </c>
      <c r="E174" s="3" t="s">
        <v>16</v>
      </c>
      <c r="F174" s="3">
        <v>263</v>
      </c>
      <c r="G174" s="3"/>
      <c r="H174" s="3" t="s">
        <v>183</v>
      </c>
      <c r="I174" s="3" t="s">
        <v>14</v>
      </c>
      <c r="J174" s="3"/>
      <c r="K174" s="3"/>
    </row>
    <row r="175" spans="1:11" x14ac:dyDescent="0.35">
      <c r="A175" s="3" t="s">
        <v>10</v>
      </c>
      <c r="B175" s="3" t="s">
        <v>329</v>
      </c>
      <c r="C175" s="3" t="s">
        <v>184</v>
      </c>
      <c r="D175" s="3" t="str">
        <f>VLOOKUP(E175,KPI_Mapping!B:G,6,FALSE)</f>
        <v>AG0020</v>
      </c>
      <c r="E175" s="3" t="s">
        <v>50</v>
      </c>
      <c r="F175" s="3">
        <v>247</v>
      </c>
      <c r="G175" s="3"/>
      <c r="H175" s="3" t="s">
        <v>183</v>
      </c>
      <c r="I175" s="3" t="s">
        <v>14</v>
      </c>
      <c r="J175" s="3"/>
      <c r="K175" s="3"/>
    </row>
    <row r="176" spans="1:11" x14ac:dyDescent="0.35">
      <c r="A176" s="3" t="s">
        <v>10</v>
      </c>
      <c r="B176" s="3" t="s">
        <v>329</v>
      </c>
      <c r="C176" s="3" t="s">
        <v>184</v>
      </c>
      <c r="D176" s="3" t="str">
        <f>VLOOKUP(E176,KPI_Mapping!B:G,6,FALSE)</f>
        <v>AG0038</v>
      </c>
      <c r="E176" s="3" t="s">
        <v>110</v>
      </c>
      <c r="F176" s="3">
        <v>72</v>
      </c>
      <c r="G176" s="3"/>
      <c r="H176" s="3" t="s">
        <v>183</v>
      </c>
      <c r="I176" s="3" t="s">
        <v>14</v>
      </c>
      <c r="J176" s="3"/>
      <c r="K176" s="3"/>
    </row>
    <row r="177" spans="1:11" x14ac:dyDescent="0.35">
      <c r="A177" s="3" t="s">
        <v>10</v>
      </c>
      <c r="B177" s="3" t="s">
        <v>329</v>
      </c>
      <c r="C177" s="3" t="s">
        <v>184</v>
      </c>
      <c r="D177" s="3" t="str">
        <f>VLOOKUP(E177,KPI_Mapping!B:G,6,FALSE)</f>
        <v>AG0055</v>
      </c>
      <c r="E177" s="3" t="s">
        <v>134</v>
      </c>
      <c r="F177" s="3">
        <v>69</v>
      </c>
      <c r="G177" s="3"/>
      <c r="H177" s="3" t="s">
        <v>183</v>
      </c>
      <c r="I177" s="3" t="s">
        <v>14</v>
      </c>
      <c r="J177" s="3"/>
      <c r="K177" s="3"/>
    </row>
    <row r="178" spans="1:11" x14ac:dyDescent="0.35">
      <c r="A178" s="3" t="s">
        <v>181</v>
      </c>
      <c r="B178" s="3" t="s">
        <v>329</v>
      </c>
      <c r="C178" s="9">
        <v>46142</v>
      </c>
      <c r="D178" s="3" t="str">
        <f>VLOOKUP(E178,KPI_Mapping!B:G,6,FALSE)</f>
        <v>AG0043</v>
      </c>
      <c r="E178" s="3" t="s">
        <v>179</v>
      </c>
      <c r="F178" s="10">
        <v>124</v>
      </c>
      <c r="G178" s="10"/>
      <c r="H178" s="3" t="s">
        <v>173</v>
      </c>
      <c r="I178" s="3" t="s">
        <v>14</v>
      </c>
      <c r="J178" s="11" t="s">
        <v>185</v>
      </c>
      <c r="K178" s="10"/>
    </row>
    <row r="179" spans="1:11" x14ac:dyDescent="0.35">
      <c r="A179" s="3" t="s">
        <v>181</v>
      </c>
      <c r="B179" s="3" t="s">
        <v>329</v>
      </c>
      <c r="C179" s="9">
        <v>46173</v>
      </c>
      <c r="D179" s="3" t="str">
        <f>VLOOKUP(E179,KPI_Mapping!B:G,6,FALSE)</f>
        <v>AG0043</v>
      </c>
      <c r="E179" s="3" t="s">
        <v>179</v>
      </c>
      <c r="F179" s="10">
        <v>101</v>
      </c>
      <c r="G179" s="10"/>
      <c r="H179" s="3" t="s">
        <v>173</v>
      </c>
      <c r="I179" s="3" t="s">
        <v>14</v>
      </c>
      <c r="J179" s="11" t="s">
        <v>185</v>
      </c>
      <c r="K179" s="10"/>
    </row>
    <row r="180" spans="1:11" x14ac:dyDescent="0.35">
      <c r="A180" s="10" t="s">
        <v>170</v>
      </c>
      <c r="B180" s="3" t="s">
        <v>329</v>
      </c>
      <c r="C180" s="9">
        <v>46053</v>
      </c>
      <c r="D180" s="10" t="str">
        <f>VLOOKUP(E180,KPI_Mapping!D:G,4,FALSE)</f>
        <v>AG0051</v>
      </c>
      <c r="E180" s="3" t="s">
        <v>128</v>
      </c>
      <c r="F180" s="3">
        <v>124</v>
      </c>
      <c r="G180" s="3"/>
      <c r="H180" s="3" t="s">
        <v>173</v>
      </c>
      <c r="I180" s="3" t="s">
        <v>14</v>
      </c>
      <c r="J180" s="11" t="s">
        <v>186</v>
      </c>
      <c r="K180" s="10"/>
    </row>
    <row r="181" spans="1:11" x14ac:dyDescent="0.35">
      <c r="A181" s="10" t="s">
        <v>170</v>
      </c>
      <c r="B181" s="3" t="s">
        <v>329</v>
      </c>
      <c r="C181" s="9">
        <v>46081</v>
      </c>
      <c r="D181" s="10" t="str">
        <f>VLOOKUP(E181,KPI_Mapping!D:G,4,FALSE)</f>
        <v>AG0051</v>
      </c>
      <c r="E181" s="3" t="s">
        <v>128</v>
      </c>
      <c r="F181" s="3">
        <v>126</v>
      </c>
      <c r="G181" s="3"/>
      <c r="H181" s="3" t="s">
        <v>173</v>
      </c>
      <c r="I181" s="3" t="s">
        <v>14</v>
      </c>
      <c r="J181" s="11" t="s">
        <v>186</v>
      </c>
      <c r="K181" s="10"/>
    </row>
    <row r="182" spans="1:11" x14ac:dyDescent="0.35">
      <c r="A182" s="10" t="s">
        <v>170</v>
      </c>
      <c r="B182" s="3" t="s">
        <v>329</v>
      </c>
      <c r="C182" s="9">
        <v>46173</v>
      </c>
      <c r="D182" s="10" t="s">
        <v>15</v>
      </c>
      <c r="E182" s="10" t="s">
        <v>16</v>
      </c>
      <c r="F182" s="78">
        <v>52</v>
      </c>
      <c r="G182" s="10"/>
      <c r="H182" s="3" t="s">
        <v>13</v>
      </c>
      <c r="I182" s="3" t="s">
        <v>14</v>
      </c>
      <c r="J182" s="10" t="s">
        <v>266</v>
      </c>
      <c r="K182" s="10"/>
    </row>
    <row r="183" spans="1:11" x14ac:dyDescent="0.35">
      <c r="A183" s="10" t="s">
        <v>170</v>
      </c>
      <c r="B183" s="3" t="s">
        <v>329</v>
      </c>
      <c r="C183" s="9">
        <v>46142</v>
      </c>
      <c r="D183" s="10" t="s">
        <v>15</v>
      </c>
      <c r="E183" s="10" t="s">
        <v>16</v>
      </c>
      <c r="F183" s="78">
        <v>50</v>
      </c>
      <c r="G183" s="10"/>
      <c r="H183" s="3" t="s">
        <v>13</v>
      </c>
      <c r="I183" s="3" t="s">
        <v>14</v>
      </c>
      <c r="J183" s="10" t="s">
        <v>266</v>
      </c>
      <c r="K183" s="10"/>
    </row>
    <row r="184" spans="1:11" x14ac:dyDescent="0.35">
      <c r="A184" s="10" t="s">
        <v>170</v>
      </c>
      <c r="B184" s="3" t="s">
        <v>329</v>
      </c>
      <c r="C184" s="9">
        <v>46112</v>
      </c>
      <c r="D184" s="10" t="s">
        <v>15</v>
      </c>
      <c r="E184" s="10" t="s">
        <v>16</v>
      </c>
      <c r="F184" s="78">
        <v>102</v>
      </c>
      <c r="G184" s="10"/>
      <c r="H184" s="3" t="s">
        <v>13</v>
      </c>
      <c r="I184" s="3" t="s">
        <v>14</v>
      </c>
      <c r="J184" s="10" t="s">
        <v>266</v>
      </c>
      <c r="K184" s="10"/>
    </row>
    <row r="185" spans="1:11" x14ac:dyDescent="0.35">
      <c r="A185" s="10" t="s">
        <v>170</v>
      </c>
      <c r="B185" s="3" t="s">
        <v>329</v>
      </c>
      <c r="C185" s="9">
        <v>46081</v>
      </c>
      <c r="D185" s="10" t="s">
        <v>15</v>
      </c>
      <c r="E185" s="10" t="s">
        <v>16</v>
      </c>
      <c r="F185" s="78">
        <v>67</v>
      </c>
      <c r="G185" s="10"/>
      <c r="H185" s="3" t="s">
        <v>13</v>
      </c>
      <c r="I185" s="3" t="s">
        <v>14</v>
      </c>
      <c r="J185" s="10" t="s">
        <v>266</v>
      </c>
      <c r="K185" s="10"/>
    </row>
    <row r="186" spans="1:11" x14ac:dyDescent="0.35">
      <c r="A186" s="10" t="s">
        <v>170</v>
      </c>
      <c r="B186" s="3" t="s">
        <v>329</v>
      </c>
      <c r="C186" s="9">
        <v>46053</v>
      </c>
      <c r="D186" s="10" t="s">
        <v>15</v>
      </c>
      <c r="E186" s="10" t="s">
        <v>16</v>
      </c>
      <c r="F186" s="78">
        <v>55</v>
      </c>
      <c r="G186" s="10"/>
      <c r="H186" s="3" t="s">
        <v>13</v>
      </c>
      <c r="I186" s="3" t="s">
        <v>14</v>
      </c>
      <c r="J186" s="10" t="s">
        <v>266</v>
      </c>
      <c r="K186" s="10"/>
    </row>
    <row r="187" spans="1:11" x14ac:dyDescent="0.35">
      <c r="A187" s="10" t="s">
        <v>181</v>
      </c>
      <c r="B187" s="3" t="s">
        <v>329</v>
      </c>
      <c r="C187" s="9">
        <v>46053</v>
      </c>
      <c r="D187" s="10" t="s">
        <v>162</v>
      </c>
      <c r="E187" s="10" t="s">
        <v>163</v>
      </c>
      <c r="F187" s="10">
        <v>19</v>
      </c>
      <c r="G187" s="10"/>
      <c r="H187" s="3" t="s">
        <v>13</v>
      </c>
      <c r="I187" s="10"/>
      <c r="J187" s="65" t="s">
        <v>267</v>
      </c>
      <c r="K187" s="10"/>
    </row>
    <row r="188" spans="1:11" x14ac:dyDescent="0.35">
      <c r="A188" s="10" t="s">
        <v>181</v>
      </c>
      <c r="B188" s="3" t="s">
        <v>329</v>
      </c>
      <c r="C188" s="9">
        <v>46081</v>
      </c>
      <c r="D188" s="10" t="s">
        <v>162</v>
      </c>
      <c r="E188" s="10" t="s">
        <v>163</v>
      </c>
      <c r="F188" s="10">
        <v>18</v>
      </c>
      <c r="G188" s="10"/>
      <c r="H188" s="3" t="s">
        <v>13</v>
      </c>
      <c r="I188" s="10"/>
      <c r="J188" s="65" t="s">
        <v>267</v>
      </c>
      <c r="K188" s="10"/>
    </row>
    <row r="189" spans="1:11" x14ac:dyDescent="0.35">
      <c r="A189" s="10" t="s">
        <v>181</v>
      </c>
      <c r="B189" s="3" t="s">
        <v>329</v>
      </c>
      <c r="C189" s="9">
        <v>46112</v>
      </c>
      <c r="D189" s="10" t="s">
        <v>162</v>
      </c>
      <c r="E189" s="10" t="s">
        <v>163</v>
      </c>
      <c r="F189" s="10">
        <v>13</v>
      </c>
      <c r="G189" s="10"/>
      <c r="H189" s="3" t="s">
        <v>13</v>
      </c>
      <c r="I189" s="10"/>
      <c r="J189" s="65" t="s">
        <v>267</v>
      </c>
      <c r="K189" s="10"/>
    </row>
    <row r="190" spans="1:11" x14ac:dyDescent="0.35">
      <c r="A190" s="10" t="s">
        <v>181</v>
      </c>
      <c r="B190" s="3" t="s">
        <v>329</v>
      </c>
      <c r="C190" s="9">
        <v>46142</v>
      </c>
      <c r="D190" s="10" t="s">
        <v>162</v>
      </c>
      <c r="E190" s="10" t="s">
        <v>163</v>
      </c>
      <c r="F190" s="10">
        <v>37</v>
      </c>
      <c r="G190" s="10"/>
      <c r="H190" s="3" t="s">
        <v>13</v>
      </c>
      <c r="I190" s="10"/>
      <c r="J190" s="65" t="s">
        <v>267</v>
      </c>
      <c r="K190" s="10"/>
    </row>
    <row r="191" spans="1:11" x14ac:dyDescent="0.35">
      <c r="A191" s="10" t="s">
        <v>181</v>
      </c>
      <c r="B191" s="3" t="s">
        <v>329</v>
      </c>
      <c r="C191" s="9">
        <v>46173</v>
      </c>
      <c r="D191" s="10" t="s">
        <v>162</v>
      </c>
      <c r="E191" s="10" t="s">
        <v>163</v>
      </c>
      <c r="F191" s="10">
        <v>7</v>
      </c>
      <c r="G191" s="10"/>
      <c r="H191" s="3" t="s">
        <v>13</v>
      </c>
      <c r="I191" s="10"/>
      <c r="J191" s="65" t="s">
        <v>267</v>
      </c>
      <c r="K191" s="10"/>
    </row>
    <row r="192" spans="1:11" x14ac:dyDescent="0.35">
      <c r="A192" s="10" t="s">
        <v>181</v>
      </c>
      <c r="B192" s="3" t="s">
        <v>329</v>
      </c>
      <c r="C192" s="3" t="s">
        <v>172</v>
      </c>
      <c r="D192" s="10" t="s">
        <v>162</v>
      </c>
      <c r="E192" s="10" t="s">
        <v>163</v>
      </c>
      <c r="F192" s="10">
        <v>13</v>
      </c>
      <c r="G192" s="10"/>
      <c r="H192" s="3" t="s">
        <v>13</v>
      </c>
      <c r="I192" s="10"/>
      <c r="J192" s="65" t="s">
        <v>267</v>
      </c>
      <c r="K192" s="10"/>
    </row>
    <row r="193" spans="1:11" x14ac:dyDescent="0.35">
      <c r="A193" s="10" t="s">
        <v>181</v>
      </c>
      <c r="B193" s="3" t="s">
        <v>329</v>
      </c>
      <c r="C193" s="9">
        <v>46053</v>
      </c>
      <c r="D193" s="10" t="s">
        <v>252</v>
      </c>
      <c r="E193" s="10" t="s">
        <v>180</v>
      </c>
      <c r="F193" s="10">
        <v>7</v>
      </c>
      <c r="G193" s="10"/>
      <c r="H193" s="3" t="s">
        <v>13</v>
      </c>
      <c r="I193" s="10"/>
      <c r="J193" s="65" t="s">
        <v>267</v>
      </c>
      <c r="K193" s="10"/>
    </row>
    <row r="194" spans="1:11" x14ac:dyDescent="0.35">
      <c r="A194" s="10" t="s">
        <v>181</v>
      </c>
      <c r="B194" s="3" t="s">
        <v>329</v>
      </c>
      <c r="C194" s="9">
        <v>46081</v>
      </c>
      <c r="D194" s="10" t="s">
        <v>252</v>
      </c>
      <c r="E194" s="10" t="s">
        <v>180</v>
      </c>
      <c r="F194" s="10">
        <v>0</v>
      </c>
      <c r="G194" s="10"/>
      <c r="H194" s="3" t="s">
        <v>13</v>
      </c>
      <c r="I194" s="10"/>
      <c r="J194" s="65" t="s">
        <v>267</v>
      </c>
      <c r="K194" s="10"/>
    </row>
    <row r="195" spans="1:11" x14ac:dyDescent="0.35">
      <c r="A195" s="10" t="s">
        <v>181</v>
      </c>
      <c r="B195" s="3" t="s">
        <v>329</v>
      </c>
      <c r="C195" s="9">
        <v>46112</v>
      </c>
      <c r="D195" s="10" t="s">
        <v>252</v>
      </c>
      <c r="E195" s="10" t="s">
        <v>180</v>
      </c>
      <c r="F195" s="10">
        <v>0</v>
      </c>
      <c r="G195" s="10"/>
      <c r="H195" s="3" t="s">
        <v>13</v>
      </c>
      <c r="I195" s="10"/>
      <c r="J195" s="65" t="s">
        <v>267</v>
      </c>
      <c r="K195" s="10"/>
    </row>
    <row r="196" spans="1:11" x14ac:dyDescent="0.35">
      <c r="A196" s="10" t="s">
        <v>181</v>
      </c>
      <c r="B196" s="3" t="s">
        <v>329</v>
      </c>
      <c r="C196" s="9">
        <v>46142</v>
      </c>
      <c r="D196" s="10" t="s">
        <v>252</v>
      </c>
      <c r="E196" s="10" t="s">
        <v>180</v>
      </c>
      <c r="F196" s="10">
        <v>0</v>
      </c>
      <c r="G196" s="10"/>
      <c r="H196" s="3" t="s">
        <v>13</v>
      </c>
      <c r="I196" s="10"/>
      <c r="J196" s="65" t="s">
        <v>267</v>
      </c>
      <c r="K196" s="10"/>
    </row>
    <row r="197" spans="1:11" x14ac:dyDescent="0.35">
      <c r="A197" s="10" t="s">
        <v>181</v>
      </c>
      <c r="B197" s="3" t="s">
        <v>329</v>
      </c>
      <c r="C197" s="9">
        <v>46173</v>
      </c>
      <c r="D197" s="10" t="s">
        <v>252</v>
      </c>
      <c r="E197" s="10" t="s">
        <v>180</v>
      </c>
      <c r="F197" s="10">
        <v>0</v>
      </c>
      <c r="G197" s="10"/>
      <c r="H197" s="3" t="s">
        <v>13</v>
      </c>
      <c r="I197" s="10"/>
      <c r="J197" s="65" t="s">
        <v>267</v>
      </c>
      <c r="K197" s="10"/>
    </row>
    <row r="198" spans="1:11" x14ac:dyDescent="0.35">
      <c r="A198" s="10" t="s">
        <v>181</v>
      </c>
      <c r="B198" s="3" t="s">
        <v>329</v>
      </c>
      <c r="C198" s="3" t="s">
        <v>172</v>
      </c>
      <c r="D198" s="10" t="s">
        <v>252</v>
      </c>
      <c r="E198" s="10" t="s">
        <v>180</v>
      </c>
      <c r="F198" s="10">
        <v>0</v>
      </c>
      <c r="G198" s="10"/>
      <c r="H198" s="3" t="s">
        <v>13</v>
      </c>
      <c r="I198" s="10"/>
      <c r="J198" s="65" t="s">
        <v>267</v>
      </c>
      <c r="K198" s="10"/>
    </row>
    <row r="199" spans="1:11" x14ac:dyDescent="0.35">
      <c r="A199" s="10" t="s">
        <v>169</v>
      </c>
      <c r="B199" s="3" t="s">
        <v>329</v>
      </c>
      <c r="C199" s="9">
        <v>46053</v>
      </c>
      <c r="D199" s="10" t="s">
        <v>162</v>
      </c>
      <c r="E199" s="10" t="s">
        <v>163</v>
      </c>
      <c r="F199" s="10">
        <v>5</v>
      </c>
      <c r="G199" s="10"/>
      <c r="H199" s="3" t="s">
        <v>13</v>
      </c>
      <c r="I199" s="10"/>
      <c r="J199" s="65" t="s">
        <v>268</v>
      </c>
      <c r="K199" s="10"/>
    </row>
    <row r="200" spans="1:11" x14ac:dyDescent="0.35">
      <c r="A200" s="10" t="s">
        <v>169</v>
      </c>
      <c r="B200" s="3" t="s">
        <v>329</v>
      </c>
      <c r="C200" s="9">
        <v>46081</v>
      </c>
      <c r="D200" s="10" t="s">
        <v>162</v>
      </c>
      <c r="E200" s="10" t="s">
        <v>163</v>
      </c>
      <c r="F200" s="10">
        <v>0</v>
      </c>
      <c r="G200" s="10"/>
      <c r="H200" s="3" t="s">
        <v>13</v>
      </c>
      <c r="I200" s="10"/>
      <c r="J200" s="65" t="s">
        <v>268</v>
      </c>
      <c r="K200" s="10"/>
    </row>
    <row r="201" spans="1:11" x14ac:dyDescent="0.35">
      <c r="A201" s="10" t="s">
        <v>169</v>
      </c>
      <c r="B201" s="3" t="s">
        <v>329</v>
      </c>
      <c r="C201" s="9">
        <v>46112</v>
      </c>
      <c r="D201" s="10" t="s">
        <v>162</v>
      </c>
      <c r="E201" s="10" t="s">
        <v>163</v>
      </c>
      <c r="F201" s="10">
        <v>3</v>
      </c>
      <c r="G201" s="10"/>
      <c r="H201" s="3" t="s">
        <v>13</v>
      </c>
      <c r="I201" s="10"/>
      <c r="J201" s="65" t="s">
        <v>268</v>
      </c>
      <c r="K201" s="10"/>
    </row>
    <row r="202" spans="1:11" x14ac:dyDescent="0.35">
      <c r="A202" s="10" t="s">
        <v>169</v>
      </c>
      <c r="B202" s="3" t="s">
        <v>329</v>
      </c>
      <c r="C202" s="9">
        <v>46142</v>
      </c>
      <c r="D202" s="10" t="s">
        <v>162</v>
      </c>
      <c r="E202" s="10" t="s">
        <v>163</v>
      </c>
      <c r="F202" s="10">
        <v>5</v>
      </c>
      <c r="G202" s="10"/>
      <c r="H202" s="3" t="s">
        <v>13</v>
      </c>
      <c r="I202" s="10"/>
      <c r="J202" s="65" t="s">
        <v>268</v>
      </c>
      <c r="K202" s="10"/>
    </row>
    <row r="203" spans="1:11" x14ac:dyDescent="0.35">
      <c r="A203" s="10" t="s">
        <v>169</v>
      </c>
      <c r="B203" s="3" t="s">
        <v>329</v>
      </c>
      <c r="C203" s="9">
        <v>46173</v>
      </c>
      <c r="D203" s="10" t="s">
        <v>162</v>
      </c>
      <c r="E203" s="10" t="s">
        <v>163</v>
      </c>
      <c r="F203" s="10">
        <v>4</v>
      </c>
      <c r="G203" s="10"/>
      <c r="H203" s="3" t="s">
        <v>13</v>
      </c>
      <c r="I203" s="10"/>
      <c r="J203" s="65" t="s">
        <v>268</v>
      </c>
      <c r="K203" s="10"/>
    </row>
    <row r="204" spans="1:11" x14ac:dyDescent="0.35">
      <c r="A204" s="10" t="s">
        <v>169</v>
      </c>
      <c r="B204" s="3" t="s">
        <v>329</v>
      </c>
      <c r="C204" s="3" t="s">
        <v>172</v>
      </c>
      <c r="D204" s="10" t="s">
        <v>162</v>
      </c>
      <c r="E204" s="10" t="s">
        <v>163</v>
      </c>
      <c r="F204" s="10">
        <v>3</v>
      </c>
      <c r="G204" s="10"/>
      <c r="H204" s="3" t="s">
        <v>13</v>
      </c>
      <c r="I204" s="10"/>
      <c r="J204" s="65" t="s">
        <v>268</v>
      </c>
      <c r="K204" s="10"/>
    </row>
    <row r="205" spans="1:11" x14ac:dyDescent="0.35">
      <c r="A205" s="10" t="s">
        <v>169</v>
      </c>
      <c r="B205" s="3" t="s">
        <v>329</v>
      </c>
      <c r="C205" s="9">
        <v>46053</v>
      </c>
      <c r="D205" s="10" t="s">
        <v>252</v>
      </c>
      <c r="E205" s="10" t="s">
        <v>180</v>
      </c>
      <c r="F205" s="10">
        <v>0</v>
      </c>
      <c r="G205" s="10"/>
      <c r="H205" s="3" t="s">
        <v>13</v>
      </c>
      <c r="I205" s="10"/>
      <c r="J205" s="65" t="s">
        <v>268</v>
      </c>
      <c r="K205" s="10"/>
    </row>
    <row r="206" spans="1:11" x14ac:dyDescent="0.35">
      <c r="A206" s="10" t="s">
        <v>169</v>
      </c>
      <c r="B206" s="3" t="s">
        <v>329</v>
      </c>
      <c r="C206" s="9">
        <v>46081</v>
      </c>
      <c r="D206" s="10" t="s">
        <v>252</v>
      </c>
      <c r="E206" s="10" t="s">
        <v>180</v>
      </c>
      <c r="F206" s="10">
        <v>0</v>
      </c>
      <c r="G206" s="10"/>
      <c r="H206" s="3" t="s">
        <v>13</v>
      </c>
      <c r="I206" s="10"/>
      <c r="J206" s="65" t="s">
        <v>268</v>
      </c>
      <c r="K206" s="10"/>
    </row>
    <row r="207" spans="1:11" x14ac:dyDescent="0.35">
      <c r="A207" s="10" t="s">
        <v>169</v>
      </c>
      <c r="B207" s="3" t="s">
        <v>329</v>
      </c>
      <c r="C207" s="9">
        <v>46112</v>
      </c>
      <c r="D207" s="10" t="s">
        <v>252</v>
      </c>
      <c r="E207" s="10" t="s">
        <v>180</v>
      </c>
      <c r="F207" s="10">
        <v>1</v>
      </c>
      <c r="G207" s="10"/>
      <c r="H207" s="3" t="s">
        <v>13</v>
      </c>
      <c r="I207" s="10"/>
      <c r="J207" s="65" t="s">
        <v>268</v>
      </c>
      <c r="K207" s="10"/>
    </row>
    <row r="208" spans="1:11" x14ac:dyDescent="0.35">
      <c r="A208" s="10" t="s">
        <v>169</v>
      </c>
      <c r="B208" s="3" t="s">
        <v>329</v>
      </c>
      <c r="C208" s="9">
        <v>46142</v>
      </c>
      <c r="D208" s="10" t="s">
        <v>252</v>
      </c>
      <c r="E208" s="10" t="s">
        <v>180</v>
      </c>
      <c r="F208" s="10">
        <v>0</v>
      </c>
      <c r="G208" s="10"/>
      <c r="H208" s="3" t="s">
        <v>13</v>
      </c>
      <c r="I208" s="10"/>
      <c r="J208" s="65" t="s">
        <v>268</v>
      </c>
      <c r="K208" s="10"/>
    </row>
    <row r="209" spans="1:11" x14ac:dyDescent="0.35">
      <c r="A209" s="10" t="s">
        <v>169</v>
      </c>
      <c r="B209" s="3" t="s">
        <v>329</v>
      </c>
      <c r="C209" s="9">
        <v>46173</v>
      </c>
      <c r="D209" s="10" t="s">
        <v>252</v>
      </c>
      <c r="E209" s="10" t="s">
        <v>180</v>
      </c>
      <c r="F209" s="10">
        <v>0</v>
      </c>
      <c r="G209" s="10"/>
      <c r="H209" s="3" t="s">
        <v>13</v>
      </c>
      <c r="I209" s="10"/>
      <c r="J209" s="65" t="s">
        <v>268</v>
      </c>
      <c r="K209" s="10"/>
    </row>
    <row r="210" spans="1:11" x14ac:dyDescent="0.35">
      <c r="A210" s="10" t="s">
        <v>169</v>
      </c>
      <c r="B210" s="3" t="s">
        <v>329</v>
      </c>
      <c r="C210" s="3" t="s">
        <v>172</v>
      </c>
      <c r="D210" s="10" t="s">
        <v>252</v>
      </c>
      <c r="E210" s="10" t="s">
        <v>180</v>
      </c>
      <c r="F210" s="10">
        <v>0</v>
      </c>
      <c r="G210" s="10"/>
      <c r="H210" s="3" t="s">
        <v>13</v>
      </c>
      <c r="I210" s="10"/>
      <c r="J210" s="65" t="s">
        <v>268</v>
      </c>
      <c r="K210" s="10"/>
    </row>
    <row r="211" spans="1:11" x14ac:dyDescent="0.35">
      <c r="A211" s="10" t="s">
        <v>181</v>
      </c>
      <c r="B211" s="3" t="s">
        <v>329</v>
      </c>
      <c r="C211" s="3" t="s">
        <v>172</v>
      </c>
      <c r="D211" s="3" t="str">
        <f>VLOOKUP(E211,KPI_Mapping!B:G,6,FALSE)</f>
        <v>AG0043</v>
      </c>
      <c r="E211" s="3" t="s">
        <v>179</v>
      </c>
      <c r="F211" s="10">
        <v>218</v>
      </c>
      <c r="G211" s="10"/>
      <c r="H211" s="3" t="s">
        <v>13</v>
      </c>
      <c r="I211" s="10" t="s">
        <v>14</v>
      </c>
      <c r="J211" s="65" t="s">
        <v>185</v>
      </c>
      <c r="K211" s="10"/>
    </row>
    <row r="212" spans="1:11" x14ac:dyDescent="0.35">
      <c r="A212" s="10" t="s">
        <v>181</v>
      </c>
      <c r="B212" s="3" t="s">
        <v>329</v>
      </c>
      <c r="C212" s="9">
        <v>46142</v>
      </c>
      <c r="D212" s="10" t="s">
        <v>109</v>
      </c>
      <c r="E212" s="10" t="s">
        <v>110</v>
      </c>
      <c r="F212" s="10">
        <v>301</v>
      </c>
      <c r="G212" s="10"/>
      <c r="H212" s="3" t="s">
        <v>13</v>
      </c>
      <c r="I212" s="10" t="s">
        <v>14</v>
      </c>
      <c r="J212" s="65" t="s">
        <v>185</v>
      </c>
      <c r="K212" s="10"/>
    </row>
    <row r="213" spans="1:11" x14ac:dyDescent="0.35">
      <c r="A213" s="10" t="s">
        <v>181</v>
      </c>
      <c r="B213" s="3" t="s">
        <v>329</v>
      </c>
      <c r="C213" s="3" t="s">
        <v>172</v>
      </c>
      <c r="D213" s="10" t="s">
        <v>111</v>
      </c>
      <c r="E213" s="10" t="s">
        <v>112</v>
      </c>
      <c r="F213" s="10">
        <v>82</v>
      </c>
      <c r="G213" s="10"/>
      <c r="H213" s="3" t="s">
        <v>13</v>
      </c>
      <c r="I213" s="10" t="s">
        <v>14</v>
      </c>
      <c r="J213" s="65" t="s">
        <v>269</v>
      </c>
      <c r="K213" s="10"/>
    </row>
    <row r="214" spans="1:11" x14ac:dyDescent="0.35">
      <c r="A214" s="3" t="s">
        <v>10</v>
      </c>
      <c r="B214" s="3" t="s">
        <v>329</v>
      </c>
      <c r="C214" s="3" t="s">
        <v>172</v>
      </c>
      <c r="D214" s="3" t="s">
        <v>141</v>
      </c>
      <c r="E214" s="3" t="s">
        <v>142</v>
      </c>
      <c r="F214" s="10">
        <v>823</v>
      </c>
      <c r="G214" s="10"/>
      <c r="H214" s="3" t="s">
        <v>173</v>
      </c>
      <c r="I214" s="10" t="s">
        <v>14</v>
      </c>
      <c r="J214" s="65" t="s">
        <v>270</v>
      </c>
      <c r="K214" s="10"/>
    </row>
    <row r="215" spans="1:11" x14ac:dyDescent="0.35">
      <c r="A215" s="3" t="s">
        <v>10</v>
      </c>
      <c r="B215" s="3" t="s">
        <v>329</v>
      </c>
      <c r="C215" s="3" t="s">
        <v>172</v>
      </c>
      <c r="D215" s="3" t="s">
        <v>139</v>
      </c>
      <c r="E215" s="3" t="s">
        <v>140</v>
      </c>
      <c r="F215" s="10">
        <v>944</v>
      </c>
      <c r="G215" s="10"/>
      <c r="H215" s="3" t="s">
        <v>173</v>
      </c>
      <c r="I215" s="10" t="s">
        <v>14</v>
      </c>
      <c r="J215" s="65" t="s">
        <v>270</v>
      </c>
      <c r="K215" s="10"/>
    </row>
    <row r="216" spans="1:11" x14ac:dyDescent="0.35">
      <c r="A216" s="67" t="s">
        <v>10</v>
      </c>
      <c r="B216" s="67" t="s">
        <v>329</v>
      </c>
      <c r="C216" s="66">
        <v>46081</v>
      </c>
      <c r="D216" s="67" t="s">
        <v>109</v>
      </c>
      <c r="E216" s="67" t="s">
        <v>110</v>
      </c>
      <c r="F216" s="79">
        <v>212</v>
      </c>
      <c r="G216" s="80">
        <v>209</v>
      </c>
      <c r="H216" s="67" t="s">
        <v>173</v>
      </c>
      <c r="I216" s="67" t="s">
        <v>14</v>
      </c>
      <c r="J216" s="81" t="s">
        <v>271</v>
      </c>
      <c r="K216" s="79"/>
    </row>
    <row r="217" spans="1:11" x14ac:dyDescent="0.35">
      <c r="A217" s="3" t="s">
        <v>10</v>
      </c>
      <c r="B217" s="3" t="s">
        <v>329</v>
      </c>
      <c r="C217" s="9">
        <v>46173</v>
      </c>
      <c r="D217" s="3" t="str">
        <f>VLOOKUP(E217,KPI_Mapping!B:G,6,FALSE)</f>
        <v>AG0043</v>
      </c>
      <c r="E217" s="3" t="s">
        <v>179</v>
      </c>
      <c r="F217" s="10">
        <v>148</v>
      </c>
      <c r="G217" s="10"/>
      <c r="H217" s="3" t="s">
        <v>173</v>
      </c>
      <c r="I217" s="10" t="s">
        <v>14</v>
      </c>
      <c r="J217" s="11" t="s">
        <v>271</v>
      </c>
      <c r="K217" s="10"/>
    </row>
    <row r="218" spans="1:11" x14ac:dyDescent="0.35">
      <c r="A218" s="3" t="s">
        <v>170</v>
      </c>
      <c r="B218" s="3" t="s">
        <v>329</v>
      </c>
      <c r="C218" s="9">
        <v>46053</v>
      </c>
      <c r="D218" s="12" t="str">
        <f>VLOOKUP(E218,KPI_Mapping!B:G,6,FALSE)</f>
        <v>AG0020</v>
      </c>
      <c r="E218" s="3" t="s">
        <v>50</v>
      </c>
      <c r="F218" s="3">
        <v>101</v>
      </c>
      <c r="G218" s="3"/>
      <c r="H218" s="3" t="s">
        <v>173</v>
      </c>
      <c r="I218" s="3" t="s">
        <v>14</v>
      </c>
      <c r="J218" s="10"/>
      <c r="K218" s="10"/>
    </row>
    <row r="219" spans="1:11" x14ac:dyDescent="0.35">
      <c r="A219" s="3" t="s">
        <v>170</v>
      </c>
      <c r="B219" s="3" t="s">
        <v>329</v>
      </c>
      <c r="C219" s="9">
        <v>46081</v>
      </c>
      <c r="D219" s="12" t="str">
        <f>VLOOKUP(E219,KPI_Mapping!B:G,6,FALSE)</f>
        <v>AG0020</v>
      </c>
      <c r="E219" s="3" t="s">
        <v>50</v>
      </c>
      <c r="F219" s="3">
        <v>130</v>
      </c>
      <c r="G219" s="3"/>
      <c r="H219" s="3" t="s">
        <v>173</v>
      </c>
      <c r="I219" s="3" t="s">
        <v>14</v>
      </c>
      <c r="J219" s="10"/>
      <c r="K219" s="10"/>
    </row>
    <row r="220" spans="1:11" x14ac:dyDescent="0.35">
      <c r="A220" s="3" t="s">
        <v>170</v>
      </c>
      <c r="B220" s="3" t="s">
        <v>329</v>
      </c>
      <c r="C220" s="9">
        <v>46112</v>
      </c>
      <c r="D220" s="12" t="str">
        <f>VLOOKUP(E220,KPI_Mapping!B:G,6,FALSE)</f>
        <v>AG0020</v>
      </c>
      <c r="E220" s="3" t="s">
        <v>50</v>
      </c>
      <c r="F220" s="3">
        <v>216</v>
      </c>
      <c r="G220" s="3"/>
      <c r="H220" s="3" t="s">
        <v>173</v>
      </c>
      <c r="I220" s="3" t="s">
        <v>14</v>
      </c>
      <c r="J220" s="10"/>
      <c r="K220" s="10"/>
    </row>
    <row r="221" spans="1:11" x14ac:dyDescent="0.35">
      <c r="A221" s="3" t="s">
        <v>170</v>
      </c>
      <c r="B221" s="3" t="s">
        <v>329</v>
      </c>
      <c r="C221" s="9">
        <v>46173</v>
      </c>
      <c r="D221" s="12" t="str">
        <f>VLOOKUP(E221,KPI_Mapping!B:G,6,FALSE)</f>
        <v>AG0020</v>
      </c>
      <c r="E221" s="3" t="s">
        <v>50</v>
      </c>
      <c r="F221" s="3">
        <v>71</v>
      </c>
      <c r="G221" s="3"/>
      <c r="H221" s="3" t="s">
        <v>173</v>
      </c>
      <c r="I221" s="3" t="s">
        <v>14</v>
      </c>
      <c r="J221" s="10"/>
      <c r="K221" s="10"/>
    </row>
    <row r="222" spans="1:11" x14ac:dyDescent="0.35">
      <c r="A222" s="3" t="s">
        <v>10</v>
      </c>
      <c r="B222" s="3" t="s">
        <v>329</v>
      </c>
      <c r="C222" s="3" t="s">
        <v>172</v>
      </c>
      <c r="D222" s="12" t="str">
        <f>VLOOKUP(E222,KPI_Mapping!B:G,6,FALSE)</f>
        <v>AG0020</v>
      </c>
      <c r="E222" s="3" t="s">
        <v>50</v>
      </c>
      <c r="F222" s="3">
        <v>7013</v>
      </c>
      <c r="G222" s="64">
        <v>8568</v>
      </c>
      <c r="H222" s="3" t="s">
        <v>173</v>
      </c>
      <c r="I222" s="3" t="s">
        <v>14</v>
      </c>
      <c r="J222" s="65" t="s">
        <v>273</v>
      </c>
      <c r="K222" s="10"/>
    </row>
    <row r="223" spans="1:11" x14ac:dyDescent="0.35">
      <c r="A223" s="10" t="s">
        <v>181</v>
      </c>
      <c r="B223" s="3" t="s">
        <v>329</v>
      </c>
      <c r="C223" s="9">
        <v>46053</v>
      </c>
      <c r="D223" s="12" t="str">
        <f>VLOOKUP(E223,KPI_Mapping!B:G,6,FALSE)</f>
        <v>AG0020</v>
      </c>
      <c r="E223" s="3" t="s">
        <v>50</v>
      </c>
      <c r="F223" s="10">
        <v>14472</v>
      </c>
      <c r="G223" s="10"/>
      <c r="H223" s="3" t="s">
        <v>173</v>
      </c>
      <c r="I223" s="3" t="s">
        <v>322</v>
      </c>
      <c r="J223" s="65" t="s">
        <v>323</v>
      </c>
      <c r="K223" s="10"/>
    </row>
    <row r="224" spans="1:11" x14ac:dyDescent="0.35">
      <c r="A224" s="10" t="s">
        <v>181</v>
      </c>
      <c r="B224" s="3" t="s">
        <v>329</v>
      </c>
      <c r="C224" s="9">
        <v>46081</v>
      </c>
      <c r="D224" s="12" t="str">
        <f>VLOOKUP(E224,KPI_Mapping!B:G,6,FALSE)</f>
        <v>AG0020</v>
      </c>
      <c r="E224" s="3" t="s">
        <v>50</v>
      </c>
      <c r="F224" s="10">
        <v>2913</v>
      </c>
      <c r="G224" s="10"/>
      <c r="H224" s="3" t="s">
        <v>173</v>
      </c>
      <c r="I224" s="3" t="s">
        <v>322</v>
      </c>
      <c r="J224" s="65" t="s">
        <v>323</v>
      </c>
      <c r="K224" s="10"/>
    </row>
    <row r="225" spans="1:11" x14ac:dyDescent="0.35">
      <c r="A225" s="10" t="s">
        <v>181</v>
      </c>
      <c r="B225" s="3" t="s">
        <v>329</v>
      </c>
      <c r="C225" s="9">
        <v>46112</v>
      </c>
      <c r="D225" s="12" t="str">
        <f>VLOOKUP(E225,KPI_Mapping!B:G,6,FALSE)</f>
        <v>AG0020</v>
      </c>
      <c r="E225" s="3" t="s">
        <v>50</v>
      </c>
      <c r="F225" s="10">
        <v>4976</v>
      </c>
      <c r="G225" s="10"/>
      <c r="H225" s="3" t="s">
        <v>173</v>
      </c>
      <c r="I225" s="3" t="s">
        <v>322</v>
      </c>
      <c r="J225" s="65" t="s">
        <v>323</v>
      </c>
      <c r="K225" s="10"/>
    </row>
    <row r="226" spans="1:11" x14ac:dyDescent="0.35">
      <c r="A226" s="10" t="s">
        <v>181</v>
      </c>
      <c r="B226" s="3" t="s">
        <v>329</v>
      </c>
      <c r="C226" s="9">
        <v>46142</v>
      </c>
      <c r="D226" s="12" t="str">
        <f>VLOOKUP(E226,KPI_Mapping!B:G,6,FALSE)</f>
        <v>AG0020</v>
      </c>
      <c r="E226" s="3" t="s">
        <v>50</v>
      </c>
      <c r="F226" s="10">
        <v>4273</v>
      </c>
      <c r="G226" s="64">
        <v>7826</v>
      </c>
      <c r="H226" s="3" t="s">
        <v>173</v>
      </c>
      <c r="I226" s="3" t="s">
        <v>14</v>
      </c>
      <c r="J226" s="65" t="s">
        <v>323</v>
      </c>
      <c r="K226" s="10"/>
    </row>
    <row r="227" spans="1:11" x14ac:dyDescent="0.35">
      <c r="A227" s="10" t="s">
        <v>181</v>
      </c>
      <c r="B227" s="3" t="s">
        <v>329</v>
      </c>
      <c r="C227" s="9">
        <v>46173</v>
      </c>
      <c r="D227" s="12" t="str">
        <f>VLOOKUP(E227,KPI_Mapping!B:G,6,FALSE)</f>
        <v>AG0020</v>
      </c>
      <c r="E227" s="3" t="s">
        <v>50</v>
      </c>
      <c r="F227" s="10">
        <v>3717</v>
      </c>
      <c r="G227" s="64">
        <v>7438</v>
      </c>
      <c r="H227" s="3" t="s">
        <v>173</v>
      </c>
      <c r="I227" s="3" t="s">
        <v>14</v>
      </c>
      <c r="J227" s="65" t="s">
        <v>323</v>
      </c>
      <c r="K227" s="10"/>
    </row>
    <row r="228" spans="1:11" x14ac:dyDescent="0.35">
      <c r="A228" s="10" t="s">
        <v>181</v>
      </c>
      <c r="B228" s="3" t="s">
        <v>329</v>
      </c>
      <c r="C228" s="3" t="s">
        <v>172</v>
      </c>
      <c r="D228" s="12" t="str">
        <f>VLOOKUP(E228,KPI_Mapping!B:G,6,FALSE)</f>
        <v>AG0020</v>
      </c>
      <c r="E228" s="3" t="s">
        <v>50</v>
      </c>
      <c r="F228" s="10">
        <v>7004</v>
      </c>
      <c r="G228" s="64">
        <v>10512</v>
      </c>
      <c r="H228" s="3" t="s">
        <v>173</v>
      </c>
      <c r="I228" s="3" t="s">
        <v>14</v>
      </c>
      <c r="J228" s="65" t="s">
        <v>323</v>
      </c>
      <c r="K228" s="10"/>
    </row>
    <row r="229" spans="1:11" x14ac:dyDescent="0.35">
      <c r="A229" s="10" t="s">
        <v>171</v>
      </c>
      <c r="B229" s="3" t="s">
        <v>329</v>
      </c>
      <c r="C229" s="9">
        <v>46053</v>
      </c>
      <c r="D229" s="12" t="str">
        <f>VLOOKUP(E229,KPI_Mapping!B:G,6,FALSE)</f>
        <v>AG0020</v>
      </c>
      <c r="E229" s="3" t="s">
        <v>50</v>
      </c>
      <c r="F229" s="10">
        <v>2988</v>
      </c>
      <c r="G229" s="64">
        <v>2012</v>
      </c>
      <c r="H229" s="3" t="s">
        <v>173</v>
      </c>
      <c r="I229" s="3" t="s">
        <v>14</v>
      </c>
      <c r="J229" s="65" t="s">
        <v>273</v>
      </c>
      <c r="K229" s="10"/>
    </row>
    <row r="230" spans="1:11" x14ac:dyDescent="0.35">
      <c r="A230" s="10" t="s">
        <v>171</v>
      </c>
      <c r="B230" s="3" t="s">
        <v>329</v>
      </c>
      <c r="C230" s="9">
        <v>46081</v>
      </c>
      <c r="D230" s="12" t="str">
        <f>VLOOKUP(E230,KPI_Mapping!B:G,6,FALSE)</f>
        <v>AG0020</v>
      </c>
      <c r="E230" s="3" t="s">
        <v>50</v>
      </c>
      <c r="F230" s="10">
        <v>3627</v>
      </c>
      <c r="G230" s="64">
        <v>2037</v>
      </c>
      <c r="H230" s="3" t="s">
        <v>173</v>
      </c>
      <c r="I230" s="3" t="s">
        <v>14</v>
      </c>
      <c r="J230" s="65" t="s">
        <v>273</v>
      </c>
      <c r="K230" s="10"/>
    </row>
    <row r="231" spans="1:11" x14ac:dyDescent="0.35">
      <c r="A231" s="10" t="s">
        <v>171</v>
      </c>
      <c r="B231" s="3" t="s">
        <v>329</v>
      </c>
      <c r="C231" s="9">
        <v>46112</v>
      </c>
      <c r="D231" s="12" t="str">
        <f>VLOOKUP(E231,KPI_Mapping!B:G,6,FALSE)</f>
        <v>AG0020</v>
      </c>
      <c r="E231" s="3" t="s">
        <v>50</v>
      </c>
      <c r="F231" s="10">
        <v>2411.5</v>
      </c>
      <c r="G231" s="64">
        <v>2127</v>
      </c>
      <c r="H231" s="3" t="s">
        <v>173</v>
      </c>
      <c r="I231" s="3" t="s">
        <v>14</v>
      </c>
      <c r="J231" s="65" t="s">
        <v>273</v>
      </c>
      <c r="K231" s="10"/>
    </row>
    <row r="232" spans="1:11" x14ac:dyDescent="0.35">
      <c r="A232" s="10" t="s">
        <v>171</v>
      </c>
      <c r="B232" s="3" t="s">
        <v>329</v>
      </c>
      <c r="C232" s="9">
        <v>46142</v>
      </c>
      <c r="D232" s="12" t="str">
        <f>VLOOKUP(E232,KPI_Mapping!B:G,6,FALSE)</f>
        <v>AG0020</v>
      </c>
      <c r="E232" s="3" t="s">
        <v>50</v>
      </c>
      <c r="F232" s="10">
        <v>2294</v>
      </c>
      <c r="G232" s="64">
        <v>880</v>
      </c>
      <c r="H232" s="3" t="s">
        <v>173</v>
      </c>
      <c r="I232" s="3" t="s">
        <v>14</v>
      </c>
      <c r="J232" s="65" t="s">
        <v>273</v>
      </c>
      <c r="K232" s="10"/>
    </row>
    <row r="233" spans="1:11" x14ac:dyDescent="0.35">
      <c r="A233" s="10" t="s">
        <v>171</v>
      </c>
      <c r="B233" s="3" t="s">
        <v>329</v>
      </c>
      <c r="C233" s="9">
        <v>46173</v>
      </c>
      <c r="D233" s="12" t="str">
        <f>VLOOKUP(E233,KPI_Mapping!B:G,6,FALSE)</f>
        <v>AG0020</v>
      </c>
      <c r="E233" s="3" t="s">
        <v>50</v>
      </c>
      <c r="F233" s="10">
        <v>4183</v>
      </c>
      <c r="G233" s="64">
        <v>1768</v>
      </c>
      <c r="H233" s="3" t="s">
        <v>173</v>
      </c>
      <c r="I233" s="3" t="s">
        <v>14</v>
      </c>
      <c r="J233" s="65" t="s">
        <v>273</v>
      </c>
      <c r="K233" s="10"/>
    </row>
    <row r="234" spans="1:11" x14ac:dyDescent="0.35">
      <c r="A234" s="10" t="s">
        <v>171</v>
      </c>
      <c r="B234" s="3" t="s">
        <v>329</v>
      </c>
      <c r="C234" s="3" t="s">
        <v>172</v>
      </c>
      <c r="D234" s="12" t="str">
        <f>VLOOKUP(E234,KPI_Mapping!B:G,6,FALSE)</f>
        <v>AG0020</v>
      </c>
      <c r="E234" s="3" t="s">
        <v>50</v>
      </c>
      <c r="F234" s="10">
        <v>3275</v>
      </c>
      <c r="G234" s="64">
        <v>2025</v>
      </c>
      <c r="H234" s="3" t="s">
        <v>173</v>
      </c>
      <c r="I234" s="3" t="s">
        <v>14</v>
      </c>
      <c r="J234" s="65" t="s">
        <v>273</v>
      </c>
      <c r="K234" s="10"/>
    </row>
    <row r="235" spans="1:11" x14ac:dyDescent="0.35">
      <c r="A235" s="3" t="s">
        <v>10</v>
      </c>
      <c r="B235" s="3" t="s">
        <v>329</v>
      </c>
      <c r="C235" s="9">
        <v>46081</v>
      </c>
      <c r="D235" s="10" t="s">
        <v>162</v>
      </c>
      <c r="E235" s="10" t="s">
        <v>163</v>
      </c>
      <c r="F235" s="10">
        <v>22</v>
      </c>
      <c r="G235" s="64">
        <v>23</v>
      </c>
      <c r="H235" s="3" t="s">
        <v>173</v>
      </c>
      <c r="I235" s="3" t="s">
        <v>14</v>
      </c>
      <c r="J235" s="65" t="s">
        <v>285</v>
      </c>
      <c r="K235" s="10"/>
    </row>
    <row r="236" spans="1:11" x14ac:dyDescent="0.35">
      <c r="A236" s="3" t="s">
        <v>10</v>
      </c>
      <c r="B236" s="3" t="s">
        <v>329</v>
      </c>
      <c r="C236" s="3" t="s">
        <v>172</v>
      </c>
      <c r="D236" s="10" t="s">
        <v>162</v>
      </c>
      <c r="E236" s="10" t="s">
        <v>163</v>
      </c>
      <c r="F236" s="10">
        <v>26</v>
      </c>
      <c r="G236" s="64">
        <v>17</v>
      </c>
      <c r="H236" s="3" t="s">
        <v>173</v>
      </c>
      <c r="I236" s="3" t="s">
        <v>14</v>
      </c>
      <c r="J236" s="65" t="s">
        <v>285</v>
      </c>
      <c r="K236" s="10"/>
    </row>
    <row r="237" spans="1:11" x14ac:dyDescent="0.35">
      <c r="A237" s="3" t="s">
        <v>10</v>
      </c>
      <c r="B237" s="3" t="s">
        <v>329</v>
      </c>
      <c r="C237" s="9">
        <v>46053</v>
      </c>
      <c r="D237" s="10" t="s">
        <v>252</v>
      </c>
      <c r="E237" s="10" t="s">
        <v>180</v>
      </c>
      <c r="F237" s="10">
        <v>30</v>
      </c>
      <c r="G237" s="64">
        <v>29</v>
      </c>
      <c r="H237" s="3" t="s">
        <v>173</v>
      </c>
      <c r="I237" s="3" t="s">
        <v>14</v>
      </c>
      <c r="J237" s="65" t="s">
        <v>285</v>
      </c>
      <c r="K237" s="10"/>
    </row>
    <row r="238" spans="1:11" x14ac:dyDescent="0.35">
      <c r="A238" s="3" t="s">
        <v>10</v>
      </c>
      <c r="B238" s="3" t="s">
        <v>329</v>
      </c>
      <c r="C238" s="9">
        <v>46081</v>
      </c>
      <c r="D238" s="10" t="s">
        <v>252</v>
      </c>
      <c r="E238" s="10" t="s">
        <v>180</v>
      </c>
      <c r="F238" s="10">
        <v>25</v>
      </c>
      <c r="G238" s="64">
        <v>0</v>
      </c>
      <c r="H238" s="3" t="s">
        <v>173</v>
      </c>
      <c r="I238" s="3" t="s">
        <v>14</v>
      </c>
      <c r="J238" s="65" t="s">
        <v>285</v>
      </c>
      <c r="K238" s="10"/>
    </row>
    <row r="239" spans="1:11" x14ac:dyDescent="0.35">
      <c r="A239" s="3" t="s">
        <v>10</v>
      </c>
      <c r="B239" s="3" t="s">
        <v>329</v>
      </c>
      <c r="C239" s="9">
        <v>46112</v>
      </c>
      <c r="D239" s="10" t="s">
        <v>252</v>
      </c>
      <c r="E239" s="10" t="s">
        <v>180</v>
      </c>
      <c r="F239" s="10">
        <v>55</v>
      </c>
      <c r="G239" s="64">
        <v>3</v>
      </c>
      <c r="H239" s="3" t="s">
        <v>173</v>
      </c>
      <c r="I239" s="3" t="s">
        <v>14</v>
      </c>
      <c r="J239" s="65" t="s">
        <v>285</v>
      </c>
      <c r="K239" s="10"/>
    </row>
    <row r="240" spans="1:11" x14ac:dyDescent="0.35">
      <c r="A240" s="3" t="s">
        <v>10</v>
      </c>
      <c r="B240" s="3" t="s">
        <v>329</v>
      </c>
      <c r="C240" s="9">
        <v>46142</v>
      </c>
      <c r="D240" s="10" t="s">
        <v>252</v>
      </c>
      <c r="E240" s="10" t="s">
        <v>180</v>
      </c>
      <c r="F240" s="10">
        <v>30</v>
      </c>
      <c r="G240" s="64">
        <v>17</v>
      </c>
      <c r="H240" s="3" t="s">
        <v>173</v>
      </c>
      <c r="I240" s="3" t="s">
        <v>14</v>
      </c>
      <c r="J240" s="65" t="s">
        <v>285</v>
      </c>
      <c r="K240" s="10"/>
    </row>
    <row r="241" spans="1:11" x14ac:dyDescent="0.35">
      <c r="A241" s="3" t="s">
        <v>10</v>
      </c>
      <c r="B241" s="3" t="s">
        <v>329</v>
      </c>
      <c r="C241" s="9">
        <v>46173</v>
      </c>
      <c r="D241" s="10" t="s">
        <v>252</v>
      </c>
      <c r="E241" s="10" t="s">
        <v>180</v>
      </c>
      <c r="F241" s="10">
        <v>25</v>
      </c>
      <c r="G241" s="64">
        <v>6</v>
      </c>
      <c r="H241" s="3" t="s">
        <v>173</v>
      </c>
      <c r="I241" s="3" t="s">
        <v>14</v>
      </c>
      <c r="J241" s="65" t="s">
        <v>285</v>
      </c>
      <c r="K241" s="10"/>
    </row>
    <row r="242" spans="1:11" x14ac:dyDescent="0.35">
      <c r="A242" s="3" t="s">
        <v>10</v>
      </c>
      <c r="B242" s="3" t="s">
        <v>329</v>
      </c>
      <c r="C242" s="3" t="s">
        <v>172</v>
      </c>
      <c r="D242" s="10" t="s">
        <v>252</v>
      </c>
      <c r="E242" s="10" t="s">
        <v>180</v>
      </c>
      <c r="F242" s="10">
        <v>30</v>
      </c>
      <c r="G242" s="64">
        <v>9</v>
      </c>
      <c r="H242" s="3" t="s">
        <v>173</v>
      </c>
      <c r="I242" s="3" t="s">
        <v>14</v>
      </c>
      <c r="J242" s="65" t="s">
        <v>285</v>
      </c>
      <c r="K242" s="10"/>
    </row>
    <row r="243" spans="1:11" x14ac:dyDescent="0.35">
      <c r="A243" s="3" t="s">
        <v>160</v>
      </c>
      <c r="B243" s="3" t="s">
        <v>329</v>
      </c>
      <c r="C243" s="9">
        <v>46053</v>
      </c>
      <c r="D243" s="10" t="s">
        <v>162</v>
      </c>
      <c r="E243" s="10" t="s">
        <v>163</v>
      </c>
      <c r="F243" s="10">
        <v>44</v>
      </c>
      <c r="G243" s="64">
        <v>43</v>
      </c>
      <c r="H243" s="3" t="s">
        <v>173</v>
      </c>
      <c r="I243" s="3" t="s">
        <v>14</v>
      </c>
      <c r="J243" s="65" t="s">
        <v>285</v>
      </c>
      <c r="K243" s="10"/>
    </row>
    <row r="244" spans="1:11" x14ac:dyDescent="0.35">
      <c r="A244" s="3" t="s">
        <v>160</v>
      </c>
      <c r="B244" s="3" t="s">
        <v>329</v>
      </c>
      <c r="C244" s="9">
        <v>46081</v>
      </c>
      <c r="D244" s="10" t="s">
        <v>162</v>
      </c>
      <c r="E244" s="10" t="s">
        <v>163</v>
      </c>
      <c r="F244" s="10">
        <v>67</v>
      </c>
      <c r="G244" s="64">
        <v>22</v>
      </c>
      <c r="H244" s="3" t="s">
        <v>173</v>
      </c>
      <c r="I244" s="3" t="s">
        <v>14</v>
      </c>
      <c r="J244" s="65" t="s">
        <v>285</v>
      </c>
      <c r="K244" s="10"/>
    </row>
    <row r="245" spans="1:11" x14ac:dyDescent="0.35">
      <c r="A245" s="3" t="s">
        <v>160</v>
      </c>
      <c r="B245" s="3" t="s">
        <v>329</v>
      </c>
      <c r="C245" s="9">
        <v>46112</v>
      </c>
      <c r="D245" s="10" t="s">
        <v>162</v>
      </c>
      <c r="E245" s="10" t="s">
        <v>163</v>
      </c>
      <c r="F245" s="10">
        <v>84</v>
      </c>
      <c r="G245" s="64">
        <v>9</v>
      </c>
      <c r="H245" s="3" t="s">
        <v>173</v>
      </c>
      <c r="I245" s="3" t="s">
        <v>14</v>
      </c>
      <c r="J245" s="65" t="s">
        <v>285</v>
      </c>
      <c r="K245" s="10"/>
    </row>
    <row r="246" spans="1:11" x14ac:dyDescent="0.35">
      <c r="A246" s="3" t="s">
        <v>160</v>
      </c>
      <c r="B246" s="3" t="s">
        <v>329</v>
      </c>
      <c r="C246" s="9">
        <v>46142</v>
      </c>
      <c r="D246" s="10" t="s">
        <v>162</v>
      </c>
      <c r="E246" s="10" t="s">
        <v>163</v>
      </c>
      <c r="F246" s="10">
        <v>121</v>
      </c>
      <c r="G246" s="64">
        <v>34</v>
      </c>
      <c r="H246" s="3" t="s">
        <v>173</v>
      </c>
      <c r="I246" s="3" t="s">
        <v>14</v>
      </c>
      <c r="J246" s="65" t="s">
        <v>285</v>
      </c>
      <c r="K246" s="10"/>
    </row>
    <row r="247" spans="1:11" x14ac:dyDescent="0.35">
      <c r="A247" s="3" t="s">
        <v>160</v>
      </c>
      <c r="B247" s="3" t="s">
        <v>329</v>
      </c>
      <c r="C247" s="9">
        <v>46173</v>
      </c>
      <c r="D247" s="10" t="s">
        <v>162</v>
      </c>
      <c r="E247" s="10" t="s">
        <v>163</v>
      </c>
      <c r="F247" s="10">
        <v>157</v>
      </c>
      <c r="G247" s="64">
        <v>33</v>
      </c>
      <c r="H247" s="3" t="s">
        <v>173</v>
      </c>
      <c r="I247" s="3" t="s">
        <v>14</v>
      </c>
      <c r="J247" s="65" t="s">
        <v>285</v>
      </c>
      <c r="K247" s="10"/>
    </row>
    <row r="248" spans="1:11" x14ac:dyDescent="0.35">
      <c r="A248" s="3" t="s">
        <v>160</v>
      </c>
      <c r="B248" s="3" t="s">
        <v>329</v>
      </c>
      <c r="C248" s="3" t="s">
        <v>172</v>
      </c>
      <c r="D248" s="10" t="s">
        <v>162</v>
      </c>
      <c r="E248" s="10" t="s">
        <v>163</v>
      </c>
      <c r="F248" s="10">
        <v>205</v>
      </c>
      <c r="G248" s="64">
        <v>41</v>
      </c>
      <c r="H248" s="3" t="s">
        <v>173</v>
      </c>
      <c r="I248" s="3" t="s">
        <v>14</v>
      </c>
      <c r="J248" s="65" t="s">
        <v>285</v>
      </c>
      <c r="K248" s="10"/>
    </row>
    <row r="249" spans="1:11" x14ac:dyDescent="0.35">
      <c r="A249" s="3" t="s">
        <v>160</v>
      </c>
      <c r="B249" s="3" t="s">
        <v>329</v>
      </c>
      <c r="C249" s="9">
        <v>46053</v>
      </c>
      <c r="D249" s="10" t="s">
        <v>252</v>
      </c>
      <c r="E249" s="10" t="s">
        <v>180</v>
      </c>
      <c r="F249" s="10">
        <v>1</v>
      </c>
      <c r="G249" s="64">
        <v>7</v>
      </c>
      <c r="H249" s="3" t="s">
        <v>173</v>
      </c>
      <c r="I249" s="3" t="s">
        <v>14</v>
      </c>
      <c r="J249" s="65" t="s">
        <v>285</v>
      </c>
      <c r="K249" s="10"/>
    </row>
    <row r="250" spans="1:11" x14ac:dyDescent="0.35">
      <c r="A250" s="3" t="s">
        <v>160</v>
      </c>
      <c r="B250" s="3" t="s">
        <v>329</v>
      </c>
      <c r="C250" s="9">
        <v>46081</v>
      </c>
      <c r="D250" s="10" t="s">
        <v>252</v>
      </c>
      <c r="E250" s="10" t="s">
        <v>180</v>
      </c>
      <c r="F250" s="10">
        <v>2</v>
      </c>
      <c r="G250" s="64">
        <v>4</v>
      </c>
      <c r="H250" s="3" t="s">
        <v>173</v>
      </c>
      <c r="I250" s="3" t="s">
        <v>14</v>
      </c>
      <c r="J250" s="65" t="s">
        <v>285</v>
      </c>
      <c r="K250" s="10"/>
    </row>
    <row r="251" spans="1:11" x14ac:dyDescent="0.35">
      <c r="A251" s="3" t="s">
        <v>160</v>
      </c>
      <c r="B251" s="3" t="s">
        <v>329</v>
      </c>
      <c r="C251" s="9">
        <v>46112</v>
      </c>
      <c r="D251" s="10" t="s">
        <v>252</v>
      </c>
      <c r="E251" s="10" t="s">
        <v>180</v>
      </c>
      <c r="F251" s="10">
        <v>4</v>
      </c>
      <c r="G251" s="64">
        <v>4</v>
      </c>
      <c r="H251" s="3" t="s">
        <v>173</v>
      </c>
      <c r="I251" s="3" t="s">
        <v>14</v>
      </c>
      <c r="J251" s="65" t="s">
        <v>285</v>
      </c>
      <c r="K251" s="10"/>
    </row>
    <row r="252" spans="1:11" x14ac:dyDescent="0.35">
      <c r="A252" s="3" t="s">
        <v>160</v>
      </c>
      <c r="B252" s="3" t="s">
        <v>329</v>
      </c>
      <c r="C252" s="9">
        <v>46142</v>
      </c>
      <c r="D252" s="10" t="s">
        <v>252</v>
      </c>
      <c r="E252" s="10" t="s">
        <v>180</v>
      </c>
      <c r="F252" s="10">
        <v>6</v>
      </c>
      <c r="G252" s="64">
        <v>13</v>
      </c>
      <c r="H252" s="3" t="s">
        <v>173</v>
      </c>
      <c r="I252" s="3" t="s">
        <v>14</v>
      </c>
      <c r="J252" s="65" t="s">
        <v>285</v>
      </c>
      <c r="K252" s="10"/>
    </row>
    <row r="253" spans="1:11" x14ac:dyDescent="0.35">
      <c r="A253" s="3" t="s">
        <v>160</v>
      </c>
      <c r="B253" s="3" t="s">
        <v>329</v>
      </c>
      <c r="C253" s="9">
        <v>46173</v>
      </c>
      <c r="D253" s="10" t="s">
        <v>252</v>
      </c>
      <c r="E253" s="10" t="s">
        <v>180</v>
      </c>
      <c r="F253" s="10">
        <v>8</v>
      </c>
      <c r="G253" s="64">
        <v>10</v>
      </c>
      <c r="H253" s="3" t="s">
        <v>173</v>
      </c>
      <c r="I253" s="3" t="s">
        <v>14</v>
      </c>
      <c r="J253" s="65" t="s">
        <v>285</v>
      </c>
      <c r="K253" s="10"/>
    </row>
    <row r="254" spans="1:11" x14ac:dyDescent="0.35">
      <c r="A254" s="3" t="s">
        <v>160</v>
      </c>
      <c r="B254" s="3" t="s">
        <v>329</v>
      </c>
      <c r="C254" s="3" t="s">
        <v>172</v>
      </c>
      <c r="D254" s="10" t="s">
        <v>252</v>
      </c>
      <c r="E254" s="10" t="s">
        <v>180</v>
      </c>
      <c r="F254" s="10">
        <v>10</v>
      </c>
      <c r="G254" s="64">
        <v>8</v>
      </c>
      <c r="H254" s="3" t="s">
        <v>173</v>
      </c>
      <c r="I254" s="3" t="s">
        <v>14</v>
      </c>
      <c r="J254" s="65" t="s">
        <v>285</v>
      </c>
      <c r="K254" s="10"/>
    </row>
    <row r="255" spans="1:11" x14ac:dyDescent="0.35">
      <c r="A255" s="3" t="s">
        <v>10</v>
      </c>
      <c r="B255" s="3" t="s">
        <v>329</v>
      </c>
      <c r="C255" s="9">
        <v>46053</v>
      </c>
      <c r="D255" s="3" t="s">
        <v>143</v>
      </c>
      <c r="E255" s="3" t="s">
        <v>144</v>
      </c>
      <c r="F255" s="10">
        <v>3287</v>
      </c>
      <c r="G255" s="41">
        <v>4419</v>
      </c>
      <c r="H255" s="3" t="s">
        <v>173</v>
      </c>
      <c r="I255" s="3" t="s">
        <v>14</v>
      </c>
      <c r="J255" s="65" t="s">
        <v>303</v>
      </c>
      <c r="K255" s="10"/>
    </row>
    <row r="256" spans="1:11" x14ac:dyDescent="0.35">
      <c r="A256" s="3" t="s">
        <v>10</v>
      </c>
      <c r="B256" s="3" t="s">
        <v>329</v>
      </c>
      <c r="C256" s="9">
        <v>46081</v>
      </c>
      <c r="D256" s="3" t="s">
        <v>143</v>
      </c>
      <c r="E256" s="3" t="s">
        <v>144</v>
      </c>
      <c r="F256" s="10">
        <v>3368</v>
      </c>
      <c r="G256" s="10"/>
      <c r="H256" s="3" t="s">
        <v>173</v>
      </c>
      <c r="I256" s="3" t="s">
        <v>14</v>
      </c>
      <c r="J256" s="65" t="s">
        <v>303</v>
      </c>
      <c r="K256" s="10"/>
    </row>
    <row r="257" spans="1:11" x14ac:dyDescent="0.35">
      <c r="A257" s="3" t="s">
        <v>10</v>
      </c>
      <c r="B257" s="3" t="s">
        <v>329</v>
      </c>
      <c r="C257" s="9">
        <v>46112</v>
      </c>
      <c r="D257" s="3" t="s">
        <v>143</v>
      </c>
      <c r="E257" s="3" t="s">
        <v>144</v>
      </c>
      <c r="F257" s="10">
        <v>3778</v>
      </c>
      <c r="G257" s="10"/>
      <c r="H257" s="3" t="s">
        <v>173</v>
      </c>
      <c r="I257" s="3" t="s">
        <v>14</v>
      </c>
      <c r="J257" s="65" t="s">
        <v>303</v>
      </c>
      <c r="K257" s="10"/>
    </row>
    <row r="258" spans="1:11" x14ac:dyDescent="0.35">
      <c r="A258" s="3" t="s">
        <v>10</v>
      </c>
      <c r="B258" s="3" t="s">
        <v>329</v>
      </c>
      <c r="C258" s="9">
        <v>46142</v>
      </c>
      <c r="D258" s="3" t="s">
        <v>143</v>
      </c>
      <c r="E258" s="3" t="s">
        <v>144</v>
      </c>
      <c r="F258" s="10">
        <v>4112</v>
      </c>
      <c r="G258" s="10"/>
      <c r="H258" s="3" t="s">
        <v>173</v>
      </c>
      <c r="I258" s="3" t="s">
        <v>14</v>
      </c>
      <c r="J258" s="65" t="s">
        <v>303</v>
      </c>
      <c r="K258" s="10"/>
    </row>
    <row r="259" spans="1:11" x14ac:dyDescent="0.35">
      <c r="A259" s="3" t="s">
        <v>10</v>
      </c>
      <c r="B259" s="3" t="s">
        <v>329</v>
      </c>
      <c r="C259" s="9">
        <v>46173</v>
      </c>
      <c r="D259" s="3" t="s">
        <v>143</v>
      </c>
      <c r="E259" s="3" t="s">
        <v>144</v>
      </c>
      <c r="F259" s="10">
        <v>4098</v>
      </c>
      <c r="G259" s="10"/>
      <c r="H259" s="3" t="s">
        <v>173</v>
      </c>
      <c r="I259" s="3" t="s">
        <v>14</v>
      </c>
      <c r="J259" s="65" t="s">
        <v>303</v>
      </c>
      <c r="K259" s="10"/>
    </row>
    <row r="260" spans="1:11" x14ac:dyDescent="0.35">
      <c r="A260" s="3" t="s">
        <v>10</v>
      </c>
      <c r="B260" s="3" t="s">
        <v>329</v>
      </c>
      <c r="C260" s="3" t="s">
        <v>172</v>
      </c>
      <c r="D260" s="3" t="s">
        <v>143</v>
      </c>
      <c r="E260" s="3" t="s">
        <v>144</v>
      </c>
      <c r="F260" s="10">
        <v>3967</v>
      </c>
      <c r="G260" s="10"/>
      <c r="H260" s="3" t="s">
        <v>173</v>
      </c>
      <c r="I260" s="3" t="s">
        <v>14</v>
      </c>
      <c r="J260" s="65" t="s">
        <v>303</v>
      </c>
      <c r="K260" s="10"/>
    </row>
    <row r="261" spans="1:11" x14ac:dyDescent="0.35">
      <c r="A261" s="10" t="s">
        <v>298</v>
      </c>
      <c r="B261" s="3" t="s">
        <v>329</v>
      </c>
      <c r="C261" s="9">
        <v>46081</v>
      </c>
      <c r="D261" s="10" t="s">
        <v>162</v>
      </c>
      <c r="E261" s="10" t="s">
        <v>163</v>
      </c>
      <c r="F261" s="10">
        <v>6</v>
      </c>
      <c r="G261" s="64">
        <v>0</v>
      </c>
      <c r="H261" s="3" t="s">
        <v>173</v>
      </c>
      <c r="I261" s="3" t="s">
        <v>14</v>
      </c>
      <c r="J261" s="65" t="s">
        <v>285</v>
      </c>
      <c r="K261" s="10"/>
    </row>
    <row r="262" spans="1:11" x14ac:dyDescent="0.35">
      <c r="A262" s="10" t="s">
        <v>298</v>
      </c>
      <c r="B262" s="3" t="s">
        <v>329</v>
      </c>
      <c r="C262" s="9">
        <v>46112</v>
      </c>
      <c r="D262" s="10" t="s">
        <v>162</v>
      </c>
      <c r="E262" s="10" t="s">
        <v>163</v>
      </c>
      <c r="F262" s="10">
        <v>9</v>
      </c>
      <c r="G262" s="64">
        <v>3</v>
      </c>
      <c r="H262" s="3" t="s">
        <v>173</v>
      </c>
      <c r="I262" s="3" t="s">
        <v>14</v>
      </c>
      <c r="J262" s="65" t="s">
        <v>285</v>
      </c>
      <c r="K262" s="10"/>
    </row>
    <row r="263" spans="1:11" x14ac:dyDescent="0.35">
      <c r="A263" s="10" t="s">
        <v>298</v>
      </c>
      <c r="B263" s="3" t="s">
        <v>329</v>
      </c>
      <c r="C263" s="9">
        <v>46142</v>
      </c>
      <c r="D263" s="10" t="s">
        <v>162</v>
      </c>
      <c r="E263" s="10" t="s">
        <v>163</v>
      </c>
      <c r="F263" s="10">
        <v>9</v>
      </c>
      <c r="G263" s="64">
        <v>2</v>
      </c>
      <c r="H263" s="3" t="s">
        <v>173</v>
      </c>
      <c r="I263" s="3" t="s">
        <v>14</v>
      </c>
      <c r="J263" s="65" t="s">
        <v>285</v>
      </c>
      <c r="K263" s="10"/>
    </row>
    <row r="264" spans="1:11" x14ac:dyDescent="0.35">
      <c r="A264" s="10" t="s">
        <v>298</v>
      </c>
      <c r="B264" s="3" t="s">
        <v>329</v>
      </c>
      <c r="C264" s="9">
        <v>46173</v>
      </c>
      <c r="D264" s="10" t="s">
        <v>162</v>
      </c>
      <c r="E264" s="10" t="s">
        <v>163</v>
      </c>
      <c r="F264" s="10">
        <v>10</v>
      </c>
      <c r="G264" s="64">
        <v>2</v>
      </c>
      <c r="H264" s="3" t="s">
        <v>173</v>
      </c>
      <c r="I264" s="3" t="s">
        <v>14</v>
      </c>
      <c r="J264" s="65" t="s">
        <v>285</v>
      </c>
      <c r="K264" s="10"/>
    </row>
    <row r="265" spans="1:11" x14ac:dyDescent="0.35">
      <c r="A265" s="10" t="s">
        <v>298</v>
      </c>
      <c r="B265" s="3" t="s">
        <v>329</v>
      </c>
      <c r="C265" s="3" t="s">
        <v>172</v>
      </c>
      <c r="D265" s="10" t="s">
        <v>162</v>
      </c>
      <c r="E265" s="10" t="s">
        <v>163</v>
      </c>
      <c r="F265" s="10">
        <v>11</v>
      </c>
      <c r="G265" s="64">
        <v>1</v>
      </c>
      <c r="H265" s="3" t="s">
        <v>173</v>
      </c>
      <c r="I265" s="3" t="s">
        <v>14</v>
      </c>
      <c r="J265" s="65" t="s">
        <v>285</v>
      </c>
      <c r="K265" s="10"/>
    </row>
    <row r="266" spans="1:11" x14ac:dyDescent="0.35">
      <c r="A266" s="10" t="s">
        <v>298</v>
      </c>
      <c r="B266" s="3" t="s">
        <v>329</v>
      </c>
      <c r="C266" s="9">
        <v>46053</v>
      </c>
      <c r="D266" s="10" t="s">
        <v>252</v>
      </c>
      <c r="E266" s="10" t="s">
        <v>180</v>
      </c>
      <c r="F266" s="10">
        <v>0</v>
      </c>
      <c r="G266" s="64" t="s">
        <v>306</v>
      </c>
      <c r="H266" s="3" t="s">
        <v>173</v>
      </c>
      <c r="I266" s="3" t="s">
        <v>14</v>
      </c>
      <c r="J266" s="65" t="s">
        <v>285</v>
      </c>
      <c r="K266" s="10"/>
    </row>
    <row r="267" spans="1:11" x14ac:dyDescent="0.35">
      <c r="A267" s="10" t="s">
        <v>298</v>
      </c>
      <c r="B267" s="3" t="s">
        <v>329</v>
      </c>
      <c r="C267" s="9">
        <v>46081</v>
      </c>
      <c r="D267" s="10" t="s">
        <v>252</v>
      </c>
      <c r="E267" s="10" t="s">
        <v>180</v>
      </c>
      <c r="F267" s="10">
        <v>0</v>
      </c>
      <c r="G267" s="64" t="s">
        <v>306</v>
      </c>
      <c r="H267" s="3" t="s">
        <v>173</v>
      </c>
      <c r="I267" s="3" t="s">
        <v>14</v>
      </c>
      <c r="J267" s="65" t="s">
        <v>285</v>
      </c>
      <c r="K267" s="10"/>
    </row>
    <row r="268" spans="1:11" x14ac:dyDescent="0.35">
      <c r="A268" s="10" t="s">
        <v>298</v>
      </c>
      <c r="B268" s="3" t="s">
        <v>329</v>
      </c>
      <c r="C268" s="3" t="s">
        <v>172</v>
      </c>
      <c r="D268" s="10" t="s">
        <v>252</v>
      </c>
      <c r="E268" s="10" t="s">
        <v>180</v>
      </c>
      <c r="F268" s="10">
        <v>1</v>
      </c>
      <c r="G268" s="64">
        <v>0</v>
      </c>
      <c r="H268" s="3" t="s">
        <v>173</v>
      </c>
      <c r="I268" s="3" t="s">
        <v>14</v>
      </c>
      <c r="J268" s="65" t="s">
        <v>285</v>
      </c>
      <c r="K268" s="10"/>
    </row>
    <row r="269" spans="1:11" x14ac:dyDescent="0.35">
      <c r="A269" s="10" t="s">
        <v>297</v>
      </c>
      <c r="B269" s="3" t="s">
        <v>329</v>
      </c>
      <c r="C269" s="9">
        <v>46142</v>
      </c>
      <c r="D269" s="10" t="s">
        <v>162</v>
      </c>
      <c r="E269" s="10" t="s">
        <v>163</v>
      </c>
      <c r="F269" s="10">
        <v>0</v>
      </c>
      <c r="G269" s="64">
        <v>1</v>
      </c>
      <c r="H269" s="3" t="s">
        <v>173</v>
      </c>
      <c r="I269" s="10" t="s">
        <v>14</v>
      </c>
      <c r="J269" s="65" t="s">
        <v>285</v>
      </c>
      <c r="K269" s="10"/>
    </row>
    <row r="270" spans="1:11" x14ac:dyDescent="0.35">
      <c r="A270" s="10" t="s">
        <v>297</v>
      </c>
      <c r="B270" s="3" t="s">
        <v>329</v>
      </c>
      <c r="C270" s="3" t="s">
        <v>172</v>
      </c>
      <c r="D270" s="10" t="s">
        <v>162</v>
      </c>
      <c r="E270" s="10" t="s">
        <v>163</v>
      </c>
      <c r="F270" s="10">
        <v>1</v>
      </c>
      <c r="G270" s="64">
        <v>3</v>
      </c>
      <c r="H270" s="3" t="s">
        <v>173</v>
      </c>
      <c r="I270" s="10" t="s">
        <v>14</v>
      </c>
      <c r="J270" s="65" t="s">
        <v>285</v>
      </c>
      <c r="K270" s="10"/>
    </row>
    <row r="271" spans="1:11" x14ac:dyDescent="0.35">
      <c r="A271" s="10" t="s">
        <v>297</v>
      </c>
      <c r="B271" s="3" t="s">
        <v>329</v>
      </c>
      <c r="C271" s="9">
        <v>46112</v>
      </c>
      <c r="D271" s="10" t="s">
        <v>252</v>
      </c>
      <c r="E271" s="10" t="s">
        <v>180</v>
      </c>
      <c r="F271" s="10">
        <v>0</v>
      </c>
      <c r="G271" s="64">
        <v>6</v>
      </c>
      <c r="H271" s="3" t="s">
        <v>173</v>
      </c>
      <c r="I271" s="10" t="s">
        <v>14</v>
      </c>
      <c r="J271" s="65" t="s">
        <v>285</v>
      </c>
      <c r="K271" s="10"/>
    </row>
    <row r="272" spans="1:11" x14ac:dyDescent="0.35">
      <c r="A272" s="10" t="s">
        <v>297</v>
      </c>
      <c r="B272" s="3" t="s">
        <v>329</v>
      </c>
      <c r="C272" s="3" t="s">
        <v>172</v>
      </c>
      <c r="D272" s="10" t="s">
        <v>252</v>
      </c>
      <c r="E272" s="10" t="s">
        <v>180</v>
      </c>
      <c r="F272" s="10">
        <v>0</v>
      </c>
      <c r="G272" s="64">
        <v>1</v>
      </c>
      <c r="H272" s="3" t="s">
        <v>173</v>
      </c>
      <c r="I272" s="10" t="s">
        <v>14</v>
      </c>
      <c r="J272" s="65" t="s">
        <v>285</v>
      </c>
      <c r="K272" s="10"/>
    </row>
    <row r="273" spans="1:11" x14ac:dyDescent="0.35">
      <c r="A273" s="10" t="s">
        <v>171</v>
      </c>
      <c r="B273" s="3" t="s">
        <v>329</v>
      </c>
      <c r="C273" s="9">
        <v>46142</v>
      </c>
      <c r="D273" s="10" t="s">
        <v>162</v>
      </c>
      <c r="E273" s="10" t="s">
        <v>163</v>
      </c>
      <c r="F273" s="10">
        <v>4</v>
      </c>
      <c r="G273" s="64">
        <v>3</v>
      </c>
      <c r="H273" s="3" t="s">
        <v>173</v>
      </c>
      <c r="I273" s="10" t="s">
        <v>14</v>
      </c>
      <c r="J273" s="65" t="s">
        <v>285</v>
      </c>
      <c r="K273" s="10"/>
    </row>
    <row r="274" spans="1:11" x14ac:dyDescent="0.35">
      <c r="A274" s="10" t="s">
        <v>171</v>
      </c>
      <c r="B274" s="3" t="s">
        <v>329</v>
      </c>
      <c r="C274" s="9">
        <v>46173</v>
      </c>
      <c r="D274" s="10" t="s">
        <v>162</v>
      </c>
      <c r="E274" s="10" t="s">
        <v>163</v>
      </c>
      <c r="F274" s="10">
        <v>3</v>
      </c>
      <c r="G274" s="64">
        <v>2</v>
      </c>
      <c r="H274" s="3" t="s">
        <v>173</v>
      </c>
      <c r="I274" s="10" t="s">
        <v>14</v>
      </c>
      <c r="J274" s="65" t="s">
        <v>285</v>
      </c>
      <c r="K274" s="10"/>
    </row>
    <row r="275" spans="1:11" x14ac:dyDescent="0.35">
      <c r="A275" s="10" t="s">
        <v>171</v>
      </c>
      <c r="B275" s="3" t="s">
        <v>329</v>
      </c>
      <c r="C275" s="9">
        <v>46142</v>
      </c>
      <c r="D275" s="10" t="s">
        <v>252</v>
      </c>
      <c r="E275" s="10" t="s">
        <v>180</v>
      </c>
      <c r="F275" s="10">
        <v>3</v>
      </c>
      <c r="G275" s="64">
        <v>2</v>
      </c>
      <c r="H275" s="3" t="s">
        <v>173</v>
      </c>
      <c r="I275" s="10" t="s">
        <v>14</v>
      </c>
      <c r="J275" s="65" t="s">
        <v>285</v>
      </c>
      <c r="K275" s="10"/>
    </row>
    <row r="276" spans="1:11" x14ac:dyDescent="0.35">
      <c r="A276" s="10" t="s">
        <v>171</v>
      </c>
      <c r="B276" s="3" t="s">
        <v>329</v>
      </c>
      <c r="C276" s="9">
        <v>46173</v>
      </c>
      <c r="D276" s="10" t="s">
        <v>252</v>
      </c>
      <c r="E276" s="10" t="s">
        <v>180</v>
      </c>
      <c r="F276" s="10">
        <v>3</v>
      </c>
      <c r="G276" s="64">
        <v>1</v>
      </c>
      <c r="H276" s="3" t="s">
        <v>173</v>
      </c>
      <c r="I276" s="10" t="s">
        <v>14</v>
      </c>
      <c r="J276" s="65" t="s">
        <v>285</v>
      </c>
      <c r="K276" s="10"/>
    </row>
    <row r="277" spans="1:11" x14ac:dyDescent="0.35">
      <c r="A277" s="10" t="s">
        <v>171</v>
      </c>
      <c r="B277" s="3" t="s">
        <v>329</v>
      </c>
      <c r="C277" s="3" t="s">
        <v>172</v>
      </c>
      <c r="D277" s="10" t="s">
        <v>252</v>
      </c>
      <c r="E277" s="10" t="s">
        <v>180</v>
      </c>
      <c r="F277" s="10">
        <v>3</v>
      </c>
      <c r="G277" s="64">
        <v>0</v>
      </c>
      <c r="H277" s="3" t="s">
        <v>173</v>
      </c>
      <c r="I277" s="10" t="s">
        <v>14</v>
      </c>
      <c r="J277" s="65" t="s">
        <v>285</v>
      </c>
      <c r="K277" s="10"/>
    </row>
    <row r="278" spans="1:11" x14ac:dyDescent="0.35">
      <c r="A278" s="3" t="s">
        <v>10</v>
      </c>
      <c r="B278" s="3" t="s">
        <v>329</v>
      </c>
      <c r="C278" s="9">
        <v>46053</v>
      </c>
      <c r="D278" s="3" t="str">
        <f>VLOOKUP(E278,KPI_Mapping!B:G,6,FALSE)</f>
        <v>AG0020</v>
      </c>
      <c r="E278" s="3" t="s">
        <v>50</v>
      </c>
      <c r="F278" s="10">
        <v>7433</v>
      </c>
      <c r="G278" s="64">
        <v>7709</v>
      </c>
      <c r="H278" s="3" t="s">
        <v>173</v>
      </c>
      <c r="I278" s="3" t="s">
        <v>14</v>
      </c>
      <c r="J278" s="65" t="s">
        <v>273</v>
      </c>
      <c r="K278" s="10"/>
    </row>
    <row r="279" spans="1:11" x14ac:dyDescent="0.35">
      <c r="A279" s="3" t="s">
        <v>10</v>
      </c>
      <c r="B279" s="3" t="s">
        <v>329</v>
      </c>
      <c r="C279" s="9">
        <v>46081</v>
      </c>
      <c r="D279" s="3" t="str">
        <f>VLOOKUP(E279,KPI_Mapping!B:G,6,FALSE)</f>
        <v>AG0020</v>
      </c>
      <c r="E279" s="3" t="s">
        <v>50</v>
      </c>
      <c r="F279" s="10">
        <v>6233</v>
      </c>
      <c r="G279" s="64">
        <v>6373</v>
      </c>
      <c r="H279" s="3" t="s">
        <v>173</v>
      </c>
      <c r="I279" s="3" t="s">
        <v>14</v>
      </c>
      <c r="J279" s="65" t="s">
        <v>273</v>
      </c>
      <c r="K279" s="10"/>
    </row>
    <row r="280" spans="1:11" x14ac:dyDescent="0.35">
      <c r="A280" s="3" t="s">
        <v>10</v>
      </c>
      <c r="B280" s="3" t="s">
        <v>329</v>
      </c>
      <c r="C280" s="9">
        <v>46112</v>
      </c>
      <c r="D280" s="3" t="str">
        <f>VLOOKUP(E280,KPI_Mapping!B:G,6,FALSE)</f>
        <v>AG0020</v>
      </c>
      <c r="E280" s="3" t="s">
        <v>50</v>
      </c>
      <c r="F280" s="10">
        <v>16903</v>
      </c>
      <c r="G280" s="64">
        <v>17002</v>
      </c>
      <c r="H280" s="3" t="s">
        <v>173</v>
      </c>
      <c r="I280" s="3" t="s">
        <v>14</v>
      </c>
      <c r="J280" s="65" t="s">
        <v>273</v>
      </c>
      <c r="K280" s="10"/>
    </row>
    <row r="281" spans="1:11" x14ac:dyDescent="0.35">
      <c r="A281" s="3" t="s">
        <v>10</v>
      </c>
      <c r="B281" s="3" t="s">
        <v>329</v>
      </c>
      <c r="C281" s="9">
        <v>46142</v>
      </c>
      <c r="D281" s="3" t="str">
        <f>VLOOKUP(E281,KPI_Mapping!B:G,6,FALSE)</f>
        <v>AG0020</v>
      </c>
      <c r="E281" s="3" t="s">
        <v>50</v>
      </c>
      <c r="F281" s="10">
        <v>8355</v>
      </c>
      <c r="G281" s="64">
        <v>8562</v>
      </c>
      <c r="H281" s="3" t="s">
        <v>173</v>
      </c>
      <c r="I281" s="3" t="s">
        <v>14</v>
      </c>
      <c r="J281" s="65" t="s">
        <v>273</v>
      </c>
      <c r="K281" s="10"/>
    </row>
    <row r="282" spans="1:11" x14ac:dyDescent="0.35">
      <c r="A282" s="3" t="s">
        <v>10</v>
      </c>
      <c r="B282" s="3" t="s">
        <v>329</v>
      </c>
      <c r="C282" s="9">
        <v>46173</v>
      </c>
      <c r="D282" s="3" t="str">
        <f>VLOOKUP(E282,KPI_Mapping!B:G,6,FALSE)</f>
        <v>AG0020</v>
      </c>
      <c r="E282" s="3" t="s">
        <v>50</v>
      </c>
      <c r="F282" s="10">
        <v>8658.5</v>
      </c>
      <c r="G282" s="64">
        <v>8274</v>
      </c>
      <c r="H282" s="3" t="s">
        <v>173</v>
      </c>
      <c r="I282" s="3" t="s">
        <v>14</v>
      </c>
      <c r="J282" s="65" t="s">
        <v>273</v>
      </c>
      <c r="K282" s="10"/>
    </row>
    <row r="283" spans="1:11" x14ac:dyDescent="0.35">
      <c r="A283" s="3" t="s">
        <v>159</v>
      </c>
      <c r="B283" s="3" t="s">
        <v>331</v>
      </c>
      <c r="C283" s="9">
        <v>46053</v>
      </c>
      <c r="D283" s="3" t="str">
        <f>VLOOKUP(E283,KPI_Mapping!B:G,6,FALSE)</f>
        <v>AG0020</v>
      </c>
      <c r="E283" s="3" t="s">
        <v>50</v>
      </c>
      <c r="F283" s="10">
        <v>1558</v>
      </c>
      <c r="G283" s="10"/>
      <c r="H283" s="3" t="s">
        <v>173</v>
      </c>
      <c r="I283" s="3" t="s">
        <v>14</v>
      </c>
      <c r="J283" s="65" t="s">
        <v>273</v>
      </c>
      <c r="K283" s="10"/>
    </row>
    <row r="284" spans="1:11" x14ac:dyDescent="0.35">
      <c r="A284" s="3" t="s">
        <v>159</v>
      </c>
      <c r="B284" s="3" t="s">
        <v>331</v>
      </c>
      <c r="C284" s="9">
        <v>46081</v>
      </c>
      <c r="D284" s="3" t="str">
        <f>VLOOKUP(E284,KPI_Mapping!B:G,6,FALSE)</f>
        <v>AG0020</v>
      </c>
      <c r="E284" s="3" t="s">
        <v>50</v>
      </c>
      <c r="F284" s="10">
        <v>1299</v>
      </c>
      <c r="G284" s="10"/>
      <c r="H284" s="3" t="s">
        <v>173</v>
      </c>
      <c r="I284" s="3" t="s">
        <v>14</v>
      </c>
      <c r="J284" s="65" t="s">
        <v>273</v>
      </c>
      <c r="K284" s="10"/>
    </row>
    <row r="285" spans="1:11" x14ac:dyDescent="0.35">
      <c r="A285" s="3" t="s">
        <v>159</v>
      </c>
      <c r="B285" s="3" t="s">
        <v>331</v>
      </c>
      <c r="C285" s="9">
        <v>46112</v>
      </c>
      <c r="D285" s="3" t="str">
        <f>VLOOKUP(E285,KPI_Mapping!B:G,6,FALSE)</f>
        <v>AG0020</v>
      </c>
      <c r="E285" s="3" t="s">
        <v>50</v>
      </c>
      <c r="F285" s="10">
        <v>1657</v>
      </c>
      <c r="G285" s="10"/>
      <c r="H285" s="3" t="s">
        <v>173</v>
      </c>
      <c r="I285" s="3" t="s">
        <v>14</v>
      </c>
      <c r="J285" s="65" t="s">
        <v>273</v>
      </c>
      <c r="K285" s="10"/>
    </row>
    <row r="286" spans="1:11" x14ac:dyDescent="0.35">
      <c r="A286" s="3" t="s">
        <v>159</v>
      </c>
      <c r="B286" s="3" t="s">
        <v>331</v>
      </c>
      <c r="C286" s="9">
        <v>46142</v>
      </c>
      <c r="D286" s="3" t="str">
        <f>VLOOKUP(E286,KPI_Mapping!B:G,6,FALSE)</f>
        <v>AG0020</v>
      </c>
      <c r="E286" s="3" t="s">
        <v>50</v>
      </c>
      <c r="F286" s="10">
        <v>1490</v>
      </c>
      <c r="G286" s="10"/>
      <c r="H286" s="3" t="s">
        <v>173</v>
      </c>
      <c r="I286" s="3" t="s">
        <v>14</v>
      </c>
      <c r="J286" s="65" t="s">
        <v>273</v>
      </c>
      <c r="K286" s="10"/>
    </row>
    <row r="287" spans="1:11" x14ac:dyDescent="0.35">
      <c r="A287" s="3" t="s">
        <v>159</v>
      </c>
      <c r="B287" s="3" t="s">
        <v>331</v>
      </c>
      <c r="C287" s="9">
        <v>46173</v>
      </c>
      <c r="D287" s="3" t="str">
        <f>VLOOKUP(E287,KPI_Mapping!B:G,6,FALSE)</f>
        <v>AG0020</v>
      </c>
      <c r="E287" s="3" t="s">
        <v>50</v>
      </c>
      <c r="F287" s="10">
        <v>1544</v>
      </c>
      <c r="G287" s="10"/>
      <c r="H287" s="3" t="s">
        <v>173</v>
      </c>
      <c r="I287" s="3" t="s">
        <v>14</v>
      </c>
      <c r="J287" s="65" t="s">
        <v>273</v>
      </c>
      <c r="K287" s="10"/>
    </row>
    <row r="288" spans="1:11" x14ac:dyDescent="0.35">
      <c r="A288" s="3" t="s">
        <v>159</v>
      </c>
      <c r="B288" s="3" t="s">
        <v>331</v>
      </c>
      <c r="C288" s="3" t="s">
        <v>172</v>
      </c>
      <c r="D288" s="3" t="str">
        <f>VLOOKUP(E288,KPI_Mapping!B:G,6,FALSE)</f>
        <v>AG0020</v>
      </c>
      <c r="E288" s="3" t="s">
        <v>50</v>
      </c>
      <c r="F288" s="10">
        <v>1867</v>
      </c>
      <c r="G288" s="10"/>
      <c r="H288" s="3" t="s">
        <v>173</v>
      </c>
      <c r="I288" s="3" t="s">
        <v>14</v>
      </c>
      <c r="J288" s="65" t="s">
        <v>273</v>
      </c>
      <c r="K288" s="10"/>
    </row>
    <row r="289" spans="1:11" x14ac:dyDescent="0.35">
      <c r="A289" s="3" t="s">
        <v>159</v>
      </c>
      <c r="B289" s="3" t="s">
        <v>309</v>
      </c>
      <c r="C289" s="9">
        <v>46053</v>
      </c>
      <c r="D289" s="3" t="str">
        <f>VLOOKUP(E289,KPI_Mapping!B:G,6,FALSE)</f>
        <v>AG0020</v>
      </c>
      <c r="E289" s="3" t="s">
        <v>50</v>
      </c>
      <c r="F289" s="10">
        <v>2228</v>
      </c>
      <c r="G289" s="10"/>
      <c r="H289" s="3" t="s">
        <v>173</v>
      </c>
      <c r="I289" s="3" t="s">
        <v>14</v>
      </c>
      <c r="J289" s="65" t="s">
        <v>273</v>
      </c>
      <c r="K289" s="10"/>
    </row>
    <row r="290" spans="1:11" x14ac:dyDescent="0.35">
      <c r="A290" s="3" t="s">
        <v>159</v>
      </c>
      <c r="B290" s="3" t="s">
        <v>309</v>
      </c>
      <c r="C290" s="9">
        <v>46081</v>
      </c>
      <c r="D290" s="3" t="str">
        <f>VLOOKUP(E290,KPI_Mapping!B:G,6,FALSE)</f>
        <v>AG0020</v>
      </c>
      <c r="E290" s="3" t="s">
        <v>50</v>
      </c>
      <c r="F290" s="10">
        <v>2299</v>
      </c>
      <c r="G290" s="10"/>
      <c r="H290" s="3" t="s">
        <v>173</v>
      </c>
      <c r="I290" s="3" t="s">
        <v>14</v>
      </c>
      <c r="J290" s="65" t="s">
        <v>273</v>
      </c>
      <c r="K290" s="10"/>
    </row>
    <row r="291" spans="1:11" x14ac:dyDescent="0.35">
      <c r="A291" s="3" t="s">
        <v>159</v>
      </c>
      <c r="B291" s="3" t="s">
        <v>309</v>
      </c>
      <c r="C291" s="9">
        <v>46112</v>
      </c>
      <c r="D291" s="3" t="str">
        <f>VLOOKUP(E291,KPI_Mapping!B:G,6,FALSE)</f>
        <v>AG0020</v>
      </c>
      <c r="E291" s="3" t="s">
        <v>50</v>
      </c>
      <c r="F291" s="10">
        <v>3070</v>
      </c>
      <c r="G291" s="10"/>
      <c r="H291" s="3" t="s">
        <v>173</v>
      </c>
      <c r="I291" s="3" t="s">
        <v>14</v>
      </c>
      <c r="J291" s="65" t="s">
        <v>273</v>
      </c>
      <c r="K291" s="10"/>
    </row>
    <row r="292" spans="1:11" x14ac:dyDescent="0.35">
      <c r="A292" s="3" t="s">
        <v>159</v>
      </c>
      <c r="B292" s="3" t="s">
        <v>309</v>
      </c>
      <c r="C292" s="9">
        <v>46142</v>
      </c>
      <c r="D292" s="3" t="str">
        <f>VLOOKUP(E292,KPI_Mapping!B:G,6,FALSE)</f>
        <v>AG0020</v>
      </c>
      <c r="E292" s="3" t="s">
        <v>50</v>
      </c>
      <c r="F292" s="10">
        <v>2653</v>
      </c>
      <c r="G292" s="10"/>
      <c r="H292" s="3" t="s">
        <v>173</v>
      </c>
      <c r="I292" s="3" t="s">
        <v>14</v>
      </c>
      <c r="J292" s="65" t="s">
        <v>273</v>
      </c>
      <c r="K292" s="10"/>
    </row>
    <row r="293" spans="1:11" x14ac:dyDescent="0.35">
      <c r="A293" s="3" t="s">
        <v>159</v>
      </c>
      <c r="B293" s="3" t="s">
        <v>309</v>
      </c>
      <c r="C293" s="9">
        <v>46173</v>
      </c>
      <c r="D293" s="3" t="str">
        <f>VLOOKUP(E293,KPI_Mapping!B:G,6,FALSE)</f>
        <v>AG0020</v>
      </c>
      <c r="E293" s="3" t="s">
        <v>50</v>
      </c>
      <c r="F293" s="10">
        <v>2734</v>
      </c>
      <c r="G293" s="10"/>
      <c r="H293" s="3" t="s">
        <v>173</v>
      </c>
      <c r="I293" s="3" t="s">
        <v>14</v>
      </c>
      <c r="J293" s="65" t="s">
        <v>273</v>
      </c>
      <c r="K293" s="10"/>
    </row>
    <row r="294" spans="1:11" x14ac:dyDescent="0.35">
      <c r="A294" s="3" t="s">
        <v>159</v>
      </c>
      <c r="B294" s="3" t="s">
        <v>309</v>
      </c>
      <c r="C294" s="3" t="s">
        <v>172</v>
      </c>
      <c r="D294" s="3" t="str">
        <f>VLOOKUP(E294,KPI_Mapping!B:G,6,FALSE)</f>
        <v>AG0020</v>
      </c>
      <c r="E294" s="3" t="s">
        <v>50</v>
      </c>
      <c r="F294" s="10">
        <v>3457</v>
      </c>
      <c r="G294" s="10"/>
      <c r="H294" s="3" t="s">
        <v>173</v>
      </c>
      <c r="I294" s="3" t="s">
        <v>14</v>
      </c>
      <c r="J294" s="65" t="s">
        <v>273</v>
      </c>
      <c r="K294" s="10"/>
    </row>
    <row r="295" spans="1:11" x14ac:dyDescent="0.35">
      <c r="A295" s="3" t="s">
        <v>10</v>
      </c>
      <c r="B295" s="3" t="s">
        <v>329</v>
      </c>
      <c r="C295" s="9">
        <v>46234</v>
      </c>
      <c r="D295" s="3" t="s">
        <v>15</v>
      </c>
      <c r="E295" s="3" t="s">
        <v>16</v>
      </c>
      <c r="F295" s="10">
        <v>4000</v>
      </c>
      <c r="G295" s="64">
        <v>8114</v>
      </c>
      <c r="H295" s="3" t="s">
        <v>173</v>
      </c>
      <c r="I295" s="3" t="s">
        <v>14</v>
      </c>
      <c r="J295" s="65" t="s">
        <v>333</v>
      </c>
      <c r="K295" s="10"/>
    </row>
    <row r="296" spans="1:11" x14ac:dyDescent="0.35">
      <c r="A296" s="3" t="s">
        <v>10</v>
      </c>
      <c r="B296" s="3" t="s">
        <v>329</v>
      </c>
      <c r="C296" s="9">
        <v>46234</v>
      </c>
      <c r="D296" s="3" t="str">
        <f>VLOOKUP(E296,KPI_Mapping!B:G,6,FALSE)</f>
        <v>AG0020</v>
      </c>
      <c r="E296" s="3" t="s">
        <v>50</v>
      </c>
      <c r="F296" s="10">
        <v>7820</v>
      </c>
      <c r="G296" s="64">
        <v>31804</v>
      </c>
      <c r="H296" s="3" t="s">
        <v>173</v>
      </c>
      <c r="I296" s="3" t="s">
        <v>14</v>
      </c>
      <c r="J296" s="65" t="s">
        <v>332</v>
      </c>
      <c r="K296" s="10"/>
    </row>
    <row r="297" spans="1:11" x14ac:dyDescent="0.35">
      <c r="A297" s="3" t="s">
        <v>10</v>
      </c>
      <c r="B297" s="3" t="s">
        <v>329</v>
      </c>
      <c r="C297" s="9">
        <v>46234</v>
      </c>
      <c r="D297" s="3" t="s">
        <v>15</v>
      </c>
      <c r="E297" s="3" t="s">
        <v>16</v>
      </c>
      <c r="F297" s="10">
        <v>4588</v>
      </c>
      <c r="G297" s="64">
        <v>8114</v>
      </c>
      <c r="H297" s="3" t="s">
        <v>173</v>
      </c>
      <c r="I297" s="3" t="s">
        <v>14</v>
      </c>
      <c r="J297" s="65" t="s">
        <v>333</v>
      </c>
      <c r="K297" s="10"/>
    </row>
    <row r="298" spans="1:11" s="17" customFormat="1" x14ac:dyDescent="0.35">
      <c r="A298" s="12" t="s">
        <v>10</v>
      </c>
      <c r="B298" s="12" t="s">
        <v>329</v>
      </c>
      <c r="C298" s="82">
        <v>46234</v>
      </c>
      <c r="D298" s="12" t="str">
        <f>VLOOKUP(E298,KPI_Mapping!B:G,6,FALSE)</f>
        <v>AG0020</v>
      </c>
      <c r="E298" s="12" t="s">
        <v>50</v>
      </c>
      <c r="F298" s="55">
        <v>7527</v>
      </c>
      <c r="G298" s="83">
        <v>31804</v>
      </c>
      <c r="H298" s="12" t="s">
        <v>173</v>
      </c>
      <c r="I298" s="12" t="s">
        <v>14</v>
      </c>
      <c r="J298" s="84" t="s">
        <v>332</v>
      </c>
      <c r="K298" s="55"/>
    </row>
    <row r="299" spans="1:11" s="17" customFormat="1" x14ac:dyDescent="0.35">
      <c r="A299" s="12" t="s">
        <v>10</v>
      </c>
      <c r="B299" s="12" t="s">
        <v>329</v>
      </c>
      <c r="C299" s="82">
        <v>46234</v>
      </c>
      <c r="D299" s="12" t="s">
        <v>15</v>
      </c>
      <c r="E299" s="12" t="s">
        <v>16</v>
      </c>
      <c r="F299" s="55">
        <v>4000</v>
      </c>
      <c r="G299" s="83">
        <v>4588</v>
      </c>
      <c r="H299" s="12" t="s">
        <v>173</v>
      </c>
      <c r="I299" s="12" t="s">
        <v>14</v>
      </c>
      <c r="J299" s="84" t="s">
        <v>341</v>
      </c>
      <c r="K299" s="55"/>
    </row>
    <row r="300" spans="1:11" x14ac:dyDescent="0.35">
      <c r="A300" s="3" t="s">
        <v>181</v>
      </c>
      <c r="B300" s="3" t="s">
        <v>329</v>
      </c>
      <c r="C300" s="9">
        <v>46234</v>
      </c>
      <c r="D300" s="3" t="str">
        <f>VLOOKUP(E300,KPI_Mapping!B:G,6,FALSE)</f>
        <v>AG0020</v>
      </c>
      <c r="E300" s="3" t="s">
        <v>50</v>
      </c>
      <c r="F300" s="10">
        <v>3575</v>
      </c>
      <c r="G300" s="64">
        <v>6909</v>
      </c>
      <c r="H300" s="3" t="s">
        <v>173</v>
      </c>
      <c r="I300" s="3" t="s">
        <v>14</v>
      </c>
      <c r="J300" s="65" t="s">
        <v>342</v>
      </c>
      <c r="K300" s="10"/>
    </row>
    <row r="301" spans="1:11" x14ac:dyDescent="0.35">
      <c r="A301" s="10" t="s">
        <v>171</v>
      </c>
      <c r="B301" s="3" t="s">
        <v>329</v>
      </c>
      <c r="C301" s="9">
        <v>46234</v>
      </c>
      <c r="D301" s="3" t="str">
        <f>VLOOKUP(E301,KPI_Mapping!B:G,6,FALSE)</f>
        <v>AG0020</v>
      </c>
      <c r="E301" s="3" t="s">
        <v>50</v>
      </c>
      <c r="F301" s="10">
        <v>2672</v>
      </c>
      <c r="G301" s="64">
        <v>1690</v>
      </c>
      <c r="H301" s="3" t="s">
        <v>173</v>
      </c>
      <c r="I301" s="3" t="s">
        <v>14</v>
      </c>
      <c r="J301" s="65" t="s">
        <v>342</v>
      </c>
      <c r="K301" s="10"/>
    </row>
    <row r="302" spans="1:11" x14ac:dyDescent="0.35">
      <c r="A302" s="3" t="s">
        <v>159</v>
      </c>
      <c r="B302" s="3" t="s">
        <v>331</v>
      </c>
      <c r="C302" s="9">
        <v>46234</v>
      </c>
      <c r="D302" s="3" t="str">
        <f>VLOOKUP(E302,KPI_Mapping!B:G,6,FALSE)</f>
        <v>AG0020</v>
      </c>
      <c r="E302" s="3" t="s">
        <v>50</v>
      </c>
      <c r="F302" s="10">
        <v>1698</v>
      </c>
      <c r="G302" s="64"/>
      <c r="H302" s="3" t="s">
        <v>173</v>
      </c>
      <c r="I302" s="3" t="s">
        <v>14</v>
      </c>
      <c r="J302" s="65" t="s">
        <v>342</v>
      </c>
      <c r="K302" s="10"/>
    </row>
    <row r="303" spans="1:11" x14ac:dyDescent="0.35">
      <c r="A303" s="3" t="s">
        <v>159</v>
      </c>
      <c r="B303" s="3" t="s">
        <v>309</v>
      </c>
      <c r="C303" s="9">
        <v>46234</v>
      </c>
      <c r="D303" s="3" t="str">
        <f>VLOOKUP(E303,KPI_Mapping!B:G,6,FALSE)</f>
        <v>AG0020</v>
      </c>
      <c r="E303" s="3" t="s">
        <v>50</v>
      </c>
      <c r="F303" s="10">
        <v>3490</v>
      </c>
      <c r="G303" s="64"/>
      <c r="H303" s="3" t="s">
        <v>173</v>
      </c>
      <c r="I303" s="3" t="s">
        <v>14</v>
      </c>
      <c r="J303" s="65" t="s">
        <v>342</v>
      </c>
      <c r="K303" s="10"/>
    </row>
    <row r="304" spans="1:11" x14ac:dyDescent="0.35">
      <c r="A304" s="3" t="s">
        <v>10</v>
      </c>
      <c r="B304" s="3" t="s">
        <v>329</v>
      </c>
      <c r="C304" s="9">
        <v>46234</v>
      </c>
      <c r="D304" s="3" t="s">
        <v>162</v>
      </c>
      <c r="E304" s="3" t="s">
        <v>163</v>
      </c>
      <c r="F304" s="10">
        <v>27</v>
      </c>
      <c r="G304" s="10"/>
      <c r="H304" s="3" t="s">
        <v>173</v>
      </c>
      <c r="I304" s="3" t="s">
        <v>14</v>
      </c>
      <c r="J304" s="65" t="s">
        <v>343</v>
      </c>
      <c r="K304" s="10"/>
    </row>
    <row r="305" spans="1:12" x14ac:dyDescent="0.35">
      <c r="A305" s="3" t="s">
        <v>10</v>
      </c>
      <c r="B305" s="3" t="s">
        <v>329</v>
      </c>
      <c r="C305" s="9">
        <v>46234</v>
      </c>
      <c r="D305" s="3" t="s">
        <v>252</v>
      </c>
      <c r="E305" s="3" t="s">
        <v>180</v>
      </c>
      <c r="F305" s="10">
        <v>27</v>
      </c>
      <c r="G305" s="10"/>
      <c r="H305" s="3" t="s">
        <v>173</v>
      </c>
      <c r="I305" s="3" t="s">
        <v>14</v>
      </c>
      <c r="J305" s="65" t="s">
        <v>343</v>
      </c>
      <c r="K305" s="10"/>
    </row>
    <row r="306" spans="1:12" x14ac:dyDescent="0.35">
      <c r="A306" s="3" t="s">
        <v>160</v>
      </c>
      <c r="B306" s="3" t="s">
        <v>329</v>
      </c>
      <c r="C306" s="9">
        <v>46234</v>
      </c>
      <c r="D306" s="3" t="s">
        <v>162</v>
      </c>
      <c r="E306" s="3" t="s">
        <v>163</v>
      </c>
      <c r="F306" s="10">
        <v>266</v>
      </c>
      <c r="G306" s="10"/>
      <c r="H306" s="3" t="s">
        <v>173</v>
      </c>
      <c r="I306" s="3" t="s">
        <v>14</v>
      </c>
      <c r="J306" s="65" t="s">
        <v>343</v>
      </c>
      <c r="K306" s="10"/>
    </row>
    <row r="307" spans="1:12" x14ac:dyDescent="0.35">
      <c r="A307" s="3" t="s">
        <v>160</v>
      </c>
      <c r="B307" s="3" t="s">
        <v>329</v>
      </c>
      <c r="C307" s="9">
        <v>46234</v>
      </c>
      <c r="D307" s="3" t="s">
        <v>252</v>
      </c>
      <c r="E307" s="3" t="s">
        <v>180</v>
      </c>
      <c r="F307" s="10">
        <v>10</v>
      </c>
      <c r="G307" s="10"/>
      <c r="H307" s="3" t="s">
        <v>173</v>
      </c>
      <c r="I307" s="3" t="s">
        <v>14</v>
      </c>
      <c r="J307" s="65" t="s">
        <v>343</v>
      </c>
      <c r="K307" s="10"/>
    </row>
    <row r="308" spans="1:12" x14ac:dyDescent="0.35">
      <c r="A308" s="10" t="s">
        <v>297</v>
      </c>
      <c r="B308" s="3" t="s">
        <v>329</v>
      </c>
      <c r="C308" s="9">
        <v>46234</v>
      </c>
      <c r="D308" s="3" t="s">
        <v>162</v>
      </c>
      <c r="E308" s="3" t="s">
        <v>163</v>
      </c>
      <c r="F308" s="10">
        <v>3</v>
      </c>
      <c r="G308" s="10"/>
      <c r="H308" s="3" t="s">
        <v>173</v>
      </c>
      <c r="I308" s="3" t="s">
        <v>14</v>
      </c>
      <c r="J308" s="65" t="s">
        <v>343</v>
      </c>
      <c r="K308" s="10"/>
    </row>
    <row r="309" spans="1:12" x14ac:dyDescent="0.35">
      <c r="A309" s="10" t="s">
        <v>297</v>
      </c>
      <c r="B309" s="3" t="s">
        <v>329</v>
      </c>
      <c r="C309" s="9">
        <v>46234</v>
      </c>
      <c r="D309" s="3" t="s">
        <v>252</v>
      </c>
      <c r="E309" s="3" t="s">
        <v>180</v>
      </c>
      <c r="F309" s="10">
        <v>0</v>
      </c>
      <c r="G309" s="10"/>
      <c r="H309" s="3" t="s">
        <v>173</v>
      </c>
      <c r="I309" s="3" t="s">
        <v>14</v>
      </c>
      <c r="J309" s="65" t="s">
        <v>343</v>
      </c>
      <c r="K309" s="10"/>
    </row>
    <row r="310" spans="1:12" x14ac:dyDescent="0.35">
      <c r="A310" s="94" t="s">
        <v>10</v>
      </c>
      <c r="B310" s="94" t="s">
        <v>329</v>
      </c>
      <c r="C310" s="95">
        <v>46234</v>
      </c>
      <c r="D310" s="94" t="s">
        <v>127</v>
      </c>
      <c r="E310" s="94" t="s">
        <v>128</v>
      </c>
      <c r="F310" s="93">
        <v>2088</v>
      </c>
      <c r="G310" s="96"/>
      <c r="H310" s="94" t="s">
        <v>173</v>
      </c>
      <c r="I310" s="94" t="s">
        <v>14</v>
      </c>
      <c r="J310" s="96" t="s">
        <v>346</v>
      </c>
      <c r="K310" s="96" t="s">
        <v>363</v>
      </c>
      <c r="L310" t="s">
        <v>362</v>
      </c>
    </row>
    <row r="311" spans="1:12" x14ac:dyDescent="0.35">
      <c r="A311" s="94" t="s">
        <v>10</v>
      </c>
      <c r="B311" s="94" t="s">
        <v>329</v>
      </c>
      <c r="C311" s="95">
        <v>46234</v>
      </c>
      <c r="D311" s="94" t="s">
        <v>133</v>
      </c>
      <c r="E311" s="94" t="s">
        <v>134</v>
      </c>
      <c r="F311" s="93">
        <v>160</v>
      </c>
      <c r="G311" s="96"/>
      <c r="H311" s="94" t="s">
        <v>173</v>
      </c>
      <c r="I311" s="94" t="s">
        <v>14</v>
      </c>
      <c r="J311" s="97" t="s">
        <v>344</v>
      </c>
      <c r="K311" s="96" t="s">
        <v>363</v>
      </c>
      <c r="L311" t="s">
        <v>362</v>
      </c>
    </row>
    <row r="312" spans="1:12" x14ac:dyDescent="0.35">
      <c r="A312" s="94" t="s">
        <v>10</v>
      </c>
      <c r="B312" s="94" t="s">
        <v>329</v>
      </c>
      <c r="C312" s="95">
        <v>46234</v>
      </c>
      <c r="D312" s="94" t="s">
        <v>141</v>
      </c>
      <c r="E312" s="94" t="s">
        <v>142</v>
      </c>
      <c r="F312" s="93">
        <v>803</v>
      </c>
      <c r="G312" s="96"/>
      <c r="H312" s="94" t="s">
        <v>173</v>
      </c>
      <c r="I312" s="94" t="s">
        <v>14</v>
      </c>
      <c r="J312" s="97" t="s">
        <v>345</v>
      </c>
      <c r="K312" s="96" t="s">
        <v>363</v>
      </c>
      <c r="L312" t="s">
        <v>362</v>
      </c>
    </row>
    <row r="313" spans="1:12" x14ac:dyDescent="0.35">
      <c r="A313" s="94" t="s">
        <v>10</v>
      </c>
      <c r="B313" s="94" t="s">
        <v>329</v>
      </c>
      <c r="C313" s="95">
        <v>46234</v>
      </c>
      <c r="D313" s="94" t="s">
        <v>137</v>
      </c>
      <c r="E313" s="94" t="s">
        <v>138</v>
      </c>
      <c r="F313" s="93">
        <v>2200</v>
      </c>
      <c r="G313" s="96"/>
      <c r="H313" s="94" t="s">
        <v>173</v>
      </c>
      <c r="I313" s="94" t="s">
        <v>14</v>
      </c>
      <c r="J313" s="97" t="s">
        <v>347</v>
      </c>
      <c r="K313" s="96" t="s">
        <v>363</v>
      </c>
      <c r="L313" t="s">
        <v>362</v>
      </c>
    </row>
    <row r="314" spans="1:12" x14ac:dyDescent="0.35">
      <c r="A314" s="93" t="s">
        <v>298</v>
      </c>
      <c r="B314" s="94" t="s">
        <v>329</v>
      </c>
      <c r="C314" s="95">
        <v>46234</v>
      </c>
      <c r="D314" s="93" t="s">
        <v>162</v>
      </c>
      <c r="E314" s="93" t="s">
        <v>163</v>
      </c>
      <c r="F314" s="93">
        <v>11</v>
      </c>
      <c r="G314" s="96"/>
      <c r="H314" s="94" t="s">
        <v>173</v>
      </c>
      <c r="I314" s="94" t="s">
        <v>14</v>
      </c>
      <c r="J314" s="97" t="s">
        <v>343</v>
      </c>
      <c r="K314" s="96" t="s">
        <v>363</v>
      </c>
      <c r="L314" t="s">
        <v>362</v>
      </c>
    </row>
    <row r="315" spans="1:12" ht="29" x14ac:dyDescent="0.35">
      <c r="A315" s="79" t="s">
        <v>298</v>
      </c>
      <c r="B315" s="67" t="s">
        <v>329</v>
      </c>
      <c r="C315" s="66">
        <v>46234</v>
      </c>
      <c r="D315" s="79" t="s">
        <v>252</v>
      </c>
      <c r="E315" s="79" t="s">
        <v>180</v>
      </c>
      <c r="F315" s="79">
        <v>1</v>
      </c>
      <c r="G315" s="85"/>
      <c r="H315" s="67" t="s">
        <v>173</v>
      </c>
      <c r="I315" s="3" t="s">
        <v>14</v>
      </c>
      <c r="J315" s="86" t="s">
        <v>343</v>
      </c>
      <c r="K315" s="109" t="s">
        <v>364</v>
      </c>
    </row>
    <row r="316" spans="1:12" x14ac:dyDescent="0.35">
      <c r="A316" s="94" t="s">
        <v>160</v>
      </c>
      <c r="B316" s="94" t="s">
        <v>329</v>
      </c>
      <c r="C316" s="95">
        <v>46234</v>
      </c>
      <c r="D316" s="94" t="str">
        <f>VLOOKUP(E316,KPI_Mapping!B:G,6,FALSE)</f>
        <v>AG0041</v>
      </c>
      <c r="E316" s="94" t="s">
        <v>165</v>
      </c>
      <c r="F316" s="93">
        <v>50</v>
      </c>
      <c r="G316" s="96"/>
      <c r="H316" s="94" t="s">
        <v>173</v>
      </c>
      <c r="I316" s="94" t="s">
        <v>14</v>
      </c>
      <c r="J316" s="97" t="s">
        <v>361</v>
      </c>
      <c r="K316" s="96" t="s">
        <v>363</v>
      </c>
      <c r="L316" t="s">
        <v>362</v>
      </c>
    </row>
    <row r="1048570" spans="9:9" x14ac:dyDescent="0.35">
      <c r="I1048570" s="3" t="s">
        <v>272</v>
      </c>
    </row>
  </sheetData>
  <phoneticPr fontId="2" type="noConversion"/>
  <conditionalFormatting sqref="F182:F186">
    <cfRule type="containsText" dxfId="37" priority="11" operator="containsText" text="new">
      <formula>NOT(ISERROR(SEARCH("new",F182)))</formula>
    </cfRule>
  </conditionalFormatting>
  <hyperlinks>
    <hyperlink ref="J178" r:id="rId1" xr:uid="{459DE453-4DBE-4827-A360-D33660423CAD}"/>
    <hyperlink ref="J179" r:id="rId2" xr:uid="{2B6C2444-91B1-4382-878F-EF25F2E603A0}"/>
    <hyperlink ref="J180" r:id="rId3" xr:uid="{EE88B22C-88CD-4424-B387-45AB3CA3AC5A}"/>
    <hyperlink ref="J181" r:id="rId4" xr:uid="{58C8007F-9F2E-4568-8034-818A7E160128}"/>
    <hyperlink ref="J187" r:id="rId5" xr:uid="{7912259B-7777-4553-84C3-2D817EF8A18D}"/>
    <hyperlink ref="J188:J198" r:id="rId6" display="DK-1714" xr:uid="{1F8ED578-76C4-4465-98E5-62EB16143B96}"/>
    <hyperlink ref="J199" r:id="rId7" xr:uid="{0AF2C817-6F50-4EEA-BFB1-A28E43C07850}"/>
    <hyperlink ref="J200:J210" r:id="rId8" display="DK-1640" xr:uid="{14938835-9B3E-409B-9D7F-02C476B64CA5}"/>
    <hyperlink ref="J211" r:id="rId9" xr:uid="{07F27249-09E8-4D84-A8E8-A6601CD44AC8}"/>
    <hyperlink ref="J212" r:id="rId10" xr:uid="{C30BAF52-BA2A-405D-98A1-03457DF62713}"/>
    <hyperlink ref="J213" r:id="rId11" xr:uid="{1B4661DD-7692-49B6-9541-6117D92AC402}"/>
    <hyperlink ref="J214" r:id="rId12" xr:uid="{340821D4-3237-4DE7-8692-69E19DC07A6C}"/>
    <hyperlink ref="J215" r:id="rId13" xr:uid="{485BEA0A-9C61-4D8A-BC37-666F85D25C74}"/>
    <hyperlink ref="J216" r:id="rId14" xr:uid="{F0C6EC41-1A4E-41B0-8BFC-4340D5FE7A8E}"/>
    <hyperlink ref="J217" r:id="rId15" xr:uid="{FCBCBDDA-D277-408B-9BB0-0ABF19DCE357}"/>
    <hyperlink ref="J222" r:id="rId16" xr:uid="{E4E2AD0F-3DA5-4AA8-92EB-658343FC7F2E}"/>
    <hyperlink ref="J223" r:id="rId17" xr:uid="{462F249C-B7E1-4446-AAF3-D099AD7E1AF3}"/>
    <hyperlink ref="J235" r:id="rId18" xr:uid="{26DF2959-EC48-411F-B0ED-0C02972A7632}"/>
    <hyperlink ref="J255" r:id="rId19" xr:uid="{38E46A82-6788-47BF-B4D4-4134B5C62550}"/>
    <hyperlink ref="J256" r:id="rId20" xr:uid="{1EDAB01B-0761-40D3-AFD9-8ACA77CA9EE1}"/>
    <hyperlink ref="J257" r:id="rId21" xr:uid="{BB1643F2-25F6-42C6-BE77-C84AE153610A}"/>
    <hyperlink ref="J258" r:id="rId22" xr:uid="{F004021E-9469-425D-963D-72E592051AEB}"/>
    <hyperlink ref="J259" r:id="rId23" xr:uid="{C95BDC49-7F2A-47F0-9E1B-72E99674C1EE}"/>
    <hyperlink ref="J260" r:id="rId24" xr:uid="{7B35EB11-3271-4054-83CA-BAFD3F55A8E4}"/>
    <hyperlink ref="J236:J254" r:id="rId25" display="DK-1674" xr:uid="{D43D9668-EE89-4A79-8E06-8F171129AC11}"/>
    <hyperlink ref="J261" r:id="rId26" xr:uid="{8BECBA90-1030-4ED9-A143-AAE181A28E20}"/>
    <hyperlink ref="J262:J265" r:id="rId27" display="DK-1674" xr:uid="{FC377258-AC68-4245-A432-BE18E054171F}"/>
    <hyperlink ref="J273:J277" r:id="rId28" display="DK-1674" xr:uid="{3B8AC765-FCB0-4EAD-B10F-9E26287725BD}"/>
    <hyperlink ref="J271:J272" r:id="rId29" display="DK-1674" xr:uid="{26B0257E-B86B-49F3-81B1-8E0570E05D7F}"/>
    <hyperlink ref="J269:J270" r:id="rId30" display="DK-1674" xr:uid="{D478F3A5-2A9B-4A89-8566-FDF060D98750}"/>
    <hyperlink ref="J268" r:id="rId31" xr:uid="{60BEAB01-8C69-44ED-92F6-5EA3D0F82374}"/>
    <hyperlink ref="J267" r:id="rId32" xr:uid="{2BE743A8-96E8-4D1D-8942-FDD96588753F}"/>
    <hyperlink ref="J266" r:id="rId33" xr:uid="{89870FD9-93ED-4171-B47F-1749FD898133}"/>
    <hyperlink ref="J224:J228" r:id="rId34" display="DK-1634" xr:uid="{B42E0554-A34D-417B-917A-EA07D435C12C}"/>
    <hyperlink ref="J229" r:id="rId35" xr:uid="{97E0F617-22D8-4808-8ED5-5C3E62DB2859}"/>
    <hyperlink ref="J230:J234" r:id="rId36" display="DK-1553" xr:uid="{96B277A5-4DAA-49EA-AD22-525A0FFFEE2A}"/>
    <hyperlink ref="J278" r:id="rId37" xr:uid="{27AB6196-9B53-4E47-9A36-0C91D963A20B}"/>
    <hyperlink ref="J279:J282" r:id="rId38" display="DK-1553" xr:uid="{1109A00D-F7CB-463A-8B9C-BE7E88019A9D}"/>
    <hyperlink ref="J283" r:id="rId39" xr:uid="{2B17FD29-922C-46D9-A92D-A5DECEAEE7B8}"/>
    <hyperlink ref="J284:J294" r:id="rId40" display="DK-1553" xr:uid="{0A8F5AE1-0EEE-4585-9A61-3AD0C6B3D79E}"/>
    <hyperlink ref="J296" r:id="rId41" xr:uid="{863B2B5F-3B0C-445C-97E8-D4965868FEC1}"/>
    <hyperlink ref="J295" r:id="rId42" xr:uid="{2718666F-9132-48FE-9E72-93D20059F936}"/>
    <hyperlink ref="J298" r:id="rId43" xr:uid="{259608AA-5CDC-49AA-BDE3-856076119C28}"/>
    <hyperlink ref="J297" r:id="rId44" xr:uid="{603E7070-F343-4DDD-B369-2F0E55EC5E70}"/>
    <hyperlink ref="J299" r:id="rId45" xr:uid="{A70A6D95-9270-4935-921B-55532B77450F}"/>
    <hyperlink ref="J300" r:id="rId46" xr:uid="{55474030-429E-4495-93B4-B618D4C27F5F}"/>
    <hyperlink ref="J301" r:id="rId47" xr:uid="{7E69291D-828B-4986-BDB2-15EC7C271697}"/>
    <hyperlink ref="J302" r:id="rId48" xr:uid="{03560F36-426E-4A7B-99D4-8CD39E18E0A7}"/>
    <hyperlink ref="J303" r:id="rId49" xr:uid="{CA1FA0D2-58F0-40AF-BCF0-2203FFF457AA}"/>
    <hyperlink ref="J304" r:id="rId50" xr:uid="{804B04F6-A6E6-480C-BDE5-8828906A50BE}"/>
    <hyperlink ref="J305:J309" r:id="rId51" display="DK-1914" xr:uid="{51FF5FBC-6F31-4C3C-95B8-0B9018644A77}"/>
    <hyperlink ref="J311" r:id="rId52" xr:uid="{189AB630-827B-4B01-89D8-83EF59FE44F5}"/>
    <hyperlink ref="J312" r:id="rId53" xr:uid="{A117D2D6-BB86-4FC3-B6E5-D0CC1998141D}"/>
    <hyperlink ref="J313" r:id="rId54" xr:uid="{BD994D0E-3482-439B-90CE-1395516D0916}"/>
    <hyperlink ref="J314" r:id="rId55" xr:uid="{E45F8565-54C9-48F5-BBF3-08BD6B4A5455}"/>
    <hyperlink ref="J315" r:id="rId56" xr:uid="{2B94FA94-607D-4240-95FE-BF7D15FD5DA1}"/>
    <hyperlink ref="J316" r:id="rId57" xr:uid="{502C3C7D-9B7B-4C69-9F25-186CE62D529C}"/>
  </hyperlinks>
  <pageMargins left="0.7" right="0.7" top="0.75" bottom="0.75" header="0.3" footer="0.3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FC1A-99B6-4B6F-AD0C-FEE4298E37C0}">
  <dimension ref="H18:AB159"/>
  <sheetViews>
    <sheetView topLeftCell="E18" workbookViewId="0">
      <selection activeCell="L35" sqref="L35"/>
    </sheetView>
  </sheetViews>
  <sheetFormatPr defaultRowHeight="14.5" x14ac:dyDescent="0.35"/>
  <cols>
    <col min="9" max="9" width="10.6328125" bestFit="1" customWidth="1"/>
    <col min="10" max="10" width="18.54296875" bestFit="1" customWidth="1"/>
    <col min="11" max="11" width="10.54296875" bestFit="1" customWidth="1"/>
    <col min="12" max="12" width="14" bestFit="1" customWidth="1"/>
    <col min="14" max="14" width="9.6328125" bestFit="1" customWidth="1"/>
    <col min="21" max="21" width="35.453125" bestFit="1" customWidth="1"/>
    <col min="27" max="27" width="6.81640625" bestFit="1" customWidth="1"/>
  </cols>
  <sheetData>
    <row r="18" spans="9:27" x14ac:dyDescent="0.35">
      <c r="L18" s="17" t="s">
        <v>278</v>
      </c>
      <c r="M18" s="17" t="s">
        <v>279</v>
      </c>
      <c r="N18" s="17" t="s">
        <v>280</v>
      </c>
      <c r="O18" s="17" t="s">
        <v>281</v>
      </c>
      <c r="P18" s="17" t="s">
        <v>282</v>
      </c>
      <c r="Q18" s="17" t="s">
        <v>283</v>
      </c>
    </row>
    <row r="19" spans="9:27" x14ac:dyDescent="0.35">
      <c r="L19" s="17" t="s">
        <v>284</v>
      </c>
      <c r="M19" s="17" t="s">
        <v>284</v>
      </c>
      <c r="N19" s="17" t="s">
        <v>284</v>
      </c>
      <c r="O19" s="17" t="s">
        <v>284</v>
      </c>
      <c r="P19" s="17" t="s">
        <v>284</v>
      </c>
      <c r="Q19" s="17" t="s">
        <v>284</v>
      </c>
      <c r="V19" s="17" t="s">
        <v>278</v>
      </c>
      <c r="W19" s="17" t="s">
        <v>279</v>
      </c>
      <c r="X19" s="17" t="s">
        <v>280</v>
      </c>
      <c r="Y19" s="17" t="s">
        <v>281</v>
      </c>
      <c r="Z19" s="17" t="s">
        <v>282</v>
      </c>
      <c r="AA19" s="17" t="s">
        <v>283</v>
      </c>
    </row>
    <row r="20" spans="9:27" x14ac:dyDescent="0.35">
      <c r="I20" s="98" t="s">
        <v>286</v>
      </c>
      <c r="J20" t="s">
        <v>275</v>
      </c>
      <c r="K20" t="s">
        <v>274</v>
      </c>
      <c r="L20" s="14">
        <v>33</v>
      </c>
      <c r="M20" s="46">
        <v>22</v>
      </c>
      <c r="N20" s="16">
        <v>10</v>
      </c>
      <c r="O20" s="15">
        <v>27</v>
      </c>
      <c r="P20" s="15">
        <v>17</v>
      </c>
      <c r="Q20" s="42">
        <v>26</v>
      </c>
      <c r="U20" t="s">
        <v>304</v>
      </c>
      <c r="V20" s="40">
        <v>187</v>
      </c>
      <c r="W20" s="40">
        <v>239</v>
      </c>
      <c r="X20" s="40">
        <v>251</v>
      </c>
      <c r="Y20" s="20">
        <v>233</v>
      </c>
      <c r="Z20" s="21">
        <v>146</v>
      </c>
      <c r="AA20" s="22">
        <v>302</v>
      </c>
    </row>
    <row r="21" spans="9:27" x14ac:dyDescent="0.35">
      <c r="I21" s="98"/>
      <c r="K21" t="s">
        <v>276</v>
      </c>
      <c r="L21">
        <v>33</v>
      </c>
      <c r="M21">
        <v>23</v>
      </c>
      <c r="N21">
        <v>10</v>
      </c>
      <c r="O21">
        <v>27</v>
      </c>
      <c r="P21">
        <v>17</v>
      </c>
      <c r="Q21">
        <v>17</v>
      </c>
      <c r="U21" t="s">
        <v>305</v>
      </c>
      <c r="V21" s="35">
        <v>0.57999999999999996</v>
      </c>
      <c r="W21" s="36">
        <v>0.57670126874279126</v>
      </c>
      <c r="X21" s="37">
        <v>0.54</v>
      </c>
      <c r="Y21" s="38">
        <v>0.53</v>
      </c>
      <c r="Z21" s="36">
        <v>0.69</v>
      </c>
      <c r="AA21" s="39">
        <v>0.72</v>
      </c>
    </row>
    <row r="22" spans="9:27" x14ac:dyDescent="0.35">
      <c r="I22" s="98"/>
      <c r="V22">
        <f>V20*V21</f>
        <v>108.46</v>
      </c>
      <c r="W22">
        <f t="shared" ref="W22:AA22" si="0">W20*W21</f>
        <v>137.8316032295271</v>
      </c>
      <c r="X22">
        <f t="shared" si="0"/>
        <v>135.54000000000002</v>
      </c>
      <c r="Y22">
        <f t="shared" si="0"/>
        <v>123.49000000000001</v>
      </c>
      <c r="Z22">
        <f t="shared" si="0"/>
        <v>100.74</v>
      </c>
      <c r="AA22">
        <f t="shared" si="0"/>
        <v>217.44</v>
      </c>
    </row>
    <row r="23" spans="9:27" x14ac:dyDescent="0.35">
      <c r="I23" s="98"/>
      <c r="J23" t="s">
        <v>277</v>
      </c>
      <c r="K23" t="s">
        <v>274</v>
      </c>
      <c r="L23" s="48">
        <v>30</v>
      </c>
      <c r="M23" s="48">
        <v>25</v>
      </c>
      <c r="N23" s="48">
        <v>55</v>
      </c>
      <c r="O23" s="48">
        <v>30</v>
      </c>
      <c r="P23" s="48">
        <v>25</v>
      </c>
      <c r="Q23" s="48">
        <v>30</v>
      </c>
    </row>
    <row r="24" spans="9:27" x14ac:dyDescent="0.35">
      <c r="I24" s="98"/>
      <c r="K24" t="s">
        <v>276</v>
      </c>
      <c r="L24">
        <v>29</v>
      </c>
      <c r="M24">
        <v>0</v>
      </c>
      <c r="N24">
        <v>3</v>
      </c>
      <c r="O24">
        <v>17</v>
      </c>
      <c r="P24">
        <v>6</v>
      </c>
      <c r="Q24">
        <v>9</v>
      </c>
    </row>
    <row r="26" spans="9:27" x14ac:dyDescent="0.35">
      <c r="I26" s="99" t="s">
        <v>287</v>
      </c>
      <c r="J26" t="s">
        <v>275</v>
      </c>
      <c r="K26" t="s">
        <v>274</v>
      </c>
      <c r="L26" s="47">
        <v>44</v>
      </c>
      <c r="M26" s="46">
        <v>67</v>
      </c>
      <c r="N26" s="42">
        <v>84</v>
      </c>
      <c r="O26" s="46">
        <v>121</v>
      </c>
      <c r="P26" s="46">
        <v>157</v>
      </c>
      <c r="Q26" s="42">
        <v>205</v>
      </c>
    </row>
    <row r="27" spans="9:27" x14ac:dyDescent="0.35">
      <c r="I27" s="99"/>
      <c r="K27" t="s">
        <v>276</v>
      </c>
      <c r="L27">
        <v>43</v>
      </c>
      <c r="M27">
        <v>22</v>
      </c>
      <c r="N27">
        <v>9</v>
      </c>
      <c r="O27">
        <v>34</v>
      </c>
      <c r="P27">
        <v>33</v>
      </c>
      <c r="Q27">
        <v>41</v>
      </c>
    </row>
    <row r="28" spans="9:27" x14ac:dyDescent="0.35">
      <c r="I28" s="99"/>
    </row>
    <row r="29" spans="9:27" x14ac:dyDescent="0.35">
      <c r="I29" s="99"/>
      <c r="J29" t="s">
        <v>277</v>
      </c>
      <c r="K29" t="s">
        <v>274</v>
      </c>
      <c r="L29" s="47">
        <v>1</v>
      </c>
      <c r="M29" s="46">
        <v>2</v>
      </c>
      <c r="N29" s="42">
        <v>4</v>
      </c>
      <c r="O29" s="46">
        <v>6</v>
      </c>
      <c r="P29" s="46">
        <v>8</v>
      </c>
      <c r="Q29" s="42">
        <v>10</v>
      </c>
    </row>
    <row r="30" spans="9:27" x14ac:dyDescent="0.35">
      <c r="I30" s="99"/>
      <c r="K30" t="s">
        <v>276</v>
      </c>
      <c r="L30">
        <v>7</v>
      </c>
      <c r="M30">
        <v>4</v>
      </c>
      <c r="N30">
        <v>4</v>
      </c>
      <c r="O30">
        <v>13</v>
      </c>
      <c r="P30">
        <v>10</v>
      </c>
      <c r="Q30">
        <v>8</v>
      </c>
    </row>
    <row r="34" spans="9:28" x14ac:dyDescent="0.35">
      <c r="I34" s="99" t="s">
        <v>288</v>
      </c>
      <c r="J34" t="s">
        <v>275</v>
      </c>
      <c r="K34" t="s">
        <v>274</v>
      </c>
      <c r="L34" s="20">
        <v>6</v>
      </c>
      <c r="M34" s="43">
        <v>6</v>
      </c>
      <c r="N34" s="44">
        <v>9</v>
      </c>
      <c r="O34" s="45">
        <v>9</v>
      </c>
      <c r="P34" s="43">
        <v>10</v>
      </c>
      <c r="Q34" s="42">
        <v>11</v>
      </c>
    </row>
    <row r="35" spans="9:28" x14ac:dyDescent="0.35">
      <c r="I35" s="99"/>
      <c r="K35" t="s">
        <v>276</v>
      </c>
      <c r="L35">
        <v>6</v>
      </c>
      <c r="M35">
        <v>0</v>
      </c>
      <c r="N35">
        <v>3</v>
      </c>
      <c r="O35">
        <v>2</v>
      </c>
      <c r="P35">
        <v>2</v>
      </c>
      <c r="Q35">
        <v>1</v>
      </c>
    </row>
    <row r="36" spans="9:28" x14ac:dyDescent="0.35">
      <c r="I36" s="99"/>
    </row>
    <row r="37" spans="9:28" x14ac:dyDescent="0.35">
      <c r="I37" s="99"/>
      <c r="J37" t="s">
        <v>277</v>
      </c>
      <c r="K37" t="s">
        <v>274</v>
      </c>
      <c r="L37" s="46">
        <v>0</v>
      </c>
      <c r="M37" s="46">
        <v>0</v>
      </c>
      <c r="N37" s="16">
        <v>0</v>
      </c>
      <c r="O37" s="15">
        <v>0</v>
      </c>
      <c r="P37" s="15">
        <v>1</v>
      </c>
      <c r="Q37" s="42">
        <v>1</v>
      </c>
    </row>
    <row r="38" spans="9:28" x14ac:dyDescent="0.35">
      <c r="I38" s="99"/>
      <c r="K38" t="s">
        <v>276</v>
      </c>
      <c r="L38" t="s">
        <v>289</v>
      </c>
      <c r="M38" t="s">
        <v>289</v>
      </c>
      <c r="N38">
        <v>0</v>
      </c>
      <c r="O38">
        <v>0</v>
      </c>
      <c r="P38">
        <v>1</v>
      </c>
      <c r="Q38">
        <v>0</v>
      </c>
    </row>
    <row r="40" spans="9:28" x14ac:dyDescent="0.35">
      <c r="W40" s="17" t="s">
        <v>278</v>
      </c>
      <c r="X40" s="17" t="s">
        <v>279</v>
      </c>
      <c r="Y40" s="17" t="s">
        <v>280</v>
      </c>
      <c r="Z40" s="17" t="s">
        <v>281</v>
      </c>
      <c r="AA40" s="17" t="s">
        <v>282</v>
      </c>
      <c r="AB40" s="17" t="s">
        <v>283</v>
      </c>
    </row>
    <row r="41" spans="9:28" x14ac:dyDescent="0.35">
      <c r="I41" s="105" t="s">
        <v>307</v>
      </c>
      <c r="J41" s="106" t="s">
        <v>275</v>
      </c>
      <c r="K41" s="1" t="s">
        <v>315</v>
      </c>
      <c r="L41" s="51">
        <v>53</v>
      </c>
      <c r="M41" s="52">
        <v>12</v>
      </c>
      <c r="N41" s="52">
        <v>9</v>
      </c>
      <c r="O41" s="51">
        <v>11</v>
      </c>
      <c r="P41" s="52">
        <v>13</v>
      </c>
      <c r="Q41" s="53">
        <v>25</v>
      </c>
      <c r="U41" t="s">
        <v>275</v>
      </c>
      <c r="V41" t="s">
        <v>308</v>
      </c>
      <c r="W41">
        <v>19</v>
      </c>
      <c r="X41">
        <v>2</v>
      </c>
      <c r="Y41">
        <v>2</v>
      </c>
      <c r="Z41">
        <v>4</v>
      </c>
      <c r="AA41">
        <v>3</v>
      </c>
      <c r="AB41">
        <v>8</v>
      </c>
    </row>
    <row r="42" spans="9:28" x14ac:dyDescent="0.35">
      <c r="I42" s="105"/>
      <c r="J42" s="107"/>
      <c r="K42" s="1" t="s">
        <v>276</v>
      </c>
      <c r="L42" s="1">
        <v>53</v>
      </c>
      <c r="M42" s="1">
        <v>12</v>
      </c>
      <c r="N42" s="1">
        <v>9</v>
      </c>
      <c r="O42" s="1">
        <v>12</v>
      </c>
      <c r="P42" s="1">
        <v>14</v>
      </c>
      <c r="Q42" s="1">
        <v>25</v>
      </c>
      <c r="V42" t="s">
        <v>309</v>
      </c>
      <c r="W42">
        <v>34</v>
      </c>
      <c r="X42">
        <v>10</v>
      </c>
      <c r="Y42">
        <v>7</v>
      </c>
      <c r="Z42">
        <v>7</v>
      </c>
      <c r="AA42">
        <v>10</v>
      </c>
      <c r="AB42">
        <v>17</v>
      </c>
    </row>
    <row r="43" spans="9:28" x14ac:dyDescent="0.35">
      <c r="I43" s="105"/>
      <c r="J43" s="1"/>
      <c r="K43" s="1"/>
      <c r="L43" s="1"/>
      <c r="M43" s="1"/>
      <c r="N43" s="1"/>
      <c r="O43" s="1"/>
      <c r="P43" s="1"/>
      <c r="Q43" s="1"/>
      <c r="V43" t="s">
        <v>310</v>
      </c>
      <c r="W43">
        <f>SUM(W41:W42)</f>
        <v>53</v>
      </c>
      <c r="X43">
        <f t="shared" ref="X43:AB43" si="1">SUM(X41:X42)</f>
        <v>12</v>
      </c>
      <c r="Y43">
        <f t="shared" si="1"/>
        <v>9</v>
      </c>
      <c r="Z43">
        <f t="shared" si="1"/>
        <v>11</v>
      </c>
      <c r="AA43">
        <f t="shared" si="1"/>
        <v>13</v>
      </c>
      <c r="AB43">
        <f t="shared" si="1"/>
        <v>25</v>
      </c>
    </row>
    <row r="44" spans="9:28" x14ac:dyDescent="0.35">
      <c r="I44" s="105"/>
      <c r="J44" s="106" t="s">
        <v>277</v>
      </c>
      <c r="K44" s="1" t="s">
        <v>315</v>
      </c>
      <c r="L44" s="53">
        <v>15</v>
      </c>
      <c r="M44" s="53">
        <v>3</v>
      </c>
      <c r="N44" s="53">
        <v>5</v>
      </c>
      <c r="O44" s="53">
        <v>1</v>
      </c>
      <c r="P44" s="53">
        <v>4</v>
      </c>
      <c r="Q44" s="53">
        <v>6</v>
      </c>
    </row>
    <row r="45" spans="9:28" x14ac:dyDescent="0.35">
      <c r="I45" s="105"/>
      <c r="J45" s="107"/>
      <c r="K45" s="1" t="s">
        <v>276</v>
      </c>
      <c r="L45" s="1">
        <v>16</v>
      </c>
      <c r="M45" s="1">
        <v>3</v>
      </c>
      <c r="N45" s="1">
        <v>5</v>
      </c>
      <c r="O45" s="1">
        <v>1</v>
      </c>
      <c r="P45" s="1">
        <v>4</v>
      </c>
      <c r="Q45" s="1">
        <v>7</v>
      </c>
      <c r="U45" t="s">
        <v>277</v>
      </c>
      <c r="V45" t="s">
        <v>308</v>
      </c>
      <c r="W45">
        <v>7</v>
      </c>
      <c r="X45">
        <v>0</v>
      </c>
      <c r="Y45">
        <v>0</v>
      </c>
      <c r="Z45">
        <v>0</v>
      </c>
      <c r="AA45">
        <v>3</v>
      </c>
      <c r="AB45">
        <v>2</v>
      </c>
    </row>
    <row r="46" spans="9:28" x14ac:dyDescent="0.35">
      <c r="I46" s="105"/>
      <c r="J46" s="1"/>
      <c r="K46" s="1"/>
      <c r="L46" s="1"/>
      <c r="M46" s="1"/>
      <c r="N46" s="1"/>
      <c r="O46" s="1"/>
      <c r="P46" s="1"/>
      <c r="Q46" s="1"/>
      <c r="V46" t="s">
        <v>309</v>
      </c>
      <c r="W46">
        <v>8</v>
      </c>
      <c r="X46">
        <v>3</v>
      </c>
      <c r="Y46">
        <v>5</v>
      </c>
      <c r="Z46">
        <v>1</v>
      </c>
      <c r="AA46">
        <v>1</v>
      </c>
      <c r="AB46">
        <v>4</v>
      </c>
    </row>
    <row r="47" spans="9:28" x14ac:dyDescent="0.35">
      <c r="I47" s="105"/>
      <c r="J47" s="104" t="s">
        <v>314</v>
      </c>
      <c r="K47" s="1" t="s">
        <v>315</v>
      </c>
      <c r="L47" s="50">
        <f>L41+L44</f>
        <v>68</v>
      </c>
      <c r="M47" s="50">
        <f t="shared" ref="M47:Q47" si="2">M41+M44</f>
        <v>15</v>
      </c>
      <c r="N47" s="50">
        <f t="shared" si="2"/>
        <v>14</v>
      </c>
      <c r="O47" s="50">
        <f t="shared" si="2"/>
        <v>12</v>
      </c>
      <c r="P47" s="50">
        <f t="shared" si="2"/>
        <v>17</v>
      </c>
      <c r="Q47" s="50">
        <f t="shared" si="2"/>
        <v>31</v>
      </c>
      <c r="V47" t="s">
        <v>311</v>
      </c>
      <c r="W47">
        <f>SUM(W45:W46)</f>
        <v>15</v>
      </c>
      <c r="X47">
        <f t="shared" ref="X47:AB47" si="3">SUM(X45:X46)</f>
        <v>3</v>
      </c>
      <c r="Y47">
        <f t="shared" si="3"/>
        <v>5</v>
      </c>
      <c r="Z47">
        <f t="shared" si="3"/>
        <v>1</v>
      </c>
      <c r="AA47">
        <f t="shared" si="3"/>
        <v>4</v>
      </c>
      <c r="AB47">
        <f t="shared" si="3"/>
        <v>6</v>
      </c>
    </row>
    <row r="48" spans="9:28" x14ac:dyDescent="0.35">
      <c r="I48" s="105"/>
      <c r="J48" s="104"/>
      <c r="K48" s="1" t="s">
        <v>276</v>
      </c>
      <c r="L48" s="1">
        <f>L42+L45</f>
        <v>69</v>
      </c>
      <c r="M48" s="1">
        <f t="shared" ref="M48:Q48" si="4">M42+M45</f>
        <v>15</v>
      </c>
      <c r="N48" s="1">
        <f t="shared" si="4"/>
        <v>14</v>
      </c>
      <c r="O48" s="1">
        <f t="shared" si="4"/>
        <v>13</v>
      </c>
      <c r="P48" s="1">
        <f t="shared" si="4"/>
        <v>18</v>
      </c>
      <c r="Q48" s="1">
        <f t="shared" si="4"/>
        <v>32</v>
      </c>
    </row>
    <row r="50" spans="8:27" x14ac:dyDescent="0.35">
      <c r="H50" t="s">
        <v>353</v>
      </c>
    </row>
    <row r="51" spans="8:27" x14ac:dyDescent="0.35">
      <c r="I51" s="1"/>
      <c r="J51" s="1"/>
      <c r="K51" s="49">
        <v>46048</v>
      </c>
      <c r="L51" s="49">
        <v>46079</v>
      </c>
      <c r="M51" s="49">
        <v>46107</v>
      </c>
      <c r="N51" s="49">
        <v>46138</v>
      </c>
      <c r="O51" s="49">
        <v>46168</v>
      </c>
      <c r="P51" s="49">
        <v>46199</v>
      </c>
      <c r="Q51" s="49">
        <v>46229</v>
      </c>
    </row>
    <row r="52" spans="8:27" ht="43.5" x14ac:dyDescent="0.35">
      <c r="I52" s="1" t="s">
        <v>316</v>
      </c>
      <c r="J52" s="54" t="s">
        <v>317</v>
      </c>
      <c r="K52" s="1">
        <v>2</v>
      </c>
      <c r="L52" s="1">
        <v>1</v>
      </c>
      <c r="M52" s="1">
        <v>0</v>
      </c>
      <c r="N52" s="1">
        <v>1</v>
      </c>
      <c r="O52" s="1">
        <v>0</v>
      </c>
      <c r="P52" s="1">
        <v>2</v>
      </c>
      <c r="Q52" s="1">
        <v>0</v>
      </c>
    </row>
    <row r="53" spans="8:27" ht="43.5" x14ac:dyDescent="0.35">
      <c r="I53" s="1" t="s">
        <v>318</v>
      </c>
      <c r="J53" s="54" t="s">
        <v>317</v>
      </c>
      <c r="K53" s="1">
        <v>7</v>
      </c>
      <c r="L53" s="1">
        <v>1</v>
      </c>
      <c r="M53" s="1">
        <v>0</v>
      </c>
      <c r="N53" s="1">
        <v>0</v>
      </c>
      <c r="O53" s="1">
        <v>2</v>
      </c>
      <c r="P53" s="1">
        <v>1</v>
      </c>
      <c r="Q53" s="1">
        <v>3</v>
      </c>
    </row>
    <row r="54" spans="8:27" x14ac:dyDescent="0.35">
      <c r="I54" s="1"/>
      <c r="J54" s="1"/>
      <c r="K54" s="1"/>
      <c r="L54" s="1"/>
      <c r="M54" s="1"/>
      <c r="N54" s="1"/>
      <c r="O54" s="1"/>
      <c r="P54" s="1"/>
      <c r="Q54" s="53"/>
    </row>
    <row r="55" spans="8:27" x14ac:dyDescent="0.35">
      <c r="I55" s="1" t="s">
        <v>316</v>
      </c>
      <c r="J55" s="1" t="s">
        <v>277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U55" s="1" t="s">
        <v>308</v>
      </c>
      <c r="V55" s="49">
        <v>46048</v>
      </c>
      <c r="W55" s="49">
        <v>46079</v>
      </c>
      <c r="X55" s="49">
        <v>46107</v>
      </c>
      <c r="Y55" s="49">
        <v>46138</v>
      </c>
      <c r="Z55" s="49">
        <v>46168</v>
      </c>
      <c r="AA55" s="49">
        <v>46199</v>
      </c>
    </row>
    <row r="56" spans="8:27" x14ac:dyDescent="0.35">
      <c r="I56" s="1" t="s">
        <v>318</v>
      </c>
      <c r="J56" s="1" t="s">
        <v>277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U56" s="1" t="s">
        <v>163</v>
      </c>
      <c r="V56" s="1">
        <v>19</v>
      </c>
      <c r="W56" s="1">
        <v>2</v>
      </c>
      <c r="X56" s="1">
        <v>2</v>
      </c>
      <c r="Y56" s="1">
        <v>4</v>
      </c>
      <c r="Z56" s="1">
        <v>3</v>
      </c>
      <c r="AA56" s="1">
        <v>8</v>
      </c>
    </row>
    <row r="57" spans="8:27" x14ac:dyDescent="0.35">
      <c r="I57" s="1"/>
      <c r="J57" s="1"/>
      <c r="K57" s="1">
        <f>SUM(K52:K56)</f>
        <v>11</v>
      </c>
      <c r="L57" s="1">
        <f t="shared" ref="L57:Q57" si="5">SUM(L52:L56)</f>
        <v>2</v>
      </c>
      <c r="M57" s="1">
        <f t="shared" si="5"/>
        <v>0</v>
      </c>
      <c r="N57" s="1">
        <f t="shared" si="5"/>
        <v>1</v>
      </c>
      <c r="O57" s="1">
        <f t="shared" si="5"/>
        <v>2</v>
      </c>
      <c r="P57" s="1">
        <f t="shared" si="5"/>
        <v>4</v>
      </c>
      <c r="Q57" s="1">
        <f t="shared" si="5"/>
        <v>3</v>
      </c>
      <c r="U57" s="1" t="s">
        <v>180</v>
      </c>
      <c r="V57" s="1">
        <v>7</v>
      </c>
      <c r="W57" s="1">
        <v>0</v>
      </c>
      <c r="X57" s="1">
        <v>0</v>
      </c>
      <c r="Y57" s="1">
        <v>0</v>
      </c>
      <c r="Z57" s="1">
        <v>3</v>
      </c>
      <c r="AA57" s="1">
        <v>2</v>
      </c>
    </row>
    <row r="58" spans="8:27" x14ac:dyDescent="0.35">
      <c r="U58" s="1"/>
      <c r="V58" s="1"/>
      <c r="W58" s="1"/>
      <c r="X58" s="1"/>
      <c r="Y58" s="1"/>
      <c r="Z58" s="1"/>
      <c r="AA58" s="1"/>
    </row>
    <row r="59" spans="8:27" x14ac:dyDescent="0.35">
      <c r="U59" s="1" t="s">
        <v>309</v>
      </c>
      <c r="V59" s="49">
        <v>46048</v>
      </c>
      <c r="W59" s="49">
        <v>46079</v>
      </c>
      <c r="X59" s="49">
        <v>46107</v>
      </c>
      <c r="Y59" s="49">
        <v>46138</v>
      </c>
      <c r="Z59" s="49">
        <v>46168</v>
      </c>
      <c r="AA59" s="49">
        <v>46199</v>
      </c>
    </row>
    <row r="60" spans="8:27" x14ac:dyDescent="0.35">
      <c r="U60" s="1" t="s">
        <v>163</v>
      </c>
      <c r="V60" s="1">
        <v>34</v>
      </c>
      <c r="W60" s="1">
        <v>10</v>
      </c>
      <c r="X60" s="1">
        <v>7</v>
      </c>
      <c r="Y60" s="1">
        <v>7</v>
      </c>
      <c r="Z60" s="1">
        <v>10</v>
      </c>
      <c r="AA60" s="1">
        <v>17</v>
      </c>
    </row>
    <row r="61" spans="8:27" x14ac:dyDescent="0.35">
      <c r="U61" s="1" t="s">
        <v>180</v>
      </c>
      <c r="V61" s="1">
        <v>8</v>
      </c>
      <c r="W61" s="1">
        <v>3</v>
      </c>
      <c r="X61" s="1">
        <v>5</v>
      </c>
      <c r="Y61" s="1">
        <v>1</v>
      </c>
      <c r="Z61" s="1">
        <v>1</v>
      </c>
      <c r="AA61" s="1">
        <v>4</v>
      </c>
    </row>
    <row r="63" spans="8:27" x14ac:dyDescent="0.35">
      <c r="U63" s="1" t="s">
        <v>163</v>
      </c>
      <c r="V63">
        <f>V56+V60</f>
        <v>53</v>
      </c>
      <c r="W63">
        <f t="shared" ref="W63:AA63" si="6">W56+W60</f>
        <v>12</v>
      </c>
      <c r="X63">
        <f t="shared" si="6"/>
        <v>9</v>
      </c>
      <c r="Y63">
        <f t="shared" si="6"/>
        <v>11</v>
      </c>
      <c r="Z63">
        <f t="shared" si="6"/>
        <v>13</v>
      </c>
      <c r="AA63">
        <f t="shared" si="6"/>
        <v>25</v>
      </c>
    </row>
    <row r="64" spans="8:27" x14ac:dyDescent="0.35">
      <c r="H64" t="s">
        <v>352</v>
      </c>
      <c r="U64" s="1" t="s">
        <v>180</v>
      </c>
      <c r="V64">
        <f>V57+V61</f>
        <v>15</v>
      </c>
      <c r="W64">
        <f t="shared" ref="W64:AA64" si="7">W57+W61</f>
        <v>3</v>
      </c>
      <c r="X64">
        <f t="shared" si="7"/>
        <v>5</v>
      </c>
      <c r="Y64">
        <f t="shared" si="7"/>
        <v>1</v>
      </c>
      <c r="Z64">
        <f t="shared" si="7"/>
        <v>4</v>
      </c>
      <c r="AA64">
        <f t="shared" si="7"/>
        <v>6</v>
      </c>
    </row>
    <row r="65" spans="9:27" x14ac:dyDescent="0.35">
      <c r="I65" s="1"/>
      <c r="J65" s="1"/>
      <c r="K65" s="49">
        <v>46048</v>
      </c>
      <c r="L65" s="49">
        <v>46079</v>
      </c>
      <c r="M65" s="49">
        <v>46107</v>
      </c>
      <c r="N65" s="49">
        <v>46138</v>
      </c>
      <c r="O65" s="49">
        <v>46168</v>
      </c>
      <c r="P65" s="49">
        <v>46199</v>
      </c>
      <c r="U65" t="s">
        <v>312</v>
      </c>
      <c r="V65">
        <f>V63+V64</f>
        <v>68</v>
      </c>
      <c r="W65">
        <f t="shared" ref="W65:AA65" si="8">W63+W64</f>
        <v>15</v>
      </c>
      <c r="X65">
        <f t="shared" si="8"/>
        <v>14</v>
      </c>
      <c r="Y65">
        <f t="shared" si="8"/>
        <v>12</v>
      </c>
      <c r="Z65">
        <f t="shared" si="8"/>
        <v>17</v>
      </c>
      <c r="AA65">
        <f t="shared" si="8"/>
        <v>31</v>
      </c>
    </row>
    <row r="66" spans="9:27" ht="43.5" x14ac:dyDescent="0.35">
      <c r="I66" s="1" t="s">
        <v>316</v>
      </c>
      <c r="J66" s="54" t="s">
        <v>317</v>
      </c>
      <c r="K66" s="54">
        <v>2</v>
      </c>
      <c r="L66" s="54">
        <v>1</v>
      </c>
      <c r="M66" s="54">
        <v>0</v>
      </c>
      <c r="N66" s="54">
        <v>1</v>
      </c>
      <c r="O66" s="54">
        <v>0</v>
      </c>
      <c r="P66" s="54">
        <v>2</v>
      </c>
    </row>
    <row r="67" spans="9:27" ht="43.5" x14ac:dyDescent="0.35">
      <c r="I67" s="1" t="s">
        <v>318</v>
      </c>
      <c r="J67" s="54" t="s">
        <v>317</v>
      </c>
      <c r="K67" s="54">
        <v>7</v>
      </c>
      <c r="L67" s="54">
        <v>1</v>
      </c>
      <c r="M67" s="54">
        <v>0</v>
      </c>
      <c r="N67" s="54">
        <v>0</v>
      </c>
      <c r="O67" s="54">
        <v>2</v>
      </c>
      <c r="P67" s="54">
        <v>1</v>
      </c>
    </row>
    <row r="68" spans="9:27" x14ac:dyDescent="0.35">
      <c r="I68" s="1"/>
      <c r="J68" s="1"/>
      <c r="K68" s="1"/>
      <c r="L68" s="1"/>
      <c r="M68" s="1"/>
      <c r="N68" s="1"/>
      <c r="O68" s="1"/>
      <c r="P68" s="1"/>
    </row>
    <row r="69" spans="9:27" x14ac:dyDescent="0.35">
      <c r="I69" s="1" t="s">
        <v>316</v>
      </c>
      <c r="J69" s="1" t="s">
        <v>277</v>
      </c>
      <c r="K69" s="1">
        <v>1</v>
      </c>
      <c r="L69" s="1"/>
      <c r="M69" s="1"/>
      <c r="N69" s="1"/>
      <c r="O69" s="1"/>
      <c r="P69" s="1"/>
    </row>
    <row r="70" spans="9:27" x14ac:dyDescent="0.35">
      <c r="I70" s="1" t="s">
        <v>318</v>
      </c>
      <c r="J70" s="1" t="s">
        <v>277</v>
      </c>
      <c r="K70" s="1">
        <v>1</v>
      </c>
      <c r="L70" s="1"/>
      <c r="M70" s="1"/>
      <c r="N70" s="1"/>
      <c r="O70" s="1"/>
      <c r="P70" s="1"/>
    </row>
    <row r="71" spans="9:27" x14ac:dyDescent="0.35">
      <c r="I71" s="1"/>
      <c r="J71" s="1"/>
      <c r="K71" s="1">
        <f>SUM(K66:K70)</f>
        <v>11</v>
      </c>
      <c r="L71" s="1">
        <f t="shared" ref="L71:P71" si="9">SUM(L66:L70)</f>
        <v>2</v>
      </c>
      <c r="M71" s="1">
        <f t="shared" si="9"/>
        <v>0</v>
      </c>
      <c r="N71" s="1">
        <f t="shared" si="9"/>
        <v>1</v>
      </c>
      <c r="O71" s="1">
        <f t="shared" si="9"/>
        <v>2</v>
      </c>
      <c r="P71" s="1">
        <f t="shared" si="9"/>
        <v>3</v>
      </c>
    </row>
    <row r="75" spans="9:27" x14ac:dyDescent="0.35">
      <c r="I75" s="8"/>
      <c r="J75" s="1"/>
      <c r="K75" s="1"/>
      <c r="L75" s="56" t="s">
        <v>278</v>
      </c>
      <c r="M75" s="56" t="s">
        <v>279</v>
      </c>
      <c r="N75" s="56" t="s">
        <v>280</v>
      </c>
      <c r="O75" s="56" t="s">
        <v>281</v>
      </c>
      <c r="P75" s="56" t="s">
        <v>282</v>
      </c>
      <c r="Q75" s="56" t="s">
        <v>283</v>
      </c>
    </row>
    <row r="76" spans="9:27" x14ac:dyDescent="0.35">
      <c r="I76" s="108" t="s">
        <v>319</v>
      </c>
      <c r="J76" s="1" t="s">
        <v>275</v>
      </c>
      <c r="K76" s="1" t="s">
        <v>274</v>
      </c>
      <c r="L76" s="57">
        <v>1</v>
      </c>
      <c r="M76" s="58">
        <v>5</v>
      </c>
      <c r="N76" s="58">
        <v>1</v>
      </c>
      <c r="O76" s="59">
        <v>0</v>
      </c>
      <c r="P76" s="58">
        <v>2</v>
      </c>
      <c r="Q76" s="60">
        <v>1</v>
      </c>
    </row>
    <row r="77" spans="9:27" x14ac:dyDescent="0.35">
      <c r="I77" s="108"/>
      <c r="J77" s="1"/>
      <c r="K77" s="1" t="s">
        <v>276</v>
      </c>
      <c r="L77" s="10">
        <v>1</v>
      </c>
      <c r="M77" s="10">
        <v>5</v>
      </c>
      <c r="N77" s="10">
        <v>1</v>
      </c>
      <c r="O77" s="10">
        <v>1</v>
      </c>
      <c r="P77" s="10">
        <v>2</v>
      </c>
      <c r="Q77" s="10">
        <v>3</v>
      </c>
    </row>
    <row r="78" spans="9:27" x14ac:dyDescent="0.35">
      <c r="I78" s="108"/>
      <c r="J78" s="1"/>
      <c r="K78" s="1"/>
      <c r="L78" s="10"/>
      <c r="M78" s="10"/>
      <c r="N78" s="10"/>
      <c r="O78" s="10"/>
      <c r="P78" s="10"/>
      <c r="Q78" s="10"/>
    </row>
    <row r="79" spans="9:27" x14ac:dyDescent="0.35">
      <c r="I79" s="108"/>
      <c r="J79" s="1" t="s">
        <v>277</v>
      </c>
      <c r="K79" s="1" t="s">
        <v>274</v>
      </c>
      <c r="L79" s="61">
        <v>2</v>
      </c>
      <c r="M79" s="61">
        <v>0</v>
      </c>
      <c r="N79" s="60">
        <v>0</v>
      </c>
      <c r="O79" s="61">
        <v>0</v>
      </c>
      <c r="P79" s="61">
        <v>2</v>
      </c>
      <c r="Q79" s="60">
        <v>0</v>
      </c>
    </row>
    <row r="80" spans="9:27" x14ac:dyDescent="0.35">
      <c r="I80" s="108"/>
      <c r="J80" s="1"/>
      <c r="K80" s="1" t="s">
        <v>276</v>
      </c>
      <c r="L80" s="10">
        <v>2</v>
      </c>
      <c r="M80" s="10">
        <v>0</v>
      </c>
      <c r="N80" s="10">
        <v>6</v>
      </c>
      <c r="O80" s="10">
        <v>0</v>
      </c>
      <c r="P80" s="10">
        <v>2</v>
      </c>
      <c r="Q80" s="10">
        <v>1</v>
      </c>
    </row>
    <row r="81" spans="9:24" x14ac:dyDescent="0.35">
      <c r="J81" s="1" t="s">
        <v>321</v>
      </c>
      <c r="K81" s="1" t="s">
        <v>274</v>
      </c>
      <c r="L81" s="62">
        <f>L76+L79</f>
        <v>3</v>
      </c>
      <c r="M81" s="62">
        <f t="shared" ref="M81:Q81" si="10">M76+M79</f>
        <v>5</v>
      </c>
      <c r="N81" s="62">
        <f t="shared" si="10"/>
        <v>1</v>
      </c>
      <c r="O81" s="62">
        <f t="shared" si="10"/>
        <v>0</v>
      </c>
      <c r="P81" s="62">
        <f t="shared" si="10"/>
        <v>4</v>
      </c>
      <c r="Q81" s="62">
        <f t="shared" si="10"/>
        <v>1</v>
      </c>
    </row>
    <row r="82" spans="9:24" x14ac:dyDescent="0.35">
      <c r="J82" s="1" t="s">
        <v>321</v>
      </c>
      <c r="K82" s="1" t="s">
        <v>276</v>
      </c>
      <c r="L82" s="10">
        <f>L77+L80</f>
        <v>3</v>
      </c>
      <c r="M82" s="10">
        <f t="shared" ref="M82:Q82" si="11">M77+M80</f>
        <v>5</v>
      </c>
      <c r="N82" s="10">
        <f t="shared" si="11"/>
        <v>7</v>
      </c>
      <c r="O82" s="10">
        <f t="shared" si="11"/>
        <v>1</v>
      </c>
      <c r="P82" s="10">
        <f t="shared" si="11"/>
        <v>4</v>
      </c>
      <c r="Q82" s="10">
        <f t="shared" si="11"/>
        <v>4</v>
      </c>
    </row>
    <row r="84" spans="9:24" x14ac:dyDescent="0.35">
      <c r="I84" s="8"/>
      <c r="J84" s="1"/>
      <c r="K84" s="1"/>
      <c r="L84" s="55" t="s">
        <v>278</v>
      </c>
      <c r="M84" s="55" t="s">
        <v>279</v>
      </c>
      <c r="N84" s="55" t="s">
        <v>280</v>
      </c>
      <c r="O84" s="55" t="s">
        <v>281</v>
      </c>
      <c r="P84" s="55" t="s">
        <v>282</v>
      </c>
      <c r="Q84" s="55" t="s">
        <v>283</v>
      </c>
    </row>
    <row r="85" spans="9:24" x14ac:dyDescent="0.35">
      <c r="I85" s="108" t="s">
        <v>320</v>
      </c>
      <c r="J85" s="1" t="s">
        <v>275</v>
      </c>
      <c r="K85" s="1" t="s">
        <v>274</v>
      </c>
      <c r="L85" s="57">
        <v>2</v>
      </c>
      <c r="M85" s="58">
        <v>2</v>
      </c>
      <c r="N85" s="58">
        <v>2</v>
      </c>
      <c r="O85" s="59">
        <v>4</v>
      </c>
      <c r="P85" s="63">
        <v>3</v>
      </c>
      <c r="Q85" s="61">
        <v>1</v>
      </c>
    </row>
    <row r="86" spans="9:24" x14ac:dyDescent="0.35">
      <c r="I86" s="108"/>
      <c r="J86" s="1"/>
      <c r="K86" s="1" t="s">
        <v>276</v>
      </c>
      <c r="L86" s="10">
        <v>2</v>
      </c>
      <c r="M86" s="10">
        <v>2</v>
      </c>
      <c r="N86" s="10">
        <v>2</v>
      </c>
      <c r="O86" s="10">
        <v>3</v>
      </c>
      <c r="P86" s="10">
        <v>2</v>
      </c>
      <c r="Q86" s="10">
        <v>1</v>
      </c>
    </row>
    <row r="87" spans="9:24" x14ac:dyDescent="0.35">
      <c r="I87" s="108"/>
      <c r="J87" s="1"/>
      <c r="K87" s="1"/>
      <c r="L87" s="10"/>
      <c r="M87" s="10"/>
      <c r="N87" s="10"/>
      <c r="O87" s="10"/>
      <c r="P87" s="10"/>
      <c r="Q87" s="10"/>
    </row>
    <row r="88" spans="9:24" x14ac:dyDescent="0.35">
      <c r="I88" s="108"/>
      <c r="J88" s="1" t="s">
        <v>277</v>
      </c>
      <c r="K88" s="1" t="s">
        <v>274</v>
      </c>
      <c r="L88" s="61">
        <v>0</v>
      </c>
      <c r="M88" s="61">
        <v>1</v>
      </c>
      <c r="N88" s="61">
        <v>0</v>
      </c>
      <c r="O88" s="60">
        <v>3</v>
      </c>
      <c r="P88" s="60">
        <v>3</v>
      </c>
      <c r="Q88" s="60">
        <v>3</v>
      </c>
    </row>
    <row r="89" spans="9:24" x14ac:dyDescent="0.35">
      <c r="I89" s="108"/>
      <c r="J89" s="1"/>
      <c r="K89" s="1" t="s">
        <v>276</v>
      </c>
      <c r="L89" s="10">
        <v>0</v>
      </c>
      <c r="M89" s="10">
        <v>1</v>
      </c>
      <c r="N89" s="10">
        <v>0</v>
      </c>
      <c r="O89" s="10">
        <v>2</v>
      </c>
      <c r="P89" s="10">
        <v>1</v>
      </c>
      <c r="Q89" s="10">
        <v>0</v>
      </c>
    </row>
    <row r="90" spans="9:24" x14ac:dyDescent="0.35">
      <c r="J90" s="1" t="s">
        <v>321</v>
      </c>
      <c r="K90" s="1" t="s">
        <v>274</v>
      </c>
      <c r="L90" s="62">
        <f>L85+L88</f>
        <v>2</v>
      </c>
      <c r="M90" s="62">
        <f t="shared" ref="M90:Q90" si="12">M85+M88</f>
        <v>3</v>
      </c>
      <c r="N90" s="62">
        <f t="shared" si="12"/>
        <v>2</v>
      </c>
      <c r="O90" s="62">
        <f t="shared" si="12"/>
        <v>7</v>
      </c>
      <c r="P90" s="62">
        <f t="shared" si="12"/>
        <v>6</v>
      </c>
      <c r="Q90" s="62">
        <f t="shared" si="12"/>
        <v>4</v>
      </c>
    </row>
    <row r="91" spans="9:24" x14ac:dyDescent="0.35">
      <c r="J91" s="1" t="s">
        <v>321</v>
      </c>
      <c r="K91" s="1" t="s">
        <v>276</v>
      </c>
      <c r="L91" s="10">
        <f>L86+L89</f>
        <v>2</v>
      </c>
      <c r="M91" s="10">
        <f t="shared" ref="M91:Q91" si="13">M86+M89</f>
        <v>3</v>
      </c>
      <c r="N91" s="10">
        <f t="shared" si="13"/>
        <v>2</v>
      </c>
      <c r="O91" s="10">
        <f t="shared" si="13"/>
        <v>5</v>
      </c>
      <c r="P91" s="10">
        <f t="shared" si="13"/>
        <v>3</v>
      </c>
      <c r="Q91" s="10">
        <f t="shared" si="13"/>
        <v>1</v>
      </c>
      <c r="X91">
        <f>148/212</f>
        <v>0.69811320754716977</v>
      </c>
    </row>
    <row r="94" spans="9:24" x14ac:dyDescent="0.35">
      <c r="I94" s="101" t="s">
        <v>286</v>
      </c>
      <c r="J94" s="1"/>
      <c r="K94" s="1"/>
      <c r="L94" s="56" t="s">
        <v>278</v>
      </c>
      <c r="M94" s="56" t="s">
        <v>279</v>
      </c>
      <c r="N94" s="56" t="s">
        <v>280</v>
      </c>
      <c r="O94" s="56" t="s">
        <v>281</v>
      </c>
      <c r="P94" s="56" t="s">
        <v>282</v>
      </c>
      <c r="Q94" s="56" t="s">
        <v>283</v>
      </c>
    </row>
    <row r="95" spans="9:24" x14ac:dyDescent="0.35">
      <c r="I95" s="102"/>
      <c r="J95" s="1" t="s">
        <v>324</v>
      </c>
      <c r="K95" s="1" t="s">
        <v>274</v>
      </c>
      <c r="L95" s="68">
        <v>7433</v>
      </c>
      <c r="M95" s="68">
        <v>6233</v>
      </c>
      <c r="N95" s="68">
        <v>16903</v>
      </c>
      <c r="O95" s="68">
        <v>8355</v>
      </c>
      <c r="P95" s="68">
        <v>8658.5</v>
      </c>
      <c r="Q95" s="68">
        <v>7013.0000000000009</v>
      </c>
    </row>
    <row r="96" spans="9:24" x14ac:dyDescent="0.35">
      <c r="I96" s="103"/>
      <c r="J96" s="1"/>
      <c r="K96" s="1" t="s">
        <v>276</v>
      </c>
      <c r="L96" s="1">
        <v>7709</v>
      </c>
      <c r="M96" s="1">
        <v>6373</v>
      </c>
      <c r="N96" s="1">
        <v>17002</v>
      </c>
      <c r="O96" s="1">
        <v>8562</v>
      </c>
      <c r="P96" s="1">
        <v>8274</v>
      </c>
      <c r="Q96" s="1">
        <v>8568</v>
      </c>
    </row>
    <row r="98" spans="9:17" x14ac:dyDescent="0.35">
      <c r="I98" s="101" t="s">
        <v>320</v>
      </c>
      <c r="J98" s="1"/>
      <c r="K98" s="1"/>
      <c r="L98" s="56" t="s">
        <v>278</v>
      </c>
      <c r="M98" s="56" t="s">
        <v>279</v>
      </c>
      <c r="N98" s="56" t="s">
        <v>280</v>
      </c>
      <c r="O98" s="56" t="s">
        <v>281</v>
      </c>
      <c r="P98" s="56" t="s">
        <v>282</v>
      </c>
      <c r="Q98" s="56" t="s">
        <v>283</v>
      </c>
    </row>
    <row r="99" spans="9:17" x14ac:dyDescent="0.35">
      <c r="I99" s="102"/>
      <c r="J99" s="1" t="s">
        <v>324</v>
      </c>
      <c r="K99" s="1" t="s">
        <v>274</v>
      </c>
      <c r="L99" s="68">
        <v>2988</v>
      </c>
      <c r="M99" s="68">
        <v>3627</v>
      </c>
      <c r="N99" s="68">
        <v>2411.5</v>
      </c>
      <c r="O99" s="68">
        <v>2294</v>
      </c>
      <c r="P99" s="68">
        <v>4183</v>
      </c>
      <c r="Q99" s="68">
        <v>3275</v>
      </c>
    </row>
    <row r="100" spans="9:17" x14ac:dyDescent="0.35">
      <c r="I100" s="103"/>
      <c r="J100" s="1"/>
      <c r="K100" s="1" t="s">
        <v>276</v>
      </c>
      <c r="L100" s="1">
        <v>2012</v>
      </c>
      <c r="M100" s="1">
        <v>2037</v>
      </c>
      <c r="N100" s="1">
        <v>2127</v>
      </c>
      <c r="O100" s="1">
        <v>880</v>
      </c>
      <c r="P100" s="1">
        <v>1768</v>
      </c>
      <c r="Q100" s="1">
        <v>2025</v>
      </c>
    </row>
    <row r="103" spans="9:17" x14ac:dyDescent="0.35">
      <c r="I103" s="101" t="s">
        <v>307</v>
      </c>
      <c r="J103" s="1"/>
      <c r="K103" s="1"/>
      <c r="L103" s="56" t="s">
        <v>278</v>
      </c>
      <c r="M103" s="56" t="s">
        <v>279</v>
      </c>
      <c r="N103" s="56" t="s">
        <v>280</v>
      </c>
      <c r="O103" s="56" t="s">
        <v>281</v>
      </c>
      <c r="P103" s="56" t="s">
        <v>282</v>
      </c>
      <c r="Q103" s="56" t="s">
        <v>283</v>
      </c>
    </row>
    <row r="104" spans="9:17" x14ac:dyDescent="0.35">
      <c r="I104" s="102"/>
      <c r="J104" s="1" t="s">
        <v>324</v>
      </c>
      <c r="K104" s="1" t="s">
        <v>274</v>
      </c>
      <c r="L104" s="68">
        <v>3786</v>
      </c>
      <c r="M104" s="68">
        <v>3598</v>
      </c>
      <c r="N104" s="68">
        <v>4727</v>
      </c>
      <c r="O104" s="68">
        <v>4143</v>
      </c>
      <c r="P104" s="68">
        <v>4269</v>
      </c>
      <c r="Q104" s="68">
        <v>5333</v>
      </c>
    </row>
    <row r="105" spans="9:17" x14ac:dyDescent="0.35">
      <c r="I105" s="103"/>
      <c r="J105" s="1"/>
      <c r="K105" s="1" t="s">
        <v>276</v>
      </c>
      <c r="L105" s="1">
        <v>3210</v>
      </c>
      <c r="M105" s="1">
        <v>2953</v>
      </c>
      <c r="N105" s="1">
        <v>4172</v>
      </c>
      <c r="O105" s="1">
        <v>3262</v>
      </c>
      <c r="P105" s="1">
        <v>3595</v>
      </c>
      <c r="Q105" s="1">
        <v>4712</v>
      </c>
    </row>
    <row r="108" spans="9:17" ht="33" x14ac:dyDescent="0.35">
      <c r="I108" s="100" t="s">
        <v>307</v>
      </c>
      <c r="J108" s="100" t="s">
        <v>327</v>
      </c>
      <c r="K108" s="69" t="s">
        <v>325</v>
      </c>
      <c r="L108" s="70">
        <v>46048</v>
      </c>
      <c r="M108" s="70">
        <v>46079</v>
      </c>
      <c r="N108" s="70">
        <v>46107</v>
      </c>
      <c r="O108" s="70">
        <v>46138</v>
      </c>
      <c r="P108" s="70">
        <v>46168</v>
      </c>
      <c r="Q108" s="70">
        <v>46199</v>
      </c>
    </row>
    <row r="109" spans="9:17" ht="33" x14ac:dyDescent="0.35">
      <c r="I109" s="100"/>
      <c r="J109" s="100"/>
      <c r="K109" s="71" t="s">
        <v>326</v>
      </c>
      <c r="L109" s="72">
        <v>3786</v>
      </c>
      <c r="M109" s="72">
        <v>3598</v>
      </c>
      <c r="N109" s="72">
        <v>4727</v>
      </c>
      <c r="O109" s="72">
        <v>4143</v>
      </c>
      <c r="P109" s="72">
        <v>4278</v>
      </c>
      <c r="Q109" s="72">
        <v>5324</v>
      </c>
    </row>
    <row r="110" spans="9:17" ht="16.5" x14ac:dyDescent="0.35">
      <c r="I110" s="100"/>
      <c r="J110" s="100"/>
      <c r="K110" s="71" t="s">
        <v>308</v>
      </c>
      <c r="L110" s="72">
        <v>1558</v>
      </c>
      <c r="M110" s="72">
        <v>1299</v>
      </c>
      <c r="N110" s="72">
        <v>1657</v>
      </c>
      <c r="O110" s="72">
        <v>1490</v>
      </c>
      <c r="P110" s="72">
        <v>1544</v>
      </c>
      <c r="Q110" s="72">
        <v>1867</v>
      </c>
    </row>
    <row r="111" spans="9:17" ht="16.5" x14ac:dyDescent="0.35">
      <c r="I111" s="100"/>
      <c r="J111" s="100"/>
      <c r="K111" s="71" t="s">
        <v>309</v>
      </c>
      <c r="L111" s="72">
        <v>2228</v>
      </c>
      <c r="M111" s="72">
        <v>2299</v>
      </c>
      <c r="N111" s="72">
        <v>3070</v>
      </c>
      <c r="O111" s="72">
        <v>2653</v>
      </c>
      <c r="P111" s="72">
        <v>2734</v>
      </c>
      <c r="Q111" s="72">
        <v>3457</v>
      </c>
    </row>
    <row r="114" spans="9:28" ht="33" x14ac:dyDescent="0.35">
      <c r="I114" s="100" t="s">
        <v>313</v>
      </c>
      <c r="J114" s="100" t="s">
        <v>327</v>
      </c>
      <c r="K114" s="69" t="s">
        <v>325</v>
      </c>
      <c r="L114" s="70">
        <v>46048</v>
      </c>
      <c r="M114" s="70">
        <v>46079</v>
      </c>
      <c r="N114" s="70">
        <v>46107</v>
      </c>
      <c r="O114" s="70">
        <v>46138</v>
      </c>
      <c r="P114" s="70">
        <v>46168</v>
      </c>
      <c r="Q114" s="70">
        <v>46199</v>
      </c>
    </row>
    <row r="115" spans="9:28" ht="33" x14ac:dyDescent="0.35">
      <c r="I115" s="100"/>
      <c r="J115" s="100"/>
      <c r="K115" s="71" t="s">
        <v>326</v>
      </c>
      <c r="L115" s="74">
        <f t="shared" ref="L115:Q115" si="14">SUM(L116:L117)</f>
        <v>2970</v>
      </c>
      <c r="M115" s="74">
        <f t="shared" si="14"/>
        <v>3062</v>
      </c>
      <c r="N115" s="74">
        <f t="shared" si="14"/>
        <v>3732</v>
      </c>
      <c r="O115" s="74">
        <f t="shared" si="14"/>
        <v>3261</v>
      </c>
      <c r="P115" s="74">
        <f t="shared" si="14"/>
        <v>3715</v>
      </c>
      <c r="Q115" s="74">
        <f t="shared" si="14"/>
        <v>4012</v>
      </c>
    </row>
    <row r="116" spans="9:28" ht="16.5" x14ac:dyDescent="0.35">
      <c r="I116" s="100"/>
      <c r="J116" s="100"/>
      <c r="K116" s="73" t="s">
        <v>318</v>
      </c>
      <c r="L116" s="1">
        <v>1884</v>
      </c>
      <c r="M116" s="1">
        <v>2016</v>
      </c>
      <c r="N116" s="1">
        <v>2508</v>
      </c>
      <c r="O116" s="1">
        <v>2156</v>
      </c>
      <c r="P116" s="1">
        <v>2485</v>
      </c>
      <c r="Q116" s="1">
        <v>2701</v>
      </c>
    </row>
    <row r="117" spans="9:28" ht="16.5" x14ac:dyDescent="0.35">
      <c r="I117" s="100"/>
      <c r="J117" s="100"/>
      <c r="K117" s="73" t="s">
        <v>330</v>
      </c>
      <c r="L117" s="1">
        <v>1086</v>
      </c>
      <c r="M117" s="1">
        <v>1046</v>
      </c>
      <c r="N117" s="1">
        <v>1224</v>
      </c>
      <c r="O117" s="1">
        <v>1105</v>
      </c>
      <c r="P117" s="1">
        <v>1230</v>
      </c>
      <c r="Q117" s="1">
        <v>1311</v>
      </c>
    </row>
    <row r="118" spans="9:28" x14ac:dyDescent="0.35">
      <c r="W118">
        <v>2970</v>
      </c>
      <c r="X118">
        <v>3062</v>
      </c>
      <c r="Y118">
        <v>3732</v>
      </c>
      <c r="Z118">
        <v>3261</v>
      </c>
      <c r="AA118">
        <v>3715</v>
      </c>
      <c r="AB118">
        <v>4012</v>
      </c>
    </row>
    <row r="119" spans="9:28" ht="33" x14ac:dyDescent="0.35">
      <c r="I119" t="s">
        <v>313</v>
      </c>
      <c r="J119" t="s">
        <v>334</v>
      </c>
      <c r="K119" s="75" t="s">
        <v>335</v>
      </c>
      <c r="L119">
        <v>2901</v>
      </c>
      <c r="M119">
        <v>3036</v>
      </c>
      <c r="N119">
        <v>3729</v>
      </c>
      <c r="O119">
        <v>3263</v>
      </c>
      <c r="P119">
        <v>3709</v>
      </c>
      <c r="Q119">
        <v>4006</v>
      </c>
    </row>
    <row r="120" spans="9:28" x14ac:dyDescent="0.35">
      <c r="L120" s="76">
        <f t="shared" ref="L120:Q120" si="15">(L119-L115)/L115</f>
        <v>-2.3232323232323233E-2</v>
      </c>
      <c r="M120" s="76">
        <f t="shared" si="15"/>
        <v>-8.4911822338340961E-3</v>
      </c>
      <c r="N120" s="76">
        <f t="shared" si="15"/>
        <v>-8.0385852090032153E-4</v>
      </c>
      <c r="O120" s="76">
        <f t="shared" si="15"/>
        <v>6.1330880098129411E-4</v>
      </c>
      <c r="P120" s="76">
        <f t="shared" si="15"/>
        <v>-1.6150740242261105E-3</v>
      </c>
      <c r="Q120" s="76">
        <f t="shared" si="15"/>
        <v>-1.4955134596211367E-3</v>
      </c>
    </row>
    <row r="123" spans="9:28" ht="33" x14ac:dyDescent="0.35">
      <c r="J123" s="69" t="s">
        <v>340</v>
      </c>
      <c r="K123" s="1"/>
      <c r="L123" s="56" t="s">
        <v>327</v>
      </c>
      <c r="M123" s="56" t="s">
        <v>293</v>
      </c>
      <c r="N123" s="56" t="s">
        <v>337</v>
      </c>
    </row>
    <row r="124" spans="9:28" x14ac:dyDescent="0.35">
      <c r="J124" s="1"/>
      <c r="K124" s="1" t="s">
        <v>339</v>
      </c>
      <c r="L124" s="1" t="s">
        <v>336</v>
      </c>
      <c r="M124" s="1" t="s">
        <v>336</v>
      </c>
      <c r="N124" s="1" t="s">
        <v>338</v>
      </c>
    </row>
    <row r="125" spans="9:28" ht="16.5" x14ac:dyDescent="0.35">
      <c r="J125" s="1"/>
      <c r="K125" s="70">
        <v>46048</v>
      </c>
      <c r="L125" s="1">
        <v>2970</v>
      </c>
      <c r="M125" s="1">
        <v>2901</v>
      </c>
      <c r="N125" s="77">
        <f t="shared" ref="N125:N130" si="16">(M125-L125)/L125</f>
        <v>-2.3232323232323233E-2</v>
      </c>
    </row>
    <row r="126" spans="9:28" ht="16.5" x14ac:dyDescent="0.35">
      <c r="J126" s="1"/>
      <c r="K126" s="70">
        <v>46079</v>
      </c>
      <c r="L126" s="1">
        <v>3062</v>
      </c>
      <c r="M126" s="1">
        <v>3036</v>
      </c>
      <c r="N126" s="77">
        <f t="shared" si="16"/>
        <v>-8.4911822338340961E-3</v>
      </c>
    </row>
    <row r="127" spans="9:28" ht="16.5" x14ac:dyDescent="0.35">
      <c r="J127" s="1"/>
      <c r="K127" s="70">
        <v>46107</v>
      </c>
      <c r="L127" s="1">
        <v>3732</v>
      </c>
      <c r="M127" s="1">
        <v>3729</v>
      </c>
      <c r="N127" s="77">
        <f t="shared" si="16"/>
        <v>-8.0385852090032153E-4</v>
      </c>
    </row>
    <row r="128" spans="9:28" ht="16.5" x14ac:dyDescent="0.35">
      <c r="J128" s="1"/>
      <c r="K128" s="70">
        <v>46138</v>
      </c>
      <c r="L128" s="1">
        <v>3261</v>
      </c>
      <c r="M128" s="1">
        <v>3263</v>
      </c>
      <c r="N128" s="77">
        <f t="shared" si="16"/>
        <v>6.1330880098129411E-4</v>
      </c>
    </row>
    <row r="129" spans="9:17" ht="16.5" x14ac:dyDescent="0.35">
      <c r="J129" s="1"/>
      <c r="K129" s="70">
        <v>46168</v>
      </c>
      <c r="L129" s="1">
        <v>3715</v>
      </c>
      <c r="M129" s="1">
        <v>3709</v>
      </c>
      <c r="N129" s="77">
        <f t="shared" si="16"/>
        <v>-1.6150740242261105E-3</v>
      </c>
    </row>
    <row r="130" spans="9:17" ht="16.5" x14ac:dyDescent="0.35">
      <c r="J130" s="1"/>
      <c r="K130" s="70">
        <v>46199</v>
      </c>
      <c r="L130" s="1">
        <v>4012</v>
      </c>
      <c r="M130" s="1">
        <v>4006</v>
      </c>
      <c r="N130" s="77">
        <f t="shared" si="16"/>
        <v>-1.4955134596211367E-3</v>
      </c>
    </row>
    <row r="140" spans="9:17" x14ac:dyDescent="0.35">
      <c r="I140" s="56" t="s">
        <v>349</v>
      </c>
      <c r="J140" s="1"/>
      <c r="K140" s="87" t="s">
        <v>278</v>
      </c>
      <c r="L140" s="88" t="s">
        <v>279</v>
      </c>
      <c r="M140" s="88" t="s">
        <v>280</v>
      </c>
      <c r="N140" s="87" t="s">
        <v>281</v>
      </c>
      <c r="O140" s="89" t="s">
        <v>282</v>
      </c>
      <c r="P140" s="90" t="s">
        <v>283</v>
      </c>
      <c r="Q140" s="91" t="s">
        <v>348</v>
      </c>
    </row>
    <row r="141" spans="9:17" x14ac:dyDescent="0.35">
      <c r="I141" s="1" t="s">
        <v>274</v>
      </c>
      <c r="J141" s="1" t="s">
        <v>110</v>
      </c>
      <c r="K141" s="1">
        <v>618</v>
      </c>
      <c r="L141" s="1">
        <v>727</v>
      </c>
      <c r="M141" s="1">
        <v>816</v>
      </c>
      <c r="N141" s="1">
        <v>927</v>
      </c>
      <c r="O141" s="1">
        <v>934</v>
      </c>
      <c r="P141" s="1">
        <v>1097</v>
      </c>
      <c r="Q141" s="1">
        <v>1117</v>
      </c>
    </row>
    <row r="142" spans="9:17" x14ac:dyDescent="0.35">
      <c r="I142" s="1"/>
      <c r="J142" s="1" t="s">
        <v>350</v>
      </c>
      <c r="K142" s="1">
        <v>201</v>
      </c>
      <c r="L142" s="1">
        <v>145</v>
      </c>
      <c r="M142" s="1">
        <v>131</v>
      </c>
      <c r="N142" s="1">
        <v>111</v>
      </c>
      <c r="O142" s="1">
        <v>128</v>
      </c>
      <c r="P142" s="1">
        <v>150</v>
      </c>
      <c r="Q142" s="1">
        <v>147</v>
      </c>
    </row>
    <row r="143" spans="9:17" x14ac:dyDescent="0.35">
      <c r="I143" s="1"/>
      <c r="J143" s="1"/>
      <c r="K143" s="1"/>
      <c r="L143" s="1"/>
      <c r="M143" s="1">
        <f>M142/SUM(K141:M141)</f>
        <v>6.0620083294770942E-2</v>
      </c>
      <c r="N143" s="1">
        <f>N142/SUM(L141:N141)</f>
        <v>4.4939271255060725E-2</v>
      </c>
      <c r="O143" s="1">
        <f t="shared" ref="O143:P143" si="17">O142/SUM(M141:O141)</f>
        <v>4.7814717967874489E-2</v>
      </c>
      <c r="P143" s="1">
        <f t="shared" si="17"/>
        <v>5.0709939148073022E-2</v>
      </c>
      <c r="Q143" s="1">
        <f>Q142/SUM(O141:Q141)</f>
        <v>4.6696315120711561E-2</v>
      </c>
    </row>
    <row r="145" spans="9:17" x14ac:dyDescent="0.35">
      <c r="I145" s="56" t="s">
        <v>349</v>
      </c>
      <c r="J145" s="1"/>
      <c r="K145" s="87" t="s">
        <v>278</v>
      </c>
      <c r="L145" s="88" t="s">
        <v>279</v>
      </c>
      <c r="M145" s="88" t="s">
        <v>280</v>
      </c>
      <c r="N145" s="87" t="s">
        <v>281</v>
      </c>
      <c r="O145" s="89" t="s">
        <v>282</v>
      </c>
      <c r="P145" s="90" t="s">
        <v>283</v>
      </c>
      <c r="Q145" s="91" t="s">
        <v>348</v>
      </c>
    </row>
    <row r="146" spans="9:17" x14ac:dyDescent="0.35">
      <c r="I146" s="1" t="s">
        <v>293</v>
      </c>
      <c r="J146" s="1" t="s">
        <v>110</v>
      </c>
      <c r="K146" s="1">
        <v>618</v>
      </c>
      <c r="L146" s="1">
        <v>727</v>
      </c>
      <c r="M146" s="1">
        <v>816</v>
      </c>
      <c r="N146" s="1">
        <v>927</v>
      </c>
      <c r="O146" s="1">
        <v>934</v>
      </c>
      <c r="P146" s="1">
        <v>1097</v>
      </c>
      <c r="Q146" s="1">
        <v>1118</v>
      </c>
    </row>
    <row r="147" spans="9:17" x14ac:dyDescent="0.35">
      <c r="I147" s="1"/>
      <c r="J147" s="1" t="s">
        <v>350</v>
      </c>
      <c r="K147" s="1">
        <v>30</v>
      </c>
      <c r="L147" s="1">
        <v>30</v>
      </c>
      <c r="M147" s="1">
        <v>33</v>
      </c>
      <c r="N147" s="1">
        <v>34</v>
      </c>
      <c r="O147" s="1">
        <v>37</v>
      </c>
      <c r="P147" s="1">
        <v>51</v>
      </c>
      <c r="Q147" s="1">
        <v>47</v>
      </c>
    </row>
    <row r="148" spans="9:17" x14ac:dyDescent="0.35">
      <c r="I148" s="1"/>
      <c r="J148" s="1"/>
      <c r="K148" s="1"/>
      <c r="L148" s="1"/>
      <c r="M148" s="1">
        <f>M147/SUM(K146:M146)</f>
        <v>1.5270708005552984E-2</v>
      </c>
      <c r="N148" s="1">
        <f>N147/SUM(L146:N146)</f>
        <v>1.3765182186234818E-2</v>
      </c>
      <c r="O148" s="1">
        <f t="shared" ref="O148" si="18">O147/SUM(M146:O146)</f>
        <v>1.3821441912588718E-2</v>
      </c>
      <c r="P148" s="1">
        <f t="shared" ref="P148" si="19">P147/SUM(N146:P146)</f>
        <v>1.7241379310344827E-2</v>
      </c>
      <c r="Q148" s="1">
        <f>Q147/SUM(O146:Q146)</f>
        <v>1.4925373134328358E-2</v>
      </c>
    </row>
    <row r="151" spans="9:17" x14ac:dyDescent="0.35">
      <c r="I151" s="56" t="s">
        <v>351</v>
      </c>
      <c r="J151" s="1"/>
      <c r="K151" s="87" t="s">
        <v>278</v>
      </c>
      <c r="L151" s="88" t="s">
        <v>279</v>
      </c>
      <c r="M151" s="88" t="s">
        <v>280</v>
      </c>
      <c r="N151" s="87" t="s">
        <v>281</v>
      </c>
      <c r="O151" s="89" t="s">
        <v>282</v>
      </c>
      <c r="P151" s="90" t="s">
        <v>283</v>
      </c>
      <c r="Q151" s="91" t="s">
        <v>348</v>
      </c>
    </row>
    <row r="152" spans="9:17" x14ac:dyDescent="0.35">
      <c r="I152" s="1" t="s">
        <v>274</v>
      </c>
      <c r="J152" s="1" t="s">
        <v>110</v>
      </c>
      <c r="K152" s="1">
        <v>227</v>
      </c>
      <c r="L152" s="1">
        <v>162</v>
      </c>
      <c r="M152" s="1">
        <v>602</v>
      </c>
      <c r="N152" s="1">
        <v>475</v>
      </c>
      <c r="O152" s="1">
        <v>489</v>
      </c>
      <c r="P152" s="1">
        <v>495</v>
      </c>
      <c r="Q152" s="1">
        <v>476</v>
      </c>
    </row>
    <row r="153" spans="9:17" x14ac:dyDescent="0.35">
      <c r="I153" s="1"/>
      <c r="J153" s="1" t="s">
        <v>350</v>
      </c>
      <c r="K153" s="1">
        <v>5</v>
      </c>
      <c r="L153" s="1">
        <v>15</v>
      </c>
      <c r="M153" s="1">
        <v>26</v>
      </c>
      <c r="N153" s="1">
        <v>30</v>
      </c>
      <c r="O153" s="1">
        <v>34</v>
      </c>
      <c r="P153" s="1">
        <v>44</v>
      </c>
      <c r="Q153" s="1">
        <v>50</v>
      </c>
    </row>
    <row r="154" spans="9:17" x14ac:dyDescent="0.35">
      <c r="I154" s="1"/>
      <c r="J154" s="1"/>
      <c r="K154" s="1"/>
      <c r="L154" s="1"/>
      <c r="M154" s="1">
        <f>M153/SUM(K152:M152)</f>
        <v>2.6236125126135216E-2</v>
      </c>
      <c r="N154" s="1">
        <f>N153/SUM(L152:N152)</f>
        <v>2.4213075060532687E-2</v>
      </c>
      <c r="O154" s="1">
        <f t="shared" ref="O154" si="20">O153/SUM(M152:O152)</f>
        <v>2.1711366538952746E-2</v>
      </c>
      <c r="P154" s="1">
        <f t="shared" ref="P154" si="21">P153/SUM(N152:P152)</f>
        <v>3.015764222069911E-2</v>
      </c>
      <c r="Q154" s="1">
        <f>Q153/SUM(O152:Q152)</f>
        <v>3.4246575342465752E-2</v>
      </c>
    </row>
    <row r="156" spans="9:17" x14ac:dyDescent="0.35">
      <c r="I156" s="56" t="s">
        <v>351</v>
      </c>
      <c r="J156" s="1"/>
      <c r="K156" s="87" t="s">
        <v>278</v>
      </c>
      <c r="L156" s="88" t="s">
        <v>279</v>
      </c>
      <c r="M156" s="88" t="s">
        <v>280</v>
      </c>
      <c r="N156" s="87" t="s">
        <v>281</v>
      </c>
      <c r="O156" s="89" t="s">
        <v>282</v>
      </c>
      <c r="P156" s="90" t="s">
        <v>283</v>
      </c>
      <c r="Q156" s="91" t="s">
        <v>348</v>
      </c>
    </row>
    <row r="157" spans="9:17" x14ac:dyDescent="0.35">
      <c r="I157" s="1" t="s">
        <v>293</v>
      </c>
      <c r="J157" s="1" t="s">
        <v>110</v>
      </c>
      <c r="K157" s="1">
        <v>227</v>
      </c>
      <c r="L157" s="1">
        <v>162</v>
      </c>
      <c r="M157" s="1">
        <v>605</v>
      </c>
      <c r="N157" s="1">
        <v>475</v>
      </c>
      <c r="O157" s="1">
        <v>489</v>
      </c>
      <c r="P157" s="1">
        <v>495</v>
      </c>
      <c r="Q157" s="1">
        <v>476</v>
      </c>
    </row>
    <row r="158" spans="9:17" x14ac:dyDescent="0.35">
      <c r="I158" s="1"/>
      <c r="J158" s="1" t="s">
        <v>350</v>
      </c>
      <c r="K158" s="1">
        <v>9</v>
      </c>
      <c r="L158" s="1">
        <v>4</v>
      </c>
      <c r="M158" s="1">
        <v>3</v>
      </c>
      <c r="N158" s="1">
        <v>4</v>
      </c>
      <c r="O158" s="1">
        <v>4</v>
      </c>
      <c r="P158" s="1">
        <v>4</v>
      </c>
      <c r="Q158" s="1">
        <v>5</v>
      </c>
    </row>
    <row r="159" spans="9:17" x14ac:dyDescent="0.35">
      <c r="I159" s="1"/>
      <c r="J159" s="1"/>
      <c r="K159" s="1"/>
      <c r="L159" s="1"/>
      <c r="M159" s="1">
        <f>M158/SUM(K157:M157)</f>
        <v>3.0181086519114686E-3</v>
      </c>
      <c r="N159" s="1">
        <f>N158/SUM(L157:N157)</f>
        <v>3.2206119162640902E-3</v>
      </c>
      <c r="O159" s="1">
        <f t="shared" ref="O159" si="22">O158/SUM(M157:O157)</f>
        <v>2.5493945188017845E-3</v>
      </c>
      <c r="P159" s="1">
        <f t="shared" ref="P159" si="23">P158/SUM(N157:P157)</f>
        <v>2.7416038382453737E-3</v>
      </c>
      <c r="Q159" s="1">
        <f>Q158/SUM(O157:Q157)</f>
        <v>3.4246575342465752E-3</v>
      </c>
    </row>
  </sheetData>
  <mergeCells count="16">
    <mergeCell ref="I114:I117"/>
    <mergeCell ref="J114:J117"/>
    <mergeCell ref="J47:J48"/>
    <mergeCell ref="I41:I48"/>
    <mergeCell ref="J44:J45"/>
    <mergeCell ref="J41:J42"/>
    <mergeCell ref="I76:I80"/>
    <mergeCell ref="I85:I89"/>
    <mergeCell ref="J108:J111"/>
    <mergeCell ref="I20:I24"/>
    <mergeCell ref="I26:I30"/>
    <mergeCell ref="I34:I38"/>
    <mergeCell ref="I108:I111"/>
    <mergeCell ref="I94:I96"/>
    <mergeCell ref="I98:I100"/>
    <mergeCell ref="I103:I105"/>
  </mergeCells>
  <conditionalFormatting sqref="K140:Q140">
    <cfRule type="cellIs" dxfId="36" priority="7" operator="lessThan">
      <formula>0</formula>
    </cfRule>
    <cfRule type="containsErrors" dxfId="35" priority="8">
      <formula>ISERROR(K140)</formula>
    </cfRule>
  </conditionalFormatting>
  <conditionalFormatting sqref="K145:Q145">
    <cfRule type="cellIs" dxfId="34" priority="5" operator="lessThan">
      <formula>0</formula>
    </cfRule>
    <cfRule type="containsErrors" dxfId="33" priority="6">
      <formula>ISERROR(K145)</formula>
    </cfRule>
  </conditionalFormatting>
  <conditionalFormatting sqref="K151:Q151">
    <cfRule type="cellIs" dxfId="32" priority="3" operator="lessThan">
      <formula>0</formula>
    </cfRule>
    <cfRule type="containsErrors" dxfId="31" priority="4">
      <formula>ISERROR(K151)</formula>
    </cfRule>
  </conditionalFormatting>
  <conditionalFormatting sqref="K156:Q156">
    <cfRule type="cellIs" dxfId="30" priority="1" operator="lessThan">
      <formula>0</formula>
    </cfRule>
    <cfRule type="containsErrors" dxfId="29" priority="2">
      <formula>ISERROR(K156)</formula>
    </cfRule>
  </conditionalFormatting>
  <conditionalFormatting sqref="L20:Q20">
    <cfRule type="containsErrors" dxfId="28" priority="43">
      <formula>ISERROR(L20)</formula>
    </cfRule>
    <cfRule type="cellIs" dxfId="27" priority="42" operator="lessThan">
      <formula>0</formula>
    </cfRule>
  </conditionalFormatting>
  <conditionalFormatting sqref="L26:Q26">
    <cfRule type="cellIs" dxfId="26" priority="40" operator="lessThan">
      <formula>0</formula>
    </cfRule>
    <cfRule type="containsErrors" dxfId="25" priority="41">
      <formula>ISERROR(L26)</formula>
    </cfRule>
  </conditionalFormatting>
  <conditionalFormatting sqref="L29:Q29">
    <cfRule type="cellIs" dxfId="24" priority="38" operator="lessThan">
      <formula>0</formula>
    </cfRule>
    <cfRule type="containsErrors" dxfId="23" priority="39">
      <formula>ISERROR(L29)</formula>
    </cfRule>
  </conditionalFormatting>
  <conditionalFormatting sqref="L34:Q34">
    <cfRule type="cellIs" dxfId="22" priority="35" operator="lessThan">
      <formula>0</formula>
    </cfRule>
    <cfRule type="containsErrors" dxfId="21" priority="36">
      <formula>ISERROR(L34)</formula>
    </cfRule>
  </conditionalFormatting>
  <conditionalFormatting sqref="L37:Q37">
    <cfRule type="cellIs" dxfId="20" priority="32" operator="lessThan">
      <formula>0</formula>
    </cfRule>
    <cfRule type="containsErrors" dxfId="19" priority="33">
      <formula>ISERROR(L37)</formula>
    </cfRule>
  </conditionalFormatting>
  <conditionalFormatting sqref="L41:Q41">
    <cfRule type="cellIs" dxfId="18" priority="23" operator="lessThan">
      <formula>0</formula>
    </cfRule>
    <cfRule type="containsErrors" dxfId="17" priority="24">
      <formula>ISERROR(L41)</formula>
    </cfRule>
  </conditionalFormatting>
  <conditionalFormatting sqref="L44:Q44">
    <cfRule type="containsErrors" dxfId="16" priority="22">
      <formula>ISERROR(L44)</formula>
    </cfRule>
    <cfRule type="cellIs" dxfId="15" priority="21" operator="lessThan">
      <formula>0</formula>
    </cfRule>
  </conditionalFormatting>
  <conditionalFormatting sqref="L76:Q76">
    <cfRule type="cellIs" dxfId="14" priority="15" operator="lessThan">
      <formula>0</formula>
    </cfRule>
    <cfRule type="containsErrors" dxfId="13" priority="16">
      <formula>ISERROR(L76)</formula>
    </cfRule>
  </conditionalFormatting>
  <conditionalFormatting sqref="L79:Q79">
    <cfRule type="cellIs" dxfId="12" priority="13" operator="lessThan">
      <formula>0</formula>
    </cfRule>
    <cfRule type="containsErrors" dxfId="11" priority="14">
      <formula>ISERROR(L79)</formula>
    </cfRule>
  </conditionalFormatting>
  <conditionalFormatting sqref="L85:Q85">
    <cfRule type="cellIs" dxfId="10" priority="11" operator="lessThan">
      <formula>0</formula>
    </cfRule>
    <cfRule type="containsErrors" dxfId="9" priority="12">
      <formula>ISERROR(L85)</formula>
    </cfRule>
  </conditionalFormatting>
  <conditionalFormatting sqref="L88:Q88">
    <cfRule type="cellIs" dxfId="8" priority="9" operator="lessThan">
      <formula>0</formula>
    </cfRule>
    <cfRule type="containsErrors" dxfId="7" priority="10">
      <formula>ISERROR(L88)</formula>
    </cfRule>
  </conditionalFormatting>
  <conditionalFormatting sqref="Q54">
    <cfRule type="cellIs" dxfId="6" priority="19" operator="lessThan">
      <formula>0</formula>
    </cfRule>
    <cfRule type="containsErrors" dxfId="5" priority="20">
      <formula>ISERROR(Q54)</formula>
    </cfRule>
  </conditionalFormatting>
  <conditionalFormatting sqref="V20:X20">
    <cfRule type="expression" dxfId="4" priority="28">
      <formula>COUNTIF(S$5:U$5,"Forecast")=3</formula>
    </cfRule>
    <cfRule type="containsErrors" dxfId="3" priority="29">
      <formula>ISERROR(V20)</formula>
    </cfRule>
  </conditionalFormatting>
  <conditionalFormatting sqref="V20:AA21">
    <cfRule type="cellIs" dxfId="2" priority="25" operator="lessThan">
      <formula>0</formula>
    </cfRule>
  </conditionalFormatting>
  <conditionalFormatting sqref="V21:AA21">
    <cfRule type="containsErrors" dxfId="1" priority="31">
      <formula>ISERROR(V21)</formula>
    </cfRule>
  </conditionalFormatting>
  <conditionalFormatting sqref="Y20:AA20">
    <cfRule type="containsErrors" dxfId="0" priority="26">
      <formula>ISERROR(Y20)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3F96-9D4D-4908-9338-12EDEDF21759}">
  <sheetPr filterMode="1"/>
  <dimension ref="A2:Q262"/>
  <sheetViews>
    <sheetView topLeftCell="A141" workbookViewId="0">
      <selection activeCell="E140" sqref="E140:E146"/>
    </sheetView>
  </sheetViews>
  <sheetFormatPr defaultRowHeight="14.5" x14ac:dyDescent="0.35"/>
  <cols>
    <col min="1" max="1" width="18.54296875" customWidth="1"/>
    <col min="2" max="2" width="12.1796875" customWidth="1"/>
    <col min="3" max="3" width="19.7265625" customWidth="1"/>
    <col min="4" max="4" width="87.26953125" bestFit="1" customWidth="1"/>
    <col min="5" max="5" width="19.81640625" customWidth="1"/>
    <col min="10" max="10" width="42.1796875" bestFit="1" customWidth="1"/>
    <col min="11" max="11" width="15.81640625" bestFit="1" customWidth="1"/>
    <col min="16" max="16" width="42.1796875" bestFit="1" customWidth="1"/>
    <col min="17" max="17" width="12.81640625" customWidth="1"/>
  </cols>
  <sheetData>
    <row r="2" spans="1:17" x14ac:dyDescent="0.35">
      <c r="A2" t="s">
        <v>300</v>
      </c>
      <c r="B2" s="2" t="s">
        <v>0</v>
      </c>
      <c r="C2" s="2" t="s">
        <v>2</v>
      </c>
      <c r="D2" s="2" t="s">
        <v>3</v>
      </c>
      <c r="E2" s="34" t="s">
        <v>299</v>
      </c>
      <c r="G2" s="33" t="s">
        <v>300</v>
      </c>
      <c r="H2" t="s">
        <v>0</v>
      </c>
      <c r="I2" t="s">
        <v>291</v>
      </c>
      <c r="J2" t="s">
        <v>292</v>
      </c>
      <c r="K2" t="s">
        <v>299</v>
      </c>
      <c r="P2" t="s">
        <v>292</v>
      </c>
      <c r="Q2" t="s">
        <v>291</v>
      </c>
    </row>
    <row r="3" spans="1:17" hidden="1" x14ac:dyDescent="0.35">
      <c r="A3" t="str">
        <f>B3&amp;C3</f>
        <v>Hong KongAG0002</v>
      </c>
      <c r="B3" s="13" t="s">
        <v>10</v>
      </c>
      <c r="C3" s="13" t="s">
        <v>11</v>
      </c>
      <c r="D3" s="13" t="s">
        <v>12</v>
      </c>
      <c r="E3" t="e">
        <f>VLOOKUP(A3,G:K,5,FALSE)</f>
        <v>#N/A</v>
      </c>
      <c r="G3" t="str">
        <f>H3&amp;I3</f>
        <v>Hong KongAG0016</v>
      </c>
      <c r="H3" s="30" t="s">
        <v>10</v>
      </c>
      <c r="I3" s="30" t="s">
        <v>15</v>
      </c>
      <c r="J3" s="31" t="s">
        <v>16</v>
      </c>
      <c r="K3" s="32" t="s">
        <v>293</v>
      </c>
      <c r="P3" s="23" t="s">
        <v>16</v>
      </c>
      <c r="Q3" t="str">
        <f>VLOOKUP(P3,KPI_Mapping!B:G,6,FALSE)</f>
        <v>AG0016</v>
      </c>
    </row>
    <row r="4" spans="1:17" hidden="1" x14ac:dyDescent="0.35">
      <c r="A4" t="str">
        <f t="shared" ref="A4:A67" si="0">B4&amp;C4</f>
        <v>Hong KongAG0016</v>
      </c>
      <c r="B4" s="3" t="s">
        <v>10</v>
      </c>
      <c r="C4" s="3" t="s">
        <v>15</v>
      </c>
      <c r="D4" s="3" t="s">
        <v>16</v>
      </c>
      <c r="E4" t="str">
        <f t="shared" ref="E4:E67" si="1">VLOOKUP(A4,G:K,5,FALSE)</f>
        <v>EDL</v>
      </c>
      <c r="G4" t="str">
        <f t="shared" ref="G4:G67" si="2">H4&amp;I4</f>
        <v>Hong KongAG0020</v>
      </c>
      <c r="H4" s="30" t="s">
        <v>10</v>
      </c>
      <c r="I4" s="30" t="s">
        <v>49</v>
      </c>
      <c r="J4" s="31" t="s">
        <v>50</v>
      </c>
      <c r="K4" s="32" t="s">
        <v>293</v>
      </c>
      <c r="P4" s="23" t="s">
        <v>50</v>
      </c>
      <c r="Q4" t="str">
        <f>VLOOKUP(P4,KPI_Mapping!B:G,6,FALSE)</f>
        <v>AG0020</v>
      </c>
    </row>
    <row r="5" spans="1:17" hidden="1" x14ac:dyDescent="0.35">
      <c r="A5" t="str">
        <f t="shared" si="0"/>
        <v>Hong KongAG0016_1</v>
      </c>
      <c r="B5" s="3" t="s">
        <v>10</v>
      </c>
      <c r="C5" s="3" t="s">
        <v>17</v>
      </c>
      <c r="D5" s="3" t="s">
        <v>18</v>
      </c>
      <c r="E5" t="e">
        <f t="shared" si="1"/>
        <v>#N/A</v>
      </c>
      <c r="G5" t="str">
        <f t="shared" si="2"/>
        <v>Hong KongAG0029</v>
      </c>
      <c r="H5" s="30" t="s">
        <v>10</v>
      </c>
      <c r="I5" s="30" t="s">
        <v>85</v>
      </c>
      <c r="J5" s="31" t="s">
        <v>86</v>
      </c>
      <c r="K5" s="32" t="s">
        <v>293</v>
      </c>
      <c r="P5" s="23" t="s">
        <v>86</v>
      </c>
      <c r="Q5" t="str">
        <f>VLOOKUP(P5,KPI_Mapping!B:G,6,FALSE)</f>
        <v>AG0029</v>
      </c>
    </row>
    <row r="6" spans="1:17" hidden="1" x14ac:dyDescent="0.35">
      <c r="A6" t="str">
        <f t="shared" si="0"/>
        <v>Hong KongAG0016_10</v>
      </c>
      <c r="B6" s="3" t="s">
        <v>10</v>
      </c>
      <c r="C6" s="3" t="s">
        <v>19</v>
      </c>
      <c r="D6" s="3" t="s">
        <v>20</v>
      </c>
      <c r="E6" t="e">
        <f t="shared" si="1"/>
        <v>#N/A</v>
      </c>
      <c r="G6" t="str">
        <f t="shared" si="2"/>
        <v>Hong KongAG0038</v>
      </c>
      <c r="H6" s="30" t="s">
        <v>10</v>
      </c>
      <c r="I6" s="30" t="s">
        <v>109</v>
      </c>
      <c r="J6" s="31" t="s">
        <v>110</v>
      </c>
      <c r="K6" s="32" t="s">
        <v>293</v>
      </c>
      <c r="P6" s="23" t="s">
        <v>110</v>
      </c>
      <c r="Q6" t="str">
        <f>VLOOKUP(P6,KPI_Mapping!B:G,6,FALSE)</f>
        <v>AG0038</v>
      </c>
    </row>
    <row r="7" spans="1:17" hidden="1" x14ac:dyDescent="0.35">
      <c r="A7" t="str">
        <f t="shared" si="0"/>
        <v>Hong KongAG0016_11</v>
      </c>
      <c r="B7" s="3" t="s">
        <v>10</v>
      </c>
      <c r="C7" s="3" t="s">
        <v>21</v>
      </c>
      <c r="D7" s="3" t="s">
        <v>22</v>
      </c>
      <c r="E7" t="e">
        <f t="shared" si="1"/>
        <v>#N/A</v>
      </c>
      <c r="G7" t="str">
        <f t="shared" si="2"/>
        <v>Hong KongAG0041</v>
      </c>
      <c r="H7" s="30" t="s">
        <v>10</v>
      </c>
      <c r="I7" s="30" t="s">
        <v>164</v>
      </c>
      <c r="J7" s="31" t="s">
        <v>165</v>
      </c>
      <c r="K7" s="32" t="s">
        <v>293</v>
      </c>
      <c r="P7" s="23" t="s">
        <v>165</v>
      </c>
      <c r="Q7" t="str">
        <f>VLOOKUP(P7,KPI_Mapping!B:G,6,FALSE)</f>
        <v>AG0041</v>
      </c>
    </row>
    <row r="8" spans="1:17" hidden="1" x14ac:dyDescent="0.35">
      <c r="A8" t="str">
        <f t="shared" si="0"/>
        <v>Hong KongAG0016_12</v>
      </c>
      <c r="B8" s="3" t="s">
        <v>10</v>
      </c>
      <c r="C8" s="3" t="s">
        <v>23</v>
      </c>
      <c r="D8" s="3" t="s">
        <v>24</v>
      </c>
      <c r="E8" t="e">
        <f t="shared" si="1"/>
        <v>#N/A</v>
      </c>
      <c r="G8" t="str">
        <f t="shared" si="2"/>
        <v>Hong KongAG0043</v>
      </c>
      <c r="H8" s="30" t="s">
        <v>10</v>
      </c>
      <c r="I8" s="30" t="s">
        <v>214</v>
      </c>
      <c r="J8" s="31" t="s">
        <v>179</v>
      </c>
      <c r="K8" s="32" t="s">
        <v>293</v>
      </c>
      <c r="P8" s="23" t="s">
        <v>179</v>
      </c>
      <c r="Q8" t="str">
        <f>VLOOKUP(P8,KPI_Mapping!B:G,6,FALSE)</f>
        <v>AG0043</v>
      </c>
    </row>
    <row r="9" spans="1:17" hidden="1" x14ac:dyDescent="0.35">
      <c r="A9" t="str">
        <f t="shared" si="0"/>
        <v>Hong KongAG0016_12_1</v>
      </c>
      <c r="B9" s="3" t="s">
        <v>10</v>
      </c>
      <c r="C9" s="3" t="s">
        <v>25</v>
      </c>
      <c r="D9" s="3" t="s">
        <v>26</v>
      </c>
      <c r="E9" t="e">
        <f t="shared" si="1"/>
        <v>#N/A</v>
      </c>
      <c r="G9" t="str">
        <f t="shared" si="2"/>
        <v>Hong KongAG0046</v>
      </c>
      <c r="H9" s="30" t="s">
        <v>10</v>
      </c>
      <c r="I9" s="30" t="s">
        <v>111</v>
      </c>
      <c r="J9" s="31" t="s">
        <v>112</v>
      </c>
      <c r="K9" s="32" t="s">
        <v>293</v>
      </c>
      <c r="P9" s="23" t="s">
        <v>112</v>
      </c>
      <c r="Q9" t="str">
        <f>VLOOKUP(P9,KPI_Mapping!B:G,6,FALSE)</f>
        <v>AG0046</v>
      </c>
    </row>
    <row r="10" spans="1:17" hidden="1" x14ac:dyDescent="0.35">
      <c r="A10" t="str">
        <f t="shared" si="0"/>
        <v>Hong KongAG0016_12_2</v>
      </c>
      <c r="B10" s="3" t="s">
        <v>10</v>
      </c>
      <c r="C10" s="3" t="s">
        <v>27</v>
      </c>
      <c r="D10" s="3" t="s">
        <v>28</v>
      </c>
      <c r="E10" t="e">
        <f t="shared" si="1"/>
        <v>#N/A</v>
      </c>
      <c r="G10" t="str">
        <f t="shared" si="2"/>
        <v>Hong KongAG0051</v>
      </c>
      <c r="H10" s="30" t="s">
        <v>10</v>
      </c>
      <c r="I10" s="30" t="s">
        <v>127</v>
      </c>
      <c r="J10" s="31" t="s">
        <v>128</v>
      </c>
      <c r="K10" s="32" t="s">
        <v>293</v>
      </c>
      <c r="P10" s="23" t="s">
        <v>128</v>
      </c>
      <c r="Q10" t="str">
        <f>VLOOKUP(P10,KPI_Mapping!B:G,6,FALSE)</f>
        <v>AG0051</v>
      </c>
    </row>
    <row r="11" spans="1:17" hidden="1" x14ac:dyDescent="0.35">
      <c r="A11" t="str">
        <f t="shared" si="0"/>
        <v>Hong KongAG0016_12_3</v>
      </c>
      <c r="B11" s="3" t="s">
        <v>10</v>
      </c>
      <c r="C11" s="3" t="s">
        <v>29</v>
      </c>
      <c r="D11" s="3" t="s">
        <v>30</v>
      </c>
      <c r="E11" t="e">
        <f t="shared" si="1"/>
        <v>#N/A</v>
      </c>
      <c r="G11" t="str">
        <f t="shared" si="2"/>
        <v>Hong KongAG0051_1</v>
      </c>
      <c r="H11" s="30" t="s">
        <v>10</v>
      </c>
      <c r="I11" s="30" t="s">
        <v>129</v>
      </c>
      <c r="J11" s="31" t="s">
        <v>130</v>
      </c>
      <c r="K11" s="32" t="s">
        <v>293</v>
      </c>
      <c r="P11" s="23" t="s">
        <v>130</v>
      </c>
      <c r="Q11" t="str">
        <f>VLOOKUP(P11,KPI_Mapping!B:G,6,FALSE)</f>
        <v>AG0051_1</v>
      </c>
    </row>
    <row r="12" spans="1:17" hidden="1" x14ac:dyDescent="0.35">
      <c r="A12" t="str">
        <f t="shared" si="0"/>
        <v>Hong KongAG0016_2</v>
      </c>
      <c r="B12" s="3" t="s">
        <v>10</v>
      </c>
      <c r="C12" s="3" t="s">
        <v>31</v>
      </c>
      <c r="D12" s="3" t="s">
        <v>32</v>
      </c>
      <c r="E12" t="e">
        <f t="shared" si="1"/>
        <v>#N/A</v>
      </c>
      <c r="G12" t="str">
        <f t="shared" si="2"/>
        <v>Hong KongAG0051_2</v>
      </c>
      <c r="H12" s="30" t="s">
        <v>10</v>
      </c>
      <c r="I12" s="30" t="s">
        <v>131</v>
      </c>
      <c r="J12" s="31" t="s">
        <v>132</v>
      </c>
      <c r="K12" s="32" t="s">
        <v>293</v>
      </c>
      <c r="P12" s="23" t="s">
        <v>132</v>
      </c>
      <c r="Q12" t="str">
        <f>VLOOKUP(P12,KPI_Mapping!B:G,6,FALSE)</f>
        <v>AG0051_2</v>
      </c>
    </row>
    <row r="13" spans="1:17" hidden="1" x14ac:dyDescent="0.35">
      <c r="A13" t="str">
        <f t="shared" si="0"/>
        <v>Hong KongAG0016_3</v>
      </c>
      <c r="B13" s="3" t="s">
        <v>10</v>
      </c>
      <c r="C13" s="3" t="s">
        <v>33</v>
      </c>
      <c r="D13" s="3" t="s">
        <v>34</v>
      </c>
      <c r="E13" t="e">
        <f t="shared" si="1"/>
        <v>#N/A</v>
      </c>
      <c r="G13" t="str">
        <f t="shared" si="2"/>
        <v>Hong KongAG0054</v>
      </c>
      <c r="H13" s="30" t="s">
        <v>10</v>
      </c>
      <c r="I13" s="30" t="s">
        <v>229</v>
      </c>
      <c r="J13" s="31" t="s">
        <v>228</v>
      </c>
      <c r="K13" s="32" t="s">
        <v>294</v>
      </c>
      <c r="P13" s="23" t="s">
        <v>228</v>
      </c>
      <c r="Q13" t="str">
        <f>VLOOKUP(P13,KPI_Mapping!B:G,6,FALSE)</f>
        <v>AG0054</v>
      </c>
    </row>
    <row r="14" spans="1:17" hidden="1" x14ac:dyDescent="0.35">
      <c r="A14" t="str">
        <f t="shared" si="0"/>
        <v>Hong KongAG0016_4</v>
      </c>
      <c r="B14" s="3" t="s">
        <v>10</v>
      </c>
      <c r="C14" s="3" t="s">
        <v>35</v>
      </c>
      <c r="D14" s="3" t="s">
        <v>36</v>
      </c>
      <c r="E14" t="e">
        <f t="shared" si="1"/>
        <v>#N/A</v>
      </c>
      <c r="G14" t="str">
        <f t="shared" si="2"/>
        <v>Hong KongAG0055</v>
      </c>
      <c r="H14" s="30" t="s">
        <v>10</v>
      </c>
      <c r="I14" s="30" t="s">
        <v>133</v>
      </c>
      <c r="J14" s="31" t="s">
        <v>134</v>
      </c>
      <c r="K14" s="32" t="s">
        <v>293</v>
      </c>
      <c r="P14" s="23" t="s">
        <v>134</v>
      </c>
      <c r="Q14" t="str">
        <f>VLOOKUP(P14,KPI_Mapping!B:G,6,FALSE)</f>
        <v>AG0055</v>
      </c>
    </row>
    <row r="15" spans="1:17" hidden="1" x14ac:dyDescent="0.35">
      <c r="A15" t="str">
        <f t="shared" si="0"/>
        <v>Hong KongAG0016_9</v>
      </c>
      <c r="B15" s="3" t="s">
        <v>10</v>
      </c>
      <c r="C15" s="3" t="s">
        <v>37</v>
      </c>
      <c r="D15" s="3" t="s">
        <v>38</v>
      </c>
      <c r="E15" t="e">
        <f t="shared" si="1"/>
        <v>#N/A</v>
      </c>
      <c r="G15" t="str">
        <f t="shared" si="2"/>
        <v>Hong KongAG0055_1</v>
      </c>
      <c r="H15" s="30" t="s">
        <v>10</v>
      </c>
      <c r="I15" s="30" t="s">
        <v>135</v>
      </c>
      <c r="J15" s="31" t="s">
        <v>136</v>
      </c>
      <c r="K15" s="32" t="s">
        <v>293</v>
      </c>
      <c r="P15" s="23" t="s">
        <v>136</v>
      </c>
      <c r="Q15" t="str">
        <f>VLOOKUP(P15,KPI_Mapping!B:G,6,FALSE)</f>
        <v>AG0055_1</v>
      </c>
    </row>
    <row r="16" spans="1:17" hidden="1" x14ac:dyDescent="0.35">
      <c r="A16" t="str">
        <f t="shared" si="0"/>
        <v>Hong KongAG0018</v>
      </c>
      <c r="B16" s="3" t="s">
        <v>10</v>
      </c>
      <c r="C16" s="3" t="s">
        <v>39</v>
      </c>
      <c r="D16" s="3" t="s">
        <v>40</v>
      </c>
      <c r="E16" t="e">
        <f t="shared" si="1"/>
        <v>#N/A</v>
      </c>
      <c r="G16" t="str">
        <f t="shared" si="2"/>
        <v>Hong KongAG0060</v>
      </c>
      <c r="H16" s="30" t="s">
        <v>10</v>
      </c>
      <c r="I16" s="30" t="s">
        <v>162</v>
      </c>
      <c r="J16" s="31" t="s">
        <v>163</v>
      </c>
      <c r="K16" s="32" t="s">
        <v>293</v>
      </c>
      <c r="P16" s="23" t="s">
        <v>163</v>
      </c>
      <c r="Q16" t="str">
        <f>VLOOKUP(P16,KPI_Mapping!B:G,6,FALSE)</f>
        <v>AG0060</v>
      </c>
    </row>
    <row r="17" spans="1:17" hidden="1" x14ac:dyDescent="0.35">
      <c r="A17" t="str">
        <f t="shared" si="0"/>
        <v>Hong KongAG0018_1</v>
      </c>
      <c r="B17" s="3" t="s">
        <v>10</v>
      </c>
      <c r="C17" s="3" t="s">
        <v>41</v>
      </c>
      <c r="D17" s="3" t="s">
        <v>42</v>
      </c>
      <c r="E17" t="e">
        <f t="shared" si="1"/>
        <v>#N/A</v>
      </c>
      <c r="G17" t="str">
        <f t="shared" si="2"/>
        <v>Hong KongAG0060_1</v>
      </c>
      <c r="H17" s="30" t="s">
        <v>10</v>
      </c>
      <c r="I17" s="30" t="s">
        <v>252</v>
      </c>
      <c r="J17" s="31" t="s">
        <v>180</v>
      </c>
      <c r="K17" s="32" t="s">
        <v>293</v>
      </c>
      <c r="P17" s="23" t="s">
        <v>180</v>
      </c>
      <c r="Q17" t="str">
        <f>VLOOKUP(P17,KPI_Mapping!B:G,6,FALSE)</f>
        <v>AG0060_1</v>
      </c>
    </row>
    <row r="18" spans="1:17" hidden="1" x14ac:dyDescent="0.35">
      <c r="A18" t="str">
        <f t="shared" si="0"/>
        <v>Hong KongAG0018_2</v>
      </c>
      <c r="B18" s="3" t="s">
        <v>10</v>
      </c>
      <c r="C18" s="3" t="s">
        <v>43</v>
      </c>
      <c r="D18" s="3" t="s">
        <v>44</v>
      </c>
      <c r="E18" t="e">
        <f t="shared" si="1"/>
        <v>#N/A</v>
      </c>
      <c r="G18" t="e">
        <f t="shared" si="2"/>
        <v>#N/A</v>
      </c>
      <c r="H18" s="30" t="s">
        <v>10</v>
      </c>
      <c r="I18" s="30" t="e">
        <v>#N/A</v>
      </c>
      <c r="J18" s="31" t="s">
        <v>290</v>
      </c>
      <c r="K18" s="32" t="s">
        <v>295</v>
      </c>
      <c r="P18" s="23" t="s">
        <v>290</v>
      </c>
      <c r="Q18" t="e">
        <f>VLOOKUP(P18,KPI_Mapping!B:G,6,FALSE)</f>
        <v>#N/A</v>
      </c>
    </row>
    <row r="19" spans="1:17" hidden="1" x14ac:dyDescent="0.35">
      <c r="A19" t="str">
        <f t="shared" si="0"/>
        <v>Hong KongAG0018_3</v>
      </c>
      <c r="B19" s="3" t="s">
        <v>10</v>
      </c>
      <c r="C19" s="3" t="s">
        <v>45</v>
      </c>
      <c r="D19" s="3" t="s">
        <v>46</v>
      </c>
      <c r="E19" t="e">
        <f t="shared" si="1"/>
        <v>#N/A</v>
      </c>
      <c r="G19" t="str">
        <f t="shared" si="2"/>
        <v>Hong KongAG0072_1</v>
      </c>
      <c r="H19" s="30" t="s">
        <v>10</v>
      </c>
      <c r="I19" s="30" t="s">
        <v>253</v>
      </c>
      <c r="J19" s="31" t="s">
        <v>177</v>
      </c>
      <c r="K19" s="32" t="s">
        <v>293</v>
      </c>
      <c r="P19" s="23" t="s">
        <v>177</v>
      </c>
      <c r="Q19" t="str">
        <f>VLOOKUP(P19,KPI_Mapping!B:G,6,FALSE)</f>
        <v>AG0072_1</v>
      </c>
    </row>
    <row r="20" spans="1:17" hidden="1" x14ac:dyDescent="0.35">
      <c r="A20" t="str">
        <f t="shared" si="0"/>
        <v>Hong KongAG0018_4</v>
      </c>
      <c r="B20" s="3" t="s">
        <v>10</v>
      </c>
      <c r="C20" s="3" t="s">
        <v>47</v>
      </c>
      <c r="D20" s="3" t="s">
        <v>48</v>
      </c>
      <c r="E20" t="e">
        <f t="shared" si="1"/>
        <v>#N/A</v>
      </c>
      <c r="G20" t="str">
        <f t="shared" si="2"/>
        <v>Hong KongAG0072_2</v>
      </c>
      <c r="H20" s="30" t="s">
        <v>10</v>
      </c>
      <c r="I20" s="30" t="s">
        <v>254</v>
      </c>
      <c r="J20" s="31" t="s">
        <v>178</v>
      </c>
      <c r="K20" s="32" t="s">
        <v>293</v>
      </c>
      <c r="P20" s="23" t="s">
        <v>178</v>
      </c>
      <c r="Q20" t="str">
        <f>VLOOKUP(P20,KPI_Mapping!B:G,6,FALSE)</f>
        <v>AG0072_2</v>
      </c>
    </row>
    <row r="21" spans="1:17" hidden="1" x14ac:dyDescent="0.35">
      <c r="A21" t="str">
        <f t="shared" si="0"/>
        <v>Hong KongAG0020</v>
      </c>
      <c r="B21" s="3" t="s">
        <v>10</v>
      </c>
      <c r="C21" s="3" t="s">
        <v>49</v>
      </c>
      <c r="D21" s="3" t="s">
        <v>50</v>
      </c>
      <c r="E21" t="str">
        <f t="shared" si="1"/>
        <v>EDL</v>
      </c>
      <c r="G21" t="str">
        <f t="shared" si="2"/>
        <v>Hong KongAG0061</v>
      </c>
      <c r="H21" s="30" t="s">
        <v>10</v>
      </c>
      <c r="I21" s="30" t="s">
        <v>261</v>
      </c>
      <c r="J21" s="31" t="s">
        <v>174</v>
      </c>
      <c r="K21" s="32" t="s">
        <v>293</v>
      </c>
      <c r="P21" s="23" t="s">
        <v>174</v>
      </c>
      <c r="Q21" t="str">
        <f>VLOOKUP(P21,KPI_Mapping!B:G,6,FALSE)</f>
        <v>AG0061</v>
      </c>
    </row>
    <row r="22" spans="1:17" hidden="1" x14ac:dyDescent="0.35">
      <c r="A22" t="str">
        <f t="shared" si="0"/>
        <v>Hong KongAG0020_1</v>
      </c>
      <c r="B22" s="3" t="s">
        <v>10</v>
      </c>
      <c r="C22" s="3" t="s">
        <v>51</v>
      </c>
      <c r="D22" s="3" t="s">
        <v>52</v>
      </c>
      <c r="E22" t="e">
        <f t="shared" si="1"/>
        <v>#N/A</v>
      </c>
      <c r="G22" t="str">
        <f t="shared" si="2"/>
        <v>Hong KongAG0061_1</v>
      </c>
      <c r="H22" s="30" t="s">
        <v>10</v>
      </c>
      <c r="I22" s="30" t="s">
        <v>262</v>
      </c>
      <c r="J22" s="31" t="s">
        <v>175</v>
      </c>
      <c r="K22" s="32" t="s">
        <v>293</v>
      </c>
      <c r="P22" s="23" t="s">
        <v>175</v>
      </c>
      <c r="Q22" t="str">
        <f>VLOOKUP(P22,KPI_Mapping!B:G,6,FALSE)</f>
        <v>AG0061_1</v>
      </c>
    </row>
    <row r="23" spans="1:17" hidden="1" x14ac:dyDescent="0.35">
      <c r="A23" t="str">
        <f t="shared" si="0"/>
        <v>Hong KongAG0020_10</v>
      </c>
      <c r="B23" s="3" t="s">
        <v>10</v>
      </c>
      <c r="C23" s="3" t="s">
        <v>53</v>
      </c>
      <c r="D23" s="3" t="s">
        <v>54</v>
      </c>
      <c r="E23" t="e">
        <f t="shared" si="1"/>
        <v>#N/A</v>
      </c>
      <c r="G23" t="str">
        <f t="shared" si="2"/>
        <v>Hong KongAG0061_2</v>
      </c>
      <c r="H23" s="30" t="s">
        <v>10</v>
      </c>
      <c r="I23" s="30" t="s">
        <v>263</v>
      </c>
      <c r="J23" s="31" t="s">
        <v>176</v>
      </c>
      <c r="K23" s="32" t="s">
        <v>293</v>
      </c>
      <c r="P23" s="23" t="s">
        <v>176</v>
      </c>
      <c r="Q23" t="str">
        <f>VLOOKUP(P23,KPI_Mapping!B:G,6,FALSE)</f>
        <v>AG0061_2</v>
      </c>
    </row>
    <row r="24" spans="1:17" hidden="1" x14ac:dyDescent="0.35">
      <c r="A24" t="str">
        <f t="shared" si="0"/>
        <v>Hong KongAG0020_11</v>
      </c>
      <c r="B24" s="3" t="s">
        <v>10</v>
      </c>
      <c r="C24" s="3" t="s">
        <v>55</v>
      </c>
      <c r="D24" s="3" t="s">
        <v>56</v>
      </c>
      <c r="E24" t="e">
        <f t="shared" si="1"/>
        <v>#N/A</v>
      </c>
      <c r="G24" t="str">
        <f t="shared" si="2"/>
        <v>Hong KongAG0062</v>
      </c>
      <c r="H24" s="30" t="s">
        <v>10</v>
      </c>
      <c r="I24" s="30" t="s">
        <v>137</v>
      </c>
      <c r="J24" s="31" t="s">
        <v>138</v>
      </c>
      <c r="K24" s="32" t="s">
        <v>293</v>
      </c>
      <c r="P24" s="23" t="s">
        <v>138</v>
      </c>
      <c r="Q24" t="str">
        <f>VLOOKUP(P24,KPI_Mapping!B:G,6,FALSE)</f>
        <v>AG0062</v>
      </c>
    </row>
    <row r="25" spans="1:17" hidden="1" x14ac:dyDescent="0.35">
      <c r="A25" t="str">
        <f t="shared" si="0"/>
        <v>Hong KongAG0020_12</v>
      </c>
      <c r="B25" s="3" t="s">
        <v>10</v>
      </c>
      <c r="C25" s="3" t="s">
        <v>57</v>
      </c>
      <c r="D25" s="3" t="s">
        <v>58</v>
      </c>
      <c r="E25" t="e">
        <f t="shared" si="1"/>
        <v>#N/A</v>
      </c>
      <c r="G25" t="str">
        <f t="shared" si="2"/>
        <v>Hong KongAG0062_6</v>
      </c>
      <c r="H25" s="30" t="s">
        <v>10</v>
      </c>
      <c r="I25" s="30" t="s">
        <v>139</v>
      </c>
      <c r="J25" s="31" t="s">
        <v>140</v>
      </c>
      <c r="K25" s="32" t="s">
        <v>293</v>
      </c>
      <c r="P25" s="23" t="s">
        <v>140</v>
      </c>
      <c r="Q25" t="str">
        <f>VLOOKUP(P25,KPI_Mapping!B:G,6,FALSE)</f>
        <v>AG0062_6</v>
      </c>
    </row>
    <row r="26" spans="1:17" hidden="1" x14ac:dyDescent="0.35">
      <c r="A26" t="str">
        <f t="shared" si="0"/>
        <v>Hong KongAG0020_12_1</v>
      </c>
      <c r="B26" s="3" t="s">
        <v>10</v>
      </c>
      <c r="C26" s="3" t="s">
        <v>59</v>
      </c>
      <c r="D26" s="3" t="s">
        <v>60</v>
      </c>
      <c r="E26" t="e">
        <f t="shared" si="1"/>
        <v>#N/A</v>
      </c>
      <c r="G26" t="str">
        <f t="shared" si="2"/>
        <v>Hong KongAG0062_7</v>
      </c>
      <c r="H26" s="30" t="s">
        <v>10</v>
      </c>
      <c r="I26" s="30" t="s">
        <v>141</v>
      </c>
      <c r="J26" s="31" t="s">
        <v>142</v>
      </c>
      <c r="K26" s="32" t="s">
        <v>293</v>
      </c>
      <c r="P26" s="23" t="s">
        <v>142</v>
      </c>
      <c r="Q26" t="str">
        <f>VLOOKUP(P26,KPI_Mapping!B:G,6,FALSE)</f>
        <v>AG0062_7</v>
      </c>
    </row>
    <row r="27" spans="1:17" hidden="1" x14ac:dyDescent="0.35">
      <c r="A27" t="str">
        <f t="shared" si="0"/>
        <v>Hong KongAG0020_12_2</v>
      </c>
      <c r="B27" s="3" t="s">
        <v>10</v>
      </c>
      <c r="C27" s="3" t="s">
        <v>61</v>
      </c>
      <c r="D27" s="3" t="s">
        <v>62</v>
      </c>
      <c r="E27" t="e">
        <f t="shared" si="1"/>
        <v>#N/A</v>
      </c>
      <c r="G27" t="str">
        <f t="shared" si="2"/>
        <v>Hong KongAG0062_8</v>
      </c>
      <c r="H27" s="30" t="s">
        <v>10</v>
      </c>
      <c r="I27" s="30" t="s">
        <v>143</v>
      </c>
      <c r="J27" s="31" t="s">
        <v>144</v>
      </c>
      <c r="K27" s="32" t="s">
        <v>293</v>
      </c>
      <c r="P27" s="23" t="s">
        <v>144</v>
      </c>
      <c r="Q27" t="str">
        <f>VLOOKUP(P27,KPI_Mapping!B:G,6,FALSE)</f>
        <v>AG0062_8</v>
      </c>
    </row>
    <row r="28" spans="1:17" hidden="1" x14ac:dyDescent="0.35">
      <c r="A28" t="str">
        <f t="shared" si="0"/>
        <v>Hong KongAG0020_12_3</v>
      </c>
      <c r="B28" s="3" t="s">
        <v>10</v>
      </c>
      <c r="C28" s="3" t="s">
        <v>63</v>
      </c>
      <c r="D28" s="3" t="s">
        <v>64</v>
      </c>
      <c r="E28" t="e">
        <f t="shared" si="1"/>
        <v>#N/A</v>
      </c>
      <c r="G28" t="str">
        <f t="shared" si="2"/>
        <v>Hong KongAG0073</v>
      </c>
      <c r="H28" s="30" t="s">
        <v>10</v>
      </c>
      <c r="I28" s="30" t="s">
        <v>166</v>
      </c>
      <c r="J28" s="31" t="s">
        <v>167</v>
      </c>
      <c r="K28" s="32" t="s">
        <v>296</v>
      </c>
      <c r="P28" s="23" t="s">
        <v>167</v>
      </c>
      <c r="Q28" t="str">
        <f>VLOOKUP(P28,KPI_Mapping!B:G,6,FALSE)</f>
        <v>AG0073</v>
      </c>
    </row>
    <row r="29" spans="1:17" hidden="1" x14ac:dyDescent="0.35">
      <c r="A29" t="str">
        <f t="shared" si="0"/>
        <v>Hong KongAG0020_2</v>
      </c>
      <c r="B29" s="3" t="s">
        <v>10</v>
      </c>
      <c r="C29" s="3" t="s">
        <v>65</v>
      </c>
      <c r="D29" s="3" t="s">
        <v>66</v>
      </c>
      <c r="E29" t="e">
        <f t="shared" si="1"/>
        <v>#N/A</v>
      </c>
      <c r="G29" t="str">
        <f t="shared" si="2"/>
        <v>IndonesiaAG0016</v>
      </c>
      <c r="H29" t="s">
        <v>159</v>
      </c>
      <c r="I29" t="s">
        <v>15</v>
      </c>
      <c r="J29" s="23" t="s">
        <v>16</v>
      </c>
      <c r="K29" s="24" t="s">
        <v>293</v>
      </c>
    </row>
    <row r="30" spans="1:17" hidden="1" x14ac:dyDescent="0.35">
      <c r="A30" t="str">
        <f t="shared" si="0"/>
        <v>Hong KongAG0020_3</v>
      </c>
      <c r="B30" s="3" t="s">
        <v>10</v>
      </c>
      <c r="C30" s="3" t="s">
        <v>67</v>
      </c>
      <c r="D30" s="3" t="s">
        <v>68</v>
      </c>
      <c r="E30" t="e">
        <f t="shared" si="1"/>
        <v>#N/A</v>
      </c>
      <c r="G30" t="str">
        <f t="shared" si="2"/>
        <v>IndonesiaAG0020</v>
      </c>
      <c r="H30" t="s">
        <v>159</v>
      </c>
      <c r="I30" t="s">
        <v>49</v>
      </c>
      <c r="J30" s="23" t="s">
        <v>50</v>
      </c>
      <c r="K30" s="24" t="s">
        <v>293</v>
      </c>
    </row>
    <row r="31" spans="1:17" hidden="1" x14ac:dyDescent="0.35">
      <c r="A31" t="str">
        <f t="shared" si="0"/>
        <v>Hong KongAG0020_4</v>
      </c>
      <c r="B31" s="3" t="s">
        <v>10</v>
      </c>
      <c r="C31" s="3" t="s">
        <v>69</v>
      </c>
      <c r="D31" s="3" t="s">
        <v>70</v>
      </c>
      <c r="E31" t="e">
        <f t="shared" si="1"/>
        <v>#N/A</v>
      </c>
      <c r="G31" t="str">
        <f t="shared" si="2"/>
        <v>IndonesiaAG0029</v>
      </c>
      <c r="H31" t="s">
        <v>159</v>
      </c>
      <c r="I31" t="s">
        <v>85</v>
      </c>
      <c r="J31" s="23" t="s">
        <v>86</v>
      </c>
      <c r="K31" s="24" t="s">
        <v>293</v>
      </c>
    </row>
    <row r="32" spans="1:17" hidden="1" x14ac:dyDescent="0.35">
      <c r="A32" t="str">
        <f t="shared" si="0"/>
        <v>Hong KongAG0020_9</v>
      </c>
      <c r="B32" s="3" t="s">
        <v>10</v>
      </c>
      <c r="C32" s="3" t="s">
        <v>71</v>
      </c>
      <c r="D32" s="3" t="s">
        <v>72</v>
      </c>
      <c r="E32" t="e">
        <f t="shared" si="1"/>
        <v>#N/A</v>
      </c>
      <c r="G32" t="str">
        <f t="shared" si="2"/>
        <v>IndonesiaAG0038</v>
      </c>
      <c r="H32" t="s">
        <v>159</v>
      </c>
      <c r="I32" t="s">
        <v>109</v>
      </c>
      <c r="J32" s="23" t="s">
        <v>110</v>
      </c>
      <c r="K32" s="24" t="s">
        <v>293</v>
      </c>
    </row>
    <row r="33" spans="1:11" hidden="1" x14ac:dyDescent="0.35">
      <c r="A33" t="str">
        <f t="shared" si="0"/>
        <v>Hong KongAG0024</v>
      </c>
      <c r="B33" s="3" t="s">
        <v>10</v>
      </c>
      <c r="C33" s="3" t="s">
        <v>73</v>
      </c>
      <c r="D33" s="3" t="s">
        <v>74</v>
      </c>
      <c r="E33" t="e">
        <f t="shared" si="1"/>
        <v>#N/A</v>
      </c>
      <c r="G33" t="str">
        <f t="shared" si="2"/>
        <v>IndonesiaAG0041</v>
      </c>
      <c r="H33" t="s">
        <v>159</v>
      </c>
      <c r="I33" t="s">
        <v>164</v>
      </c>
      <c r="J33" s="23" t="s">
        <v>165</v>
      </c>
      <c r="K33" s="24" t="s">
        <v>293</v>
      </c>
    </row>
    <row r="34" spans="1:11" hidden="1" x14ac:dyDescent="0.35">
      <c r="A34" t="str">
        <f t="shared" si="0"/>
        <v>Hong KongAG0027</v>
      </c>
      <c r="B34" s="3" t="s">
        <v>10</v>
      </c>
      <c r="C34" s="3" t="s">
        <v>75</v>
      </c>
      <c r="D34" s="3" t="s">
        <v>76</v>
      </c>
      <c r="E34" t="e">
        <f t="shared" si="1"/>
        <v>#N/A</v>
      </c>
      <c r="G34" t="str">
        <f t="shared" si="2"/>
        <v>IndonesiaAG0043</v>
      </c>
      <c r="H34" t="s">
        <v>159</v>
      </c>
      <c r="I34" t="s">
        <v>214</v>
      </c>
      <c r="J34" s="23" t="s">
        <v>179</v>
      </c>
      <c r="K34" s="24" t="s">
        <v>293</v>
      </c>
    </row>
    <row r="35" spans="1:11" hidden="1" x14ac:dyDescent="0.35">
      <c r="A35" t="str">
        <f t="shared" si="0"/>
        <v>Hong KongAG0027_1</v>
      </c>
      <c r="B35" s="3" t="s">
        <v>10</v>
      </c>
      <c r="C35" s="3" t="s">
        <v>77</v>
      </c>
      <c r="D35" s="3" t="s">
        <v>78</v>
      </c>
      <c r="E35" t="e">
        <f t="shared" si="1"/>
        <v>#N/A</v>
      </c>
      <c r="G35" t="str">
        <f t="shared" si="2"/>
        <v>IndonesiaAG0046</v>
      </c>
      <c r="H35" t="s">
        <v>159</v>
      </c>
      <c r="I35" t="s">
        <v>111</v>
      </c>
      <c r="J35" s="23" t="s">
        <v>112</v>
      </c>
      <c r="K35" s="24" t="s">
        <v>293</v>
      </c>
    </row>
    <row r="36" spans="1:11" hidden="1" x14ac:dyDescent="0.35">
      <c r="A36" t="str">
        <f t="shared" si="0"/>
        <v>Hong KongAG0027_2</v>
      </c>
      <c r="B36" s="3" t="s">
        <v>10</v>
      </c>
      <c r="C36" s="3" t="s">
        <v>79</v>
      </c>
      <c r="D36" s="3" t="s">
        <v>80</v>
      </c>
      <c r="E36" t="e">
        <f t="shared" si="1"/>
        <v>#N/A</v>
      </c>
      <c r="G36" t="str">
        <f t="shared" si="2"/>
        <v>IndonesiaAG0051</v>
      </c>
      <c r="H36" t="s">
        <v>159</v>
      </c>
      <c r="I36" t="s">
        <v>127</v>
      </c>
      <c r="J36" s="23" t="s">
        <v>128</v>
      </c>
      <c r="K36" s="24" t="s">
        <v>293</v>
      </c>
    </row>
    <row r="37" spans="1:11" hidden="1" x14ac:dyDescent="0.35">
      <c r="A37" t="str">
        <f t="shared" si="0"/>
        <v>Hong KongAG0027_3</v>
      </c>
      <c r="B37" s="3" t="s">
        <v>10</v>
      </c>
      <c r="C37" s="3" t="s">
        <v>81</v>
      </c>
      <c r="D37" s="3" t="s">
        <v>82</v>
      </c>
      <c r="E37" t="e">
        <f t="shared" si="1"/>
        <v>#N/A</v>
      </c>
      <c r="G37" t="str">
        <f t="shared" si="2"/>
        <v>IndonesiaAG0051_1</v>
      </c>
      <c r="H37" t="s">
        <v>159</v>
      </c>
      <c r="I37" t="s">
        <v>129</v>
      </c>
      <c r="J37" s="23" t="s">
        <v>130</v>
      </c>
      <c r="K37" s="24" t="s">
        <v>293</v>
      </c>
    </row>
    <row r="38" spans="1:11" hidden="1" x14ac:dyDescent="0.35">
      <c r="A38" t="str">
        <f t="shared" si="0"/>
        <v>Hong KongAG0027_4</v>
      </c>
      <c r="B38" s="3" t="s">
        <v>10</v>
      </c>
      <c r="C38" s="3" t="s">
        <v>83</v>
      </c>
      <c r="D38" s="3" t="s">
        <v>84</v>
      </c>
      <c r="E38" t="e">
        <f t="shared" si="1"/>
        <v>#N/A</v>
      </c>
      <c r="G38" t="str">
        <f t="shared" si="2"/>
        <v>IndonesiaAG0051_2</v>
      </c>
      <c r="H38" t="s">
        <v>159</v>
      </c>
      <c r="I38" t="s">
        <v>131</v>
      </c>
      <c r="J38" s="23" t="s">
        <v>132</v>
      </c>
      <c r="K38" s="24" t="s">
        <v>293</v>
      </c>
    </row>
    <row r="39" spans="1:11" hidden="1" x14ac:dyDescent="0.35">
      <c r="A39" t="str">
        <f t="shared" si="0"/>
        <v>Hong KongAG0029</v>
      </c>
      <c r="B39" s="3" t="s">
        <v>10</v>
      </c>
      <c r="C39" s="3" t="s">
        <v>85</v>
      </c>
      <c r="D39" s="3" t="s">
        <v>86</v>
      </c>
      <c r="E39" t="str">
        <f t="shared" si="1"/>
        <v>EDL</v>
      </c>
      <c r="G39" t="str">
        <f t="shared" si="2"/>
        <v>IndonesiaAG0054</v>
      </c>
      <c r="H39" t="s">
        <v>159</v>
      </c>
      <c r="I39" t="s">
        <v>229</v>
      </c>
      <c r="J39" s="23" t="s">
        <v>228</v>
      </c>
      <c r="K39" s="25" t="s">
        <v>294</v>
      </c>
    </row>
    <row r="40" spans="1:11" hidden="1" x14ac:dyDescent="0.35">
      <c r="A40" t="str">
        <f t="shared" si="0"/>
        <v>Hong KongAG0029_1</v>
      </c>
      <c r="B40" s="3" t="s">
        <v>10</v>
      </c>
      <c r="C40" s="3" t="s">
        <v>87</v>
      </c>
      <c r="D40" s="3" t="s">
        <v>88</v>
      </c>
      <c r="E40" t="e">
        <f t="shared" si="1"/>
        <v>#N/A</v>
      </c>
      <c r="G40" t="str">
        <f t="shared" si="2"/>
        <v>IndonesiaAG0055</v>
      </c>
      <c r="H40" t="s">
        <v>159</v>
      </c>
      <c r="I40" t="s">
        <v>133</v>
      </c>
      <c r="J40" s="23" t="s">
        <v>134</v>
      </c>
      <c r="K40" s="24" t="s">
        <v>293</v>
      </c>
    </row>
    <row r="41" spans="1:11" hidden="1" x14ac:dyDescent="0.35">
      <c r="A41" t="str">
        <f t="shared" si="0"/>
        <v>Hong KongAG0029_10</v>
      </c>
      <c r="B41" s="3" t="s">
        <v>10</v>
      </c>
      <c r="C41" s="3" t="s">
        <v>89</v>
      </c>
      <c r="D41" s="3" t="s">
        <v>90</v>
      </c>
      <c r="E41" t="e">
        <f t="shared" si="1"/>
        <v>#N/A</v>
      </c>
      <c r="G41" t="str">
        <f t="shared" si="2"/>
        <v>IndonesiaAG0055_1</v>
      </c>
      <c r="H41" t="s">
        <v>159</v>
      </c>
      <c r="I41" t="s">
        <v>135</v>
      </c>
      <c r="J41" s="23" t="s">
        <v>136</v>
      </c>
      <c r="K41" s="24" t="s">
        <v>293</v>
      </c>
    </row>
    <row r="42" spans="1:11" hidden="1" x14ac:dyDescent="0.35">
      <c r="A42" t="str">
        <f t="shared" si="0"/>
        <v>Hong KongAG0029_11</v>
      </c>
      <c r="B42" s="3" t="s">
        <v>10</v>
      </c>
      <c r="C42" s="3" t="s">
        <v>91</v>
      </c>
      <c r="D42" s="3" t="s">
        <v>92</v>
      </c>
      <c r="E42" t="e">
        <f t="shared" si="1"/>
        <v>#N/A</v>
      </c>
      <c r="G42" t="str">
        <f t="shared" si="2"/>
        <v>IndonesiaAG0060</v>
      </c>
      <c r="H42" t="s">
        <v>159</v>
      </c>
      <c r="I42" t="s">
        <v>162</v>
      </c>
      <c r="J42" s="23" t="s">
        <v>163</v>
      </c>
      <c r="K42" s="24" t="s">
        <v>293</v>
      </c>
    </row>
    <row r="43" spans="1:11" hidden="1" x14ac:dyDescent="0.35">
      <c r="A43" t="str">
        <f t="shared" si="0"/>
        <v>Hong KongAG0029_12</v>
      </c>
      <c r="B43" s="3" t="s">
        <v>10</v>
      </c>
      <c r="C43" s="3" t="s">
        <v>93</v>
      </c>
      <c r="D43" s="3" t="s">
        <v>94</v>
      </c>
      <c r="E43" t="e">
        <f t="shared" si="1"/>
        <v>#N/A</v>
      </c>
      <c r="G43" t="str">
        <f t="shared" si="2"/>
        <v>IndonesiaAG0060_1</v>
      </c>
      <c r="H43" t="s">
        <v>159</v>
      </c>
      <c r="I43" t="s">
        <v>252</v>
      </c>
      <c r="J43" s="23" t="s">
        <v>180</v>
      </c>
      <c r="K43" s="24" t="s">
        <v>293</v>
      </c>
    </row>
    <row r="44" spans="1:11" hidden="1" x14ac:dyDescent="0.35">
      <c r="A44" t="str">
        <f t="shared" si="0"/>
        <v>Hong KongAG0029_12_1</v>
      </c>
      <c r="B44" s="3" t="s">
        <v>10</v>
      </c>
      <c r="C44" s="3" t="s">
        <v>95</v>
      </c>
      <c r="D44" s="3" t="s">
        <v>96</v>
      </c>
      <c r="E44" t="e">
        <f t="shared" si="1"/>
        <v>#N/A</v>
      </c>
      <c r="G44" t="e">
        <f t="shared" si="2"/>
        <v>#N/A</v>
      </c>
      <c r="H44" t="s">
        <v>159</v>
      </c>
      <c r="I44" t="e">
        <v>#N/A</v>
      </c>
      <c r="J44" s="23" t="s">
        <v>290</v>
      </c>
      <c r="K44" s="26" t="s">
        <v>295</v>
      </c>
    </row>
    <row r="45" spans="1:11" hidden="1" x14ac:dyDescent="0.35">
      <c r="A45" t="str">
        <f t="shared" si="0"/>
        <v>Hong KongAG0029_12_2</v>
      </c>
      <c r="B45" s="3" t="s">
        <v>10</v>
      </c>
      <c r="C45" s="3" t="s">
        <v>97</v>
      </c>
      <c r="D45" s="3" t="s">
        <v>98</v>
      </c>
      <c r="E45" t="e">
        <f t="shared" si="1"/>
        <v>#N/A</v>
      </c>
      <c r="G45" t="str">
        <f t="shared" si="2"/>
        <v>IndonesiaAG0072_1</v>
      </c>
      <c r="H45" t="s">
        <v>159</v>
      </c>
      <c r="I45" t="s">
        <v>253</v>
      </c>
      <c r="J45" s="23" t="s">
        <v>177</v>
      </c>
      <c r="K45" s="24" t="s">
        <v>293</v>
      </c>
    </row>
    <row r="46" spans="1:11" hidden="1" x14ac:dyDescent="0.35">
      <c r="A46" t="str">
        <f t="shared" si="0"/>
        <v>Hong KongAG0029_12_3</v>
      </c>
      <c r="B46" s="3" t="s">
        <v>10</v>
      </c>
      <c r="C46" s="3" t="s">
        <v>99</v>
      </c>
      <c r="D46" s="3" t="s">
        <v>100</v>
      </c>
      <c r="E46" t="e">
        <f t="shared" si="1"/>
        <v>#N/A</v>
      </c>
      <c r="G46" t="str">
        <f t="shared" si="2"/>
        <v>IndonesiaAG0072_2</v>
      </c>
      <c r="H46" t="s">
        <v>159</v>
      </c>
      <c r="I46" t="s">
        <v>254</v>
      </c>
      <c r="J46" s="23" t="s">
        <v>178</v>
      </c>
      <c r="K46" s="24" t="s">
        <v>293</v>
      </c>
    </row>
    <row r="47" spans="1:11" hidden="1" x14ac:dyDescent="0.35">
      <c r="A47" t="str">
        <f t="shared" si="0"/>
        <v>Hong KongAG0029_2</v>
      </c>
      <c r="B47" s="3" t="s">
        <v>10</v>
      </c>
      <c r="C47" s="3" t="s">
        <v>101</v>
      </c>
      <c r="D47" s="3" t="s">
        <v>102</v>
      </c>
      <c r="E47" t="e">
        <f t="shared" si="1"/>
        <v>#N/A</v>
      </c>
      <c r="G47" t="str">
        <f t="shared" si="2"/>
        <v>IndonesiaAG0061</v>
      </c>
      <c r="H47" t="s">
        <v>159</v>
      </c>
      <c r="I47" t="s">
        <v>261</v>
      </c>
      <c r="J47" s="23" t="s">
        <v>174</v>
      </c>
      <c r="K47" s="24" t="s">
        <v>293</v>
      </c>
    </row>
    <row r="48" spans="1:11" hidden="1" x14ac:dyDescent="0.35">
      <c r="A48" t="str">
        <f t="shared" si="0"/>
        <v>Hong KongAG0029_3</v>
      </c>
      <c r="B48" s="3" t="s">
        <v>10</v>
      </c>
      <c r="C48" s="3" t="s">
        <v>103</v>
      </c>
      <c r="D48" s="3" t="s">
        <v>104</v>
      </c>
      <c r="E48" t="e">
        <f t="shared" si="1"/>
        <v>#N/A</v>
      </c>
      <c r="G48" t="str">
        <f t="shared" si="2"/>
        <v>IndonesiaAG0061_1</v>
      </c>
      <c r="H48" t="s">
        <v>159</v>
      </c>
      <c r="I48" t="s">
        <v>262</v>
      </c>
      <c r="J48" s="23" t="s">
        <v>175</v>
      </c>
      <c r="K48" s="24" t="s">
        <v>293</v>
      </c>
    </row>
    <row r="49" spans="1:11" hidden="1" x14ac:dyDescent="0.35">
      <c r="A49" t="str">
        <f t="shared" si="0"/>
        <v>Hong KongAG0029_4</v>
      </c>
      <c r="B49" s="3" t="s">
        <v>10</v>
      </c>
      <c r="C49" s="3" t="s">
        <v>105</v>
      </c>
      <c r="D49" s="3" t="s">
        <v>106</v>
      </c>
      <c r="E49" t="e">
        <f t="shared" si="1"/>
        <v>#N/A</v>
      </c>
      <c r="G49" t="str">
        <f t="shared" si="2"/>
        <v>IndonesiaAG0061_2</v>
      </c>
      <c r="H49" t="s">
        <v>159</v>
      </c>
      <c r="I49" t="s">
        <v>263</v>
      </c>
      <c r="J49" s="23" t="s">
        <v>176</v>
      </c>
      <c r="K49" s="24" t="s">
        <v>293</v>
      </c>
    </row>
    <row r="50" spans="1:11" hidden="1" x14ac:dyDescent="0.35">
      <c r="A50" t="str">
        <f t="shared" si="0"/>
        <v>Hong KongAG0029_9</v>
      </c>
      <c r="B50" s="3" t="s">
        <v>10</v>
      </c>
      <c r="C50" s="3" t="s">
        <v>107</v>
      </c>
      <c r="D50" s="3" t="s">
        <v>108</v>
      </c>
      <c r="E50" t="e">
        <f t="shared" si="1"/>
        <v>#N/A</v>
      </c>
      <c r="G50" t="str">
        <f t="shared" si="2"/>
        <v>IndonesiaAG0062</v>
      </c>
      <c r="H50" t="s">
        <v>159</v>
      </c>
      <c r="I50" t="s">
        <v>137</v>
      </c>
      <c r="J50" s="23" t="s">
        <v>138</v>
      </c>
      <c r="K50" s="24" t="s">
        <v>293</v>
      </c>
    </row>
    <row r="51" spans="1:11" hidden="1" x14ac:dyDescent="0.35">
      <c r="A51" t="str">
        <f t="shared" si="0"/>
        <v>Hong KongAG0038</v>
      </c>
      <c r="B51" s="3" t="s">
        <v>10</v>
      </c>
      <c r="C51" s="3" t="s">
        <v>109</v>
      </c>
      <c r="D51" s="3" t="s">
        <v>110</v>
      </c>
      <c r="E51" t="str">
        <f t="shared" si="1"/>
        <v>EDL</v>
      </c>
      <c r="G51" t="str">
        <f t="shared" si="2"/>
        <v>IndonesiaAG0062_6</v>
      </c>
      <c r="H51" t="s">
        <v>159</v>
      </c>
      <c r="I51" t="s">
        <v>139</v>
      </c>
      <c r="J51" s="23" t="s">
        <v>140</v>
      </c>
      <c r="K51" s="24" t="s">
        <v>293</v>
      </c>
    </row>
    <row r="52" spans="1:11" hidden="1" x14ac:dyDescent="0.35">
      <c r="A52" t="str">
        <f t="shared" si="0"/>
        <v>Hong KongAG0046</v>
      </c>
      <c r="B52" s="3" t="s">
        <v>10</v>
      </c>
      <c r="C52" s="3" t="s">
        <v>111</v>
      </c>
      <c r="D52" s="3" t="s">
        <v>112</v>
      </c>
      <c r="E52" t="str">
        <f t="shared" si="1"/>
        <v>EDL</v>
      </c>
      <c r="G52" t="str">
        <f t="shared" si="2"/>
        <v>IndonesiaAG0062_7</v>
      </c>
      <c r="H52" t="s">
        <v>159</v>
      </c>
      <c r="I52" t="s">
        <v>141</v>
      </c>
      <c r="J52" s="23" t="s">
        <v>142</v>
      </c>
      <c r="K52" s="24" t="s">
        <v>293</v>
      </c>
    </row>
    <row r="53" spans="1:11" hidden="1" x14ac:dyDescent="0.35">
      <c r="A53" t="str">
        <f t="shared" si="0"/>
        <v>Hong KongAG0046_10</v>
      </c>
      <c r="B53" s="3" t="s">
        <v>10</v>
      </c>
      <c r="C53" s="3" t="s">
        <v>113</v>
      </c>
      <c r="D53" s="3" t="s">
        <v>114</v>
      </c>
      <c r="E53" t="e">
        <f t="shared" si="1"/>
        <v>#N/A</v>
      </c>
      <c r="G53" t="str">
        <f t="shared" si="2"/>
        <v>IndonesiaAG0062_8</v>
      </c>
      <c r="H53" t="s">
        <v>159</v>
      </c>
      <c r="I53" t="s">
        <v>143</v>
      </c>
      <c r="J53" s="23" t="s">
        <v>144</v>
      </c>
      <c r="K53" s="24" t="s">
        <v>293</v>
      </c>
    </row>
    <row r="54" spans="1:11" hidden="1" x14ac:dyDescent="0.35">
      <c r="A54" t="str">
        <f t="shared" si="0"/>
        <v>Hong KongAG0046_11</v>
      </c>
      <c r="B54" s="3" t="s">
        <v>10</v>
      </c>
      <c r="C54" s="3" t="s">
        <v>115</v>
      </c>
      <c r="D54" s="3" t="s">
        <v>116</v>
      </c>
      <c r="E54" t="e">
        <f t="shared" si="1"/>
        <v>#N/A</v>
      </c>
      <c r="G54" t="str">
        <f t="shared" si="2"/>
        <v>IndonesiaAG0073</v>
      </c>
      <c r="H54" t="s">
        <v>159</v>
      </c>
      <c r="I54" t="s">
        <v>166</v>
      </c>
      <c r="J54" s="23" t="s">
        <v>167</v>
      </c>
      <c r="K54" s="27" t="s">
        <v>293</v>
      </c>
    </row>
    <row r="55" spans="1:11" hidden="1" x14ac:dyDescent="0.35">
      <c r="A55" t="str">
        <f t="shared" si="0"/>
        <v>Hong KongAG0046_12</v>
      </c>
      <c r="B55" s="3" t="s">
        <v>10</v>
      </c>
      <c r="C55" s="3" t="s">
        <v>117</v>
      </c>
      <c r="D55" s="3" t="s">
        <v>118</v>
      </c>
      <c r="E55" t="e">
        <f t="shared" si="1"/>
        <v>#N/A</v>
      </c>
      <c r="G55" t="str">
        <f t="shared" si="2"/>
        <v>JapanAG0016</v>
      </c>
      <c r="H55" t="s">
        <v>169</v>
      </c>
      <c r="I55" s="30" t="s">
        <v>15</v>
      </c>
      <c r="J55" s="31" t="s">
        <v>16</v>
      </c>
      <c r="K55" s="24" t="s">
        <v>293</v>
      </c>
    </row>
    <row r="56" spans="1:11" hidden="1" x14ac:dyDescent="0.35">
      <c r="A56" t="str">
        <f t="shared" si="0"/>
        <v>Hong KongAG0046_12_1</v>
      </c>
      <c r="B56" s="3" t="s">
        <v>10</v>
      </c>
      <c r="C56" s="3" t="s">
        <v>119</v>
      </c>
      <c r="D56" s="3" t="s">
        <v>120</v>
      </c>
      <c r="E56" t="e">
        <f t="shared" si="1"/>
        <v>#N/A</v>
      </c>
      <c r="G56" t="str">
        <f t="shared" si="2"/>
        <v>JapanAG0020</v>
      </c>
      <c r="H56" t="s">
        <v>169</v>
      </c>
      <c r="I56" s="30" t="s">
        <v>49</v>
      </c>
      <c r="J56" s="31" t="s">
        <v>50</v>
      </c>
      <c r="K56" s="24" t="s">
        <v>293</v>
      </c>
    </row>
    <row r="57" spans="1:11" hidden="1" x14ac:dyDescent="0.35">
      <c r="A57" t="str">
        <f t="shared" si="0"/>
        <v>Hong KongAG0046_12_2</v>
      </c>
      <c r="B57" s="3" t="s">
        <v>10</v>
      </c>
      <c r="C57" s="3" t="s">
        <v>121</v>
      </c>
      <c r="D57" s="3" t="s">
        <v>122</v>
      </c>
      <c r="E57" t="e">
        <f t="shared" si="1"/>
        <v>#N/A</v>
      </c>
      <c r="G57" t="str">
        <f t="shared" si="2"/>
        <v>JapanAG0029</v>
      </c>
      <c r="H57" t="s">
        <v>169</v>
      </c>
      <c r="I57" s="30" t="s">
        <v>85</v>
      </c>
      <c r="J57" s="31" t="s">
        <v>86</v>
      </c>
      <c r="K57" s="28" t="s">
        <v>296</v>
      </c>
    </row>
    <row r="58" spans="1:11" hidden="1" x14ac:dyDescent="0.35">
      <c r="A58" t="str">
        <f t="shared" si="0"/>
        <v>Hong KongAG0046_12_3</v>
      </c>
      <c r="B58" s="3" t="s">
        <v>10</v>
      </c>
      <c r="C58" s="3" t="s">
        <v>123</v>
      </c>
      <c r="D58" s="3" t="s">
        <v>124</v>
      </c>
      <c r="E58" t="e">
        <f t="shared" si="1"/>
        <v>#N/A</v>
      </c>
      <c r="G58" t="str">
        <f t="shared" si="2"/>
        <v>JapanAG0038</v>
      </c>
      <c r="H58" t="s">
        <v>169</v>
      </c>
      <c r="I58" s="30" t="s">
        <v>109</v>
      </c>
      <c r="J58" s="31" t="s">
        <v>110</v>
      </c>
      <c r="K58" s="24" t="s">
        <v>293</v>
      </c>
    </row>
    <row r="59" spans="1:11" hidden="1" x14ac:dyDescent="0.35">
      <c r="A59" t="str">
        <f t="shared" si="0"/>
        <v>Hong KongAG0046_9</v>
      </c>
      <c r="B59" s="3" t="s">
        <v>10</v>
      </c>
      <c r="C59" s="3" t="s">
        <v>125</v>
      </c>
      <c r="D59" s="3" t="s">
        <v>126</v>
      </c>
      <c r="E59" t="e">
        <f t="shared" si="1"/>
        <v>#N/A</v>
      </c>
      <c r="G59" t="str">
        <f t="shared" si="2"/>
        <v>JapanAG0041</v>
      </c>
      <c r="H59" t="s">
        <v>169</v>
      </c>
      <c r="I59" s="30" t="s">
        <v>164</v>
      </c>
      <c r="J59" s="31" t="s">
        <v>165</v>
      </c>
      <c r="K59" s="24" t="s">
        <v>293</v>
      </c>
    </row>
    <row r="60" spans="1:11" hidden="1" x14ac:dyDescent="0.35">
      <c r="A60" t="str">
        <f t="shared" si="0"/>
        <v>Hong KongAG0051</v>
      </c>
      <c r="B60" s="3" t="s">
        <v>10</v>
      </c>
      <c r="C60" s="3" t="s">
        <v>127</v>
      </c>
      <c r="D60" s="3" t="s">
        <v>128</v>
      </c>
      <c r="E60" t="str">
        <f t="shared" si="1"/>
        <v>EDL</v>
      </c>
      <c r="G60" t="str">
        <f t="shared" si="2"/>
        <v>JapanAG0043</v>
      </c>
      <c r="H60" t="s">
        <v>169</v>
      </c>
      <c r="I60" s="30" t="s">
        <v>214</v>
      </c>
      <c r="J60" s="31" t="s">
        <v>179</v>
      </c>
      <c r="K60" s="24" t="s">
        <v>293</v>
      </c>
    </row>
    <row r="61" spans="1:11" hidden="1" x14ac:dyDescent="0.35">
      <c r="A61" t="str">
        <f t="shared" si="0"/>
        <v>Hong KongAG0051_1</v>
      </c>
      <c r="B61" s="3" t="s">
        <v>10</v>
      </c>
      <c r="C61" s="3" t="s">
        <v>129</v>
      </c>
      <c r="D61" s="3" t="s">
        <v>130</v>
      </c>
      <c r="E61" t="str">
        <f t="shared" si="1"/>
        <v>EDL</v>
      </c>
      <c r="G61" t="str">
        <f t="shared" si="2"/>
        <v>JapanAG0046</v>
      </c>
      <c r="H61" t="s">
        <v>169</v>
      </c>
      <c r="I61" s="30" t="s">
        <v>111</v>
      </c>
      <c r="J61" s="31" t="s">
        <v>112</v>
      </c>
      <c r="K61" s="24" t="s">
        <v>293</v>
      </c>
    </row>
    <row r="62" spans="1:11" hidden="1" x14ac:dyDescent="0.35">
      <c r="A62" t="str">
        <f t="shared" si="0"/>
        <v>Hong KongAG0051_2</v>
      </c>
      <c r="B62" s="3" t="s">
        <v>10</v>
      </c>
      <c r="C62" s="3" t="s">
        <v>131</v>
      </c>
      <c r="D62" s="3" t="s">
        <v>132</v>
      </c>
      <c r="E62" t="str">
        <f t="shared" si="1"/>
        <v>EDL</v>
      </c>
      <c r="G62" t="str">
        <f t="shared" si="2"/>
        <v>JapanAG0051</v>
      </c>
      <c r="H62" t="s">
        <v>169</v>
      </c>
      <c r="I62" s="30" t="s">
        <v>127</v>
      </c>
      <c r="J62" s="31" t="s">
        <v>128</v>
      </c>
      <c r="K62" s="28" t="s">
        <v>296</v>
      </c>
    </row>
    <row r="63" spans="1:11" hidden="1" x14ac:dyDescent="0.35">
      <c r="A63" t="str">
        <f t="shared" si="0"/>
        <v>Hong KongAG0055</v>
      </c>
      <c r="B63" s="3" t="s">
        <v>10</v>
      </c>
      <c r="C63" s="3" t="s">
        <v>133</v>
      </c>
      <c r="D63" s="3" t="s">
        <v>134</v>
      </c>
      <c r="E63" t="str">
        <f t="shared" si="1"/>
        <v>EDL</v>
      </c>
      <c r="G63" t="str">
        <f t="shared" si="2"/>
        <v>JapanAG0051_1</v>
      </c>
      <c r="H63" t="s">
        <v>169</v>
      </c>
      <c r="I63" s="30" t="s">
        <v>129</v>
      </c>
      <c r="J63" s="31" t="s">
        <v>130</v>
      </c>
      <c r="K63" s="24" t="s">
        <v>293</v>
      </c>
    </row>
    <row r="64" spans="1:11" hidden="1" x14ac:dyDescent="0.35">
      <c r="A64" t="str">
        <f t="shared" si="0"/>
        <v>Hong KongAG0055_1</v>
      </c>
      <c r="B64" s="3" t="s">
        <v>10</v>
      </c>
      <c r="C64" s="3" t="s">
        <v>135</v>
      </c>
      <c r="D64" s="3" t="s">
        <v>136</v>
      </c>
      <c r="E64" t="str">
        <f t="shared" si="1"/>
        <v>EDL</v>
      </c>
      <c r="G64" t="str">
        <f t="shared" si="2"/>
        <v>JapanAG0051_2</v>
      </c>
      <c r="H64" t="s">
        <v>169</v>
      </c>
      <c r="I64" s="30" t="s">
        <v>131</v>
      </c>
      <c r="J64" s="31" t="s">
        <v>132</v>
      </c>
      <c r="K64" s="24" t="s">
        <v>293</v>
      </c>
    </row>
    <row r="65" spans="1:11" hidden="1" x14ac:dyDescent="0.35">
      <c r="A65" t="str">
        <f t="shared" si="0"/>
        <v>Hong KongAG0062_8</v>
      </c>
      <c r="B65" s="3" t="s">
        <v>10</v>
      </c>
      <c r="C65" s="3" t="s">
        <v>143</v>
      </c>
      <c r="D65" s="3" t="s">
        <v>144</v>
      </c>
      <c r="E65" t="str">
        <f t="shared" si="1"/>
        <v>EDL</v>
      </c>
      <c r="G65" t="str">
        <f t="shared" si="2"/>
        <v>JapanAG0054</v>
      </c>
      <c r="H65" t="s">
        <v>169</v>
      </c>
      <c r="I65" s="30" t="s">
        <v>229</v>
      </c>
      <c r="J65" s="31" t="s">
        <v>228</v>
      </c>
      <c r="K65" s="25" t="s">
        <v>294</v>
      </c>
    </row>
    <row r="66" spans="1:11" hidden="1" x14ac:dyDescent="0.35">
      <c r="A66" t="str">
        <f t="shared" si="0"/>
        <v>Hong KongAG0068</v>
      </c>
      <c r="B66" s="3" t="s">
        <v>10</v>
      </c>
      <c r="C66" s="3" t="s">
        <v>145</v>
      </c>
      <c r="D66" s="3" t="s">
        <v>146</v>
      </c>
      <c r="E66" t="e">
        <f t="shared" si="1"/>
        <v>#N/A</v>
      </c>
      <c r="G66" t="str">
        <f t="shared" si="2"/>
        <v>JapanAG0055</v>
      </c>
      <c r="H66" t="s">
        <v>169</v>
      </c>
      <c r="I66" s="30" t="s">
        <v>133</v>
      </c>
      <c r="J66" s="31" t="s">
        <v>134</v>
      </c>
      <c r="K66" s="24" t="s">
        <v>293</v>
      </c>
    </row>
    <row r="67" spans="1:11" hidden="1" x14ac:dyDescent="0.35">
      <c r="A67" t="str">
        <f t="shared" si="0"/>
        <v>Hong KongAG0068_1</v>
      </c>
      <c r="B67" s="3" t="s">
        <v>10</v>
      </c>
      <c r="C67" s="3" t="s">
        <v>147</v>
      </c>
      <c r="D67" s="3" t="s">
        <v>148</v>
      </c>
      <c r="E67" t="e">
        <f t="shared" si="1"/>
        <v>#N/A</v>
      </c>
      <c r="G67" t="str">
        <f t="shared" si="2"/>
        <v>JapanAG0055_1</v>
      </c>
      <c r="H67" t="s">
        <v>169</v>
      </c>
      <c r="I67" s="30" t="s">
        <v>135</v>
      </c>
      <c r="J67" s="31" t="s">
        <v>136</v>
      </c>
      <c r="K67" s="29" t="s">
        <v>296</v>
      </c>
    </row>
    <row r="68" spans="1:11" hidden="1" x14ac:dyDescent="0.35">
      <c r="A68" t="str">
        <f t="shared" ref="A68:A131" si="3">B68&amp;C68</f>
        <v>Hong KongAG0068_2</v>
      </c>
      <c r="B68" s="3" t="s">
        <v>10</v>
      </c>
      <c r="C68" s="3" t="s">
        <v>149</v>
      </c>
      <c r="D68" s="3" t="s">
        <v>150</v>
      </c>
      <c r="E68" t="e">
        <f t="shared" ref="E68:E131" si="4">VLOOKUP(A68,G:K,5,FALSE)</f>
        <v>#N/A</v>
      </c>
      <c r="G68" t="str">
        <f t="shared" ref="G68:G131" si="5">H68&amp;I68</f>
        <v>JapanAG0060</v>
      </c>
      <c r="H68" t="s">
        <v>169</v>
      </c>
      <c r="I68" s="30" t="s">
        <v>162</v>
      </c>
      <c r="J68" s="31" t="s">
        <v>163</v>
      </c>
      <c r="K68" s="27" t="s">
        <v>296</v>
      </c>
    </row>
    <row r="69" spans="1:11" hidden="1" x14ac:dyDescent="0.35">
      <c r="A69" t="str">
        <f t="shared" si="3"/>
        <v>Hong KongAG0068_3</v>
      </c>
      <c r="B69" s="3" t="s">
        <v>10</v>
      </c>
      <c r="C69" s="3" t="s">
        <v>151</v>
      </c>
      <c r="D69" s="3" t="s">
        <v>152</v>
      </c>
      <c r="E69" t="e">
        <f t="shared" si="4"/>
        <v>#N/A</v>
      </c>
      <c r="G69" t="str">
        <f t="shared" si="5"/>
        <v>JapanAG0060_1</v>
      </c>
      <c r="H69" t="s">
        <v>169</v>
      </c>
      <c r="I69" s="30" t="s">
        <v>252</v>
      </c>
      <c r="J69" s="31" t="s">
        <v>180</v>
      </c>
      <c r="K69" s="27" t="s">
        <v>296</v>
      </c>
    </row>
    <row r="70" spans="1:11" hidden="1" x14ac:dyDescent="0.35">
      <c r="A70" t="str">
        <f t="shared" si="3"/>
        <v>Hong KongAG0070</v>
      </c>
      <c r="B70" s="3" t="s">
        <v>10</v>
      </c>
      <c r="C70" s="3" t="s">
        <v>153</v>
      </c>
      <c r="D70" s="3" t="s">
        <v>154</v>
      </c>
      <c r="E70" t="e">
        <f t="shared" si="4"/>
        <v>#N/A</v>
      </c>
      <c r="G70" t="e">
        <f t="shared" si="5"/>
        <v>#N/A</v>
      </c>
      <c r="H70" t="s">
        <v>169</v>
      </c>
      <c r="I70" s="30" t="e">
        <v>#N/A</v>
      </c>
      <c r="J70" s="31" t="s">
        <v>290</v>
      </c>
      <c r="K70" s="27" t="s">
        <v>295</v>
      </c>
    </row>
    <row r="71" spans="1:11" hidden="1" x14ac:dyDescent="0.35">
      <c r="A71" t="str">
        <f t="shared" si="3"/>
        <v>Hong KongAG0070_1</v>
      </c>
      <c r="B71" s="3" t="s">
        <v>10</v>
      </c>
      <c r="C71" s="3" t="s">
        <v>155</v>
      </c>
      <c r="D71" s="3" t="s">
        <v>156</v>
      </c>
      <c r="E71" t="e">
        <f t="shared" si="4"/>
        <v>#N/A</v>
      </c>
      <c r="G71" t="str">
        <f t="shared" si="5"/>
        <v>JapanAG0072_1</v>
      </c>
      <c r="H71" t="s">
        <v>169</v>
      </c>
      <c r="I71" s="30" t="s">
        <v>253</v>
      </c>
      <c r="J71" s="31" t="s">
        <v>177</v>
      </c>
      <c r="K71" s="25" t="s">
        <v>294</v>
      </c>
    </row>
    <row r="72" spans="1:11" hidden="1" x14ac:dyDescent="0.35">
      <c r="A72" t="str">
        <f t="shared" si="3"/>
        <v>Hong KongAG0070_2</v>
      </c>
      <c r="B72" s="3" t="s">
        <v>10</v>
      </c>
      <c r="C72" s="3" t="s">
        <v>157</v>
      </c>
      <c r="D72" s="3" t="s">
        <v>158</v>
      </c>
      <c r="E72" t="e">
        <f t="shared" si="4"/>
        <v>#N/A</v>
      </c>
      <c r="G72" t="str">
        <f t="shared" si="5"/>
        <v>JapanAG0072_2</v>
      </c>
      <c r="H72" t="s">
        <v>169</v>
      </c>
      <c r="I72" s="30" t="s">
        <v>254</v>
      </c>
      <c r="J72" s="31" t="s">
        <v>178</v>
      </c>
      <c r="K72" s="25" t="s">
        <v>294</v>
      </c>
    </row>
    <row r="73" spans="1:11" hidden="1" x14ac:dyDescent="0.35">
      <c r="A73" t="str">
        <f t="shared" si="3"/>
        <v>IndonesiaAG0016</v>
      </c>
      <c r="B73" s="3" t="s">
        <v>159</v>
      </c>
      <c r="C73" s="3" t="s">
        <v>15</v>
      </c>
      <c r="D73" s="3" t="s">
        <v>16</v>
      </c>
      <c r="E73" t="str">
        <f t="shared" si="4"/>
        <v>EDL</v>
      </c>
      <c r="G73" t="str">
        <f t="shared" si="5"/>
        <v>JapanAG0061</v>
      </c>
      <c r="H73" t="s">
        <v>169</v>
      </c>
      <c r="I73" s="30" t="s">
        <v>261</v>
      </c>
      <c r="J73" s="31" t="s">
        <v>174</v>
      </c>
      <c r="K73" s="25" t="s">
        <v>294</v>
      </c>
    </row>
    <row r="74" spans="1:11" hidden="1" x14ac:dyDescent="0.35">
      <c r="A74" t="str">
        <f t="shared" si="3"/>
        <v>VietnamAG0016</v>
      </c>
      <c r="B74" s="3" t="s">
        <v>160</v>
      </c>
      <c r="C74" s="3" t="s">
        <v>15</v>
      </c>
      <c r="D74" s="3" t="s">
        <v>16</v>
      </c>
      <c r="E74" t="str">
        <f t="shared" si="4"/>
        <v>EDL</v>
      </c>
      <c r="G74" t="str">
        <f t="shared" si="5"/>
        <v>JapanAG0061_1</v>
      </c>
      <c r="H74" t="s">
        <v>169</v>
      </c>
      <c r="I74" s="30" t="s">
        <v>262</v>
      </c>
      <c r="J74" s="31" t="s">
        <v>175</v>
      </c>
      <c r="K74" s="25" t="s">
        <v>294</v>
      </c>
    </row>
    <row r="75" spans="1:11" hidden="1" x14ac:dyDescent="0.35">
      <c r="A75" t="str">
        <f t="shared" si="3"/>
        <v>VietnamAG0020</v>
      </c>
      <c r="B75" s="3" t="s">
        <v>160</v>
      </c>
      <c r="C75" s="3" t="s">
        <v>49</v>
      </c>
      <c r="D75" s="3" t="s">
        <v>50</v>
      </c>
      <c r="E75" t="str">
        <f t="shared" si="4"/>
        <v>EDL</v>
      </c>
      <c r="G75" t="str">
        <f t="shared" si="5"/>
        <v>JapanAG0061_2</v>
      </c>
      <c r="H75" t="s">
        <v>169</v>
      </c>
      <c r="I75" s="30" t="s">
        <v>263</v>
      </c>
      <c r="J75" s="31" t="s">
        <v>176</v>
      </c>
      <c r="K75" s="25" t="s">
        <v>294</v>
      </c>
    </row>
    <row r="76" spans="1:11" hidden="1" x14ac:dyDescent="0.35">
      <c r="A76" t="str">
        <f t="shared" si="3"/>
        <v>VietnamAG0051</v>
      </c>
      <c r="B76" s="3" t="s">
        <v>160</v>
      </c>
      <c r="C76" s="3" t="s">
        <v>127</v>
      </c>
      <c r="D76" s="3" t="s">
        <v>128</v>
      </c>
      <c r="E76" t="str">
        <f t="shared" si="4"/>
        <v>EDL</v>
      </c>
      <c r="G76" t="str">
        <f t="shared" si="5"/>
        <v>JapanAG0062</v>
      </c>
      <c r="H76" t="s">
        <v>169</v>
      </c>
      <c r="I76" s="30" t="s">
        <v>137</v>
      </c>
      <c r="J76" s="31" t="s">
        <v>138</v>
      </c>
      <c r="K76" s="24" t="s">
        <v>293</v>
      </c>
    </row>
    <row r="77" spans="1:11" hidden="1" x14ac:dyDescent="0.35">
      <c r="A77" t="str">
        <f t="shared" si="3"/>
        <v>SingaporeAG0051</v>
      </c>
      <c r="B77" s="3" t="s">
        <v>161</v>
      </c>
      <c r="C77" s="3" t="s">
        <v>127</v>
      </c>
      <c r="D77" s="3" t="s">
        <v>128</v>
      </c>
      <c r="E77" t="str">
        <f t="shared" si="4"/>
        <v>EDL</v>
      </c>
      <c r="G77" t="str">
        <f t="shared" si="5"/>
        <v>JapanAG0062_6</v>
      </c>
      <c r="H77" t="s">
        <v>169</v>
      </c>
      <c r="I77" s="30" t="s">
        <v>139</v>
      </c>
      <c r="J77" s="31" t="s">
        <v>140</v>
      </c>
      <c r="K77" s="24" t="s">
        <v>293</v>
      </c>
    </row>
    <row r="78" spans="1:11" hidden="1" x14ac:dyDescent="0.35">
      <c r="A78" t="str">
        <f t="shared" si="3"/>
        <v>IndonesiaAG0038</v>
      </c>
      <c r="B78" s="3" t="s">
        <v>159</v>
      </c>
      <c r="C78" s="3" t="s">
        <v>109</v>
      </c>
      <c r="D78" s="3" t="s">
        <v>110</v>
      </c>
      <c r="E78" t="str">
        <f t="shared" si="4"/>
        <v>EDL</v>
      </c>
      <c r="G78" t="str">
        <f t="shared" si="5"/>
        <v>JapanAG0062_7</v>
      </c>
      <c r="H78" t="s">
        <v>169</v>
      </c>
      <c r="I78" s="30" t="s">
        <v>141</v>
      </c>
      <c r="J78" s="31" t="s">
        <v>142</v>
      </c>
      <c r="K78" s="24" t="s">
        <v>293</v>
      </c>
    </row>
    <row r="79" spans="1:11" hidden="1" x14ac:dyDescent="0.35">
      <c r="A79" t="str">
        <f t="shared" si="3"/>
        <v>VietnamAG0038</v>
      </c>
      <c r="B79" s="3" t="s">
        <v>160</v>
      </c>
      <c r="C79" s="3" t="s">
        <v>109</v>
      </c>
      <c r="D79" s="3" t="s">
        <v>110</v>
      </c>
      <c r="E79" t="str">
        <f t="shared" si="4"/>
        <v>EDL</v>
      </c>
      <c r="G79" t="str">
        <f t="shared" si="5"/>
        <v>JapanAG0062_8</v>
      </c>
      <c r="H79" t="s">
        <v>169</v>
      </c>
      <c r="I79" s="30" t="s">
        <v>143</v>
      </c>
      <c r="J79" s="31" t="s">
        <v>144</v>
      </c>
      <c r="K79" s="24" t="s">
        <v>293</v>
      </c>
    </row>
    <row r="80" spans="1:11" hidden="1" x14ac:dyDescent="0.35">
      <c r="A80" t="str">
        <f t="shared" si="3"/>
        <v>VietnamAG0060</v>
      </c>
      <c r="B80" s="3" t="s">
        <v>160</v>
      </c>
      <c r="C80" s="3" t="s">
        <v>162</v>
      </c>
      <c r="D80" s="3" t="s">
        <v>163</v>
      </c>
      <c r="E80" t="str">
        <f t="shared" si="4"/>
        <v>EDL</v>
      </c>
      <c r="G80" t="str">
        <f t="shared" si="5"/>
        <v>JapanAG0073</v>
      </c>
      <c r="H80" t="s">
        <v>169</v>
      </c>
      <c r="I80" s="30" t="s">
        <v>166</v>
      </c>
      <c r="J80" s="31" t="s">
        <v>167</v>
      </c>
      <c r="K80" s="27" t="s">
        <v>296</v>
      </c>
    </row>
    <row r="81" spans="1:11" hidden="1" x14ac:dyDescent="0.35">
      <c r="A81" t="str">
        <f t="shared" si="3"/>
        <v>VietnamAG0041</v>
      </c>
      <c r="B81" s="3" t="s">
        <v>160</v>
      </c>
      <c r="C81" s="3" t="s">
        <v>164</v>
      </c>
      <c r="D81" s="3" t="s">
        <v>165</v>
      </c>
      <c r="E81" t="str">
        <f t="shared" si="4"/>
        <v>EDL</v>
      </c>
      <c r="G81" t="str">
        <f t="shared" si="5"/>
        <v>CambodiaAG0016</v>
      </c>
      <c r="H81" t="s">
        <v>170</v>
      </c>
      <c r="I81" t="s">
        <v>15</v>
      </c>
      <c r="J81" t="s">
        <v>16</v>
      </c>
      <c r="K81" s="24" t="s">
        <v>293</v>
      </c>
    </row>
    <row r="82" spans="1:11" hidden="1" x14ac:dyDescent="0.35">
      <c r="A82" t="str">
        <f t="shared" si="3"/>
        <v>Hong KongAG0062</v>
      </c>
      <c r="B82" s="3" t="s">
        <v>10</v>
      </c>
      <c r="C82" s="3" t="s">
        <v>137</v>
      </c>
      <c r="D82" s="3" t="s">
        <v>138</v>
      </c>
      <c r="E82" t="str">
        <f t="shared" si="4"/>
        <v>EDL</v>
      </c>
      <c r="G82" t="str">
        <f t="shared" si="5"/>
        <v>CambodiaAG0020</v>
      </c>
      <c r="H82" t="s">
        <v>170</v>
      </c>
      <c r="I82" t="s">
        <v>49</v>
      </c>
      <c r="J82" t="s">
        <v>50</v>
      </c>
      <c r="K82" s="24" t="s">
        <v>293</v>
      </c>
    </row>
    <row r="83" spans="1:11" x14ac:dyDescent="0.35">
      <c r="A83" t="str">
        <f t="shared" si="3"/>
        <v>Hong KongAG0073</v>
      </c>
      <c r="B83" s="3" t="s">
        <v>10</v>
      </c>
      <c r="C83" s="3" t="s">
        <v>166</v>
      </c>
      <c r="D83" s="3" t="s">
        <v>167</v>
      </c>
      <c r="E83" t="str">
        <f t="shared" si="4"/>
        <v>Manual Anaplan Input</v>
      </c>
      <c r="G83" t="str">
        <f t="shared" si="5"/>
        <v>CambodiaAG0029</v>
      </c>
      <c r="H83" t="s">
        <v>170</v>
      </c>
      <c r="I83" t="s">
        <v>85</v>
      </c>
      <c r="J83" t="s">
        <v>86</v>
      </c>
      <c r="K83" s="24" t="s">
        <v>293</v>
      </c>
    </row>
    <row r="84" spans="1:11" x14ac:dyDescent="0.35">
      <c r="A84" t="str">
        <f t="shared" si="3"/>
        <v>JapanAG0073</v>
      </c>
      <c r="B84" s="3" t="s">
        <v>169</v>
      </c>
      <c r="C84" s="3" t="s">
        <v>166</v>
      </c>
      <c r="D84" s="3" t="s">
        <v>167</v>
      </c>
      <c r="E84" t="str">
        <f t="shared" si="4"/>
        <v>Manual Anaplan Input</v>
      </c>
      <c r="G84" t="str">
        <f t="shared" si="5"/>
        <v>CambodiaAG0038</v>
      </c>
      <c r="H84" t="s">
        <v>170</v>
      </c>
      <c r="I84" t="s">
        <v>109</v>
      </c>
      <c r="J84" t="s">
        <v>110</v>
      </c>
      <c r="K84" s="24" t="s">
        <v>293</v>
      </c>
    </row>
    <row r="85" spans="1:11" hidden="1" x14ac:dyDescent="0.35">
      <c r="A85" t="str">
        <f t="shared" si="3"/>
        <v>CambodiaAG0062</v>
      </c>
      <c r="B85" s="3" t="s">
        <v>170</v>
      </c>
      <c r="C85" s="3" t="s">
        <v>137</v>
      </c>
      <c r="D85" s="3" t="s">
        <v>138</v>
      </c>
      <c r="E85" t="str">
        <f t="shared" si="4"/>
        <v>EDL</v>
      </c>
      <c r="G85" t="str">
        <f t="shared" si="5"/>
        <v>CambodiaAG0041</v>
      </c>
      <c r="H85" t="s">
        <v>170</v>
      </c>
      <c r="I85" t="s">
        <v>164</v>
      </c>
      <c r="J85" t="s">
        <v>165</v>
      </c>
      <c r="K85" s="24" t="s">
        <v>293</v>
      </c>
    </row>
    <row r="86" spans="1:11" hidden="1" x14ac:dyDescent="0.35">
      <c r="A86" t="str">
        <f t="shared" si="3"/>
        <v>CambodiaAG0062_6</v>
      </c>
      <c r="B86" s="3" t="s">
        <v>170</v>
      </c>
      <c r="C86" s="3" t="s">
        <v>139</v>
      </c>
      <c r="D86" s="3" t="s">
        <v>140</v>
      </c>
      <c r="E86" t="str">
        <f t="shared" si="4"/>
        <v>EDL</v>
      </c>
      <c r="G86" t="str">
        <f t="shared" si="5"/>
        <v>CambodiaAG0043</v>
      </c>
      <c r="H86" t="s">
        <v>170</v>
      </c>
      <c r="I86" t="s">
        <v>214</v>
      </c>
      <c r="J86" t="s">
        <v>179</v>
      </c>
      <c r="K86" s="24" t="s">
        <v>293</v>
      </c>
    </row>
    <row r="87" spans="1:11" hidden="1" x14ac:dyDescent="0.35">
      <c r="A87" t="str">
        <f t="shared" si="3"/>
        <v>CambodiaAG0062_7</v>
      </c>
      <c r="B87" s="3" t="s">
        <v>170</v>
      </c>
      <c r="C87" s="3" t="s">
        <v>141</v>
      </c>
      <c r="D87" s="3" t="s">
        <v>142</v>
      </c>
      <c r="E87" t="str">
        <f t="shared" si="4"/>
        <v>EDL</v>
      </c>
      <c r="G87" t="str">
        <f t="shared" si="5"/>
        <v>CambodiaAG0046</v>
      </c>
      <c r="H87" t="s">
        <v>170</v>
      </c>
      <c r="I87" t="s">
        <v>111</v>
      </c>
      <c r="J87" t="s">
        <v>112</v>
      </c>
      <c r="K87" s="24" t="s">
        <v>293</v>
      </c>
    </row>
    <row r="88" spans="1:11" hidden="1" x14ac:dyDescent="0.35">
      <c r="A88" t="str">
        <f t="shared" si="3"/>
        <v>CambodiaAG0062_8</v>
      </c>
      <c r="B88" s="3" t="s">
        <v>170</v>
      </c>
      <c r="C88" s="3" t="s">
        <v>143</v>
      </c>
      <c r="D88" s="3" t="s">
        <v>144</v>
      </c>
      <c r="E88" t="str">
        <f t="shared" si="4"/>
        <v>EDL</v>
      </c>
      <c r="G88" t="str">
        <f t="shared" si="5"/>
        <v>CambodiaAG0051</v>
      </c>
      <c r="H88" t="s">
        <v>170</v>
      </c>
      <c r="I88" t="s">
        <v>127</v>
      </c>
      <c r="J88" t="s">
        <v>128</v>
      </c>
      <c r="K88" s="24" t="s">
        <v>293</v>
      </c>
    </row>
    <row r="89" spans="1:11" hidden="1" x14ac:dyDescent="0.35">
      <c r="A89" t="str">
        <f t="shared" si="3"/>
        <v>Hong KongAG0062_7</v>
      </c>
      <c r="B89" s="3" t="s">
        <v>10</v>
      </c>
      <c r="C89" s="3" t="s">
        <v>141</v>
      </c>
      <c r="D89" s="3" t="s">
        <v>142</v>
      </c>
      <c r="E89" t="str">
        <f t="shared" si="4"/>
        <v>EDL</v>
      </c>
      <c r="G89" t="str">
        <f t="shared" si="5"/>
        <v>CambodiaAG0051_1</v>
      </c>
      <c r="H89" t="s">
        <v>170</v>
      </c>
      <c r="I89" t="s">
        <v>129</v>
      </c>
      <c r="J89" t="s">
        <v>130</v>
      </c>
      <c r="K89" s="24" t="s">
        <v>293</v>
      </c>
    </row>
    <row r="90" spans="1:11" hidden="1" x14ac:dyDescent="0.35">
      <c r="A90" t="str">
        <f t="shared" si="3"/>
        <v>Hong KongAG0062_6</v>
      </c>
      <c r="B90" s="3" t="s">
        <v>10</v>
      </c>
      <c r="C90" s="3" t="s">
        <v>139</v>
      </c>
      <c r="D90" s="3" t="s">
        <v>140</v>
      </c>
      <c r="E90" t="str">
        <f t="shared" si="4"/>
        <v>EDL</v>
      </c>
      <c r="G90" t="str">
        <f t="shared" si="5"/>
        <v>CambodiaAG0051_2</v>
      </c>
      <c r="H90" t="s">
        <v>170</v>
      </c>
      <c r="I90" t="s">
        <v>131</v>
      </c>
      <c r="J90" t="s">
        <v>132</v>
      </c>
      <c r="K90" s="24" t="s">
        <v>293</v>
      </c>
    </row>
    <row r="91" spans="1:11" hidden="1" x14ac:dyDescent="0.35">
      <c r="A91" t="str">
        <f t="shared" si="3"/>
        <v>VietnamAG0062_7</v>
      </c>
      <c r="B91" s="3" t="s">
        <v>160</v>
      </c>
      <c r="C91" s="3" t="s">
        <v>141</v>
      </c>
      <c r="D91" s="3" t="s">
        <v>142</v>
      </c>
      <c r="E91" t="str">
        <f t="shared" si="4"/>
        <v>EDL</v>
      </c>
      <c r="G91" t="str">
        <f t="shared" si="5"/>
        <v>CambodiaAG0054</v>
      </c>
      <c r="H91" t="s">
        <v>170</v>
      </c>
      <c r="I91" t="s">
        <v>229</v>
      </c>
      <c r="J91" t="s">
        <v>228</v>
      </c>
      <c r="K91" s="25" t="s">
        <v>294</v>
      </c>
    </row>
    <row r="92" spans="1:11" hidden="1" x14ac:dyDescent="0.35">
      <c r="A92" t="str">
        <f t="shared" si="3"/>
        <v>VietnamAG0062_6</v>
      </c>
      <c r="B92" s="3" t="s">
        <v>160</v>
      </c>
      <c r="C92" s="3" t="s">
        <v>139</v>
      </c>
      <c r="D92" s="3" t="s">
        <v>140</v>
      </c>
      <c r="E92" t="str">
        <f t="shared" si="4"/>
        <v>EDL</v>
      </c>
      <c r="G92" t="str">
        <f t="shared" si="5"/>
        <v>CambodiaAG0055</v>
      </c>
      <c r="H92" t="s">
        <v>170</v>
      </c>
      <c r="I92" t="s">
        <v>133</v>
      </c>
      <c r="J92" t="s">
        <v>134</v>
      </c>
      <c r="K92" s="24" t="s">
        <v>293</v>
      </c>
    </row>
    <row r="93" spans="1:11" hidden="1" x14ac:dyDescent="0.35">
      <c r="A93" t="str">
        <f t="shared" si="3"/>
        <v>PhilippinesAG0029</v>
      </c>
      <c r="B93" s="3" t="s">
        <v>171</v>
      </c>
      <c r="C93" s="12" t="s">
        <v>85</v>
      </c>
      <c r="D93" s="3" t="s">
        <v>86</v>
      </c>
      <c r="E93" t="str">
        <f t="shared" si="4"/>
        <v>EDL</v>
      </c>
      <c r="G93" t="str">
        <f t="shared" si="5"/>
        <v>CambodiaAG0055_1</v>
      </c>
      <c r="H93" t="s">
        <v>170</v>
      </c>
      <c r="I93" t="s">
        <v>135</v>
      </c>
      <c r="J93" t="s">
        <v>136</v>
      </c>
      <c r="K93" s="24" t="s">
        <v>293</v>
      </c>
    </row>
    <row r="94" spans="1:11" hidden="1" x14ac:dyDescent="0.35">
      <c r="A94" t="str">
        <f t="shared" si="3"/>
        <v>PhilippinesAG0016</v>
      </c>
      <c r="B94" s="3" t="s">
        <v>171</v>
      </c>
      <c r="C94" s="12" t="s">
        <v>15</v>
      </c>
      <c r="D94" s="3" t="s">
        <v>16</v>
      </c>
      <c r="E94" t="str">
        <f t="shared" si="4"/>
        <v>EDL</v>
      </c>
      <c r="G94" t="str">
        <f t="shared" si="5"/>
        <v>CambodiaAG0060</v>
      </c>
      <c r="H94" t="s">
        <v>170</v>
      </c>
      <c r="I94" t="s">
        <v>162</v>
      </c>
      <c r="J94" t="s">
        <v>163</v>
      </c>
      <c r="K94" s="24" t="s">
        <v>293</v>
      </c>
    </row>
    <row r="95" spans="1:11" hidden="1" x14ac:dyDescent="0.35">
      <c r="A95" t="str">
        <f t="shared" si="3"/>
        <v>PhilippinesAG0020</v>
      </c>
      <c r="B95" s="3" t="s">
        <v>171</v>
      </c>
      <c r="C95" s="12" t="s">
        <v>49</v>
      </c>
      <c r="D95" s="3" t="s">
        <v>50</v>
      </c>
      <c r="E95" t="str">
        <f t="shared" si="4"/>
        <v>EDL</v>
      </c>
      <c r="G95" t="str">
        <f t="shared" si="5"/>
        <v>CambodiaAG0060_1</v>
      </c>
      <c r="H95" t="s">
        <v>170</v>
      </c>
      <c r="I95" t="s">
        <v>252</v>
      </c>
      <c r="J95" t="s">
        <v>180</v>
      </c>
      <c r="K95" s="24" t="s">
        <v>293</v>
      </c>
    </row>
    <row r="96" spans="1:11" hidden="1" x14ac:dyDescent="0.35">
      <c r="A96" t="str">
        <f t="shared" si="3"/>
        <v>PhilippinesAG0061</v>
      </c>
      <c r="B96" s="3" t="s">
        <v>171</v>
      </c>
      <c r="C96" s="12" t="s">
        <v>261</v>
      </c>
      <c r="D96" s="3" t="s">
        <v>174</v>
      </c>
      <c r="E96" t="str">
        <f t="shared" si="4"/>
        <v>EDL</v>
      </c>
      <c r="G96" t="e">
        <f t="shared" si="5"/>
        <v>#N/A</v>
      </c>
      <c r="H96" t="s">
        <v>170</v>
      </c>
      <c r="I96" t="e">
        <v>#N/A</v>
      </c>
      <c r="J96" t="s">
        <v>290</v>
      </c>
      <c r="K96" s="26" t="s">
        <v>295</v>
      </c>
    </row>
    <row r="97" spans="1:11" hidden="1" x14ac:dyDescent="0.35">
      <c r="A97" t="str">
        <f t="shared" si="3"/>
        <v>PhilippinesAG0061_1</v>
      </c>
      <c r="B97" s="3" t="s">
        <v>171</v>
      </c>
      <c r="C97" s="12" t="s">
        <v>262</v>
      </c>
      <c r="D97" s="3" t="s">
        <v>175</v>
      </c>
      <c r="E97" t="str">
        <f t="shared" si="4"/>
        <v>EDL</v>
      </c>
      <c r="G97" t="str">
        <f t="shared" si="5"/>
        <v>CambodiaAG0072_1</v>
      </c>
      <c r="H97" t="s">
        <v>170</v>
      </c>
      <c r="I97" t="s">
        <v>253</v>
      </c>
      <c r="J97" t="s">
        <v>177</v>
      </c>
      <c r="K97" s="24" t="s">
        <v>293</v>
      </c>
    </row>
    <row r="98" spans="1:11" hidden="1" x14ac:dyDescent="0.35">
      <c r="A98" t="str">
        <f t="shared" si="3"/>
        <v>PhilippinesAG0061_2</v>
      </c>
      <c r="B98" s="3" t="s">
        <v>171</v>
      </c>
      <c r="C98" s="12" t="s">
        <v>263</v>
      </c>
      <c r="D98" s="3" t="s">
        <v>176</v>
      </c>
      <c r="E98" t="str">
        <f t="shared" si="4"/>
        <v>EDL</v>
      </c>
      <c r="G98" t="str">
        <f t="shared" si="5"/>
        <v>CambodiaAG0072_2</v>
      </c>
      <c r="H98" t="s">
        <v>170</v>
      </c>
      <c r="I98" t="s">
        <v>254</v>
      </c>
      <c r="J98" t="s">
        <v>178</v>
      </c>
      <c r="K98" s="24" t="s">
        <v>293</v>
      </c>
    </row>
    <row r="99" spans="1:11" hidden="1" x14ac:dyDescent="0.35">
      <c r="A99" t="str">
        <f t="shared" si="3"/>
        <v>PhilippinesAG0072_1</v>
      </c>
      <c r="B99" s="3" t="s">
        <v>171</v>
      </c>
      <c r="C99" s="12" t="s">
        <v>253</v>
      </c>
      <c r="D99" s="3" t="s">
        <v>177</v>
      </c>
      <c r="E99" t="str">
        <f t="shared" si="4"/>
        <v>EDL</v>
      </c>
      <c r="G99" t="str">
        <f t="shared" si="5"/>
        <v>CambodiaAG0061</v>
      </c>
      <c r="H99" t="s">
        <v>170</v>
      </c>
      <c r="I99" t="s">
        <v>261</v>
      </c>
      <c r="J99" t="s">
        <v>174</v>
      </c>
      <c r="K99" s="24" t="s">
        <v>293</v>
      </c>
    </row>
    <row r="100" spans="1:11" hidden="1" x14ac:dyDescent="0.35">
      <c r="A100" t="str">
        <f t="shared" si="3"/>
        <v>PhilippinesAG0072_2</v>
      </c>
      <c r="B100" s="3" t="s">
        <v>171</v>
      </c>
      <c r="C100" s="12" t="s">
        <v>254</v>
      </c>
      <c r="D100" s="3" t="s">
        <v>178</v>
      </c>
      <c r="E100" t="str">
        <f t="shared" si="4"/>
        <v>EDL</v>
      </c>
      <c r="G100" t="str">
        <f t="shared" si="5"/>
        <v>CambodiaAG0061_1</v>
      </c>
      <c r="H100" t="s">
        <v>170</v>
      </c>
      <c r="I100" t="s">
        <v>262</v>
      </c>
      <c r="J100" t="s">
        <v>175</v>
      </c>
      <c r="K100" s="24" t="s">
        <v>293</v>
      </c>
    </row>
    <row r="101" spans="1:11" hidden="1" x14ac:dyDescent="0.35">
      <c r="A101" t="str">
        <f t="shared" si="3"/>
        <v>PhilippinesAG0046</v>
      </c>
      <c r="B101" s="3" t="s">
        <v>171</v>
      </c>
      <c r="C101" s="3" t="s">
        <v>111</v>
      </c>
      <c r="D101" s="3" t="s">
        <v>112</v>
      </c>
      <c r="E101" t="str">
        <f t="shared" si="4"/>
        <v>EDL</v>
      </c>
      <c r="G101" t="str">
        <f t="shared" si="5"/>
        <v>CambodiaAG0061_2</v>
      </c>
      <c r="H101" t="s">
        <v>170</v>
      </c>
      <c r="I101" t="s">
        <v>263</v>
      </c>
      <c r="J101" t="s">
        <v>176</v>
      </c>
      <c r="K101" s="24" t="s">
        <v>293</v>
      </c>
    </row>
    <row r="102" spans="1:11" hidden="1" x14ac:dyDescent="0.35">
      <c r="A102" t="str">
        <f t="shared" si="3"/>
        <v>PhilippinesAG0055</v>
      </c>
      <c r="B102" s="3" t="s">
        <v>171</v>
      </c>
      <c r="C102" s="3" t="s">
        <v>133</v>
      </c>
      <c r="D102" s="3" t="s">
        <v>134</v>
      </c>
      <c r="E102" t="str">
        <f t="shared" si="4"/>
        <v>EDL</v>
      </c>
      <c r="G102" t="str">
        <f t="shared" si="5"/>
        <v>CambodiaAG0062</v>
      </c>
      <c r="H102" t="s">
        <v>170</v>
      </c>
      <c r="I102" t="s">
        <v>137</v>
      </c>
      <c r="J102" t="s">
        <v>138</v>
      </c>
      <c r="K102" s="24" t="s">
        <v>293</v>
      </c>
    </row>
    <row r="103" spans="1:11" hidden="1" x14ac:dyDescent="0.35">
      <c r="A103" t="str">
        <f t="shared" si="3"/>
        <v>PhilippinesAG0055_1</v>
      </c>
      <c r="B103" s="3" t="s">
        <v>171</v>
      </c>
      <c r="C103" s="3" t="s">
        <v>135</v>
      </c>
      <c r="D103" s="3" t="s">
        <v>136</v>
      </c>
      <c r="E103" t="str">
        <f t="shared" si="4"/>
        <v>EDL</v>
      </c>
      <c r="G103" t="str">
        <f t="shared" si="5"/>
        <v>CambodiaAG0062_6</v>
      </c>
      <c r="H103" t="s">
        <v>170</v>
      </c>
      <c r="I103" t="s">
        <v>139</v>
      </c>
      <c r="J103" t="s">
        <v>140</v>
      </c>
      <c r="K103" s="24" t="s">
        <v>293</v>
      </c>
    </row>
    <row r="104" spans="1:11" hidden="1" x14ac:dyDescent="0.35">
      <c r="A104" t="str">
        <f t="shared" si="3"/>
        <v>PhilippinesAG0060</v>
      </c>
      <c r="B104" s="3" t="s">
        <v>171</v>
      </c>
      <c r="C104" s="3" t="s">
        <v>162</v>
      </c>
      <c r="D104" s="3" t="s">
        <v>163</v>
      </c>
      <c r="E104" t="str">
        <f t="shared" si="4"/>
        <v>EDL</v>
      </c>
      <c r="G104" t="str">
        <f t="shared" si="5"/>
        <v>CambodiaAG0062_7</v>
      </c>
      <c r="H104" t="s">
        <v>170</v>
      </c>
      <c r="I104" t="s">
        <v>141</v>
      </c>
      <c r="J104" t="s">
        <v>142</v>
      </c>
      <c r="K104" s="24" t="s">
        <v>293</v>
      </c>
    </row>
    <row r="105" spans="1:11" hidden="1" x14ac:dyDescent="0.35">
      <c r="A105" t="str">
        <f t="shared" si="3"/>
        <v>PhilippinesAG0051</v>
      </c>
      <c r="B105" s="3" t="s">
        <v>171</v>
      </c>
      <c r="C105" s="3" t="s">
        <v>127</v>
      </c>
      <c r="D105" s="3" t="s">
        <v>128</v>
      </c>
      <c r="E105" t="str">
        <f t="shared" si="4"/>
        <v>EDL</v>
      </c>
      <c r="G105" t="str">
        <f t="shared" si="5"/>
        <v>CambodiaAG0062_8</v>
      </c>
      <c r="H105" t="s">
        <v>170</v>
      </c>
      <c r="I105" t="s">
        <v>143</v>
      </c>
      <c r="J105" t="s">
        <v>144</v>
      </c>
      <c r="K105" s="24" t="s">
        <v>293</v>
      </c>
    </row>
    <row r="106" spans="1:11" hidden="1" x14ac:dyDescent="0.35">
      <c r="A106" t="str">
        <f t="shared" si="3"/>
        <v>PhilippinesAG0043</v>
      </c>
      <c r="B106" s="3" t="s">
        <v>171</v>
      </c>
      <c r="C106" s="3" t="s">
        <v>214</v>
      </c>
      <c r="D106" s="3" t="s">
        <v>179</v>
      </c>
      <c r="E106" t="str">
        <f t="shared" si="4"/>
        <v>EDL</v>
      </c>
      <c r="G106" t="str">
        <f t="shared" si="5"/>
        <v>CambodiaAG0073</v>
      </c>
      <c r="H106" t="s">
        <v>170</v>
      </c>
      <c r="I106" t="s">
        <v>166</v>
      </c>
      <c r="J106" t="s">
        <v>167</v>
      </c>
      <c r="K106" s="25" t="s">
        <v>294</v>
      </c>
    </row>
    <row r="107" spans="1:11" hidden="1" x14ac:dyDescent="0.35">
      <c r="A107" t="str">
        <f t="shared" si="3"/>
        <v>PhilippinesAG0041</v>
      </c>
      <c r="B107" s="3" t="s">
        <v>171</v>
      </c>
      <c r="C107" s="3" t="s">
        <v>164</v>
      </c>
      <c r="D107" s="3" t="s">
        <v>165</v>
      </c>
      <c r="E107" t="str">
        <f t="shared" si="4"/>
        <v>EDL</v>
      </c>
      <c r="G107" t="str">
        <f t="shared" si="5"/>
        <v>MyanmarAG0016</v>
      </c>
      <c r="H107" t="s">
        <v>297</v>
      </c>
      <c r="I107" s="30" t="s">
        <v>15</v>
      </c>
      <c r="J107" s="31" t="s">
        <v>16</v>
      </c>
      <c r="K107" s="24" t="s">
        <v>293</v>
      </c>
    </row>
    <row r="108" spans="1:11" hidden="1" x14ac:dyDescent="0.35">
      <c r="A108" t="str">
        <f t="shared" si="3"/>
        <v>PhilippinesAG0038</v>
      </c>
      <c r="B108" s="3" t="s">
        <v>171</v>
      </c>
      <c r="C108" s="3" t="s">
        <v>109</v>
      </c>
      <c r="D108" s="3" t="s">
        <v>110</v>
      </c>
      <c r="E108" t="str">
        <f t="shared" si="4"/>
        <v>EDL</v>
      </c>
      <c r="G108" t="str">
        <f t="shared" si="5"/>
        <v>MyanmarAG0020</v>
      </c>
      <c r="H108" t="s">
        <v>297</v>
      </c>
      <c r="I108" s="30" t="s">
        <v>49</v>
      </c>
      <c r="J108" s="31" t="s">
        <v>50</v>
      </c>
      <c r="K108" s="24" t="s">
        <v>293</v>
      </c>
    </row>
    <row r="109" spans="1:11" hidden="1" x14ac:dyDescent="0.35">
      <c r="A109" t="str">
        <f t="shared" si="3"/>
        <v>PhilippinesAG0051_1</v>
      </c>
      <c r="B109" s="3" t="s">
        <v>171</v>
      </c>
      <c r="C109" s="3" t="s">
        <v>129</v>
      </c>
      <c r="D109" s="3" t="s">
        <v>130</v>
      </c>
      <c r="E109" t="str">
        <f t="shared" si="4"/>
        <v>EDL</v>
      </c>
      <c r="G109" t="str">
        <f t="shared" si="5"/>
        <v>MyanmarAG0029</v>
      </c>
      <c r="H109" t="s">
        <v>297</v>
      </c>
      <c r="I109" s="30" t="s">
        <v>85</v>
      </c>
      <c r="J109" s="31" t="s">
        <v>86</v>
      </c>
      <c r="K109" s="24" t="s">
        <v>293</v>
      </c>
    </row>
    <row r="110" spans="1:11" hidden="1" x14ac:dyDescent="0.35">
      <c r="A110" t="str">
        <f t="shared" si="3"/>
        <v>PhilippinesAG0051_2</v>
      </c>
      <c r="B110" s="3" t="s">
        <v>171</v>
      </c>
      <c r="C110" s="3" t="s">
        <v>131</v>
      </c>
      <c r="D110" s="3" t="s">
        <v>132</v>
      </c>
      <c r="E110" t="str">
        <f t="shared" si="4"/>
        <v>EDL</v>
      </c>
      <c r="G110" t="str">
        <f t="shared" si="5"/>
        <v>MyanmarAG0038</v>
      </c>
      <c r="H110" t="s">
        <v>297</v>
      </c>
      <c r="I110" s="30" t="s">
        <v>109</v>
      </c>
      <c r="J110" s="31" t="s">
        <v>110</v>
      </c>
      <c r="K110" s="24" t="s">
        <v>293</v>
      </c>
    </row>
    <row r="111" spans="1:11" hidden="1" x14ac:dyDescent="0.35">
      <c r="A111" t="str">
        <f t="shared" si="3"/>
        <v>Hong KongAG0060</v>
      </c>
      <c r="B111" s="3" t="s">
        <v>10</v>
      </c>
      <c r="C111" s="3" t="s">
        <v>162</v>
      </c>
      <c r="D111" s="3" t="s">
        <v>163</v>
      </c>
      <c r="E111" t="str">
        <f t="shared" si="4"/>
        <v>EDL</v>
      </c>
      <c r="G111" t="str">
        <f t="shared" si="5"/>
        <v>MyanmarAG0041</v>
      </c>
      <c r="H111" t="s">
        <v>297</v>
      </c>
      <c r="I111" s="30" t="s">
        <v>164</v>
      </c>
      <c r="J111" s="31" t="s">
        <v>165</v>
      </c>
      <c r="K111" s="24" t="s">
        <v>293</v>
      </c>
    </row>
    <row r="112" spans="1:11" hidden="1" x14ac:dyDescent="0.35">
      <c r="A112" t="str">
        <f t="shared" si="3"/>
        <v>Hong KongAG0060_1</v>
      </c>
      <c r="B112" s="3" t="s">
        <v>10</v>
      </c>
      <c r="C112" s="3" t="s">
        <v>252</v>
      </c>
      <c r="D112" s="3" t="s">
        <v>180</v>
      </c>
      <c r="E112" t="str">
        <f t="shared" si="4"/>
        <v>EDL</v>
      </c>
      <c r="G112" t="str">
        <f t="shared" si="5"/>
        <v>MyanmarAG0043</v>
      </c>
      <c r="H112" t="s">
        <v>297</v>
      </c>
      <c r="I112" s="30" t="s">
        <v>214</v>
      </c>
      <c r="J112" s="31" t="s">
        <v>179</v>
      </c>
      <c r="K112" s="24" t="s">
        <v>293</v>
      </c>
    </row>
    <row r="113" spans="1:11" hidden="1" x14ac:dyDescent="0.35">
      <c r="A113" t="str">
        <f t="shared" si="3"/>
        <v>Hong KongAG0041</v>
      </c>
      <c r="B113" s="3" t="s">
        <v>10</v>
      </c>
      <c r="C113" s="3" t="s">
        <v>164</v>
      </c>
      <c r="D113" s="3" t="s">
        <v>165</v>
      </c>
      <c r="E113" t="str">
        <f t="shared" si="4"/>
        <v>EDL</v>
      </c>
      <c r="G113" t="str">
        <f t="shared" si="5"/>
        <v>MyanmarAG0046</v>
      </c>
      <c r="H113" t="s">
        <v>297</v>
      </c>
      <c r="I113" s="30" t="s">
        <v>111</v>
      </c>
      <c r="J113" s="31" t="s">
        <v>112</v>
      </c>
      <c r="K113" s="24" t="s">
        <v>293</v>
      </c>
    </row>
    <row r="114" spans="1:11" hidden="1" x14ac:dyDescent="0.35">
      <c r="A114" t="str">
        <f t="shared" si="3"/>
        <v>Hong KongAG0061</v>
      </c>
      <c r="B114" s="3" t="s">
        <v>10</v>
      </c>
      <c r="C114" s="3" t="s">
        <v>261</v>
      </c>
      <c r="D114" s="3" t="s">
        <v>174</v>
      </c>
      <c r="E114" t="str">
        <f t="shared" si="4"/>
        <v>EDL</v>
      </c>
      <c r="G114" t="str">
        <f t="shared" si="5"/>
        <v>MyanmarAG0051</v>
      </c>
      <c r="H114" t="s">
        <v>297</v>
      </c>
      <c r="I114" s="30" t="s">
        <v>127</v>
      </c>
      <c r="J114" s="31" t="s">
        <v>128</v>
      </c>
      <c r="K114" s="24" t="s">
        <v>293</v>
      </c>
    </row>
    <row r="115" spans="1:11" hidden="1" x14ac:dyDescent="0.35">
      <c r="A115" t="str">
        <f t="shared" si="3"/>
        <v>Hong KongAG0061_1</v>
      </c>
      <c r="B115" s="3" t="s">
        <v>10</v>
      </c>
      <c r="C115" s="3" t="s">
        <v>262</v>
      </c>
      <c r="D115" s="3" t="s">
        <v>175</v>
      </c>
      <c r="E115" t="str">
        <f t="shared" si="4"/>
        <v>EDL</v>
      </c>
      <c r="G115" t="str">
        <f t="shared" si="5"/>
        <v>MyanmarAG0051_1</v>
      </c>
      <c r="H115" t="s">
        <v>297</v>
      </c>
      <c r="I115" s="30" t="s">
        <v>129</v>
      </c>
      <c r="J115" s="31" t="s">
        <v>130</v>
      </c>
      <c r="K115" s="24" t="s">
        <v>293</v>
      </c>
    </row>
    <row r="116" spans="1:11" hidden="1" x14ac:dyDescent="0.35">
      <c r="A116" t="str">
        <f t="shared" si="3"/>
        <v>Hong KongAG0061_2</v>
      </c>
      <c r="B116" s="3" t="s">
        <v>10</v>
      </c>
      <c r="C116" s="3" t="s">
        <v>263</v>
      </c>
      <c r="D116" s="3" t="s">
        <v>176</v>
      </c>
      <c r="E116" t="str">
        <f t="shared" si="4"/>
        <v>EDL</v>
      </c>
      <c r="G116" t="str">
        <f t="shared" si="5"/>
        <v>MyanmarAG0051_2</v>
      </c>
      <c r="H116" t="s">
        <v>297</v>
      </c>
      <c r="I116" s="30" t="s">
        <v>131</v>
      </c>
      <c r="J116" s="31" t="s">
        <v>132</v>
      </c>
      <c r="K116" s="24" t="s">
        <v>293</v>
      </c>
    </row>
    <row r="117" spans="1:11" hidden="1" x14ac:dyDescent="0.35">
      <c r="A117" t="str">
        <f t="shared" si="3"/>
        <v>Hong KongAG0043</v>
      </c>
      <c r="B117" s="3" t="s">
        <v>10</v>
      </c>
      <c r="C117" s="3" t="s">
        <v>214</v>
      </c>
      <c r="D117" s="3" t="s">
        <v>179</v>
      </c>
      <c r="E117" t="str">
        <f t="shared" si="4"/>
        <v>EDL</v>
      </c>
      <c r="G117" t="str">
        <f t="shared" si="5"/>
        <v>MyanmarAG0054</v>
      </c>
      <c r="H117" t="s">
        <v>297</v>
      </c>
      <c r="I117" s="30" t="s">
        <v>229</v>
      </c>
      <c r="J117" s="31" t="s">
        <v>228</v>
      </c>
      <c r="K117" s="25" t="s">
        <v>294</v>
      </c>
    </row>
    <row r="118" spans="1:11" hidden="1" x14ac:dyDescent="0.35">
      <c r="A118" t="str">
        <f t="shared" si="3"/>
        <v>ChinaAG0020</v>
      </c>
      <c r="B118" s="3" t="s">
        <v>181</v>
      </c>
      <c r="C118" s="3" t="s">
        <v>49</v>
      </c>
      <c r="D118" s="3" t="s">
        <v>50</v>
      </c>
      <c r="E118" t="str">
        <f t="shared" si="4"/>
        <v>EDL</v>
      </c>
      <c r="G118" t="str">
        <f t="shared" si="5"/>
        <v>MyanmarAG0055</v>
      </c>
      <c r="H118" t="s">
        <v>297</v>
      </c>
      <c r="I118" s="30" t="s">
        <v>133</v>
      </c>
      <c r="J118" s="31" t="s">
        <v>134</v>
      </c>
      <c r="K118" s="24" t="s">
        <v>293</v>
      </c>
    </row>
    <row r="119" spans="1:11" hidden="1" x14ac:dyDescent="0.35">
      <c r="A119" t="str">
        <f t="shared" si="3"/>
        <v>ChinaAG0041</v>
      </c>
      <c r="B119" s="3" t="s">
        <v>181</v>
      </c>
      <c r="C119" s="3" t="s">
        <v>164</v>
      </c>
      <c r="D119" s="3" t="s">
        <v>165</v>
      </c>
      <c r="E119" t="str">
        <f t="shared" si="4"/>
        <v>EDL</v>
      </c>
      <c r="G119" t="str">
        <f t="shared" si="5"/>
        <v>MyanmarAG0055_1</v>
      </c>
      <c r="H119" t="s">
        <v>297</v>
      </c>
      <c r="I119" s="30" t="s">
        <v>135</v>
      </c>
      <c r="J119" s="31" t="s">
        <v>136</v>
      </c>
      <c r="K119" s="24" t="s">
        <v>293</v>
      </c>
    </row>
    <row r="120" spans="1:11" hidden="1" x14ac:dyDescent="0.35">
      <c r="A120" t="str">
        <f t="shared" si="3"/>
        <v>ChinaAG0038</v>
      </c>
      <c r="B120" s="3" t="s">
        <v>181</v>
      </c>
      <c r="C120" s="3" t="s">
        <v>109</v>
      </c>
      <c r="D120" s="3" t="s">
        <v>110</v>
      </c>
      <c r="E120" t="str">
        <f t="shared" si="4"/>
        <v>EDL</v>
      </c>
      <c r="G120" t="str">
        <f t="shared" si="5"/>
        <v>MyanmarAG0060</v>
      </c>
      <c r="H120" t="s">
        <v>297</v>
      </c>
      <c r="I120" s="30" t="s">
        <v>162</v>
      </c>
      <c r="J120" s="31" t="s">
        <v>163</v>
      </c>
      <c r="K120" s="24" t="s">
        <v>293</v>
      </c>
    </row>
    <row r="121" spans="1:11" hidden="1" x14ac:dyDescent="0.35">
      <c r="A121" t="str">
        <f t="shared" si="3"/>
        <v>ChinaAG0016</v>
      </c>
      <c r="B121" s="3" t="s">
        <v>181</v>
      </c>
      <c r="C121" s="3" t="s">
        <v>15</v>
      </c>
      <c r="D121" s="3" t="s">
        <v>16</v>
      </c>
      <c r="E121" t="str">
        <f t="shared" si="4"/>
        <v>EDL</v>
      </c>
      <c r="G121" t="str">
        <f t="shared" si="5"/>
        <v>MyanmarAG0060_1</v>
      </c>
      <c r="H121" t="s">
        <v>297</v>
      </c>
      <c r="I121" s="30" t="s">
        <v>252</v>
      </c>
      <c r="J121" s="31" t="s">
        <v>180</v>
      </c>
      <c r="K121" s="24" t="s">
        <v>293</v>
      </c>
    </row>
    <row r="122" spans="1:11" x14ac:dyDescent="0.35">
      <c r="A122" t="str">
        <f t="shared" si="3"/>
        <v>ChinaAG0043</v>
      </c>
      <c r="B122" s="3" t="s">
        <v>181</v>
      </c>
      <c r="C122" s="3" t="s">
        <v>214</v>
      </c>
      <c r="D122" s="3" t="s">
        <v>179</v>
      </c>
      <c r="E122" t="str">
        <f t="shared" si="4"/>
        <v>Manual Anaplan Input</v>
      </c>
      <c r="G122" t="e">
        <f t="shared" si="5"/>
        <v>#N/A</v>
      </c>
      <c r="H122" t="s">
        <v>297</v>
      </c>
      <c r="I122" s="30" t="e">
        <v>#N/A</v>
      </c>
      <c r="J122" s="31" t="s">
        <v>290</v>
      </c>
      <c r="K122" s="26" t="s">
        <v>295</v>
      </c>
    </row>
    <row r="123" spans="1:11" hidden="1" x14ac:dyDescent="0.35">
      <c r="A123" t="str">
        <f t="shared" si="3"/>
        <v>ChinaAG0055</v>
      </c>
      <c r="B123" s="3" t="s">
        <v>181</v>
      </c>
      <c r="C123" s="3" t="s">
        <v>133</v>
      </c>
      <c r="D123" s="3" t="s">
        <v>134</v>
      </c>
      <c r="E123" t="str">
        <f t="shared" si="4"/>
        <v>EDL</v>
      </c>
      <c r="G123" t="str">
        <f t="shared" si="5"/>
        <v>MyanmarAG0072_1</v>
      </c>
      <c r="H123" t="s">
        <v>297</v>
      </c>
      <c r="I123" s="30" t="s">
        <v>253</v>
      </c>
      <c r="J123" s="31" t="s">
        <v>177</v>
      </c>
      <c r="K123" s="24" t="s">
        <v>293</v>
      </c>
    </row>
    <row r="124" spans="1:11" hidden="1" x14ac:dyDescent="0.35">
      <c r="A124" t="str">
        <f t="shared" si="3"/>
        <v>CambodiaAG0051</v>
      </c>
      <c r="B124" s="1" t="s">
        <v>170</v>
      </c>
      <c r="C124" s="1" t="s">
        <v>127</v>
      </c>
      <c r="D124" s="3" t="s">
        <v>128</v>
      </c>
      <c r="E124" t="str">
        <f t="shared" si="4"/>
        <v>EDL</v>
      </c>
      <c r="G124" t="str">
        <f t="shared" si="5"/>
        <v>MyanmarAG0072_2</v>
      </c>
      <c r="H124" t="s">
        <v>297</v>
      </c>
      <c r="I124" s="30" t="s">
        <v>254</v>
      </c>
      <c r="J124" s="31" t="s">
        <v>178</v>
      </c>
      <c r="K124" s="24" t="s">
        <v>293</v>
      </c>
    </row>
    <row r="125" spans="1:11" hidden="1" x14ac:dyDescent="0.35">
      <c r="A125" t="str">
        <f t="shared" si="3"/>
        <v>CambodiaAG0016</v>
      </c>
      <c r="B125" s="1" t="s">
        <v>170</v>
      </c>
      <c r="C125" s="1" t="s">
        <v>15</v>
      </c>
      <c r="D125" s="1" t="s">
        <v>16</v>
      </c>
      <c r="E125" t="str">
        <f t="shared" si="4"/>
        <v>EDL</v>
      </c>
      <c r="G125" t="str">
        <f t="shared" si="5"/>
        <v>MyanmarAG0061</v>
      </c>
      <c r="H125" t="s">
        <v>297</v>
      </c>
      <c r="I125" s="30" t="s">
        <v>261</v>
      </c>
      <c r="J125" s="31" t="s">
        <v>174</v>
      </c>
      <c r="K125" s="24" t="s">
        <v>293</v>
      </c>
    </row>
    <row r="126" spans="1:11" x14ac:dyDescent="0.35">
      <c r="A126" t="str">
        <f t="shared" si="3"/>
        <v>ChinaAG0060</v>
      </c>
      <c r="B126" s="1" t="s">
        <v>181</v>
      </c>
      <c r="C126" s="1" t="s">
        <v>162</v>
      </c>
      <c r="D126" s="1" t="s">
        <v>163</v>
      </c>
      <c r="E126" t="str">
        <f t="shared" si="4"/>
        <v>Manual Anaplan Input</v>
      </c>
      <c r="G126" t="str">
        <f t="shared" si="5"/>
        <v>MyanmarAG0061_1</v>
      </c>
      <c r="H126" t="s">
        <v>297</v>
      </c>
      <c r="I126" s="30" t="s">
        <v>262</v>
      </c>
      <c r="J126" s="31" t="s">
        <v>175</v>
      </c>
      <c r="K126" s="24" t="s">
        <v>293</v>
      </c>
    </row>
    <row r="127" spans="1:11" x14ac:dyDescent="0.35">
      <c r="A127" t="str">
        <f t="shared" si="3"/>
        <v>ChinaAG0060_1</v>
      </c>
      <c r="B127" s="1" t="s">
        <v>181</v>
      </c>
      <c r="C127" s="1" t="s">
        <v>252</v>
      </c>
      <c r="D127" s="1" t="s">
        <v>180</v>
      </c>
      <c r="E127" t="str">
        <f t="shared" si="4"/>
        <v>Manual Anaplan Input</v>
      </c>
      <c r="G127" t="str">
        <f t="shared" si="5"/>
        <v>MyanmarAG0061_2</v>
      </c>
      <c r="H127" t="s">
        <v>297</v>
      </c>
      <c r="I127" s="30" t="s">
        <v>263</v>
      </c>
      <c r="J127" s="31" t="s">
        <v>176</v>
      </c>
      <c r="K127" s="24" t="s">
        <v>293</v>
      </c>
    </row>
    <row r="128" spans="1:11" x14ac:dyDescent="0.35">
      <c r="A128" t="str">
        <f t="shared" si="3"/>
        <v>JapanAG0060</v>
      </c>
      <c r="B128" s="1" t="s">
        <v>169</v>
      </c>
      <c r="C128" s="1" t="s">
        <v>162</v>
      </c>
      <c r="D128" s="1" t="s">
        <v>163</v>
      </c>
      <c r="E128" t="str">
        <f t="shared" si="4"/>
        <v>Manual Anaplan Input</v>
      </c>
      <c r="G128" t="str">
        <f t="shared" si="5"/>
        <v>MyanmarAG0062</v>
      </c>
      <c r="H128" t="s">
        <v>297</v>
      </c>
      <c r="I128" s="30" t="s">
        <v>137</v>
      </c>
      <c r="J128" s="31" t="s">
        <v>138</v>
      </c>
      <c r="K128" s="24" t="s">
        <v>293</v>
      </c>
    </row>
    <row r="129" spans="1:11" x14ac:dyDescent="0.35">
      <c r="A129" t="str">
        <f t="shared" si="3"/>
        <v>JapanAG0060_1</v>
      </c>
      <c r="B129" s="1" t="s">
        <v>169</v>
      </c>
      <c r="C129" s="1" t="s">
        <v>252</v>
      </c>
      <c r="D129" s="1" t="s">
        <v>180</v>
      </c>
      <c r="E129" t="str">
        <f t="shared" si="4"/>
        <v>Manual Anaplan Input</v>
      </c>
      <c r="G129" t="str">
        <f t="shared" si="5"/>
        <v>MyanmarAG0062_6</v>
      </c>
      <c r="H129" t="s">
        <v>297</v>
      </c>
      <c r="I129" s="30" t="s">
        <v>139</v>
      </c>
      <c r="J129" s="31" t="s">
        <v>140</v>
      </c>
      <c r="K129" s="24" t="s">
        <v>293</v>
      </c>
    </row>
    <row r="130" spans="1:11" x14ac:dyDescent="0.35">
      <c r="A130" t="str">
        <f t="shared" si="3"/>
        <v>ChinaAG0046</v>
      </c>
      <c r="B130" s="1" t="s">
        <v>181</v>
      </c>
      <c r="C130" s="1" t="s">
        <v>111</v>
      </c>
      <c r="D130" s="1" t="s">
        <v>112</v>
      </c>
      <c r="E130" t="str">
        <f t="shared" si="4"/>
        <v>Manual Anaplan Input</v>
      </c>
      <c r="G130" t="str">
        <f t="shared" si="5"/>
        <v>MyanmarAG0062_7</v>
      </c>
      <c r="H130" t="s">
        <v>297</v>
      </c>
      <c r="I130" s="30" t="s">
        <v>141</v>
      </c>
      <c r="J130" s="31" t="s">
        <v>142</v>
      </c>
      <c r="K130" s="24" t="s">
        <v>293</v>
      </c>
    </row>
    <row r="131" spans="1:11" hidden="1" x14ac:dyDescent="0.35">
      <c r="A131" t="str">
        <f t="shared" si="3"/>
        <v>CambodiaAG0020</v>
      </c>
      <c r="B131" s="3" t="s">
        <v>170</v>
      </c>
      <c r="C131" s="12" t="s">
        <v>49</v>
      </c>
      <c r="D131" s="3" t="s">
        <v>50</v>
      </c>
      <c r="E131" t="str">
        <f t="shared" si="4"/>
        <v>EDL</v>
      </c>
      <c r="G131" t="str">
        <f t="shared" si="5"/>
        <v>MyanmarAG0062_8</v>
      </c>
      <c r="H131" t="s">
        <v>297</v>
      </c>
      <c r="I131" s="30" t="s">
        <v>143</v>
      </c>
      <c r="J131" s="31" t="s">
        <v>144</v>
      </c>
      <c r="K131" s="24" t="s">
        <v>293</v>
      </c>
    </row>
    <row r="132" spans="1:11" hidden="1" x14ac:dyDescent="0.35">
      <c r="A132" t="str">
        <f t="shared" ref="A132" si="6">B132&amp;C132</f>
        <v>VietnamAG0060_1</v>
      </c>
      <c r="B132" s="18" t="s">
        <v>160</v>
      </c>
      <c r="C132" s="19" t="s">
        <v>252</v>
      </c>
      <c r="D132" s="19" t="s">
        <v>180</v>
      </c>
      <c r="E132" t="str">
        <f t="shared" ref="E132" si="7">VLOOKUP(A132,G:K,5,FALSE)</f>
        <v>EDL</v>
      </c>
      <c r="G132" t="str">
        <f t="shared" ref="G132:G195" si="8">H132&amp;I132</f>
        <v>MyanmarAG0073</v>
      </c>
      <c r="H132" t="s">
        <v>297</v>
      </c>
      <c r="I132" s="30" t="s">
        <v>166</v>
      </c>
      <c r="J132" s="31" t="s">
        <v>167</v>
      </c>
      <c r="K132" s="25" t="s">
        <v>294</v>
      </c>
    </row>
    <row r="133" spans="1:11" x14ac:dyDescent="0.35">
      <c r="G133" t="str">
        <f t="shared" si="8"/>
        <v>MalaysiaAG0016</v>
      </c>
      <c r="H133" t="s">
        <v>298</v>
      </c>
      <c r="I133" t="s">
        <v>15</v>
      </c>
      <c r="J133" t="s">
        <v>16</v>
      </c>
      <c r="K133" s="24" t="s">
        <v>293</v>
      </c>
    </row>
    <row r="134" spans="1:11" x14ac:dyDescent="0.35">
      <c r="G134" t="str">
        <f t="shared" si="8"/>
        <v>MalaysiaAG0020</v>
      </c>
      <c r="H134" t="s">
        <v>298</v>
      </c>
      <c r="I134" t="s">
        <v>49</v>
      </c>
      <c r="J134" t="s">
        <v>50</v>
      </c>
      <c r="K134" s="24" t="s">
        <v>293</v>
      </c>
    </row>
    <row r="135" spans="1:11" x14ac:dyDescent="0.35">
      <c r="G135" t="str">
        <f t="shared" si="8"/>
        <v>MalaysiaAG0029</v>
      </c>
      <c r="H135" t="s">
        <v>298</v>
      </c>
      <c r="I135" t="s">
        <v>85</v>
      </c>
      <c r="J135" t="s">
        <v>86</v>
      </c>
      <c r="K135" s="24" t="s">
        <v>293</v>
      </c>
    </row>
    <row r="136" spans="1:11" x14ac:dyDescent="0.35">
      <c r="G136" t="str">
        <f t="shared" si="8"/>
        <v>MalaysiaAG0038</v>
      </c>
      <c r="H136" t="s">
        <v>298</v>
      </c>
      <c r="I136" t="s">
        <v>109</v>
      </c>
      <c r="J136" t="s">
        <v>110</v>
      </c>
      <c r="K136" s="24" t="s">
        <v>293</v>
      </c>
    </row>
    <row r="137" spans="1:11" x14ac:dyDescent="0.35">
      <c r="G137" t="str">
        <f t="shared" si="8"/>
        <v>MalaysiaAG0041</v>
      </c>
      <c r="H137" t="s">
        <v>298</v>
      </c>
      <c r="I137" t="s">
        <v>164</v>
      </c>
      <c r="J137" t="s">
        <v>165</v>
      </c>
      <c r="K137" s="24" t="s">
        <v>293</v>
      </c>
    </row>
    <row r="138" spans="1:11" x14ac:dyDescent="0.35">
      <c r="G138" t="str">
        <f t="shared" si="8"/>
        <v>MalaysiaAG0043</v>
      </c>
      <c r="H138" t="s">
        <v>298</v>
      </c>
      <c r="I138" t="s">
        <v>214</v>
      </c>
      <c r="J138" t="s">
        <v>179</v>
      </c>
      <c r="K138" s="24" t="s">
        <v>293</v>
      </c>
    </row>
    <row r="139" spans="1:11" x14ac:dyDescent="0.35">
      <c r="B139" s="2" t="s">
        <v>0</v>
      </c>
      <c r="C139" s="2" t="s">
        <v>2</v>
      </c>
      <c r="D139" s="2" t="s">
        <v>3</v>
      </c>
      <c r="E139" s="34" t="s">
        <v>299</v>
      </c>
      <c r="G139" t="str">
        <f t="shared" si="8"/>
        <v>MalaysiaAG0046</v>
      </c>
      <c r="H139" t="s">
        <v>298</v>
      </c>
      <c r="I139" t="s">
        <v>111</v>
      </c>
      <c r="J139" t="s">
        <v>112</v>
      </c>
      <c r="K139" s="24" t="s">
        <v>293</v>
      </c>
    </row>
    <row r="140" spans="1:11" x14ac:dyDescent="0.35">
      <c r="B140" s="3" t="s">
        <v>10</v>
      </c>
      <c r="C140" s="3" t="s">
        <v>166</v>
      </c>
      <c r="D140" s="3" t="s">
        <v>167</v>
      </c>
      <c r="E140" s="1" t="s">
        <v>302</v>
      </c>
      <c r="G140" t="str">
        <f t="shared" si="8"/>
        <v>MalaysiaAG0051</v>
      </c>
      <c r="H140" t="s">
        <v>298</v>
      </c>
      <c r="I140" t="s">
        <v>127</v>
      </c>
      <c r="J140" t="s">
        <v>128</v>
      </c>
      <c r="K140" s="24" t="s">
        <v>293</v>
      </c>
    </row>
    <row r="141" spans="1:11" x14ac:dyDescent="0.35">
      <c r="B141" s="3" t="s">
        <v>181</v>
      </c>
      <c r="C141" s="3" t="s">
        <v>214</v>
      </c>
      <c r="D141" s="3" t="s">
        <v>179</v>
      </c>
      <c r="E141" s="1" t="s">
        <v>302</v>
      </c>
      <c r="G141" t="str">
        <f t="shared" si="8"/>
        <v>MalaysiaAG0051_1</v>
      </c>
      <c r="H141" t="s">
        <v>298</v>
      </c>
      <c r="I141" t="s">
        <v>129</v>
      </c>
      <c r="J141" t="s">
        <v>130</v>
      </c>
      <c r="K141" s="24" t="s">
        <v>293</v>
      </c>
    </row>
    <row r="142" spans="1:11" x14ac:dyDescent="0.35">
      <c r="B142" s="1" t="s">
        <v>181</v>
      </c>
      <c r="C142" s="1" t="s">
        <v>162</v>
      </c>
      <c r="D142" s="1" t="s">
        <v>163</v>
      </c>
      <c r="E142" s="1" t="s">
        <v>302</v>
      </c>
      <c r="G142" t="str">
        <f t="shared" si="8"/>
        <v>MalaysiaAG0051_2</v>
      </c>
      <c r="H142" t="s">
        <v>298</v>
      </c>
      <c r="I142" t="s">
        <v>131</v>
      </c>
      <c r="J142" t="s">
        <v>132</v>
      </c>
      <c r="K142" s="24" t="s">
        <v>293</v>
      </c>
    </row>
    <row r="143" spans="1:11" x14ac:dyDescent="0.35">
      <c r="B143" s="1" t="s">
        <v>181</v>
      </c>
      <c r="C143" s="1" t="s">
        <v>252</v>
      </c>
      <c r="D143" s="1" t="s">
        <v>180</v>
      </c>
      <c r="E143" s="1" t="s">
        <v>302</v>
      </c>
      <c r="G143" t="str">
        <f t="shared" si="8"/>
        <v>MalaysiaAG0054</v>
      </c>
      <c r="H143" t="s">
        <v>298</v>
      </c>
      <c r="I143" t="s">
        <v>229</v>
      </c>
      <c r="J143" t="s">
        <v>228</v>
      </c>
      <c r="K143" s="25" t="s">
        <v>294</v>
      </c>
    </row>
    <row r="144" spans="1:11" x14ac:dyDescent="0.35">
      <c r="B144" s="1" t="s">
        <v>169</v>
      </c>
      <c r="C144" s="1" t="s">
        <v>162</v>
      </c>
      <c r="D144" s="1" t="s">
        <v>163</v>
      </c>
      <c r="E144" s="1" t="s">
        <v>302</v>
      </c>
      <c r="G144" t="str">
        <f t="shared" si="8"/>
        <v>MalaysiaAG0055</v>
      </c>
      <c r="H144" t="s">
        <v>298</v>
      </c>
      <c r="I144" t="s">
        <v>133</v>
      </c>
      <c r="J144" t="s">
        <v>134</v>
      </c>
      <c r="K144" s="24" t="s">
        <v>293</v>
      </c>
    </row>
    <row r="145" spans="2:11" x14ac:dyDescent="0.35">
      <c r="B145" s="1" t="s">
        <v>169</v>
      </c>
      <c r="C145" s="1" t="s">
        <v>252</v>
      </c>
      <c r="D145" s="1" t="s">
        <v>180</v>
      </c>
      <c r="E145" s="1" t="s">
        <v>302</v>
      </c>
      <c r="G145" t="str">
        <f t="shared" si="8"/>
        <v>MalaysiaAG0055_1</v>
      </c>
      <c r="H145" t="s">
        <v>298</v>
      </c>
      <c r="I145" t="s">
        <v>135</v>
      </c>
      <c r="J145" t="s">
        <v>136</v>
      </c>
      <c r="K145" s="24" t="s">
        <v>293</v>
      </c>
    </row>
    <row r="146" spans="2:11" x14ac:dyDescent="0.35">
      <c r="B146" s="3" t="s">
        <v>169</v>
      </c>
      <c r="C146" s="3" t="s">
        <v>166</v>
      </c>
      <c r="D146" s="3" t="s">
        <v>167</v>
      </c>
      <c r="E146" s="1" t="s">
        <v>302</v>
      </c>
      <c r="G146" t="str">
        <f t="shared" si="8"/>
        <v>MalaysiaAG0060</v>
      </c>
      <c r="H146" t="s">
        <v>298</v>
      </c>
      <c r="I146" t="s">
        <v>162</v>
      </c>
      <c r="J146" t="s">
        <v>163</v>
      </c>
      <c r="K146" s="24" t="s">
        <v>293</v>
      </c>
    </row>
    <row r="147" spans="2:11" x14ac:dyDescent="0.35">
      <c r="B147" s="3" t="s">
        <v>169</v>
      </c>
      <c r="C147" s="1" t="s">
        <v>11</v>
      </c>
      <c r="D147" s="1" t="s">
        <v>12</v>
      </c>
      <c r="E147" s="1" t="s">
        <v>301</v>
      </c>
      <c r="G147" t="str">
        <f t="shared" si="8"/>
        <v>MalaysiaAG0060_1</v>
      </c>
      <c r="H147" t="s">
        <v>298</v>
      </c>
      <c r="I147" t="s">
        <v>252</v>
      </c>
      <c r="J147" t="s">
        <v>180</v>
      </c>
      <c r="K147" s="24" t="s">
        <v>293</v>
      </c>
    </row>
    <row r="148" spans="2:11" x14ac:dyDescent="0.35">
      <c r="B148" s="1" t="s">
        <v>181</v>
      </c>
      <c r="C148" s="1" t="s">
        <v>11</v>
      </c>
      <c r="D148" s="1" t="s">
        <v>12</v>
      </c>
      <c r="E148" s="1" t="s">
        <v>301</v>
      </c>
      <c r="G148" t="e">
        <f t="shared" si="8"/>
        <v>#N/A</v>
      </c>
      <c r="H148" t="s">
        <v>298</v>
      </c>
      <c r="I148" t="e">
        <v>#N/A</v>
      </c>
      <c r="J148" t="s">
        <v>290</v>
      </c>
      <c r="K148" s="26" t="s">
        <v>295</v>
      </c>
    </row>
    <row r="149" spans="2:11" x14ac:dyDescent="0.35">
      <c r="G149" t="str">
        <f t="shared" si="8"/>
        <v>MalaysiaAG0072_1</v>
      </c>
      <c r="H149" t="s">
        <v>298</v>
      </c>
      <c r="I149" t="s">
        <v>253</v>
      </c>
      <c r="J149" t="s">
        <v>177</v>
      </c>
      <c r="K149" s="24" t="s">
        <v>293</v>
      </c>
    </row>
    <row r="150" spans="2:11" x14ac:dyDescent="0.35">
      <c r="G150" t="str">
        <f t="shared" si="8"/>
        <v>MalaysiaAG0072_2</v>
      </c>
      <c r="H150" t="s">
        <v>298</v>
      </c>
      <c r="I150" t="s">
        <v>254</v>
      </c>
      <c r="J150" t="s">
        <v>178</v>
      </c>
      <c r="K150" s="24" t="s">
        <v>293</v>
      </c>
    </row>
    <row r="151" spans="2:11" x14ac:dyDescent="0.35">
      <c r="G151" t="str">
        <f t="shared" si="8"/>
        <v>MalaysiaAG0061</v>
      </c>
      <c r="H151" t="s">
        <v>298</v>
      </c>
      <c r="I151" t="s">
        <v>261</v>
      </c>
      <c r="J151" t="s">
        <v>174</v>
      </c>
      <c r="K151" s="24" t="s">
        <v>293</v>
      </c>
    </row>
    <row r="152" spans="2:11" x14ac:dyDescent="0.35">
      <c r="G152" t="str">
        <f t="shared" si="8"/>
        <v>MalaysiaAG0061_1</v>
      </c>
      <c r="H152" t="s">
        <v>298</v>
      </c>
      <c r="I152" t="s">
        <v>262</v>
      </c>
      <c r="J152" t="s">
        <v>175</v>
      </c>
      <c r="K152" s="24" t="s">
        <v>293</v>
      </c>
    </row>
    <row r="153" spans="2:11" x14ac:dyDescent="0.35">
      <c r="G153" t="str">
        <f t="shared" si="8"/>
        <v>MalaysiaAG0061_2</v>
      </c>
      <c r="H153" t="s">
        <v>298</v>
      </c>
      <c r="I153" t="s">
        <v>263</v>
      </c>
      <c r="J153" t="s">
        <v>176</v>
      </c>
      <c r="K153" s="24" t="s">
        <v>293</v>
      </c>
    </row>
    <row r="154" spans="2:11" x14ac:dyDescent="0.35">
      <c r="G154" t="str">
        <f t="shared" si="8"/>
        <v>MalaysiaAG0062</v>
      </c>
      <c r="H154" t="s">
        <v>298</v>
      </c>
      <c r="I154" t="s">
        <v>137</v>
      </c>
      <c r="J154" t="s">
        <v>138</v>
      </c>
      <c r="K154" s="24" t="s">
        <v>293</v>
      </c>
    </row>
    <row r="155" spans="2:11" x14ac:dyDescent="0.35">
      <c r="G155" t="str">
        <f t="shared" si="8"/>
        <v>MalaysiaAG0062_6</v>
      </c>
      <c r="H155" t="s">
        <v>298</v>
      </c>
      <c r="I155" t="s">
        <v>139</v>
      </c>
      <c r="J155" t="s">
        <v>140</v>
      </c>
      <c r="K155" s="24" t="s">
        <v>293</v>
      </c>
    </row>
    <row r="156" spans="2:11" x14ac:dyDescent="0.35">
      <c r="G156" t="str">
        <f t="shared" si="8"/>
        <v>MalaysiaAG0062_7</v>
      </c>
      <c r="H156" t="s">
        <v>298</v>
      </c>
      <c r="I156" t="s">
        <v>141</v>
      </c>
      <c r="J156" t="s">
        <v>142</v>
      </c>
      <c r="K156" s="24" t="s">
        <v>293</v>
      </c>
    </row>
    <row r="157" spans="2:11" x14ac:dyDescent="0.35">
      <c r="G157" t="str">
        <f t="shared" si="8"/>
        <v>MalaysiaAG0062_8</v>
      </c>
      <c r="H157" t="s">
        <v>298</v>
      </c>
      <c r="I157" t="s">
        <v>143</v>
      </c>
      <c r="J157" t="s">
        <v>144</v>
      </c>
      <c r="K157" s="24" t="s">
        <v>293</v>
      </c>
    </row>
    <row r="158" spans="2:11" x14ac:dyDescent="0.35">
      <c r="G158" t="str">
        <f t="shared" si="8"/>
        <v>MalaysiaAG0073</v>
      </c>
      <c r="H158" t="s">
        <v>298</v>
      </c>
      <c r="I158" t="s">
        <v>166</v>
      </c>
      <c r="J158" t="s">
        <v>167</v>
      </c>
      <c r="K158" s="25" t="s">
        <v>294</v>
      </c>
    </row>
    <row r="159" spans="2:11" x14ac:dyDescent="0.35">
      <c r="G159" t="str">
        <f t="shared" si="8"/>
        <v>PhilippinesAG0016</v>
      </c>
      <c r="H159" t="s">
        <v>171</v>
      </c>
      <c r="I159" s="30" t="s">
        <v>15</v>
      </c>
      <c r="J159" s="31" t="s">
        <v>16</v>
      </c>
      <c r="K159" s="24" t="s">
        <v>293</v>
      </c>
    </row>
    <row r="160" spans="2:11" x14ac:dyDescent="0.35">
      <c r="G160" t="str">
        <f t="shared" si="8"/>
        <v>PhilippinesAG0020</v>
      </c>
      <c r="H160" t="s">
        <v>171</v>
      </c>
      <c r="I160" s="30" t="s">
        <v>49</v>
      </c>
      <c r="J160" s="31" t="s">
        <v>50</v>
      </c>
      <c r="K160" s="24" t="s">
        <v>293</v>
      </c>
    </row>
    <row r="161" spans="7:11" x14ac:dyDescent="0.35">
      <c r="G161" t="str">
        <f t="shared" si="8"/>
        <v>PhilippinesAG0029</v>
      </c>
      <c r="H161" t="s">
        <v>171</v>
      </c>
      <c r="I161" s="30" t="s">
        <v>85</v>
      </c>
      <c r="J161" s="31" t="s">
        <v>86</v>
      </c>
      <c r="K161" s="24" t="s">
        <v>293</v>
      </c>
    </row>
    <row r="162" spans="7:11" x14ac:dyDescent="0.35">
      <c r="G162" t="str">
        <f t="shared" si="8"/>
        <v>PhilippinesAG0038</v>
      </c>
      <c r="H162" t="s">
        <v>171</v>
      </c>
      <c r="I162" s="30" t="s">
        <v>109</v>
      </c>
      <c r="J162" s="31" t="s">
        <v>110</v>
      </c>
      <c r="K162" s="24" t="s">
        <v>293</v>
      </c>
    </row>
    <row r="163" spans="7:11" x14ac:dyDescent="0.35">
      <c r="G163" t="str">
        <f t="shared" si="8"/>
        <v>PhilippinesAG0041</v>
      </c>
      <c r="H163" t="s">
        <v>171</v>
      </c>
      <c r="I163" s="30" t="s">
        <v>164</v>
      </c>
      <c r="J163" s="31" t="s">
        <v>165</v>
      </c>
      <c r="K163" s="24" t="s">
        <v>293</v>
      </c>
    </row>
    <row r="164" spans="7:11" x14ac:dyDescent="0.35">
      <c r="G164" t="str">
        <f t="shared" si="8"/>
        <v>PhilippinesAG0043</v>
      </c>
      <c r="H164" t="s">
        <v>171</v>
      </c>
      <c r="I164" s="30" t="s">
        <v>214</v>
      </c>
      <c r="J164" s="31" t="s">
        <v>179</v>
      </c>
      <c r="K164" s="24" t="s">
        <v>293</v>
      </c>
    </row>
    <row r="165" spans="7:11" x14ac:dyDescent="0.35">
      <c r="G165" t="str">
        <f t="shared" si="8"/>
        <v>PhilippinesAG0046</v>
      </c>
      <c r="H165" t="s">
        <v>171</v>
      </c>
      <c r="I165" s="30" t="s">
        <v>111</v>
      </c>
      <c r="J165" s="31" t="s">
        <v>112</v>
      </c>
      <c r="K165" s="24" t="s">
        <v>293</v>
      </c>
    </row>
    <row r="166" spans="7:11" x14ac:dyDescent="0.35">
      <c r="G166" t="str">
        <f t="shared" si="8"/>
        <v>PhilippinesAG0051</v>
      </c>
      <c r="H166" t="s">
        <v>171</v>
      </c>
      <c r="I166" s="30" t="s">
        <v>127</v>
      </c>
      <c r="J166" s="31" t="s">
        <v>128</v>
      </c>
      <c r="K166" s="24" t="s">
        <v>293</v>
      </c>
    </row>
    <row r="167" spans="7:11" x14ac:dyDescent="0.35">
      <c r="G167" t="str">
        <f t="shared" si="8"/>
        <v>PhilippinesAG0051_1</v>
      </c>
      <c r="H167" t="s">
        <v>171</v>
      </c>
      <c r="I167" s="30" t="s">
        <v>129</v>
      </c>
      <c r="J167" s="31" t="s">
        <v>130</v>
      </c>
      <c r="K167" s="24" t="s">
        <v>293</v>
      </c>
    </row>
    <row r="168" spans="7:11" x14ac:dyDescent="0.35">
      <c r="G168" t="str">
        <f t="shared" si="8"/>
        <v>PhilippinesAG0051_2</v>
      </c>
      <c r="H168" t="s">
        <v>171</v>
      </c>
      <c r="I168" s="30" t="s">
        <v>131</v>
      </c>
      <c r="J168" s="31" t="s">
        <v>132</v>
      </c>
      <c r="K168" s="24" t="s">
        <v>293</v>
      </c>
    </row>
    <row r="169" spans="7:11" x14ac:dyDescent="0.35">
      <c r="G169" t="str">
        <f t="shared" si="8"/>
        <v>PhilippinesAG0054</v>
      </c>
      <c r="H169" t="s">
        <v>171</v>
      </c>
      <c r="I169" s="30" t="s">
        <v>229</v>
      </c>
      <c r="J169" s="31" t="s">
        <v>228</v>
      </c>
      <c r="K169" s="25" t="s">
        <v>294</v>
      </c>
    </row>
    <row r="170" spans="7:11" x14ac:dyDescent="0.35">
      <c r="G170" t="str">
        <f t="shared" si="8"/>
        <v>PhilippinesAG0055</v>
      </c>
      <c r="H170" t="s">
        <v>171</v>
      </c>
      <c r="I170" s="30" t="s">
        <v>133</v>
      </c>
      <c r="J170" s="31" t="s">
        <v>134</v>
      </c>
      <c r="K170" s="24" t="s">
        <v>293</v>
      </c>
    </row>
    <row r="171" spans="7:11" x14ac:dyDescent="0.35">
      <c r="G171" t="str">
        <f t="shared" si="8"/>
        <v>PhilippinesAG0055_1</v>
      </c>
      <c r="H171" t="s">
        <v>171</v>
      </c>
      <c r="I171" s="30" t="s">
        <v>135</v>
      </c>
      <c r="J171" s="31" t="s">
        <v>136</v>
      </c>
      <c r="K171" s="24" t="s">
        <v>293</v>
      </c>
    </row>
    <row r="172" spans="7:11" x14ac:dyDescent="0.35">
      <c r="G172" t="str">
        <f t="shared" si="8"/>
        <v>PhilippinesAG0060</v>
      </c>
      <c r="H172" t="s">
        <v>171</v>
      </c>
      <c r="I172" s="30" t="s">
        <v>162</v>
      </c>
      <c r="J172" s="31" t="s">
        <v>163</v>
      </c>
      <c r="K172" s="24" t="s">
        <v>293</v>
      </c>
    </row>
    <row r="173" spans="7:11" x14ac:dyDescent="0.35">
      <c r="G173" t="str">
        <f t="shared" si="8"/>
        <v>PhilippinesAG0060_1</v>
      </c>
      <c r="H173" t="s">
        <v>171</v>
      </c>
      <c r="I173" s="30" t="s">
        <v>252</v>
      </c>
      <c r="J173" s="31" t="s">
        <v>180</v>
      </c>
      <c r="K173" s="24" t="s">
        <v>293</v>
      </c>
    </row>
    <row r="174" spans="7:11" x14ac:dyDescent="0.35">
      <c r="G174" t="e">
        <f t="shared" si="8"/>
        <v>#N/A</v>
      </c>
      <c r="H174" t="s">
        <v>171</v>
      </c>
      <c r="I174" s="30" t="e">
        <v>#N/A</v>
      </c>
      <c r="J174" s="31" t="s">
        <v>290</v>
      </c>
      <c r="K174" s="26" t="s">
        <v>295</v>
      </c>
    </row>
    <row r="175" spans="7:11" x14ac:dyDescent="0.35">
      <c r="G175" t="str">
        <f t="shared" si="8"/>
        <v>PhilippinesAG0072_1</v>
      </c>
      <c r="H175" t="s">
        <v>171</v>
      </c>
      <c r="I175" s="30" t="s">
        <v>253</v>
      </c>
      <c r="J175" s="31" t="s">
        <v>177</v>
      </c>
      <c r="K175" s="24" t="s">
        <v>293</v>
      </c>
    </row>
    <row r="176" spans="7:11" x14ac:dyDescent="0.35">
      <c r="G176" t="str">
        <f t="shared" si="8"/>
        <v>PhilippinesAG0072_2</v>
      </c>
      <c r="H176" t="s">
        <v>171</v>
      </c>
      <c r="I176" s="30" t="s">
        <v>254</v>
      </c>
      <c r="J176" s="31" t="s">
        <v>178</v>
      </c>
      <c r="K176" s="24" t="s">
        <v>293</v>
      </c>
    </row>
    <row r="177" spans="7:11" x14ac:dyDescent="0.35">
      <c r="G177" t="str">
        <f t="shared" si="8"/>
        <v>PhilippinesAG0061</v>
      </c>
      <c r="H177" t="s">
        <v>171</v>
      </c>
      <c r="I177" s="30" t="s">
        <v>261</v>
      </c>
      <c r="J177" s="31" t="s">
        <v>174</v>
      </c>
      <c r="K177" s="24" t="s">
        <v>293</v>
      </c>
    </row>
    <row r="178" spans="7:11" x14ac:dyDescent="0.35">
      <c r="G178" t="str">
        <f t="shared" si="8"/>
        <v>PhilippinesAG0061_1</v>
      </c>
      <c r="H178" t="s">
        <v>171</v>
      </c>
      <c r="I178" s="30" t="s">
        <v>262</v>
      </c>
      <c r="J178" s="31" t="s">
        <v>175</v>
      </c>
      <c r="K178" s="24" t="s">
        <v>293</v>
      </c>
    </row>
    <row r="179" spans="7:11" x14ac:dyDescent="0.35">
      <c r="G179" t="str">
        <f t="shared" si="8"/>
        <v>PhilippinesAG0061_2</v>
      </c>
      <c r="H179" t="s">
        <v>171</v>
      </c>
      <c r="I179" s="30" t="s">
        <v>263</v>
      </c>
      <c r="J179" s="31" t="s">
        <v>176</v>
      </c>
      <c r="K179" s="24" t="s">
        <v>293</v>
      </c>
    </row>
    <row r="180" spans="7:11" x14ac:dyDescent="0.35">
      <c r="G180" t="str">
        <f t="shared" si="8"/>
        <v>PhilippinesAG0062</v>
      </c>
      <c r="H180" t="s">
        <v>171</v>
      </c>
      <c r="I180" s="30" t="s">
        <v>137</v>
      </c>
      <c r="J180" s="31" t="s">
        <v>138</v>
      </c>
      <c r="K180" s="29" t="s">
        <v>296</v>
      </c>
    </row>
    <row r="181" spans="7:11" x14ac:dyDescent="0.35">
      <c r="G181" t="str">
        <f t="shared" si="8"/>
        <v>PhilippinesAG0062_6</v>
      </c>
      <c r="H181" t="s">
        <v>171</v>
      </c>
      <c r="I181" s="30" t="s">
        <v>139</v>
      </c>
      <c r="J181" s="31" t="s">
        <v>140</v>
      </c>
      <c r="K181" s="29" t="s">
        <v>296</v>
      </c>
    </row>
    <row r="182" spans="7:11" x14ac:dyDescent="0.35">
      <c r="G182" t="str">
        <f t="shared" si="8"/>
        <v>PhilippinesAG0062_7</v>
      </c>
      <c r="H182" t="s">
        <v>171</v>
      </c>
      <c r="I182" s="30" t="s">
        <v>141</v>
      </c>
      <c r="J182" s="31" t="s">
        <v>142</v>
      </c>
      <c r="K182" s="29" t="s">
        <v>296</v>
      </c>
    </row>
    <row r="183" spans="7:11" x14ac:dyDescent="0.35">
      <c r="G183" t="str">
        <f t="shared" si="8"/>
        <v>PhilippinesAG0062_8</v>
      </c>
      <c r="H183" t="s">
        <v>171</v>
      </c>
      <c r="I183" s="30" t="s">
        <v>143</v>
      </c>
      <c r="J183" s="31" t="s">
        <v>144</v>
      </c>
      <c r="K183" s="29" t="s">
        <v>296</v>
      </c>
    </row>
    <row r="184" spans="7:11" x14ac:dyDescent="0.35">
      <c r="G184" t="str">
        <f t="shared" si="8"/>
        <v>PhilippinesAG0073</v>
      </c>
      <c r="H184" t="s">
        <v>171</v>
      </c>
      <c r="I184" s="30" t="s">
        <v>166</v>
      </c>
      <c r="J184" s="31" t="s">
        <v>167</v>
      </c>
      <c r="K184" s="25" t="s">
        <v>294</v>
      </c>
    </row>
    <row r="185" spans="7:11" x14ac:dyDescent="0.35">
      <c r="G185" t="str">
        <f t="shared" si="8"/>
        <v>SingaporeAG0016</v>
      </c>
      <c r="H185" t="s">
        <v>161</v>
      </c>
      <c r="I185" t="s">
        <v>15</v>
      </c>
      <c r="J185" t="s">
        <v>16</v>
      </c>
      <c r="K185" s="24" t="s">
        <v>293</v>
      </c>
    </row>
    <row r="186" spans="7:11" x14ac:dyDescent="0.35">
      <c r="G186" t="str">
        <f t="shared" si="8"/>
        <v>SingaporeAG0020</v>
      </c>
      <c r="H186" t="s">
        <v>161</v>
      </c>
      <c r="I186" t="s">
        <v>49</v>
      </c>
      <c r="J186" t="s">
        <v>50</v>
      </c>
      <c r="K186" s="24" t="s">
        <v>293</v>
      </c>
    </row>
    <row r="187" spans="7:11" x14ac:dyDescent="0.35">
      <c r="G187" t="str">
        <f t="shared" si="8"/>
        <v>SingaporeAG0029</v>
      </c>
      <c r="H187" t="s">
        <v>161</v>
      </c>
      <c r="I187" t="s">
        <v>85</v>
      </c>
      <c r="J187" t="s">
        <v>86</v>
      </c>
      <c r="K187" s="24" t="s">
        <v>293</v>
      </c>
    </row>
    <row r="188" spans="7:11" x14ac:dyDescent="0.35">
      <c r="G188" t="str">
        <f t="shared" si="8"/>
        <v>SingaporeAG0038</v>
      </c>
      <c r="H188" t="s">
        <v>161</v>
      </c>
      <c r="I188" t="s">
        <v>109</v>
      </c>
      <c r="J188" t="s">
        <v>110</v>
      </c>
      <c r="K188" s="24" t="s">
        <v>293</v>
      </c>
    </row>
    <row r="189" spans="7:11" x14ac:dyDescent="0.35">
      <c r="G189" t="str">
        <f t="shared" si="8"/>
        <v>SingaporeAG0041</v>
      </c>
      <c r="H189" t="s">
        <v>161</v>
      </c>
      <c r="I189" t="s">
        <v>164</v>
      </c>
      <c r="J189" t="s">
        <v>165</v>
      </c>
      <c r="K189" s="24" t="s">
        <v>293</v>
      </c>
    </row>
    <row r="190" spans="7:11" x14ac:dyDescent="0.35">
      <c r="G190" t="str">
        <f t="shared" si="8"/>
        <v>SingaporeAG0043</v>
      </c>
      <c r="H190" t="s">
        <v>161</v>
      </c>
      <c r="I190" t="s">
        <v>214</v>
      </c>
      <c r="J190" t="s">
        <v>179</v>
      </c>
      <c r="K190" s="24" t="s">
        <v>293</v>
      </c>
    </row>
    <row r="191" spans="7:11" x14ac:dyDescent="0.35">
      <c r="G191" t="str">
        <f t="shared" si="8"/>
        <v>SingaporeAG0046</v>
      </c>
      <c r="H191" t="s">
        <v>161</v>
      </c>
      <c r="I191" t="s">
        <v>111</v>
      </c>
      <c r="J191" t="s">
        <v>112</v>
      </c>
      <c r="K191" s="24" t="s">
        <v>293</v>
      </c>
    </row>
    <row r="192" spans="7:11" x14ac:dyDescent="0.35">
      <c r="G192" t="str">
        <f t="shared" si="8"/>
        <v>SingaporeAG0051</v>
      </c>
      <c r="H192" t="s">
        <v>161</v>
      </c>
      <c r="I192" t="s">
        <v>127</v>
      </c>
      <c r="J192" t="s">
        <v>128</v>
      </c>
      <c r="K192" s="24" t="s">
        <v>293</v>
      </c>
    </row>
    <row r="193" spans="7:11" x14ac:dyDescent="0.35">
      <c r="G193" t="str">
        <f t="shared" si="8"/>
        <v>SingaporeAG0051_1</v>
      </c>
      <c r="H193" t="s">
        <v>161</v>
      </c>
      <c r="I193" t="s">
        <v>129</v>
      </c>
      <c r="J193" t="s">
        <v>130</v>
      </c>
      <c r="K193" s="24" t="s">
        <v>293</v>
      </c>
    </row>
    <row r="194" spans="7:11" x14ac:dyDescent="0.35">
      <c r="G194" t="str">
        <f t="shared" si="8"/>
        <v>SingaporeAG0051_2</v>
      </c>
      <c r="H194" t="s">
        <v>161</v>
      </c>
      <c r="I194" t="s">
        <v>131</v>
      </c>
      <c r="J194" t="s">
        <v>132</v>
      </c>
      <c r="K194" s="24" t="s">
        <v>293</v>
      </c>
    </row>
    <row r="195" spans="7:11" x14ac:dyDescent="0.35">
      <c r="G195" t="str">
        <f t="shared" si="8"/>
        <v>SingaporeAG0054</v>
      </c>
      <c r="H195" t="s">
        <v>161</v>
      </c>
      <c r="I195" t="s">
        <v>229</v>
      </c>
      <c r="J195" t="s">
        <v>228</v>
      </c>
      <c r="K195" s="25" t="s">
        <v>294</v>
      </c>
    </row>
    <row r="196" spans="7:11" x14ac:dyDescent="0.35">
      <c r="G196" t="str">
        <f t="shared" ref="G196:G259" si="9">H196&amp;I196</f>
        <v>SingaporeAG0055</v>
      </c>
      <c r="H196" t="s">
        <v>161</v>
      </c>
      <c r="I196" t="s">
        <v>133</v>
      </c>
      <c r="J196" t="s">
        <v>134</v>
      </c>
      <c r="K196" s="24" t="s">
        <v>293</v>
      </c>
    </row>
    <row r="197" spans="7:11" x14ac:dyDescent="0.35">
      <c r="G197" t="str">
        <f t="shared" si="9"/>
        <v>SingaporeAG0055_1</v>
      </c>
      <c r="H197" t="s">
        <v>161</v>
      </c>
      <c r="I197" t="s">
        <v>135</v>
      </c>
      <c r="J197" t="s">
        <v>136</v>
      </c>
      <c r="K197" s="24" t="s">
        <v>293</v>
      </c>
    </row>
    <row r="198" spans="7:11" x14ac:dyDescent="0.35">
      <c r="G198" t="str">
        <f t="shared" si="9"/>
        <v>SingaporeAG0060</v>
      </c>
      <c r="H198" t="s">
        <v>161</v>
      </c>
      <c r="I198" t="s">
        <v>162</v>
      </c>
      <c r="J198" t="s">
        <v>163</v>
      </c>
      <c r="K198" s="24" t="s">
        <v>293</v>
      </c>
    </row>
    <row r="199" spans="7:11" x14ac:dyDescent="0.35">
      <c r="G199" t="str">
        <f t="shared" si="9"/>
        <v>SingaporeAG0060_1</v>
      </c>
      <c r="H199" t="s">
        <v>161</v>
      </c>
      <c r="I199" t="s">
        <v>252</v>
      </c>
      <c r="J199" t="s">
        <v>180</v>
      </c>
      <c r="K199" s="24" t="s">
        <v>293</v>
      </c>
    </row>
    <row r="200" spans="7:11" x14ac:dyDescent="0.35">
      <c r="G200" t="e">
        <f t="shared" si="9"/>
        <v>#N/A</v>
      </c>
      <c r="H200" t="s">
        <v>161</v>
      </c>
      <c r="I200" t="e">
        <v>#N/A</v>
      </c>
      <c r="J200" t="s">
        <v>290</v>
      </c>
      <c r="K200" s="26" t="s">
        <v>295</v>
      </c>
    </row>
    <row r="201" spans="7:11" x14ac:dyDescent="0.35">
      <c r="G201" t="str">
        <f t="shared" si="9"/>
        <v>SingaporeAG0072_1</v>
      </c>
      <c r="H201" t="s">
        <v>161</v>
      </c>
      <c r="I201" t="s">
        <v>253</v>
      </c>
      <c r="J201" t="s">
        <v>177</v>
      </c>
      <c r="K201" s="24" t="s">
        <v>293</v>
      </c>
    </row>
    <row r="202" spans="7:11" x14ac:dyDescent="0.35">
      <c r="G202" t="str">
        <f t="shared" si="9"/>
        <v>SingaporeAG0072_2</v>
      </c>
      <c r="H202" t="s">
        <v>161</v>
      </c>
      <c r="I202" t="s">
        <v>254</v>
      </c>
      <c r="J202" t="s">
        <v>178</v>
      </c>
      <c r="K202" s="24" t="s">
        <v>293</v>
      </c>
    </row>
    <row r="203" spans="7:11" x14ac:dyDescent="0.35">
      <c r="G203" t="str">
        <f t="shared" si="9"/>
        <v>SingaporeAG0061</v>
      </c>
      <c r="H203" t="s">
        <v>161</v>
      </c>
      <c r="I203" t="s">
        <v>261</v>
      </c>
      <c r="J203" t="s">
        <v>174</v>
      </c>
      <c r="K203" s="24" t="s">
        <v>293</v>
      </c>
    </row>
    <row r="204" spans="7:11" x14ac:dyDescent="0.35">
      <c r="G204" t="str">
        <f t="shared" si="9"/>
        <v>SingaporeAG0061_1</v>
      </c>
      <c r="H204" t="s">
        <v>161</v>
      </c>
      <c r="I204" t="s">
        <v>262</v>
      </c>
      <c r="J204" t="s">
        <v>175</v>
      </c>
      <c r="K204" s="24" t="s">
        <v>293</v>
      </c>
    </row>
    <row r="205" spans="7:11" x14ac:dyDescent="0.35">
      <c r="G205" t="str">
        <f t="shared" si="9"/>
        <v>SingaporeAG0061_2</v>
      </c>
      <c r="H205" t="s">
        <v>161</v>
      </c>
      <c r="I205" t="s">
        <v>263</v>
      </c>
      <c r="J205" t="s">
        <v>176</v>
      </c>
      <c r="K205" s="24" t="s">
        <v>293</v>
      </c>
    </row>
    <row r="206" spans="7:11" x14ac:dyDescent="0.35">
      <c r="G206" t="str">
        <f t="shared" si="9"/>
        <v>SingaporeAG0062</v>
      </c>
      <c r="H206" t="s">
        <v>161</v>
      </c>
      <c r="I206" t="s">
        <v>137</v>
      </c>
      <c r="J206" t="s">
        <v>138</v>
      </c>
      <c r="K206" s="24" t="s">
        <v>293</v>
      </c>
    </row>
    <row r="207" spans="7:11" x14ac:dyDescent="0.35">
      <c r="G207" t="str">
        <f t="shared" si="9"/>
        <v>SingaporeAG0062_6</v>
      </c>
      <c r="H207" t="s">
        <v>161</v>
      </c>
      <c r="I207" t="s">
        <v>139</v>
      </c>
      <c r="J207" t="s">
        <v>140</v>
      </c>
      <c r="K207" s="24" t="s">
        <v>293</v>
      </c>
    </row>
    <row r="208" spans="7:11" x14ac:dyDescent="0.35">
      <c r="G208" t="str">
        <f t="shared" si="9"/>
        <v>SingaporeAG0062_7</v>
      </c>
      <c r="H208" t="s">
        <v>161</v>
      </c>
      <c r="I208" t="s">
        <v>141</v>
      </c>
      <c r="J208" t="s">
        <v>142</v>
      </c>
      <c r="K208" s="24" t="s">
        <v>293</v>
      </c>
    </row>
    <row r="209" spans="7:11" x14ac:dyDescent="0.35">
      <c r="G209" t="str">
        <f t="shared" si="9"/>
        <v>SingaporeAG0062_8</v>
      </c>
      <c r="H209" t="s">
        <v>161</v>
      </c>
      <c r="I209" t="s">
        <v>143</v>
      </c>
      <c r="J209" t="s">
        <v>144</v>
      </c>
      <c r="K209" s="24" t="s">
        <v>293</v>
      </c>
    </row>
    <row r="210" spans="7:11" x14ac:dyDescent="0.35">
      <c r="G210" t="str">
        <f t="shared" si="9"/>
        <v>SingaporeAG0073</v>
      </c>
      <c r="H210" t="s">
        <v>161</v>
      </c>
      <c r="I210" t="s">
        <v>166</v>
      </c>
      <c r="J210" t="s">
        <v>167</v>
      </c>
      <c r="K210" s="27" t="s">
        <v>296</v>
      </c>
    </row>
    <row r="211" spans="7:11" x14ac:dyDescent="0.35">
      <c r="G211" t="str">
        <f t="shared" si="9"/>
        <v>VietnamAG0016</v>
      </c>
      <c r="H211" t="s">
        <v>160</v>
      </c>
      <c r="I211" s="30" t="s">
        <v>15</v>
      </c>
      <c r="J211" s="31" t="s">
        <v>16</v>
      </c>
      <c r="K211" s="24" t="s">
        <v>293</v>
      </c>
    </row>
    <row r="212" spans="7:11" x14ac:dyDescent="0.35">
      <c r="G212" t="str">
        <f t="shared" si="9"/>
        <v>VietnamAG0020</v>
      </c>
      <c r="H212" t="s">
        <v>160</v>
      </c>
      <c r="I212" s="30" t="s">
        <v>49</v>
      </c>
      <c r="J212" s="31" t="s">
        <v>50</v>
      </c>
      <c r="K212" s="24" t="s">
        <v>293</v>
      </c>
    </row>
    <row r="213" spans="7:11" x14ac:dyDescent="0.35">
      <c r="G213" t="str">
        <f t="shared" si="9"/>
        <v>VietnamAG0029</v>
      </c>
      <c r="H213" t="s">
        <v>160</v>
      </c>
      <c r="I213" s="30" t="s">
        <v>85</v>
      </c>
      <c r="J213" s="31" t="s">
        <v>86</v>
      </c>
      <c r="K213" s="24" t="s">
        <v>293</v>
      </c>
    </row>
    <row r="214" spans="7:11" x14ac:dyDescent="0.35">
      <c r="G214" t="str">
        <f t="shared" si="9"/>
        <v>VietnamAG0038</v>
      </c>
      <c r="H214" t="s">
        <v>160</v>
      </c>
      <c r="I214" s="30" t="s">
        <v>109</v>
      </c>
      <c r="J214" s="31" t="s">
        <v>110</v>
      </c>
      <c r="K214" s="24" t="s">
        <v>293</v>
      </c>
    </row>
    <row r="215" spans="7:11" x14ac:dyDescent="0.35">
      <c r="G215" t="str">
        <f t="shared" si="9"/>
        <v>VietnamAG0041</v>
      </c>
      <c r="H215" t="s">
        <v>160</v>
      </c>
      <c r="I215" s="30" t="s">
        <v>164</v>
      </c>
      <c r="J215" s="31" t="s">
        <v>165</v>
      </c>
      <c r="K215" s="24" t="s">
        <v>293</v>
      </c>
    </row>
    <row r="216" spans="7:11" x14ac:dyDescent="0.35">
      <c r="G216" t="str">
        <f t="shared" si="9"/>
        <v>VietnamAG0043</v>
      </c>
      <c r="H216" t="s">
        <v>160</v>
      </c>
      <c r="I216" s="30" t="s">
        <v>214</v>
      </c>
      <c r="J216" s="31" t="s">
        <v>179</v>
      </c>
      <c r="K216" s="24" t="s">
        <v>293</v>
      </c>
    </row>
    <row r="217" spans="7:11" x14ac:dyDescent="0.35">
      <c r="G217" t="str">
        <f t="shared" si="9"/>
        <v>VietnamAG0046</v>
      </c>
      <c r="H217" t="s">
        <v>160</v>
      </c>
      <c r="I217" s="30" t="s">
        <v>111</v>
      </c>
      <c r="J217" s="31" t="s">
        <v>112</v>
      </c>
      <c r="K217" s="24" t="s">
        <v>293</v>
      </c>
    </row>
    <row r="218" spans="7:11" x14ac:dyDescent="0.35">
      <c r="G218" t="str">
        <f t="shared" si="9"/>
        <v>VietnamAG0051</v>
      </c>
      <c r="H218" t="s">
        <v>160</v>
      </c>
      <c r="I218" s="30" t="s">
        <v>127</v>
      </c>
      <c r="J218" s="31" t="s">
        <v>128</v>
      </c>
      <c r="K218" s="24" t="s">
        <v>293</v>
      </c>
    </row>
    <row r="219" spans="7:11" x14ac:dyDescent="0.35">
      <c r="G219" t="str">
        <f t="shared" si="9"/>
        <v>VietnamAG0051_1</v>
      </c>
      <c r="H219" t="s">
        <v>160</v>
      </c>
      <c r="I219" s="30" t="s">
        <v>129</v>
      </c>
      <c r="J219" s="31" t="s">
        <v>130</v>
      </c>
      <c r="K219" s="24" t="s">
        <v>293</v>
      </c>
    </row>
    <row r="220" spans="7:11" x14ac:dyDescent="0.35">
      <c r="G220" t="str">
        <f t="shared" si="9"/>
        <v>VietnamAG0051_2</v>
      </c>
      <c r="H220" t="s">
        <v>160</v>
      </c>
      <c r="I220" s="30" t="s">
        <v>131</v>
      </c>
      <c r="J220" s="31" t="s">
        <v>132</v>
      </c>
      <c r="K220" s="24" t="s">
        <v>293</v>
      </c>
    </row>
    <row r="221" spans="7:11" x14ac:dyDescent="0.35">
      <c r="G221" t="str">
        <f t="shared" si="9"/>
        <v>VietnamAG0054</v>
      </c>
      <c r="H221" t="s">
        <v>160</v>
      </c>
      <c r="I221" s="30" t="s">
        <v>229</v>
      </c>
      <c r="J221" s="31" t="s">
        <v>228</v>
      </c>
      <c r="K221" s="25" t="s">
        <v>294</v>
      </c>
    </row>
    <row r="222" spans="7:11" x14ac:dyDescent="0.35">
      <c r="G222" t="str">
        <f t="shared" si="9"/>
        <v>VietnamAG0055</v>
      </c>
      <c r="H222" t="s">
        <v>160</v>
      </c>
      <c r="I222" s="30" t="s">
        <v>133</v>
      </c>
      <c r="J222" s="31" t="s">
        <v>134</v>
      </c>
      <c r="K222" s="24" t="s">
        <v>293</v>
      </c>
    </row>
    <row r="223" spans="7:11" x14ac:dyDescent="0.35">
      <c r="G223" t="str">
        <f t="shared" si="9"/>
        <v>VietnamAG0055_1</v>
      </c>
      <c r="H223" t="s">
        <v>160</v>
      </c>
      <c r="I223" s="30" t="s">
        <v>135</v>
      </c>
      <c r="J223" s="31" t="s">
        <v>136</v>
      </c>
      <c r="K223" s="24" t="s">
        <v>293</v>
      </c>
    </row>
    <row r="224" spans="7:11" x14ac:dyDescent="0.35">
      <c r="G224" t="str">
        <f t="shared" si="9"/>
        <v>VietnamAG0060</v>
      </c>
      <c r="H224" t="s">
        <v>160</v>
      </c>
      <c r="I224" s="30" t="s">
        <v>162</v>
      </c>
      <c r="J224" s="31" t="s">
        <v>163</v>
      </c>
      <c r="K224" s="24" t="s">
        <v>293</v>
      </c>
    </row>
    <row r="225" spans="7:11" x14ac:dyDescent="0.35">
      <c r="G225" t="str">
        <f t="shared" si="9"/>
        <v>VietnamAG0060_1</v>
      </c>
      <c r="H225" t="s">
        <v>160</v>
      </c>
      <c r="I225" s="30" t="s">
        <v>252</v>
      </c>
      <c r="J225" s="31" t="s">
        <v>180</v>
      </c>
      <c r="K225" s="24" t="s">
        <v>293</v>
      </c>
    </row>
    <row r="226" spans="7:11" x14ac:dyDescent="0.35">
      <c r="G226" t="e">
        <f t="shared" si="9"/>
        <v>#N/A</v>
      </c>
      <c r="H226" t="s">
        <v>160</v>
      </c>
      <c r="I226" s="30" t="e">
        <v>#N/A</v>
      </c>
      <c r="J226" s="31" t="s">
        <v>290</v>
      </c>
      <c r="K226" s="26" t="s">
        <v>295</v>
      </c>
    </row>
    <row r="227" spans="7:11" x14ac:dyDescent="0.35">
      <c r="G227" t="str">
        <f t="shared" si="9"/>
        <v>VietnamAG0072_1</v>
      </c>
      <c r="H227" t="s">
        <v>160</v>
      </c>
      <c r="I227" s="30" t="s">
        <v>253</v>
      </c>
      <c r="J227" s="31" t="s">
        <v>177</v>
      </c>
      <c r="K227" s="24" t="s">
        <v>293</v>
      </c>
    </row>
    <row r="228" spans="7:11" x14ac:dyDescent="0.35">
      <c r="G228" t="str">
        <f t="shared" si="9"/>
        <v>VietnamAG0072_2</v>
      </c>
      <c r="H228" t="s">
        <v>160</v>
      </c>
      <c r="I228" s="30" t="s">
        <v>254</v>
      </c>
      <c r="J228" s="31" t="s">
        <v>178</v>
      </c>
      <c r="K228" s="24" t="s">
        <v>293</v>
      </c>
    </row>
    <row r="229" spans="7:11" x14ac:dyDescent="0.35">
      <c r="G229" t="str">
        <f t="shared" si="9"/>
        <v>VietnamAG0061</v>
      </c>
      <c r="H229" t="s">
        <v>160</v>
      </c>
      <c r="I229" s="30" t="s">
        <v>261</v>
      </c>
      <c r="J229" s="31" t="s">
        <v>174</v>
      </c>
      <c r="K229" s="24" t="s">
        <v>293</v>
      </c>
    </row>
    <row r="230" spans="7:11" x14ac:dyDescent="0.35">
      <c r="G230" t="str">
        <f t="shared" si="9"/>
        <v>VietnamAG0061_1</v>
      </c>
      <c r="H230" t="s">
        <v>160</v>
      </c>
      <c r="I230" s="30" t="s">
        <v>262</v>
      </c>
      <c r="J230" s="31" t="s">
        <v>175</v>
      </c>
      <c r="K230" s="24" t="s">
        <v>293</v>
      </c>
    </row>
    <row r="231" spans="7:11" x14ac:dyDescent="0.35">
      <c r="G231" t="str">
        <f t="shared" si="9"/>
        <v>VietnamAG0061_2</v>
      </c>
      <c r="H231" t="s">
        <v>160</v>
      </c>
      <c r="I231" s="30" t="s">
        <v>263</v>
      </c>
      <c r="J231" s="31" t="s">
        <v>176</v>
      </c>
      <c r="K231" s="24" t="s">
        <v>293</v>
      </c>
    </row>
    <row r="232" spans="7:11" x14ac:dyDescent="0.35">
      <c r="G232" t="str">
        <f t="shared" si="9"/>
        <v>VietnamAG0062</v>
      </c>
      <c r="H232" t="s">
        <v>160</v>
      </c>
      <c r="I232" s="30" t="s">
        <v>137</v>
      </c>
      <c r="J232" s="31" t="s">
        <v>138</v>
      </c>
      <c r="K232" s="24" t="s">
        <v>293</v>
      </c>
    </row>
    <row r="233" spans="7:11" x14ac:dyDescent="0.35">
      <c r="G233" t="str">
        <f t="shared" si="9"/>
        <v>VietnamAG0062_6</v>
      </c>
      <c r="H233" t="s">
        <v>160</v>
      </c>
      <c r="I233" s="30" t="s">
        <v>139</v>
      </c>
      <c r="J233" s="31" t="s">
        <v>140</v>
      </c>
      <c r="K233" s="24" t="s">
        <v>293</v>
      </c>
    </row>
    <row r="234" spans="7:11" x14ac:dyDescent="0.35">
      <c r="G234" t="str">
        <f t="shared" si="9"/>
        <v>VietnamAG0062_7</v>
      </c>
      <c r="H234" t="s">
        <v>160</v>
      </c>
      <c r="I234" s="30" t="s">
        <v>141</v>
      </c>
      <c r="J234" s="31" t="s">
        <v>142</v>
      </c>
      <c r="K234" s="24" t="s">
        <v>293</v>
      </c>
    </row>
    <row r="235" spans="7:11" x14ac:dyDescent="0.35">
      <c r="G235" t="str">
        <f t="shared" si="9"/>
        <v>VietnamAG0062_8</v>
      </c>
      <c r="H235" t="s">
        <v>160</v>
      </c>
      <c r="I235" s="30" t="s">
        <v>143</v>
      </c>
      <c r="J235" s="31" t="s">
        <v>144</v>
      </c>
      <c r="K235" s="24" t="s">
        <v>293</v>
      </c>
    </row>
    <row r="236" spans="7:11" x14ac:dyDescent="0.35">
      <c r="G236" t="str">
        <f t="shared" si="9"/>
        <v>VietnamAG0073</v>
      </c>
      <c r="H236" t="s">
        <v>160</v>
      </c>
      <c r="I236" s="30" t="s">
        <v>166</v>
      </c>
      <c r="J236" s="31" t="s">
        <v>167</v>
      </c>
      <c r="K236" s="24" t="s">
        <v>293</v>
      </c>
    </row>
    <row r="237" spans="7:11" x14ac:dyDescent="0.35">
      <c r="G237" t="str">
        <f t="shared" si="9"/>
        <v>ChinaAG0016</v>
      </c>
      <c r="H237" t="s">
        <v>181</v>
      </c>
      <c r="I237" t="s">
        <v>15</v>
      </c>
      <c r="J237" t="s">
        <v>16</v>
      </c>
      <c r="K237" s="24" t="s">
        <v>293</v>
      </c>
    </row>
    <row r="238" spans="7:11" x14ac:dyDescent="0.35">
      <c r="G238" t="str">
        <f t="shared" si="9"/>
        <v>ChinaAG0020</v>
      </c>
      <c r="H238" t="s">
        <v>181</v>
      </c>
      <c r="I238" t="s">
        <v>49</v>
      </c>
      <c r="J238" t="s">
        <v>50</v>
      </c>
      <c r="K238" s="24" t="s">
        <v>293</v>
      </c>
    </row>
    <row r="239" spans="7:11" x14ac:dyDescent="0.35">
      <c r="G239" t="str">
        <f t="shared" si="9"/>
        <v>ChinaAG0029</v>
      </c>
      <c r="H239" t="s">
        <v>181</v>
      </c>
      <c r="I239" t="s">
        <v>85</v>
      </c>
      <c r="J239" t="s">
        <v>86</v>
      </c>
      <c r="K239" s="24" t="s">
        <v>293</v>
      </c>
    </row>
    <row r="240" spans="7:11" x14ac:dyDescent="0.35">
      <c r="G240" t="str">
        <f t="shared" si="9"/>
        <v>ChinaAG0038</v>
      </c>
      <c r="H240" t="s">
        <v>181</v>
      </c>
      <c r="I240" t="s">
        <v>109</v>
      </c>
      <c r="J240" t="s">
        <v>110</v>
      </c>
      <c r="K240" s="24" t="s">
        <v>293</v>
      </c>
    </row>
    <row r="241" spans="7:11" x14ac:dyDescent="0.35">
      <c r="G241" t="str">
        <f t="shared" si="9"/>
        <v>ChinaAG0041</v>
      </c>
      <c r="H241" t="s">
        <v>181</v>
      </c>
      <c r="I241" t="s">
        <v>164</v>
      </c>
      <c r="J241" t="s">
        <v>165</v>
      </c>
      <c r="K241" s="24" t="s">
        <v>293</v>
      </c>
    </row>
    <row r="242" spans="7:11" x14ac:dyDescent="0.35">
      <c r="G242" t="str">
        <f t="shared" si="9"/>
        <v>ChinaAG0043</v>
      </c>
      <c r="H242" t="s">
        <v>181</v>
      </c>
      <c r="I242" t="s">
        <v>214</v>
      </c>
      <c r="J242" t="s">
        <v>179</v>
      </c>
      <c r="K242" s="28" t="s">
        <v>296</v>
      </c>
    </row>
    <row r="243" spans="7:11" x14ac:dyDescent="0.35">
      <c r="G243" t="str">
        <f t="shared" si="9"/>
        <v>ChinaAG0046</v>
      </c>
      <c r="H243" t="s">
        <v>181</v>
      </c>
      <c r="I243" t="s">
        <v>111</v>
      </c>
      <c r="J243" t="s">
        <v>112</v>
      </c>
      <c r="K243" s="25" t="s">
        <v>296</v>
      </c>
    </row>
    <row r="244" spans="7:11" x14ac:dyDescent="0.35">
      <c r="G244" t="str">
        <f t="shared" si="9"/>
        <v>ChinaAG0051</v>
      </c>
      <c r="H244" t="s">
        <v>181</v>
      </c>
      <c r="I244" t="s">
        <v>127</v>
      </c>
      <c r="J244" t="s">
        <v>128</v>
      </c>
      <c r="K244" s="24" t="s">
        <v>293</v>
      </c>
    </row>
    <row r="245" spans="7:11" x14ac:dyDescent="0.35">
      <c r="G245" t="str">
        <f t="shared" si="9"/>
        <v>ChinaAG0051_1</v>
      </c>
      <c r="H245" t="s">
        <v>181</v>
      </c>
      <c r="I245" t="s">
        <v>129</v>
      </c>
      <c r="J245" t="s">
        <v>130</v>
      </c>
      <c r="K245" s="25" t="s">
        <v>294</v>
      </c>
    </row>
    <row r="246" spans="7:11" x14ac:dyDescent="0.35">
      <c r="G246" t="str">
        <f t="shared" si="9"/>
        <v>ChinaAG0051_2</v>
      </c>
      <c r="H246" t="s">
        <v>181</v>
      </c>
      <c r="I246" t="s">
        <v>131</v>
      </c>
      <c r="J246" t="s">
        <v>132</v>
      </c>
      <c r="K246" s="25" t="s">
        <v>294</v>
      </c>
    </row>
    <row r="247" spans="7:11" x14ac:dyDescent="0.35">
      <c r="G247" t="str">
        <f t="shared" si="9"/>
        <v>ChinaAG0054</v>
      </c>
      <c r="H247" t="s">
        <v>181</v>
      </c>
      <c r="I247" t="s">
        <v>229</v>
      </c>
      <c r="J247" t="s">
        <v>228</v>
      </c>
      <c r="K247" s="25" t="s">
        <v>294</v>
      </c>
    </row>
    <row r="248" spans="7:11" x14ac:dyDescent="0.35">
      <c r="G248" t="str">
        <f t="shared" si="9"/>
        <v>ChinaAG0055</v>
      </c>
      <c r="H248" t="s">
        <v>181</v>
      </c>
      <c r="I248" t="s">
        <v>133</v>
      </c>
      <c r="J248" t="s">
        <v>134</v>
      </c>
      <c r="K248" s="24" t="s">
        <v>293</v>
      </c>
    </row>
    <row r="249" spans="7:11" x14ac:dyDescent="0.35">
      <c r="G249" t="str">
        <f t="shared" si="9"/>
        <v>ChinaAG0055_1</v>
      </c>
      <c r="H249" t="s">
        <v>181</v>
      </c>
      <c r="I249" t="s">
        <v>135</v>
      </c>
      <c r="J249" t="s">
        <v>136</v>
      </c>
      <c r="K249" s="29" t="s">
        <v>296</v>
      </c>
    </row>
    <row r="250" spans="7:11" x14ac:dyDescent="0.35">
      <c r="G250" t="str">
        <f t="shared" si="9"/>
        <v>ChinaAG0060</v>
      </c>
      <c r="H250" t="s">
        <v>181</v>
      </c>
      <c r="I250" t="s">
        <v>162</v>
      </c>
      <c r="J250" t="s">
        <v>163</v>
      </c>
      <c r="K250" s="27" t="s">
        <v>296</v>
      </c>
    </row>
    <row r="251" spans="7:11" x14ac:dyDescent="0.35">
      <c r="G251" t="str">
        <f t="shared" si="9"/>
        <v>ChinaAG0060_1</v>
      </c>
      <c r="H251" t="s">
        <v>181</v>
      </c>
      <c r="I251" t="s">
        <v>252</v>
      </c>
      <c r="J251" t="s">
        <v>180</v>
      </c>
      <c r="K251" s="27" t="s">
        <v>296</v>
      </c>
    </row>
    <row r="252" spans="7:11" x14ac:dyDescent="0.35">
      <c r="G252" t="e">
        <f t="shared" si="9"/>
        <v>#N/A</v>
      </c>
      <c r="H252" t="s">
        <v>181</v>
      </c>
      <c r="I252" t="e">
        <v>#N/A</v>
      </c>
      <c r="J252" t="s">
        <v>290</v>
      </c>
      <c r="K252" s="27" t="s">
        <v>295</v>
      </c>
    </row>
    <row r="253" spans="7:11" x14ac:dyDescent="0.35">
      <c r="G253" t="str">
        <f t="shared" si="9"/>
        <v>ChinaAG0072_1</v>
      </c>
      <c r="H253" t="s">
        <v>181</v>
      </c>
      <c r="I253" t="s">
        <v>253</v>
      </c>
      <c r="J253" t="s">
        <v>177</v>
      </c>
      <c r="K253" s="25" t="s">
        <v>294</v>
      </c>
    </row>
    <row r="254" spans="7:11" x14ac:dyDescent="0.35">
      <c r="G254" t="str">
        <f t="shared" si="9"/>
        <v>ChinaAG0072_2</v>
      </c>
      <c r="H254" t="s">
        <v>181</v>
      </c>
      <c r="I254" t="s">
        <v>254</v>
      </c>
      <c r="J254" t="s">
        <v>178</v>
      </c>
      <c r="K254" s="25" t="s">
        <v>294</v>
      </c>
    </row>
    <row r="255" spans="7:11" x14ac:dyDescent="0.35">
      <c r="G255" t="str">
        <f t="shared" si="9"/>
        <v>ChinaAG0061</v>
      </c>
      <c r="H255" t="s">
        <v>181</v>
      </c>
      <c r="I255" t="s">
        <v>261</v>
      </c>
      <c r="J255" t="s">
        <v>174</v>
      </c>
      <c r="K255" s="25" t="s">
        <v>294</v>
      </c>
    </row>
    <row r="256" spans="7:11" x14ac:dyDescent="0.35">
      <c r="G256" t="str">
        <f t="shared" si="9"/>
        <v>ChinaAG0061_1</v>
      </c>
      <c r="H256" t="s">
        <v>181</v>
      </c>
      <c r="I256" t="s">
        <v>262</v>
      </c>
      <c r="J256" t="s">
        <v>175</v>
      </c>
      <c r="K256" s="25" t="s">
        <v>294</v>
      </c>
    </row>
    <row r="257" spans="7:11" x14ac:dyDescent="0.35">
      <c r="G257" t="str">
        <f t="shared" si="9"/>
        <v>ChinaAG0061_2</v>
      </c>
      <c r="H257" t="s">
        <v>181</v>
      </c>
      <c r="I257" t="s">
        <v>263</v>
      </c>
      <c r="J257" t="s">
        <v>176</v>
      </c>
      <c r="K257" s="25" t="s">
        <v>294</v>
      </c>
    </row>
    <row r="258" spans="7:11" x14ac:dyDescent="0.35">
      <c r="G258" t="str">
        <f t="shared" si="9"/>
        <v>ChinaAG0062</v>
      </c>
      <c r="H258" t="s">
        <v>181</v>
      </c>
      <c r="I258" t="s">
        <v>137</v>
      </c>
      <c r="J258" t="s">
        <v>138</v>
      </c>
      <c r="K258" s="24" t="s">
        <v>293</v>
      </c>
    </row>
    <row r="259" spans="7:11" x14ac:dyDescent="0.35">
      <c r="G259" t="str">
        <f t="shared" si="9"/>
        <v>ChinaAG0062_6</v>
      </c>
      <c r="H259" t="s">
        <v>181</v>
      </c>
      <c r="I259" t="s">
        <v>139</v>
      </c>
      <c r="J259" t="s">
        <v>140</v>
      </c>
      <c r="K259" s="24" t="s">
        <v>293</v>
      </c>
    </row>
    <row r="260" spans="7:11" x14ac:dyDescent="0.35">
      <c r="G260" t="str">
        <f t="shared" ref="G260:G262" si="10">H260&amp;I260</f>
        <v>ChinaAG0062_7</v>
      </c>
      <c r="H260" t="s">
        <v>181</v>
      </c>
      <c r="I260" t="s">
        <v>141</v>
      </c>
      <c r="J260" t="s">
        <v>142</v>
      </c>
      <c r="K260" s="24" t="s">
        <v>293</v>
      </c>
    </row>
    <row r="261" spans="7:11" x14ac:dyDescent="0.35">
      <c r="G261" t="str">
        <f t="shared" si="10"/>
        <v>ChinaAG0062_8</v>
      </c>
      <c r="H261" t="s">
        <v>181</v>
      </c>
      <c r="I261" t="s">
        <v>143</v>
      </c>
      <c r="J261" t="s">
        <v>144</v>
      </c>
      <c r="K261" s="24" t="s">
        <v>293</v>
      </c>
    </row>
    <row r="262" spans="7:11" x14ac:dyDescent="0.35">
      <c r="G262" t="str">
        <f t="shared" si="10"/>
        <v>ChinaAG0073</v>
      </c>
      <c r="H262" t="s">
        <v>181</v>
      </c>
      <c r="I262" t="s">
        <v>166</v>
      </c>
      <c r="J262" t="s">
        <v>167</v>
      </c>
      <c r="K262" s="25" t="s">
        <v>294</v>
      </c>
    </row>
  </sheetData>
  <autoFilter ref="A2:Q132" xr:uid="{9F9B3F96-9D4D-4908-9338-12EDEDF21759}">
    <filterColumn colId="4">
      <filters>
        <filter val="Manual Anaplan Input"/>
      </filters>
    </filterColumn>
  </autoFilter>
  <dataValidations count="1">
    <dataValidation type="list" allowBlank="1" showInputMessage="1" showErrorMessage="1" sqref="K3:K262" xr:uid="{81BBB709-AFCF-444A-8CB3-5CB9C5C8A45B}">
      <formula1>$B$3:$B$8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1D5A-7457-4FC6-9C08-CDC40A0458F3}">
  <sheetPr filterMode="1"/>
  <dimension ref="C18:V43"/>
  <sheetViews>
    <sheetView topLeftCell="A7" workbookViewId="0">
      <selection activeCell="F44" sqref="F44"/>
    </sheetView>
  </sheetViews>
  <sheetFormatPr defaultRowHeight="14.5" x14ac:dyDescent="0.35"/>
  <cols>
    <col min="3" max="3" width="9.453125" bestFit="1" customWidth="1"/>
    <col min="14" max="14" width="9.453125" bestFit="1" customWidth="1"/>
  </cols>
  <sheetData>
    <row r="18" spans="3:22" x14ac:dyDescent="0.35">
      <c r="C18" t="s">
        <v>1</v>
      </c>
      <c r="D18" t="s">
        <v>354</v>
      </c>
      <c r="E18" t="s">
        <v>0</v>
      </c>
      <c r="F18" t="s">
        <v>355</v>
      </c>
      <c r="G18" t="s">
        <v>328</v>
      </c>
      <c r="H18" t="s">
        <v>3</v>
      </c>
      <c r="I18" t="s">
        <v>2</v>
      </c>
      <c r="J18" t="s">
        <v>356</v>
      </c>
      <c r="K18" t="s">
        <v>357</v>
      </c>
      <c r="N18" t="s">
        <v>1</v>
      </c>
      <c r="O18" t="s">
        <v>354</v>
      </c>
      <c r="P18" t="s">
        <v>0</v>
      </c>
      <c r="Q18" t="s">
        <v>355</v>
      </c>
      <c r="R18" t="s">
        <v>328</v>
      </c>
      <c r="S18" t="s">
        <v>3</v>
      </c>
      <c r="T18" t="s">
        <v>2</v>
      </c>
      <c r="U18" t="s">
        <v>356</v>
      </c>
      <c r="V18" t="s">
        <v>357</v>
      </c>
    </row>
    <row r="19" spans="3:22" x14ac:dyDescent="0.35">
      <c r="C19" s="92">
        <v>46053</v>
      </c>
      <c r="D19" t="s">
        <v>313</v>
      </c>
      <c r="E19" t="s">
        <v>161</v>
      </c>
      <c r="F19" t="s">
        <v>358</v>
      </c>
      <c r="G19" t="s">
        <v>318</v>
      </c>
      <c r="H19" t="s">
        <v>163</v>
      </c>
      <c r="I19" t="s">
        <v>162</v>
      </c>
      <c r="J19" t="s">
        <v>359</v>
      </c>
      <c r="K19">
        <v>7</v>
      </c>
      <c r="N19" s="92">
        <v>46053</v>
      </c>
      <c r="O19" t="s">
        <v>313</v>
      </c>
      <c r="P19" t="s">
        <v>161</v>
      </c>
      <c r="Q19" t="s">
        <v>358</v>
      </c>
      <c r="R19" t="s">
        <v>318</v>
      </c>
      <c r="S19" t="s">
        <v>180</v>
      </c>
      <c r="T19" t="s">
        <v>252</v>
      </c>
      <c r="U19" t="s">
        <v>359</v>
      </c>
      <c r="V19">
        <v>1</v>
      </c>
    </row>
    <row r="20" spans="3:22" hidden="1" x14ac:dyDescent="0.35">
      <c r="C20" s="92">
        <v>46053</v>
      </c>
      <c r="D20" t="s">
        <v>313</v>
      </c>
      <c r="E20" t="s">
        <v>161</v>
      </c>
      <c r="F20" t="s">
        <v>360</v>
      </c>
      <c r="G20" t="s">
        <v>330</v>
      </c>
      <c r="H20" t="s">
        <v>163</v>
      </c>
      <c r="I20" t="s">
        <v>162</v>
      </c>
      <c r="J20" t="s">
        <v>359</v>
      </c>
      <c r="K20">
        <v>2</v>
      </c>
      <c r="N20" s="92">
        <v>46053</v>
      </c>
      <c r="O20" t="s">
        <v>313</v>
      </c>
      <c r="P20" t="s">
        <v>161</v>
      </c>
      <c r="Q20" t="s">
        <v>360</v>
      </c>
      <c r="R20" t="s">
        <v>330</v>
      </c>
      <c r="S20" t="s">
        <v>180</v>
      </c>
      <c r="T20" t="s">
        <v>252</v>
      </c>
      <c r="U20" t="s">
        <v>359</v>
      </c>
      <c r="V20">
        <v>1</v>
      </c>
    </row>
    <row r="21" spans="3:22" hidden="1" x14ac:dyDescent="0.35">
      <c r="C21" s="92">
        <v>46081</v>
      </c>
      <c r="D21" t="s">
        <v>313</v>
      </c>
      <c r="E21" t="s">
        <v>161</v>
      </c>
      <c r="F21" t="s">
        <v>360</v>
      </c>
      <c r="G21" t="s">
        <v>330</v>
      </c>
      <c r="H21" t="s">
        <v>163</v>
      </c>
      <c r="I21" t="s">
        <v>162</v>
      </c>
      <c r="J21" t="s">
        <v>359</v>
      </c>
      <c r="K21">
        <v>1</v>
      </c>
      <c r="N21" s="92">
        <v>46081</v>
      </c>
      <c r="O21" t="s">
        <v>313</v>
      </c>
      <c r="P21" t="s">
        <v>161</v>
      </c>
      <c r="Q21" t="s">
        <v>360</v>
      </c>
      <c r="R21" t="s">
        <v>330</v>
      </c>
      <c r="S21" t="s">
        <v>180</v>
      </c>
      <c r="T21" t="s">
        <v>252</v>
      </c>
      <c r="U21" t="s">
        <v>359</v>
      </c>
      <c r="V21">
        <v>0</v>
      </c>
    </row>
    <row r="22" spans="3:22" x14ac:dyDescent="0.35">
      <c r="C22" s="92">
        <v>46081</v>
      </c>
      <c r="D22" t="s">
        <v>313</v>
      </c>
      <c r="E22" t="s">
        <v>161</v>
      </c>
      <c r="F22" t="s">
        <v>358</v>
      </c>
      <c r="G22" t="s">
        <v>318</v>
      </c>
      <c r="H22" t="s">
        <v>163</v>
      </c>
      <c r="I22" t="s">
        <v>162</v>
      </c>
      <c r="J22" t="s">
        <v>359</v>
      </c>
      <c r="K22">
        <v>1</v>
      </c>
      <c r="N22" s="92">
        <v>46081</v>
      </c>
      <c r="O22" t="s">
        <v>313</v>
      </c>
      <c r="P22" t="s">
        <v>161</v>
      </c>
      <c r="Q22" t="s">
        <v>358</v>
      </c>
      <c r="R22" t="s">
        <v>318</v>
      </c>
      <c r="S22" t="s">
        <v>180</v>
      </c>
      <c r="T22" t="s">
        <v>252</v>
      </c>
      <c r="U22" t="s">
        <v>359</v>
      </c>
      <c r="V22">
        <v>0</v>
      </c>
    </row>
    <row r="23" spans="3:22" hidden="1" x14ac:dyDescent="0.35">
      <c r="C23" s="92">
        <v>46112</v>
      </c>
      <c r="D23" t="s">
        <v>313</v>
      </c>
      <c r="E23" t="s">
        <v>161</v>
      </c>
      <c r="F23" t="s">
        <v>358</v>
      </c>
      <c r="G23" t="s">
        <v>318</v>
      </c>
      <c r="H23" t="s">
        <v>163</v>
      </c>
      <c r="I23" t="s">
        <v>162</v>
      </c>
      <c r="J23" t="s">
        <v>359</v>
      </c>
      <c r="K23">
        <v>0</v>
      </c>
      <c r="N23" s="92">
        <v>46112</v>
      </c>
      <c r="O23" t="s">
        <v>313</v>
      </c>
      <c r="P23" t="s">
        <v>161</v>
      </c>
      <c r="Q23" t="s">
        <v>360</v>
      </c>
      <c r="R23" t="s">
        <v>330</v>
      </c>
      <c r="S23" t="s">
        <v>180</v>
      </c>
      <c r="T23" t="s">
        <v>252</v>
      </c>
      <c r="U23" t="s">
        <v>359</v>
      </c>
      <c r="V23">
        <v>0</v>
      </c>
    </row>
    <row r="24" spans="3:22" x14ac:dyDescent="0.35">
      <c r="C24" s="92">
        <v>46112</v>
      </c>
      <c r="D24" t="s">
        <v>313</v>
      </c>
      <c r="E24" t="s">
        <v>161</v>
      </c>
      <c r="F24" t="s">
        <v>360</v>
      </c>
      <c r="G24" t="s">
        <v>330</v>
      </c>
      <c r="H24" t="s">
        <v>163</v>
      </c>
      <c r="I24" t="s">
        <v>162</v>
      </c>
      <c r="J24" t="s">
        <v>359</v>
      </c>
      <c r="K24">
        <v>0</v>
      </c>
      <c r="N24" s="92">
        <v>46112</v>
      </c>
      <c r="O24" t="s">
        <v>313</v>
      </c>
      <c r="P24" t="s">
        <v>161</v>
      </c>
      <c r="Q24" t="s">
        <v>358</v>
      </c>
      <c r="R24" t="s">
        <v>318</v>
      </c>
      <c r="S24" t="s">
        <v>180</v>
      </c>
      <c r="T24" t="s">
        <v>252</v>
      </c>
      <c r="U24" t="s">
        <v>359</v>
      </c>
      <c r="V24">
        <v>0</v>
      </c>
    </row>
    <row r="25" spans="3:22" hidden="1" x14ac:dyDescent="0.35">
      <c r="C25" s="92">
        <v>46142</v>
      </c>
      <c r="D25" t="s">
        <v>313</v>
      </c>
      <c r="E25" t="s">
        <v>161</v>
      </c>
      <c r="F25" t="s">
        <v>358</v>
      </c>
      <c r="G25" t="s">
        <v>318</v>
      </c>
      <c r="H25" t="s">
        <v>163</v>
      </c>
      <c r="I25" t="s">
        <v>162</v>
      </c>
      <c r="J25" t="s">
        <v>359</v>
      </c>
      <c r="K25">
        <v>0</v>
      </c>
      <c r="N25" s="92">
        <v>46142</v>
      </c>
      <c r="O25" t="s">
        <v>313</v>
      </c>
      <c r="P25" t="s">
        <v>161</v>
      </c>
      <c r="Q25" t="s">
        <v>360</v>
      </c>
      <c r="R25" t="s">
        <v>330</v>
      </c>
      <c r="S25" t="s">
        <v>180</v>
      </c>
      <c r="T25" t="s">
        <v>252</v>
      </c>
      <c r="U25" t="s">
        <v>359</v>
      </c>
      <c r="V25">
        <v>0</v>
      </c>
    </row>
    <row r="26" spans="3:22" x14ac:dyDescent="0.35">
      <c r="C26" s="92">
        <v>46142</v>
      </c>
      <c r="D26" t="s">
        <v>313</v>
      </c>
      <c r="E26" t="s">
        <v>161</v>
      </c>
      <c r="F26" t="s">
        <v>360</v>
      </c>
      <c r="G26" t="s">
        <v>330</v>
      </c>
      <c r="H26" t="s">
        <v>163</v>
      </c>
      <c r="I26" t="s">
        <v>162</v>
      </c>
      <c r="J26" t="s">
        <v>359</v>
      </c>
      <c r="K26">
        <v>1</v>
      </c>
      <c r="N26" s="92">
        <v>46142</v>
      </c>
      <c r="O26" t="s">
        <v>313</v>
      </c>
      <c r="P26" t="s">
        <v>161</v>
      </c>
      <c r="Q26" t="s">
        <v>358</v>
      </c>
      <c r="R26" t="s">
        <v>318</v>
      </c>
      <c r="S26" t="s">
        <v>180</v>
      </c>
      <c r="T26" t="s">
        <v>252</v>
      </c>
      <c r="U26" t="s">
        <v>359</v>
      </c>
      <c r="V26">
        <v>0</v>
      </c>
    </row>
    <row r="27" spans="3:22" hidden="1" x14ac:dyDescent="0.35">
      <c r="C27" s="92">
        <v>46173</v>
      </c>
      <c r="D27" t="s">
        <v>313</v>
      </c>
      <c r="E27" t="s">
        <v>161</v>
      </c>
      <c r="F27" t="s">
        <v>360</v>
      </c>
      <c r="G27" t="s">
        <v>330</v>
      </c>
      <c r="H27" t="s">
        <v>163</v>
      </c>
      <c r="I27" t="s">
        <v>162</v>
      </c>
      <c r="J27" t="s">
        <v>359</v>
      </c>
      <c r="K27">
        <v>0</v>
      </c>
      <c r="N27" s="92">
        <v>46173</v>
      </c>
      <c r="O27" t="s">
        <v>313</v>
      </c>
      <c r="P27" t="s">
        <v>161</v>
      </c>
      <c r="Q27" t="s">
        <v>360</v>
      </c>
      <c r="R27" t="s">
        <v>330</v>
      </c>
      <c r="S27" t="s">
        <v>180</v>
      </c>
      <c r="T27" t="s">
        <v>252</v>
      </c>
      <c r="U27" t="s">
        <v>359</v>
      </c>
      <c r="V27">
        <v>0</v>
      </c>
    </row>
    <row r="28" spans="3:22" x14ac:dyDescent="0.35">
      <c r="C28" s="92">
        <v>46173</v>
      </c>
      <c r="D28" t="s">
        <v>313</v>
      </c>
      <c r="E28" t="s">
        <v>161</v>
      </c>
      <c r="F28" t="s">
        <v>358</v>
      </c>
      <c r="G28" t="s">
        <v>318</v>
      </c>
      <c r="H28" t="s">
        <v>163</v>
      </c>
      <c r="I28" t="s">
        <v>162</v>
      </c>
      <c r="J28" t="s">
        <v>359</v>
      </c>
      <c r="K28">
        <v>2</v>
      </c>
      <c r="N28" s="92">
        <v>46173</v>
      </c>
      <c r="O28" t="s">
        <v>313</v>
      </c>
      <c r="P28" t="s">
        <v>161</v>
      </c>
      <c r="Q28" t="s">
        <v>358</v>
      </c>
      <c r="R28" t="s">
        <v>318</v>
      </c>
      <c r="S28" t="s">
        <v>180</v>
      </c>
      <c r="T28" t="s">
        <v>252</v>
      </c>
      <c r="U28" t="s">
        <v>359</v>
      </c>
      <c r="V28">
        <v>0</v>
      </c>
    </row>
    <row r="29" spans="3:22" x14ac:dyDescent="0.35">
      <c r="C29" s="92">
        <v>46203</v>
      </c>
      <c r="D29" t="s">
        <v>313</v>
      </c>
      <c r="E29" t="s">
        <v>161</v>
      </c>
      <c r="F29" t="s">
        <v>360</v>
      </c>
      <c r="G29" t="s">
        <v>330</v>
      </c>
      <c r="H29" t="s">
        <v>163</v>
      </c>
      <c r="I29" t="s">
        <v>162</v>
      </c>
      <c r="J29" t="s">
        <v>359</v>
      </c>
      <c r="K29">
        <v>2</v>
      </c>
      <c r="N29" s="92">
        <v>46203</v>
      </c>
      <c r="O29" t="s">
        <v>313</v>
      </c>
      <c r="P29" t="s">
        <v>161</v>
      </c>
      <c r="Q29" t="s">
        <v>358</v>
      </c>
      <c r="R29" t="s">
        <v>318</v>
      </c>
      <c r="S29" t="s">
        <v>180</v>
      </c>
      <c r="T29" t="s">
        <v>252</v>
      </c>
      <c r="U29" t="s">
        <v>359</v>
      </c>
      <c r="V29">
        <v>1</v>
      </c>
    </row>
    <row r="30" spans="3:22" hidden="1" x14ac:dyDescent="0.35">
      <c r="C30" s="92">
        <v>46203</v>
      </c>
      <c r="D30" t="s">
        <v>313</v>
      </c>
      <c r="E30" t="s">
        <v>161</v>
      </c>
      <c r="F30" t="s">
        <v>358</v>
      </c>
      <c r="G30" t="s">
        <v>318</v>
      </c>
      <c r="H30" t="s">
        <v>163</v>
      </c>
      <c r="I30" t="s">
        <v>162</v>
      </c>
      <c r="J30" t="s">
        <v>359</v>
      </c>
      <c r="K30">
        <v>1</v>
      </c>
      <c r="N30" s="92">
        <v>46203</v>
      </c>
      <c r="O30" t="s">
        <v>313</v>
      </c>
      <c r="P30" t="s">
        <v>161</v>
      </c>
      <c r="Q30" t="s">
        <v>360</v>
      </c>
      <c r="R30" t="s">
        <v>330</v>
      </c>
      <c r="S30" t="s">
        <v>180</v>
      </c>
      <c r="T30" t="s">
        <v>252</v>
      </c>
      <c r="U30" t="s">
        <v>359</v>
      </c>
      <c r="V30">
        <v>0</v>
      </c>
    </row>
    <row r="31" spans="3:22" x14ac:dyDescent="0.35">
      <c r="C31" s="92">
        <v>46234</v>
      </c>
      <c r="D31" t="s">
        <v>313</v>
      </c>
      <c r="E31" t="s">
        <v>161</v>
      </c>
      <c r="F31" t="s">
        <v>360</v>
      </c>
      <c r="G31" t="s">
        <v>330</v>
      </c>
      <c r="H31" t="s">
        <v>163</v>
      </c>
      <c r="I31" t="s">
        <v>162</v>
      </c>
      <c r="J31" t="s">
        <v>359</v>
      </c>
      <c r="K31">
        <v>0</v>
      </c>
      <c r="N31" s="92">
        <v>46234</v>
      </c>
      <c r="O31" t="s">
        <v>313</v>
      </c>
      <c r="P31" t="s">
        <v>161</v>
      </c>
      <c r="Q31" t="s">
        <v>358</v>
      </c>
      <c r="R31" t="s">
        <v>318</v>
      </c>
      <c r="S31" t="s">
        <v>180</v>
      </c>
      <c r="T31" t="s">
        <v>252</v>
      </c>
      <c r="U31" t="s">
        <v>359</v>
      </c>
      <c r="V31">
        <v>0</v>
      </c>
    </row>
    <row r="32" spans="3:22" hidden="1" x14ac:dyDescent="0.35">
      <c r="C32" s="92">
        <v>46234</v>
      </c>
      <c r="D32" t="s">
        <v>313</v>
      </c>
      <c r="E32" t="s">
        <v>161</v>
      </c>
      <c r="F32" t="s">
        <v>358</v>
      </c>
      <c r="G32" t="s">
        <v>318</v>
      </c>
      <c r="H32" t="s">
        <v>163</v>
      </c>
      <c r="I32" t="s">
        <v>162</v>
      </c>
      <c r="J32" t="s">
        <v>359</v>
      </c>
      <c r="K32">
        <v>3</v>
      </c>
      <c r="N32" s="92">
        <v>46234</v>
      </c>
      <c r="O32" t="s">
        <v>313</v>
      </c>
      <c r="P32" t="s">
        <v>161</v>
      </c>
      <c r="Q32" t="s">
        <v>360</v>
      </c>
      <c r="R32" t="s">
        <v>330</v>
      </c>
      <c r="S32" t="s">
        <v>180</v>
      </c>
      <c r="T32" t="s">
        <v>252</v>
      </c>
      <c r="U32" t="s">
        <v>359</v>
      </c>
      <c r="V32">
        <v>0</v>
      </c>
    </row>
    <row r="39" spans="6:10" x14ac:dyDescent="0.35">
      <c r="J39">
        <f>148/212</f>
        <v>0.69811320754716977</v>
      </c>
    </row>
    <row r="43" spans="6:10" x14ac:dyDescent="0.35">
      <c r="F43">
        <f>160/2088</f>
        <v>7.662835249042145E-2</v>
      </c>
    </row>
  </sheetData>
  <autoFilter ref="N18:V32" xr:uid="{F5C11D5A-7457-4FC6-9C08-CDC40A0458F3}">
    <filterColumn colId="4">
      <filters>
        <filter val="MF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2AEB-A805-411A-8816-6EA4AC10079A}">
  <dimension ref="B1:G110"/>
  <sheetViews>
    <sheetView workbookViewId="0">
      <selection activeCell="D72" sqref="D72"/>
    </sheetView>
  </sheetViews>
  <sheetFormatPr defaultRowHeight="14.5" x14ac:dyDescent="0.35"/>
  <cols>
    <col min="2" max="2" width="54.81640625" bestFit="1" customWidth="1"/>
    <col min="4" max="4" width="36.1796875" customWidth="1"/>
    <col min="5" max="5" width="19.81640625" customWidth="1"/>
    <col min="6" max="6" width="54.81640625" bestFit="1" customWidth="1"/>
    <col min="7" max="7" width="10.453125" style="1" bestFit="1" customWidth="1"/>
  </cols>
  <sheetData>
    <row r="1" spans="2:7" x14ac:dyDescent="0.35">
      <c r="B1" s="4" t="s">
        <v>187</v>
      </c>
      <c r="C1" s="4"/>
      <c r="D1" s="5" t="s">
        <v>188</v>
      </c>
      <c r="E1" s="1"/>
      <c r="F1" s="8" t="s">
        <v>189</v>
      </c>
      <c r="G1" s="1" t="s">
        <v>190</v>
      </c>
    </row>
    <row r="2" spans="2:7" x14ac:dyDescent="0.35">
      <c r="B2" s="6" t="s">
        <v>12</v>
      </c>
      <c r="C2" s="6"/>
      <c r="D2" s="7" t="s">
        <v>12</v>
      </c>
      <c r="E2" s="1"/>
      <c r="F2" s="7" t="s">
        <v>12</v>
      </c>
      <c r="G2" s="1" t="s">
        <v>11</v>
      </c>
    </row>
    <row r="3" spans="2:7" x14ac:dyDescent="0.35">
      <c r="B3" s="6" t="s">
        <v>16</v>
      </c>
      <c r="C3" s="6"/>
      <c r="D3" s="7" t="s">
        <v>16</v>
      </c>
      <c r="E3" s="1"/>
      <c r="F3" s="7" t="s">
        <v>16</v>
      </c>
      <c r="G3" s="1" t="s">
        <v>15</v>
      </c>
    </row>
    <row r="4" spans="2:7" x14ac:dyDescent="0.35">
      <c r="B4" s="6" t="s">
        <v>18</v>
      </c>
      <c r="C4" s="6"/>
      <c r="D4" s="7" t="s">
        <v>18</v>
      </c>
      <c r="E4" s="1"/>
      <c r="F4" s="7" t="s">
        <v>18</v>
      </c>
      <c r="G4" s="1" t="s">
        <v>17</v>
      </c>
    </row>
    <row r="5" spans="2:7" x14ac:dyDescent="0.35">
      <c r="B5" s="6" t="s">
        <v>32</v>
      </c>
      <c r="C5" s="6"/>
      <c r="D5" s="7" t="s">
        <v>32</v>
      </c>
      <c r="E5" s="1"/>
      <c r="F5" s="7" t="s">
        <v>32</v>
      </c>
      <c r="G5" s="1" t="s">
        <v>31</v>
      </c>
    </row>
    <row r="6" spans="2:7" x14ac:dyDescent="0.35">
      <c r="B6" s="6" t="s">
        <v>34</v>
      </c>
      <c r="C6" s="6"/>
      <c r="D6" s="7" t="s">
        <v>34</v>
      </c>
      <c r="E6" s="1"/>
      <c r="F6" s="7" t="s">
        <v>34</v>
      </c>
      <c r="G6" s="1" t="s">
        <v>33</v>
      </c>
    </row>
    <row r="7" spans="2:7" x14ac:dyDescent="0.35">
      <c r="B7" s="6" t="s">
        <v>36</v>
      </c>
      <c r="C7" s="6"/>
      <c r="D7" s="7" t="s">
        <v>36</v>
      </c>
      <c r="E7" s="1"/>
      <c r="F7" s="7" t="s">
        <v>36</v>
      </c>
      <c r="G7" s="1" t="s">
        <v>35</v>
      </c>
    </row>
    <row r="8" spans="2:7" x14ac:dyDescent="0.35">
      <c r="B8" s="6" t="s">
        <v>38</v>
      </c>
      <c r="C8" s="6"/>
      <c r="D8" s="7" t="s">
        <v>38</v>
      </c>
      <c r="E8" s="1"/>
      <c r="F8" s="7" t="s">
        <v>38</v>
      </c>
      <c r="G8" s="1" t="s">
        <v>37</v>
      </c>
    </row>
    <row r="9" spans="2:7" x14ac:dyDescent="0.35">
      <c r="B9" s="6" t="s">
        <v>20</v>
      </c>
      <c r="C9" s="6"/>
      <c r="D9" s="7" t="s">
        <v>20</v>
      </c>
      <c r="E9" s="1"/>
      <c r="F9" s="7" t="s">
        <v>20</v>
      </c>
      <c r="G9" s="1" t="s">
        <v>19</v>
      </c>
    </row>
    <row r="10" spans="2:7" x14ac:dyDescent="0.35">
      <c r="B10" s="6" t="s">
        <v>22</v>
      </c>
      <c r="C10" s="6"/>
      <c r="D10" s="7" t="s">
        <v>22</v>
      </c>
      <c r="E10" s="1"/>
      <c r="F10" s="7" t="s">
        <v>22</v>
      </c>
      <c r="G10" s="1" t="s">
        <v>21</v>
      </c>
    </row>
    <row r="11" spans="2:7" x14ac:dyDescent="0.35">
      <c r="B11" s="6" t="s">
        <v>24</v>
      </c>
      <c r="C11" s="6"/>
      <c r="D11" s="7" t="s">
        <v>24</v>
      </c>
      <c r="E11" s="1"/>
      <c r="F11" s="7" t="s">
        <v>24</v>
      </c>
      <c r="G11" s="1" t="s">
        <v>23</v>
      </c>
    </row>
    <row r="12" spans="2:7" x14ac:dyDescent="0.35">
      <c r="B12" s="6" t="s">
        <v>191</v>
      </c>
      <c r="C12" s="6"/>
      <c r="D12" s="7" t="s">
        <v>26</v>
      </c>
      <c r="E12" s="1"/>
      <c r="F12" s="7" t="s">
        <v>191</v>
      </c>
      <c r="G12" s="1" t="s">
        <v>25</v>
      </c>
    </row>
    <row r="13" spans="2:7" x14ac:dyDescent="0.35">
      <c r="B13" s="6" t="s">
        <v>192</v>
      </c>
      <c r="C13" s="6"/>
      <c r="D13" s="7" t="s">
        <v>28</v>
      </c>
      <c r="E13" s="1"/>
      <c r="F13" s="7" t="s">
        <v>192</v>
      </c>
      <c r="G13" s="1" t="s">
        <v>27</v>
      </c>
    </row>
    <row r="14" spans="2:7" x14ac:dyDescent="0.35">
      <c r="B14" s="6" t="s">
        <v>193</v>
      </c>
      <c r="C14" s="6"/>
      <c r="D14" s="7" t="s">
        <v>30</v>
      </c>
      <c r="E14" s="1"/>
      <c r="F14" s="7" t="s">
        <v>193</v>
      </c>
      <c r="G14" s="1" t="s">
        <v>29</v>
      </c>
    </row>
    <row r="15" spans="2:7" x14ac:dyDescent="0.35">
      <c r="B15" s="6" t="s">
        <v>194</v>
      </c>
      <c r="C15" s="6"/>
      <c r="D15" s="7" t="s">
        <v>195</v>
      </c>
      <c r="E15" s="1"/>
      <c r="F15" s="7" t="s">
        <v>194</v>
      </c>
      <c r="G15" s="1" t="s">
        <v>196</v>
      </c>
    </row>
    <row r="16" spans="2:7" x14ac:dyDescent="0.35">
      <c r="B16" s="6" t="s">
        <v>40</v>
      </c>
      <c r="C16" s="6"/>
      <c r="D16" s="7" t="s">
        <v>40</v>
      </c>
      <c r="E16" s="1"/>
      <c r="F16" s="7" t="s">
        <v>40</v>
      </c>
      <c r="G16" s="1" t="s">
        <v>39</v>
      </c>
    </row>
    <row r="17" spans="2:7" x14ac:dyDescent="0.35">
      <c r="B17" s="6" t="s">
        <v>42</v>
      </c>
      <c r="C17" s="6"/>
      <c r="D17" s="7" t="s">
        <v>42</v>
      </c>
      <c r="E17" s="1"/>
      <c r="F17" s="7" t="s">
        <v>42</v>
      </c>
      <c r="G17" s="1" t="s">
        <v>41</v>
      </c>
    </row>
    <row r="18" spans="2:7" x14ac:dyDescent="0.35">
      <c r="B18" s="6" t="s">
        <v>44</v>
      </c>
      <c r="C18" s="6"/>
      <c r="D18" s="7" t="s">
        <v>44</v>
      </c>
      <c r="E18" s="1"/>
      <c r="F18" s="7" t="s">
        <v>44</v>
      </c>
      <c r="G18" s="1" t="s">
        <v>43</v>
      </c>
    </row>
    <row r="19" spans="2:7" x14ac:dyDescent="0.35">
      <c r="B19" s="6" t="s">
        <v>46</v>
      </c>
      <c r="C19" s="6"/>
      <c r="D19" s="7" t="s">
        <v>46</v>
      </c>
      <c r="E19" s="1"/>
      <c r="F19" s="7" t="s">
        <v>46</v>
      </c>
      <c r="G19" s="1" t="s">
        <v>45</v>
      </c>
    </row>
    <row r="20" spans="2:7" x14ac:dyDescent="0.35">
      <c r="B20" s="6" t="s">
        <v>48</v>
      </c>
      <c r="C20" s="6"/>
      <c r="D20" s="7" t="s">
        <v>48</v>
      </c>
      <c r="E20" s="1"/>
      <c r="F20" s="7" t="s">
        <v>48</v>
      </c>
      <c r="G20" s="1" t="s">
        <v>47</v>
      </c>
    </row>
    <row r="21" spans="2:7" x14ac:dyDescent="0.35">
      <c r="B21" s="6" t="s">
        <v>50</v>
      </c>
      <c r="C21" s="6"/>
      <c r="D21" s="7" t="s">
        <v>50</v>
      </c>
      <c r="E21" s="1"/>
      <c r="F21" s="7" t="s">
        <v>50</v>
      </c>
      <c r="G21" s="1" t="s">
        <v>49</v>
      </c>
    </row>
    <row r="22" spans="2:7" x14ac:dyDescent="0.35">
      <c r="B22" s="6" t="s">
        <v>52</v>
      </c>
      <c r="C22" s="6"/>
      <c r="D22" s="7" t="s">
        <v>52</v>
      </c>
      <c r="E22" s="1"/>
      <c r="F22" s="7" t="s">
        <v>52</v>
      </c>
      <c r="G22" s="1" t="s">
        <v>51</v>
      </c>
    </row>
    <row r="23" spans="2:7" x14ac:dyDescent="0.35">
      <c r="B23" s="6" t="s">
        <v>66</v>
      </c>
      <c r="C23" s="6"/>
      <c r="D23" s="7" t="s">
        <v>66</v>
      </c>
      <c r="E23" s="1"/>
      <c r="F23" s="7" t="s">
        <v>66</v>
      </c>
      <c r="G23" s="1" t="s">
        <v>65</v>
      </c>
    </row>
    <row r="24" spans="2:7" x14ac:dyDescent="0.35">
      <c r="B24" s="6" t="s">
        <v>68</v>
      </c>
      <c r="C24" s="6"/>
      <c r="D24" s="7" t="s">
        <v>68</v>
      </c>
      <c r="E24" s="1"/>
      <c r="F24" s="7" t="s">
        <v>68</v>
      </c>
      <c r="G24" s="1" t="s">
        <v>67</v>
      </c>
    </row>
    <row r="25" spans="2:7" x14ac:dyDescent="0.35">
      <c r="B25" s="6" t="s">
        <v>70</v>
      </c>
      <c r="C25" s="6"/>
      <c r="D25" s="7" t="s">
        <v>70</v>
      </c>
      <c r="E25" s="1"/>
      <c r="F25" s="7" t="s">
        <v>70</v>
      </c>
      <c r="G25" s="1" t="s">
        <v>69</v>
      </c>
    </row>
    <row r="26" spans="2:7" x14ac:dyDescent="0.35">
      <c r="B26" s="6" t="s">
        <v>72</v>
      </c>
      <c r="C26" s="6"/>
      <c r="D26" s="7" t="s">
        <v>72</v>
      </c>
      <c r="E26" s="1"/>
      <c r="F26" s="7" t="s">
        <v>72</v>
      </c>
      <c r="G26" s="1" t="s">
        <v>71</v>
      </c>
    </row>
    <row r="27" spans="2:7" x14ac:dyDescent="0.35">
      <c r="B27" s="6" t="s">
        <v>54</v>
      </c>
      <c r="C27" s="6"/>
      <c r="D27" s="7" t="s">
        <v>54</v>
      </c>
      <c r="E27" s="1"/>
      <c r="F27" s="7" t="s">
        <v>54</v>
      </c>
      <c r="G27" s="1" t="s">
        <v>53</v>
      </c>
    </row>
    <row r="28" spans="2:7" x14ac:dyDescent="0.35">
      <c r="B28" s="6" t="s">
        <v>56</v>
      </c>
      <c r="C28" s="6"/>
      <c r="D28" s="7" t="s">
        <v>56</v>
      </c>
      <c r="E28" s="1"/>
      <c r="F28" s="7" t="s">
        <v>56</v>
      </c>
      <c r="G28" s="1" t="s">
        <v>55</v>
      </c>
    </row>
    <row r="29" spans="2:7" x14ac:dyDescent="0.35">
      <c r="B29" s="6" t="s">
        <v>58</v>
      </c>
      <c r="C29" s="6"/>
      <c r="D29" s="7" t="s">
        <v>58</v>
      </c>
      <c r="E29" s="1"/>
      <c r="F29" s="7" t="s">
        <v>58</v>
      </c>
      <c r="G29" s="1" t="s">
        <v>57</v>
      </c>
    </row>
    <row r="30" spans="2:7" x14ac:dyDescent="0.35">
      <c r="B30" s="6" t="s">
        <v>197</v>
      </c>
      <c r="C30" s="6"/>
      <c r="D30" s="7" t="s">
        <v>60</v>
      </c>
      <c r="E30" s="1"/>
      <c r="F30" s="7" t="s">
        <v>197</v>
      </c>
      <c r="G30" s="1" t="s">
        <v>59</v>
      </c>
    </row>
    <row r="31" spans="2:7" x14ac:dyDescent="0.35">
      <c r="B31" s="6" t="s">
        <v>198</v>
      </c>
      <c r="C31" s="6"/>
      <c r="D31" s="7" t="s">
        <v>62</v>
      </c>
      <c r="E31" s="1"/>
      <c r="F31" s="7" t="s">
        <v>198</v>
      </c>
      <c r="G31" s="1" t="s">
        <v>61</v>
      </c>
    </row>
    <row r="32" spans="2:7" x14ac:dyDescent="0.35">
      <c r="B32" s="6" t="s">
        <v>199</v>
      </c>
      <c r="C32" s="6"/>
      <c r="D32" s="7" t="s">
        <v>64</v>
      </c>
      <c r="E32" s="1"/>
      <c r="F32" s="7" t="s">
        <v>199</v>
      </c>
      <c r="G32" s="1" t="s">
        <v>63</v>
      </c>
    </row>
    <row r="33" spans="2:7" x14ac:dyDescent="0.35">
      <c r="B33" s="6" t="s">
        <v>200</v>
      </c>
      <c r="C33" s="6"/>
      <c r="D33" s="7" t="s">
        <v>200</v>
      </c>
      <c r="E33" s="1"/>
      <c r="F33" s="7" t="s">
        <v>200</v>
      </c>
      <c r="G33" s="1" t="s">
        <v>201</v>
      </c>
    </row>
    <row r="34" spans="2:7" x14ac:dyDescent="0.35">
      <c r="B34" s="6" t="s">
        <v>74</v>
      </c>
      <c r="C34" s="6"/>
      <c r="D34" s="7" t="s">
        <v>74</v>
      </c>
      <c r="E34" s="1"/>
      <c r="F34" s="7" t="s">
        <v>74</v>
      </c>
      <c r="G34" s="1" t="s">
        <v>73</v>
      </c>
    </row>
    <row r="35" spans="2:7" x14ac:dyDescent="0.35">
      <c r="B35" s="6" t="s">
        <v>76</v>
      </c>
      <c r="C35" s="6"/>
      <c r="D35" s="7" t="s">
        <v>76</v>
      </c>
      <c r="E35" s="1"/>
      <c r="F35" s="7" t="s">
        <v>76</v>
      </c>
      <c r="G35" s="1" t="s">
        <v>75</v>
      </c>
    </row>
    <row r="36" spans="2:7" x14ac:dyDescent="0.35">
      <c r="B36" s="6" t="s">
        <v>78</v>
      </c>
      <c r="C36" s="6"/>
      <c r="D36" s="7" t="s">
        <v>78</v>
      </c>
      <c r="E36" s="1"/>
      <c r="F36" s="7" t="s">
        <v>78</v>
      </c>
      <c r="G36" s="1" t="s">
        <v>77</v>
      </c>
    </row>
    <row r="37" spans="2:7" x14ac:dyDescent="0.35">
      <c r="B37" s="6" t="s">
        <v>80</v>
      </c>
      <c r="C37" s="6"/>
      <c r="D37" s="7" t="s">
        <v>80</v>
      </c>
      <c r="E37" s="1"/>
      <c r="F37" s="7" t="s">
        <v>80</v>
      </c>
      <c r="G37" s="1" t="s">
        <v>79</v>
      </c>
    </row>
    <row r="38" spans="2:7" x14ac:dyDescent="0.35">
      <c r="B38" s="6" t="s">
        <v>82</v>
      </c>
      <c r="C38" s="6"/>
      <c r="D38" s="7" t="s">
        <v>82</v>
      </c>
      <c r="E38" s="1"/>
      <c r="F38" s="7" t="s">
        <v>82</v>
      </c>
      <c r="G38" s="1" t="s">
        <v>81</v>
      </c>
    </row>
    <row r="39" spans="2:7" x14ac:dyDescent="0.35">
      <c r="B39" s="6" t="s">
        <v>84</v>
      </c>
      <c r="C39" s="6"/>
      <c r="D39" s="7" t="s">
        <v>84</v>
      </c>
      <c r="E39" s="1"/>
      <c r="F39" s="7" t="s">
        <v>84</v>
      </c>
      <c r="G39" s="1" t="s">
        <v>83</v>
      </c>
    </row>
    <row r="40" spans="2:7" x14ac:dyDescent="0.35">
      <c r="B40" s="6" t="s">
        <v>86</v>
      </c>
      <c r="C40" s="6"/>
      <c r="D40" s="7" t="s">
        <v>86</v>
      </c>
      <c r="E40" s="1"/>
      <c r="F40" s="7" t="s">
        <v>86</v>
      </c>
      <c r="G40" s="1" t="s">
        <v>85</v>
      </c>
    </row>
    <row r="41" spans="2:7" x14ac:dyDescent="0.35">
      <c r="B41" s="6" t="s">
        <v>88</v>
      </c>
      <c r="C41" s="6"/>
      <c r="D41" s="7" t="s">
        <v>88</v>
      </c>
      <c r="E41" s="1"/>
      <c r="F41" s="7" t="s">
        <v>88</v>
      </c>
      <c r="G41" s="1" t="s">
        <v>87</v>
      </c>
    </row>
    <row r="42" spans="2:7" x14ac:dyDescent="0.35">
      <c r="B42" s="6" t="s">
        <v>102</v>
      </c>
      <c r="C42" s="6"/>
      <c r="D42" s="7" t="s">
        <v>102</v>
      </c>
      <c r="E42" s="1"/>
      <c r="F42" s="7" t="s">
        <v>102</v>
      </c>
      <c r="G42" s="1" t="s">
        <v>101</v>
      </c>
    </row>
    <row r="43" spans="2:7" x14ac:dyDescent="0.35">
      <c r="B43" s="6" t="s">
        <v>104</v>
      </c>
      <c r="C43" s="6"/>
      <c r="D43" s="7" t="s">
        <v>104</v>
      </c>
      <c r="E43" s="1"/>
      <c r="F43" s="7" t="s">
        <v>104</v>
      </c>
      <c r="G43" s="1" t="s">
        <v>103</v>
      </c>
    </row>
    <row r="44" spans="2:7" x14ac:dyDescent="0.35">
      <c r="B44" s="6" t="s">
        <v>106</v>
      </c>
      <c r="C44" s="6"/>
      <c r="D44" s="7" t="s">
        <v>106</v>
      </c>
      <c r="E44" s="1"/>
      <c r="F44" s="7" t="s">
        <v>106</v>
      </c>
      <c r="G44" s="1" t="s">
        <v>105</v>
      </c>
    </row>
    <row r="45" spans="2:7" x14ac:dyDescent="0.35">
      <c r="B45" s="6" t="s">
        <v>108</v>
      </c>
      <c r="C45" s="6"/>
      <c r="D45" s="7" t="s">
        <v>108</v>
      </c>
      <c r="E45" s="1"/>
      <c r="F45" s="7" t="s">
        <v>108</v>
      </c>
      <c r="G45" s="1" t="s">
        <v>107</v>
      </c>
    </row>
    <row r="46" spans="2:7" x14ac:dyDescent="0.35">
      <c r="B46" s="6" t="s">
        <v>90</v>
      </c>
      <c r="C46" s="6"/>
      <c r="D46" s="7" t="s">
        <v>90</v>
      </c>
      <c r="E46" s="1"/>
      <c r="F46" s="7" t="s">
        <v>90</v>
      </c>
      <c r="G46" s="1" t="s">
        <v>89</v>
      </c>
    </row>
    <row r="47" spans="2:7" x14ac:dyDescent="0.35">
      <c r="B47" s="6" t="s">
        <v>92</v>
      </c>
      <c r="C47" s="6"/>
      <c r="D47" s="7" t="s">
        <v>92</v>
      </c>
      <c r="E47" s="1"/>
      <c r="F47" s="7" t="s">
        <v>92</v>
      </c>
      <c r="G47" s="1" t="s">
        <v>91</v>
      </c>
    </row>
    <row r="48" spans="2:7" x14ac:dyDescent="0.35">
      <c r="B48" s="6" t="s">
        <v>94</v>
      </c>
      <c r="C48" s="6"/>
      <c r="D48" s="7" t="s">
        <v>94</v>
      </c>
      <c r="E48" s="1"/>
      <c r="F48" s="7" t="s">
        <v>94</v>
      </c>
      <c r="G48" s="1" t="s">
        <v>93</v>
      </c>
    </row>
    <row r="49" spans="2:7" x14ac:dyDescent="0.35">
      <c r="B49" s="6" t="s">
        <v>202</v>
      </c>
      <c r="C49" s="6"/>
      <c r="D49" s="7" t="s">
        <v>96</v>
      </c>
      <c r="E49" s="1"/>
      <c r="F49" s="7" t="s">
        <v>202</v>
      </c>
      <c r="G49" s="1" t="s">
        <v>95</v>
      </c>
    </row>
    <row r="50" spans="2:7" x14ac:dyDescent="0.35">
      <c r="B50" s="6" t="s">
        <v>203</v>
      </c>
      <c r="C50" s="6"/>
      <c r="D50" s="7" t="s">
        <v>98</v>
      </c>
      <c r="E50" s="1"/>
      <c r="F50" s="7" t="s">
        <v>203</v>
      </c>
      <c r="G50" s="1" t="s">
        <v>97</v>
      </c>
    </row>
    <row r="51" spans="2:7" x14ac:dyDescent="0.35">
      <c r="B51" s="6" t="s">
        <v>204</v>
      </c>
      <c r="C51" s="6"/>
      <c r="D51" s="7" t="s">
        <v>100</v>
      </c>
      <c r="E51" s="1"/>
      <c r="F51" s="7" t="s">
        <v>204</v>
      </c>
      <c r="G51" s="1" t="s">
        <v>99</v>
      </c>
    </row>
    <row r="52" spans="2:7" x14ac:dyDescent="0.35">
      <c r="B52" s="6" t="s">
        <v>205</v>
      </c>
      <c r="C52" s="6"/>
      <c r="D52" s="7" t="s">
        <v>206</v>
      </c>
      <c r="E52" s="1"/>
      <c r="F52" s="7" t="s">
        <v>205</v>
      </c>
      <c r="G52" s="1" t="s">
        <v>207</v>
      </c>
    </row>
    <row r="53" spans="2:7" x14ac:dyDescent="0.35">
      <c r="B53" s="6" t="s">
        <v>110</v>
      </c>
      <c r="C53" s="6"/>
      <c r="D53" s="7" t="s">
        <v>110</v>
      </c>
      <c r="E53" s="1"/>
      <c r="F53" s="7" t="s">
        <v>110</v>
      </c>
      <c r="G53" s="1" t="s">
        <v>109</v>
      </c>
    </row>
    <row r="54" spans="2:7" x14ac:dyDescent="0.35">
      <c r="B54" s="6" t="s">
        <v>208</v>
      </c>
      <c r="C54" s="6"/>
      <c r="D54" s="7" t="s">
        <v>208</v>
      </c>
      <c r="E54" s="1"/>
      <c r="F54" s="7" t="s">
        <v>208</v>
      </c>
      <c r="G54" s="1" t="s">
        <v>209</v>
      </c>
    </row>
    <row r="55" spans="2:7" x14ac:dyDescent="0.35">
      <c r="B55" s="6" t="s">
        <v>210</v>
      </c>
      <c r="C55" s="6"/>
      <c r="D55" s="7" t="s">
        <v>210</v>
      </c>
      <c r="E55" s="1"/>
      <c r="F55" s="7" t="s">
        <v>210</v>
      </c>
      <c r="G55" s="1" t="s">
        <v>211</v>
      </c>
    </row>
    <row r="56" spans="2:7" x14ac:dyDescent="0.35">
      <c r="B56" s="6" t="s">
        <v>212</v>
      </c>
      <c r="C56" s="6"/>
      <c r="D56" s="7" t="s">
        <v>212</v>
      </c>
      <c r="E56" s="1"/>
      <c r="F56" s="7" t="s">
        <v>212</v>
      </c>
      <c r="G56" s="1" t="s">
        <v>213</v>
      </c>
    </row>
    <row r="57" spans="2:7" x14ac:dyDescent="0.35">
      <c r="B57" s="6" t="s">
        <v>165</v>
      </c>
      <c r="C57" s="6"/>
      <c r="D57" s="7" t="s">
        <v>165</v>
      </c>
      <c r="E57" s="1"/>
      <c r="F57" s="7" t="s">
        <v>165</v>
      </c>
      <c r="G57" s="1" t="s">
        <v>164</v>
      </c>
    </row>
    <row r="58" spans="2:7" x14ac:dyDescent="0.35">
      <c r="B58" s="6" t="s">
        <v>179</v>
      </c>
      <c r="C58" s="6"/>
      <c r="D58" s="7" t="s">
        <v>179</v>
      </c>
      <c r="E58" s="1"/>
      <c r="F58" s="7" t="s">
        <v>179</v>
      </c>
      <c r="G58" s="1" t="s">
        <v>214</v>
      </c>
    </row>
    <row r="59" spans="2:7" x14ac:dyDescent="0.35">
      <c r="B59" s="6" t="s">
        <v>112</v>
      </c>
      <c r="C59" s="6"/>
      <c r="D59" s="7" t="s">
        <v>112</v>
      </c>
      <c r="E59" s="1"/>
      <c r="F59" s="7" t="s">
        <v>112</v>
      </c>
      <c r="G59" s="1" t="s">
        <v>111</v>
      </c>
    </row>
    <row r="60" spans="2:7" x14ac:dyDescent="0.35">
      <c r="B60" s="6" t="s">
        <v>126</v>
      </c>
      <c r="C60" s="6"/>
      <c r="D60" s="7" t="s">
        <v>126</v>
      </c>
      <c r="E60" s="1"/>
      <c r="F60" s="7" t="s">
        <v>126</v>
      </c>
      <c r="G60" s="1" t="s">
        <v>125</v>
      </c>
    </row>
    <row r="61" spans="2:7" x14ac:dyDescent="0.35">
      <c r="B61" s="6" t="s">
        <v>114</v>
      </c>
      <c r="C61" s="6"/>
      <c r="D61" s="7" t="s">
        <v>114</v>
      </c>
      <c r="E61" s="1"/>
      <c r="F61" s="7" t="s">
        <v>114</v>
      </c>
      <c r="G61" s="1" t="s">
        <v>113</v>
      </c>
    </row>
    <row r="62" spans="2:7" x14ac:dyDescent="0.35">
      <c r="B62" s="6" t="s">
        <v>116</v>
      </c>
      <c r="C62" s="6"/>
      <c r="D62" s="7" t="s">
        <v>116</v>
      </c>
      <c r="E62" s="1"/>
      <c r="F62" s="7" t="s">
        <v>116</v>
      </c>
      <c r="G62" s="1" t="s">
        <v>115</v>
      </c>
    </row>
    <row r="63" spans="2:7" x14ac:dyDescent="0.35">
      <c r="B63" s="6" t="s">
        <v>118</v>
      </c>
      <c r="C63" s="6"/>
      <c r="D63" s="7" t="s">
        <v>118</v>
      </c>
      <c r="E63" s="1"/>
      <c r="F63" s="7" t="s">
        <v>118</v>
      </c>
      <c r="G63" s="1" t="s">
        <v>117</v>
      </c>
    </row>
    <row r="64" spans="2:7" x14ac:dyDescent="0.35">
      <c r="B64" s="6" t="s">
        <v>215</v>
      </c>
      <c r="C64" s="6"/>
      <c r="D64" s="7" t="s">
        <v>120</v>
      </c>
      <c r="E64" s="1"/>
      <c r="F64" s="7" t="s">
        <v>215</v>
      </c>
      <c r="G64" s="1" t="s">
        <v>119</v>
      </c>
    </row>
    <row r="65" spans="2:7" x14ac:dyDescent="0.35">
      <c r="B65" s="6" t="s">
        <v>216</v>
      </c>
      <c r="C65" s="6"/>
      <c r="D65" s="7" t="s">
        <v>122</v>
      </c>
      <c r="E65" s="1"/>
      <c r="F65" s="7" t="s">
        <v>216</v>
      </c>
      <c r="G65" s="1" t="s">
        <v>121</v>
      </c>
    </row>
    <row r="66" spans="2:7" x14ac:dyDescent="0.35">
      <c r="B66" s="6" t="s">
        <v>217</v>
      </c>
      <c r="C66" s="6"/>
      <c r="D66" s="7" t="s">
        <v>124</v>
      </c>
      <c r="E66" s="1"/>
      <c r="F66" s="7" t="s">
        <v>217</v>
      </c>
      <c r="G66" s="1" t="s">
        <v>123</v>
      </c>
    </row>
    <row r="67" spans="2:7" x14ac:dyDescent="0.35">
      <c r="B67" s="6" t="s">
        <v>218</v>
      </c>
      <c r="C67" s="6"/>
      <c r="D67" s="7" t="s">
        <v>218</v>
      </c>
      <c r="E67" s="1"/>
      <c r="F67" s="7" t="s">
        <v>218</v>
      </c>
      <c r="G67" s="1" t="s">
        <v>219</v>
      </c>
    </row>
    <row r="68" spans="2:7" x14ac:dyDescent="0.35">
      <c r="B68" s="6" t="s">
        <v>220</v>
      </c>
      <c r="C68" s="6"/>
      <c r="D68" s="7" t="s">
        <v>220</v>
      </c>
      <c r="E68" s="1"/>
      <c r="F68" s="7" t="s">
        <v>220</v>
      </c>
      <c r="G68" s="1" t="s">
        <v>221</v>
      </c>
    </row>
    <row r="69" spans="2:7" x14ac:dyDescent="0.35">
      <c r="B69" s="6" t="s">
        <v>222</v>
      </c>
      <c r="C69" s="6"/>
      <c r="D69" s="7" t="s">
        <v>222</v>
      </c>
      <c r="E69" s="1"/>
      <c r="F69" s="7" t="s">
        <v>222</v>
      </c>
      <c r="G69" s="1" t="s">
        <v>223</v>
      </c>
    </row>
    <row r="70" spans="2:7" x14ac:dyDescent="0.35">
      <c r="B70" s="6" t="s">
        <v>224</v>
      </c>
      <c r="C70" s="6"/>
      <c r="D70" s="7" t="s">
        <v>224</v>
      </c>
      <c r="E70" s="1"/>
      <c r="F70" s="7" t="s">
        <v>224</v>
      </c>
      <c r="G70" s="1" t="s">
        <v>225</v>
      </c>
    </row>
    <row r="71" spans="2:7" x14ac:dyDescent="0.35">
      <c r="B71" s="6" t="s">
        <v>226</v>
      </c>
      <c r="C71" s="6"/>
      <c r="D71" s="7" t="s">
        <v>226</v>
      </c>
      <c r="E71" s="1"/>
      <c r="F71" s="7" t="s">
        <v>226</v>
      </c>
      <c r="G71" s="1" t="s">
        <v>227</v>
      </c>
    </row>
    <row r="72" spans="2:7" x14ac:dyDescent="0.35">
      <c r="B72" s="6" t="s">
        <v>128</v>
      </c>
      <c r="C72" s="6"/>
      <c r="D72" s="7" t="s">
        <v>128</v>
      </c>
      <c r="E72" s="1"/>
      <c r="F72" s="7" t="s">
        <v>128</v>
      </c>
      <c r="G72" s="1" t="s">
        <v>127</v>
      </c>
    </row>
    <row r="73" spans="2:7" x14ac:dyDescent="0.35">
      <c r="B73" s="6" t="s">
        <v>130</v>
      </c>
      <c r="C73" s="6"/>
      <c r="D73" s="7" t="s">
        <v>130</v>
      </c>
      <c r="E73" s="1"/>
      <c r="F73" s="7" t="s">
        <v>130</v>
      </c>
      <c r="G73" s="1" t="s">
        <v>129</v>
      </c>
    </row>
    <row r="74" spans="2:7" x14ac:dyDescent="0.35">
      <c r="B74" s="6" t="s">
        <v>132</v>
      </c>
      <c r="C74" s="6"/>
      <c r="D74" s="7" t="s">
        <v>132</v>
      </c>
      <c r="E74" s="1"/>
      <c r="F74" s="7" t="s">
        <v>132</v>
      </c>
      <c r="G74" s="1" t="s">
        <v>131</v>
      </c>
    </row>
    <row r="75" spans="2:7" x14ac:dyDescent="0.35">
      <c r="B75" s="6" t="s">
        <v>228</v>
      </c>
      <c r="C75" s="6"/>
      <c r="D75" s="7" t="s">
        <v>228</v>
      </c>
      <c r="E75" s="1"/>
      <c r="F75" s="7" t="s">
        <v>228</v>
      </c>
      <c r="G75" s="1" t="s">
        <v>229</v>
      </c>
    </row>
    <row r="76" spans="2:7" x14ac:dyDescent="0.35">
      <c r="B76" s="6" t="s">
        <v>134</v>
      </c>
      <c r="C76" s="6"/>
      <c r="D76" s="7" t="s">
        <v>134</v>
      </c>
      <c r="E76" s="1"/>
      <c r="F76" s="7" t="s">
        <v>134</v>
      </c>
      <c r="G76" s="1" t="s">
        <v>133</v>
      </c>
    </row>
    <row r="77" spans="2:7" x14ac:dyDescent="0.35">
      <c r="B77" s="6" t="s">
        <v>136</v>
      </c>
      <c r="C77" s="6"/>
      <c r="D77" s="7" t="s">
        <v>136</v>
      </c>
      <c r="E77" s="1"/>
      <c r="F77" s="7" t="s">
        <v>136</v>
      </c>
      <c r="G77" s="1" t="s">
        <v>135</v>
      </c>
    </row>
    <row r="78" spans="2:7" x14ac:dyDescent="0.35">
      <c r="B78" s="6" t="s">
        <v>230</v>
      </c>
      <c r="C78" s="6"/>
      <c r="D78" s="7" t="s">
        <v>230</v>
      </c>
      <c r="E78" s="1"/>
      <c r="F78" s="7" t="s">
        <v>230</v>
      </c>
      <c r="G78" s="1" t="s">
        <v>231</v>
      </c>
    </row>
    <row r="79" spans="2:7" x14ac:dyDescent="0.35">
      <c r="B79" s="6" t="s">
        <v>232</v>
      </c>
      <c r="C79" s="6"/>
      <c r="D79" s="7" t="s">
        <v>232</v>
      </c>
      <c r="E79" s="1"/>
      <c r="F79" s="7" t="s">
        <v>232</v>
      </c>
      <c r="G79" s="1" t="s">
        <v>233</v>
      </c>
    </row>
    <row r="80" spans="2:7" x14ac:dyDescent="0.35">
      <c r="B80" s="6" t="s">
        <v>234</v>
      </c>
      <c r="C80" s="6"/>
      <c r="D80" s="7" t="s">
        <v>234</v>
      </c>
      <c r="E80" s="1"/>
      <c r="F80" s="7" t="s">
        <v>234</v>
      </c>
      <c r="G80" s="1" t="s">
        <v>235</v>
      </c>
    </row>
    <row r="81" spans="2:7" x14ac:dyDescent="0.35">
      <c r="B81" s="6" t="s">
        <v>236</v>
      </c>
      <c r="C81" s="6"/>
      <c r="D81" s="7" t="s">
        <v>236</v>
      </c>
      <c r="E81" s="1"/>
      <c r="F81" s="7" t="s">
        <v>236</v>
      </c>
      <c r="G81" s="1" t="s">
        <v>237</v>
      </c>
    </row>
    <row r="82" spans="2:7" x14ac:dyDescent="0.35">
      <c r="B82" s="6" t="s">
        <v>238</v>
      </c>
      <c r="C82" s="6"/>
      <c r="D82" s="7" t="s">
        <v>239</v>
      </c>
      <c r="E82" s="1"/>
      <c r="F82" s="7" t="s">
        <v>238</v>
      </c>
      <c r="G82" s="1" t="s">
        <v>240</v>
      </c>
    </row>
    <row r="83" spans="2:7" x14ac:dyDescent="0.35">
      <c r="B83" s="6" t="s">
        <v>241</v>
      </c>
      <c r="C83" s="6"/>
      <c r="D83" s="7" t="s">
        <v>242</v>
      </c>
      <c r="E83" s="1"/>
      <c r="F83" s="7" t="s">
        <v>241</v>
      </c>
      <c r="G83" s="1" t="s">
        <v>243</v>
      </c>
    </row>
    <row r="84" spans="2:7" x14ac:dyDescent="0.35">
      <c r="B84" s="6" t="s">
        <v>244</v>
      </c>
      <c r="C84" s="6"/>
      <c r="D84" s="7" t="s">
        <v>244</v>
      </c>
      <c r="E84" s="1"/>
      <c r="F84" s="7" t="s">
        <v>244</v>
      </c>
      <c r="G84" s="1" t="s">
        <v>245</v>
      </c>
    </row>
    <row r="85" spans="2:7" x14ac:dyDescent="0.35">
      <c r="B85" s="6" t="s">
        <v>246</v>
      </c>
      <c r="C85" s="6"/>
      <c r="D85" s="7" t="s">
        <v>246</v>
      </c>
      <c r="E85" s="1"/>
      <c r="F85" s="7" t="s">
        <v>246</v>
      </c>
      <c r="G85" s="1" t="s">
        <v>247</v>
      </c>
    </row>
    <row r="86" spans="2:7" x14ac:dyDescent="0.35">
      <c r="B86" s="6" t="s">
        <v>248</v>
      </c>
      <c r="C86" s="6"/>
      <c r="D86" s="7" t="s">
        <v>248</v>
      </c>
      <c r="E86" s="1"/>
      <c r="F86" s="7" t="s">
        <v>248</v>
      </c>
      <c r="G86" s="1" t="s">
        <v>249</v>
      </c>
    </row>
    <row r="87" spans="2:7" x14ac:dyDescent="0.35">
      <c r="B87" s="6" t="s">
        <v>250</v>
      </c>
      <c r="C87" s="6"/>
      <c r="D87" s="7" t="s">
        <v>250</v>
      </c>
      <c r="E87" s="1"/>
      <c r="F87" s="7" t="s">
        <v>250</v>
      </c>
      <c r="G87" s="1" t="s">
        <v>251</v>
      </c>
    </row>
    <row r="88" spans="2:7" x14ac:dyDescent="0.35">
      <c r="B88" s="6" t="s">
        <v>163</v>
      </c>
      <c r="C88" s="6"/>
      <c r="D88" s="7" t="s">
        <v>163</v>
      </c>
      <c r="E88" s="1"/>
      <c r="F88" s="7" t="s">
        <v>163</v>
      </c>
      <c r="G88" s="1" t="s">
        <v>162</v>
      </c>
    </row>
    <row r="89" spans="2:7" x14ac:dyDescent="0.35">
      <c r="B89" s="6" t="s">
        <v>180</v>
      </c>
      <c r="C89" s="6"/>
      <c r="D89" s="7" t="s">
        <v>180</v>
      </c>
      <c r="E89" s="1"/>
      <c r="F89" s="7" t="s">
        <v>180</v>
      </c>
      <c r="G89" s="1" t="s">
        <v>252</v>
      </c>
    </row>
    <row r="90" spans="2:7" x14ac:dyDescent="0.35">
      <c r="B90" s="6" t="s">
        <v>177</v>
      </c>
      <c r="C90" s="6"/>
      <c r="D90" s="7" t="s">
        <v>177</v>
      </c>
      <c r="E90" s="1"/>
      <c r="F90" s="7" t="s">
        <v>177</v>
      </c>
      <c r="G90" s="1" t="s">
        <v>253</v>
      </c>
    </row>
    <row r="91" spans="2:7" x14ac:dyDescent="0.35">
      <c r="B91" s="6" t="s">
        <v>178</v>
      </c>
      <c r="C91" s="6"/>
      <c r="D91" s="7" t="s">
        <v>178</v>
      </c>
      <c r="E91" s="1"/>
      <c r="F91" s="7" t="s">
        <v>178</v>
      </c>
      <c r="G91" s="1" t="s">
        <v>254</v>
      </c>
    </row>
    <row r="92" spans="2:7" x14ac:dyDescent="0.35">
      <c r="B92" s="6" t="s">
        <v>255</v>
      </c>
      <c r="C92" s="6"/>
      <c r="D92" s="7" t="s">
        <v>255</v>
      </c>
      <c r="E92" s="1"/>
      <c r="F92" s="7" t="s">
        <v>255</v>
      </c>
      <c r="G92" s="1" t="s">
        <v>256</v>
      </c>
    </row>
    <row r="93" spans="2:7" x14ac:dyDescent="0.35">
      <c r="B93" s="6" t="s">
        <v>257</v>
      </c>
      <c r="C93" s="6"/>
      <c r="D93" s="7" t="s">
        <v>257</v>
      </c>
      <c r="E93" s="1"/>
      <c r="F93" s="7" t="s">
        <v>257</v>
      </c>
      <c r="G93" s="1" t="s">
        <v>258</v>
      </c>
    </row>
    <row r="94" spans="2:7" x14ac:dyDescent="0.35">
      <c r="B94" s="6" t="s">
        <v>259</v>
      </c>
      <c r="C94" s="6"/>
      <c r="D94" s="7" t="s">
        <v>259</v>
      </c>
      <c r="E94" s="1"/>
      <c r="F94" s="7" t="s">
        <v>259</v>
      </c>
      <c r="G94" s="1" t="s">
        <v>260</v>
      </c>
    </row>
    <row r="95" spans="2:7" x14ac:dyDescent="0.35">
      <c r="B95" s="6" t="s">
        <v>174</v>
      </c>
      <c r="C95" s="6"/>
      <c r="D95" s="7" t="s">
        <v>174</v>
      </c>
      <c r="E95" s="1"/>
      <c r="F95" s="7" t="s">
        <v>174</v>
      </c>
      <c r="G95" s="1" t="s">
        <v>261</v>
      </c>
    </row>
    <row r="96" spans="2:7" x14ac:dyDescent="0.35">
      <c r="B96" s="6" t="s">
        <v>175</v>
      </c>
      <c r="C96" s="6"/>
      <c r="D96" s="7" t="s">
        <v>175</v>
      </c>
      <c r="E96" s="1"/>
      <c r="F96" s="7" t="s">
        <v>175</v>
      </c>
      <c r="G96" s="1" t="s">
        <v>262</v>
      </c>
    </row>
    <row r="97" spans="2:7" x14ac:dyDescent="0.35">
      <c r="B97" s="6" t="s">
        <v>176</v>
      </c>
      <c r="C97" s="6"/>
      <c r="D97" s="7" t="s">
        <v>176</v>
      </c>
      <c r="E97" s="1"/>
      <c r="F97" s="7" t="s">
        <v>176</v>
      </c>
      <c r="G97" s="1" t="s">
        <v>263</v>
      </c>
    </row>
    <row r="98" spans="2:7" x14ac:dyDescent="0.35">
      <c r="B98" s="6" t="s">
        <v>138</v>
      </c>
      <c r="C98" s="6"/>
      <c r="D98" s="7" t="s">
        <v>138</v>
      </c>
      <c r="E98" s="1"/>
      <c r="F98" s="7" t="s">
        <v>138</v>
      </c>
      <c r="G98" s="1" t="s">
        <v>137</v>
      </c>
    </row>
    <row r="99" spans="2:7" x14ac:dyDescent="0.35">
      <c r="B99" s="6" t="s">
        <v>140</v>
      </c>
      <c r="C99" s="6"/>
      <c r="D99" s="7" t="s">
        <v>140</v>
      </c>
      <c r="E99" s="1"/>
      <c r="F99" s="7" t="s">
        <v>140</v>
      </c>
      <c r="G99" s="1" t="s">
        <v>139</v>
      </c>
    </row>
    <row r="100" spans="2:7" x14ac:dyDescent="0.35">
      <c r="B100" s="6" t="s">
        <v>142</v>
      </c>
      <c r="C100" s="6"/>
      <c r="D100" s="7" t="s">
        <v>142</v>
      </c>
      <c r="E100" s="1"/>
      <c r="F100" s="7" t="s">
        <v>142</v>
      </c>
      <c r="G100" s="1" t="s">
        <v>141</v>
      </c>
    </row>
    <row r="101" spans="2:7" x14ac:dyDescent="0.35">
      <c r="B101" s="6" t="s">
        <v>144</v>
      </c>
      <c r="C101" s="6"/>
      <c r="D101" s="7" t="s">
        <v>144</v>
      </c>
      <c r="E101" s="1"/>
      <c r="F101" s="7" t="s">
        <v>144</v>
      </c>
      <c r="G101" s="1" t="s">
        <v>143</v>
      </c>
    </row>
    <row r="102" spans="2:7" x14ac:dyDescent="0.35">
      <c r="B102" s="6" t="s">
        <v>146</v>
      </c>
      <c r="C102" s="6"/>
      <c r="D102" s="7" t="s">
        <v>146</v>
      </c>
      <c r="E102" s="1"/>
      <c r="F102" s="7" t="s">
        <v>146</v>
      </c>
      <c r="G102" s="1" t="s">
        <v>145</v>
      </c>
    </row>
    <row r="103" spans="2:7" x14ac:dyDescent="0.35">
      <c r="B103" s="6" t="s">
        <v>148</v>
      </c>
      <c r="C103" s="6"/>
      <c r="D103" s="7" t="s">
        <v>148</v>
      </c>
      <c r="E103" s="1"/>
      <c r="F103" s="7" t="s">
        <v>148</v>
      </c>
      <c r="G103" s="1" t="s">
        <v>147</v>
      </c>
    </row>
    <row r="104" spans="2:7" x14ac:dyDescent="0.35">
      <c r="B104" s="6" t="s">
        <v>150</v>
      </c>
      <c r="C104" s="6"/>
      <c r="D104" s="7" t="s">
        <v>150</v>
      </c>
      <c r="E104" s="1"/>
      <c r="F104" s="7" t="s">
        <v>150</v>
      </c>
      <c r="G104" s="1" t="s">
        <v>149</v>
      </c>
    </row>
    <row r="105" spans="2:7" x14ac:dyDescent="0.35">
      <c r="B105" s="6" t="s">
        <v>152</v>
      </c>
      <c r="C105" s="6"/>
      <c r="D105" s="7" t="s">
        <v>152</v>
      </c>
      <c r="E105" s="1"/>
      <c r="F105" s="7" t="s">
        <v>152</v>
      </c>
      <c r="G105" s="1" t="s">
        <v>151</v>
      </c>
    </row>
    <row r="106" spans="2:7" x14ac:dyDescent="0.35">
      <c r="B106" s="6" t="s">
        <v>154</v>
      </c>
      <c r="C106" s="6"/>
      <c r="D106" s="7" t="s">
        <v>154</v>
      </c>
      <c r="E106" s="1"/>
      <c r="F106" s="7" t="s">
        <v>154</v>
      </c>
      <c r="G106" s="1" t="s">
        <v>153</v>
      </c>
    </row>
    <row r="107" spans="2:7" x14ac:dyDescent="0.35">
      <c r="B107" s="6" t="s">
        <v>156</v>
      </c>
      <c r="C107" s="6"/>
      <c r="D107" s="7" t="s">
        <v>156</v>
      </c>
      <c r="E107" s="1"/>
      <c r="F107" s="7" t="s">
        <v>156</v>
      </c>
      <c r="G107" s="1" t="s">
        <v>155</v>
      </c>
    </row>
    <row r="108" spans="2:7" x14ac:dyDescent="0.35">
      <c r="B108" s="6" t="s">
        <v>158</v>
      </c>
      <c r="C108" s="6"/>
      <c r="D108" s="7" t="s">
        <v>158</v>
      </c>
      <c r="E108" s="1"/>
      <c r="F108" s="7" t="s">
        <v>158</v>
      </c>
      <c r="G108" s="1" t="s">
        <v>157</v>
      </c>
    </row>
    <row r="109" spans="2:7" x14ac:dyDescent="0.35">
      <c r="B109" s="6" t="s">
        <v>167</v>
      </c>
      <c r="C109" s="6"/>
      <c r="D109" s="7" t="s">
        <v>167</v>
      </c>
      <c r="E109" s="1"/>
      <c r="F109" s="7" t="s">
        <v>167</v>
      </c>
      <c r="G109" s="1" t="s">
        <v>166</v>
      </c>
    </row>
    <row r="110" spans="2:7" x14ac:dyDescent="0.35">
      <c r="B110" s="6" t="s">
        <v>264</v>
      </c>
      <c r="C110" s="6"/>
      <c r="D110" s="7" t="s">
        <v>264</v>
      </c>
      <c r="E110" s="1"/>
      <c r="F110" s="7" t="s">
        <v>264</v>
      </c>
      <c r="G110" s="1" t="s">
        <v>265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EB6DACB7B3174996F57672AB6DF01C" ma:contentTypeVersion="14" ma:contentTypeDescription="Create a new document." ma:contentTypeScope="" ma:versionID="a984ab937dd627f78976fb0e57645696">
  <xsd:schema xmlns:xsd="http://www.w3.org/2001/XMLSchema" xmlns:xs="http://www.w3.org/2001/XMLSchema" xmlns:p="http://schemas.microsoft.com/office/2006/metadata/properties" xmlns:ns2="02aca291-235d-489d-83f3-e19139033359" xmlns:ns3="a1a564a5-4987-4e1f-8555-df33b01523f8" targetNamespace="http://schemas.microsoft.com/office/2006/metadata/properties" ma:root="true" ma:fieldsID="064c0f604330afdb05d8bc0b18233cbf" ns2:_="" ns3:_="">
    <xsd:import namespace="02aca291-235d-489d-83f3-e19139033359"/>
    <xsd:import namespace="a1a564a5-4987-4e1f-8555-df33b01523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ca291-235d-489d-83f3-e19139033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564a5-4987-4e1f-8555-df33b01523f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c3825e-2076-4ff8-ad7e-ab559e2e0c62}" ma:internalName="TaxCatchAll" ma:showField="CatchAllData" ma:web="a1a564a5-4987-4e1f-8555-df33b01523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aca291-235d-489d-83f3-e19139033359">
      <Terms xmlns="http://schemas.microsoft.com/office/infopath/2007/PartnerControls"/>
    </lcf76f155ced4ddcb4097134ff3c332f>
    <TaxCatchAll xmlns="a1a564a5-4987-4e1f-8555-df33b01523f8" xsi:nil="true"/>
  </documentManagement>
</p:properties>
</file>

<file path=customXml/itemProps1.xml><?xml version="1.0" encoding="utf-8"?>
<ds:datastoreItem xmlns:ds="http://schemas.openxmlformats.org/officeDocument/2006/customXml" ds:itemID="{D4699975-C4D3-44D6-8739-22AD233276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54717A-7674-485A-968C-A8AC5F8C4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ca291-235d-489d-83f3-e19139033359"/>
    <ds:schemaRef ds:uri="a1a564a5-4987-4e1f-8555-df33b01523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F3FF8E-8C7E-41DB-B760-EB233BF82695}">
  <ds:schemaRefs>
    <ds:schemaRef ds:uri="http://purl.org/dc/dcmitype/"/>
    <ds:schemaRef ds:uri="a1a564a5-4987-4e1f-8555-df33b01523f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02aca291-235d-489d-83f3-e19139033359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Sheet2</vt:lpstr>
      <vt:lpstr>Sheet1</vt:lpstr>
      <vt:lpstr>Sheet3</vt:lpstr>
      <vt:lpstr>KPI_Mapping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Jermyn Liu</dc:creator>
  <cp:keywords/>
  <dc:description/>
  <cp:lastModifiedBy>Joven Ayuban Morales</cp:lastModifiedBy>
  <cp:revision/>
  <dcterms:created xsi:type="dcterms:W3CDTF">2015-06-05T18:17:20Z</dcterms:created>
  <dcterms:modified xsi:type="dcterms:W3CDTF">2026-08-27T02:04:01Z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2026-07-08T02:48:18Z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1f3cff4d-0869-4a7b-b600-837b3cd9364a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  <property fmtid="{D5CDD505-2E9C-101B-9397-08002B2CF9AE}" pid="10" name="ContentTypeId">
    <vt:lpwstr>0x0101000DEB6DACB7B3174996F57672AB6DF01C</vt:lpwstr>
  </property>
  <property fmtid="{D5CDD505-2E9C-101B-9397-08002B2CF9AE}" pid="11" name="MediaServiceImageTags">
    <vt:lpwstr/>
  </property>
  <property fmtid="{D5CDD505-2E9C-101B-9397-08002B2CF9AE}" pid="12" name="SV_QUERY_LIST_4F35BF76-6C0D-4D9B-82B2-816C12CF3733">
    <vt:lpwstr>empty_477D106A-C0D6-4607-AEBD-E2C9D60EA279</vt:lpwstr>
  </property>
  <property fmtid="{D5CDD505-2E9C-101B-9397-08002B2CF9AE}" pid="13" name="SV_HIDDEN_GRID_QUERY_LIST_4F35BF76-6C0D-4D9B-82B2-816C12CF3733">
    <vt:lpwstr>empty_477D106A-C0D6-4607-AEBD-E2C9D60EA279</vt:lpwstr>
  </property>
</Properties>
</file>